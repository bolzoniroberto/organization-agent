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ilsole24ore-my.sharepoint.com/personal/roberto_bolzoni_ilsole24ore_com/Documents/Desktop/"/>
    </mc:Choice>
  </mc:AlternateContent>
  <xr:revisionPtr revIDLastSave="0" documentId="8_{BC585BFF-453C-46AC-8B91-F1327A6C5C3A}" xr6:coauthVersionLast="47" xr6:coauthVersionMax="47" xr10:uidLastSave="{00000000-0000-0000-0000-000000000000}"/>
  <bookViews>
    <workbookView xWindow="-120" yWindow="-120" windowWidth="29040" windowHeight="17520" tabRatio="815" xr2:uid="{CBB63797-E379-49DF-8317-43121F67CB0E}"/>
  </bookViews>
  <sheets>
    <sheet name="DB" sheetId="123" r:id="rId1"/>
    <sheet name="RiepOrganico" sheetId="114" r:id="rId2"/>
    <sheet name="Gio_Quot_settore" sheetId="120" r:id="rId3"/>
    <sheet name="Qual_sede" sheetId="118" r:id="rId4"/>
    <sheet name="Gio_sede" sheetId="122" r:id="rId5"/>
    <sheet name="xxxGio_Quot_settore" sheetId="119" r:id="rId6"/>
    <sheet name="xxxQualifica_sede" sheetId="117" r:id="rId7"/>
    <sheet name="xxxGio_sede" sheetId="121" r:id="rId8"/>
  </sheets>
  <definedNames>
    <definedName name="_xlnm._FilterDatabase" localSheetId="0" hidden="1">DB!$A$1:$BF$776</definedName>
    <definedName name="_xlnm._FilterDatabase" localSheetId="3" hidden="1">Qual_sede!$A$6:$H$6</definedName>
    <definedName name="_xlnm.Print_Area" localSheetId="4">Gio_sede!$A$2:$D$37</definedName>
    <definedName name="_xlnm.Print_Area" localSheetId="3">Qual_sede!$A$1:$F$16</definedName>
  </definedName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14" l="1"/>
  <c r="B24" i="114"/>
  <c r="B29" i="114" s="1"/>
  <c r="G18" i="114"/>
  <c r="H34" i="118"/>
  <c r="B22" i="114"/>
  <c r="B21" i="114"/>
  <c r="B20" i="114"/>
  <c r="B28" i="114"/>
  <c r="B27" i="114"/>
  <c r="B26" i="114"/>
  <c r="B25" i="114"/>
  <c r="B23" i="114"/>
  <c r="L11" i="114" l="1"/>
  <c r="G42" i="122"/>
  <c r="L43" i="114"/>
  <c r="L75" i="114"/>
  <c r="L107" i="114"/>
  <c r="C114" i="114"/>
  <c r="D114" i="114"/>
  <c r="E114" i="114"/>
  <c r="F114" i="114"/>
  <c r="G114" i="114"/>
  <c r="H114" i="114"/>
  <c r="I114" i="114"/>
  <c r="C105" i="114"/>
  <c r="C108" i="114"/>
  <c r="C111" i="114"/>
  <c r="D111" i="114"/>
  <c r="E111" i="114"/>
  <c r="F111" i="114"/>
  <c r="G111" i="114"/>
  <c r="H111" i="114"/>
  <c r="I111" i="114"/>
  <c r="D108" i="114"/>
  <c r="E108" i="114"/>
  <c r="F108" i="114"/>
  <c r="B119" i="114" s="1"/>
  <c r="G108" i="114"/>
  <c r="H108" i="114"/>
  <c r="I108" i="114"/>
  <c r="D105" i="114"/>
  <c r="E105" i="114"/>
  <c r="F105" i="114"/>
  <c r="G105" i="114"/>
  <c r="H105" i="114"/>
  <c r="I105" i="114"/>
  <c r="J113" i="114"/>
  <c r="B125" i="114" s="1"/>
  <c r="J112" i="114"/>
  <c r="J114" i="114" s="1"/>
  <c r="J110" i="114"/>
  <c r="J109" i="114"/>
  <c r="J107" i="114"/>
  <c r="J106" i="114"/>
  <c r="J100" i="114"/>
  <c r="J101" i="114"/>
  <c r="B120" i="114" s="1"/>
  <c r="J102" i="114"/>
  <c r="J103" i="114"/>
  <c r="B122" i="114" s="1"/>
  <c r="J104" i="114"/>
  <c r="B123" i="114" s="1"/>
  <c r="J99" i="114"/>
  <c r="C176" i="114"/>
  <c r="C177" i="114" s="1"/>
  <c r="J175" i="114"/>
  <c r="B187" i="114" s="1"/>
  <c r="J174" i="114"/>
  <c r="J176" i="114" s="1"/>
  <c r="H173" i="114"/>
  <c r="G173" i="114"/>
  <c r="D173" i="114"/>
  <c r="D177" i="114" s="1"/>
  <c r="J172" i="114"/>
  <c r="J173" i="114" s="1"/>
  <c r="H171" i="114"/>
  <c r="G171" i="114"/>
  <c r="J170" i="114"/>
  <c r="J171" i="114" s="1"/>
  <c r="L169" i="114"/>
  <c r="H168" i="114"/>
  <c r="G168" i="114"/>
  <c r="F168" i="114"/>
  <c r="B181" i="114" s="1"/>
  <c r="F177" i="114"/>
  <c r="E168" i="114"/>
  <c r="E177" i="114" s="1"/>
  <c r="B180" i="114" s="1"/>
  <c r="D168" i="114"/>
  <c r="J167" i="114"/>
  <c r="B185" i="114" s="1"/>
  <c r="J166" i="114"/>
  <c r="B184" i="114" s="1"/>
  <c r="J165" i="114"/>
  <c r="J164" i="114"/>
  <c r="B182" i="114" s="1"/>
  <c r="J163" i="114"/>
  <c r="J162" i="114"/>
  <c r="C145" i="114"/>
  <c r="C146" i="114" s="1"/>
  <c r="J144" i="114"/>
  <c r="B156" i="114"/>
  <c r="J143" i="114"/>
  <c r="B155" i="114" s="1"/>
  <c r="H142" i="114"/>
  <c r="G142" i="114"/>
  <c r="D142" i="114"/>
  <c r="J141" i="114"/>
  <c r="J142" i="114"/>
  <c r="H140" i="114"/>
  <c r="G140" i="114"/>
  <c r="J139" i="114"/>
  <c r="B152" i="114" s="1"/>
  <c r="J140" i="114"/>
  <c r="L139" i="114"/>
  <c r="H137" i="114"/>
  <c r="G137" i="114"/>
  <c r="F137" i="114"/>
  <c r="F146" i="114" s="1"/>
  <c r="E137" i="114"/>
  <c r="E146" i="114" s="1"/>
  <c r="B149" i="114" s="1"/>
  <c r="D137" i="114"/>
  <c r="B148" i="114" s="1"/>
  <c r="J136" i="114"/>
  <c r="B154" i="114" s="1"/>
  <c r="J135" i="114"/>
  <c r="B153" i="114"/>
  <c r="J134" i="114"/>
  <c r="J133" i="114"/>
  <c r="B151" i="114"/>
  <c r="J132" i="114"/>
  <c r="J131" i="114"/>
  <c r="C207" i="114"/>
  <c r="C208" i="114" s="1"/>
  <c r="J206" i="114"/>
  <c r="B218" i="114" s="1"/>
  <c r="J205" i="114"/>
  <c r="H204" i="114"/>
  <c r="G204" i="114"/>
  <c r="D204" i="114"/>
  <c r="J203" i="114"/>
  <c r="J204" i="114" s="1"/>
  <c r="H202" i="114"/>
  <c r="G202" i="114"/>
  <c r="J201" i="114"/>
  <c r="J202" i="114" s="1"/>
  <c r="L201" i="114"/>
  <c r="H199" i="114"/>
  <c r="G199" i="114"/>
  <c r="F199" i="114"/>
  <c r="F208" i="114" s="1"/>
  <c r="E199" i="114"/>
  <c r="E208" i="114" s="1"/>
  <c r="B211" i="114" s="1"/>
  <c r="D199" i="114"/>
  <c r="D208" i="114" s="1"/>
  <c r="J198" i="114"/>
  <c r="B216" i="114"/>
  <c r="J197" i="114"/>
  <c r="J196" i="114"/>
  <c r="B214" i="114" s="1"/>
  <c r="J195" i="114"/>
  <c r="B213" i="114" s="1"/>
  <c r="J194" i="114"/>
  <c r="J193" i="114"/>
  <c r="C238" i="114"/>
  <c r="C239" i="114" s="1"/>
  <c r="J237" i="114"/>
  <c r="B249" i="114"/>
  <c r="J236" i="114"/>
  <c r="H235" i="114"/>
  <c r="G235" i="114"/>
  <c r="D235" i="114"/>
  <c r="D239" i="114" s="1"/>
  <c r="J234" i="114"/>
  <c r="J235" i="114" s="1"/>
  <c r="H233" i="114"/>
  <c r="G233" i="114"/>
  <c r="J232" i="114"/>
  <c r="J233" i="114" s="1"/>
  <c r="L232" i="114"/>
  <c r="H230" i="114"/>
  <c r="G230" i="114"/>
  <c r="F230" i="114"/>
  <c r="B243" i="114" s="1"/>
  <c r="E230" i="114"/>
  <c r="E239" i="114" s="1"/>
  <c r="B242" i="114" s="1"/>
  <c r="D230" i="114"/>
  <c r="J229" i="114"/>
  <c r="B247" i="114" s="1"/>
  <c r="J228" i="114"/>
  <c r="B246" i="114" s="1"/>
  <c r="J227" i="114"/>
  <c r="J226" i="114"/>
  <c r="B244" i="114" s="1"/>
  <c r="J225" i="114"/>
  <c r="J224" i="114"/>
  <c r="C269" i="114"/>
  <c r="C270" i="114" s="1"/>
  <c r="J268" i="114"/>
  <c r="B280" i="114"/>
  <c r="J267" i="114"/>
  <c r="J269" i="114" s="1"/>
  <c r="H266" i="114"/>
  <c r="G266" i="114"/>
  <c r="D266" i="114"/>
  <c r="J265" i="114"/>
  <c r="J266" i="114" s="1"/>
  <c r="H264" i="114"/>
  <c r="H270" i="114" s="1"/>
  <c r="G264" i="114"/>
  <c r="J263" i="114"/>
  <c r="J264" i="114" s="1"/>
  <c r="L263" i="114"/>
  <c r="H261" i="114"/>
  <c r="G261" i="114"/>
  <c r="F261" i="114"/>
  <c r="B274" i="114" s="1"/>
  <c r="E261" i="114"/>
  <c r="E270" i="114" s="1"/>
  <c r="B273" i="114" s="1"/>
  <c r="D261" i="114"/>
  <c r="J260" i="114"/>
  <c r="B278" i="114" s="1"/>
  <c r="J259" i="114"/>
  <c r="B277" i="114" s="1"/>
  <c r="J258" i="114"/>
  <c r="J257" i="114"/>
  <c r="B275" i="114" s="1"/>
  <c r="J256" i="114"/>
  <c r="J255" i="114"/>
  <c r="C300" i="114"/>
  <c r="C301" i="114" s="1"/>
  <c r="J299" i="114"/>
  <c r="B311" i="114" s="1"/>
  <c r="J298" i="114"/>
  <c r="B310" i="114" s="1"/>
  <c r="H297" i="114"/>
  <c r="G297" i="114"/>
  <c r="D297" i="114"/>
  <c r="B303" i="114" s="1"/>
  <c r="J296" i="114"/>
  <c r="J297" i="114" s="1"/>
  <c r="H295" i="114"/>
  <c r="G295" i="114"/>
  <c r="J294" i="114"/>
  <c r="J295" i="114" s="1"/>
  <c r="L294" i="114"/>
  <c r="H292" i="114"/>
  <c r="G292" i="114"/>
  <c r="F292" i="114"/>
  <c r="F301" i="114"/>
  <c r="E292" i="114"/>
  <c r="E301" i="114" s="1"/>
  <c r="B304" i="114" s="1"/>
  <c r="D292" i="114"/>
  <c r="J291" i="114"/>
  <c r="B309" i="114" s="1"/>
  <c r="J290" i="114"/>
  <c r="B308" i="114" s="1"/>
  <c r="J289" i="114"/>
  <c r="B307" i="114" s="1"/>
  <c r="J288" i="114"/>
  <c r="B306" i="114" s="1"/>
  <c r="J287" i="114"/>
  <c r="J286" i="114"/>
  <c r="J292" i="114" s="1"/>
  <c r="C331" i="114"/>
  <c r="C332" i="114" s="1"/>
  <c r="J330" i="114"/>
  <c r="B342" i="114" s="1"/>
  <c r="J329" i="114"/>
  <c r="H328" i="114"/>
  <c r="G328" i="114"/>
  <c r="D328" i="114"/>
  <c r="B334" i="114" s="1"/>
  <c r="J327" i="114"/>
  <c r="J328" i="114"/>
  <c r="H326" i="114"/>
  <c r="G326" i="114"/>
  <c r="J325" i="114"/>
  <c r="L325" i="114"/>
  <c r="H323" i="114"/>
  <c r="G323" i="114"/>
  <c r="F323" i="114"/>
  <c r="B336" i="114" s="1"/>
  <c r="E323" i="114"/>
  <c r="E332" i="114" s="1"/>
  <c r="B335" i="114" s="1"/>
  <c r="D323" i="114"/>
  <c r="J322" i="114"/>
  <c r="B340" i="114" s="1"/>
  <c r="J321" i="114"/>
  <c r="B339" i="114" s="1"/>
  <c r="J320" i="114"/>
  <c r="J319" i="114"/>
  <c r="B337" i="114" s="1"/>
  <c r="J318" i="114"/>
  <c r="J317" i="114"/>
  <c r="C363" i="114"/>
  <c r="C364" i="114" s="1"/>
  <c r="J362" i="114"/>
  <c r="B374" i="114" s="1"/>
  <c r="J361" i="114"/>
  <c r="H360" i="114"/>
  <c r="G360" i="114"/>
  <c r="D360" i="114"/>
  <c r="J359" i="114"/>
  <c r="J360" i="114" s="1"/>
  <c r="H358" i="114"/>
  <c r="G358" i="114"/>
  <c r="J357" i="114"/>
  <c r="J358" i="114"/>
  <c r="L357" i="114"/>
  <c r="H355" i="114"/>
  <c r="G355" i="114"/>
  <c r="F355" i="114"/>
  <c r="B368" i="114" s="1"/>
  <c r="E355" i="114"/>
  <c r="E364" i="114"/>
  <c r="B367" i="114" s="1"/>
  <c r="D355" i="114"/>
  <c r="J354" i="114"/>
  <c r="B372" i="114" s="1"/>
  <c r="J353" i="114"/>
  <c r="B371" i="114" s="1"/>
  <c r="J352" i="114"/>
  <c r="J351" i="114"/>
  <c r="B369" i="114" s="1"/>
  <c r="J350" i="114"/>
  <c r="J349" i="114"/>
  <c r="C395" i="114"/>
  <c r="C396" i="114" s="1"/>
  <c r="J394" i="114"/>
  <c r="B406" i="114" s="1"/>
  <c r="J393" i="114"/>
  <c r="H392" i="114"/>
  <c r="G392" i="114"/>
  <c r="D392" i="114"/>
  <c r="J391" i="114"/>
  <c r="J392" i="114" s="1"/>
  <c r="H390" i="114"/>
  <c r="G390" i="114"/>
  <c r="G396" i="114" s="1"/>
  <c r="J389" i="114"/>
  <c r="J390" i="114" s="1"/>
  <c r="L389" i="114"/>
  <c r="H387" i="114"/>
  <c r="G387" i="114"/>
  <c r="F387" i="114"/>
  <c r="B400" i="114" s="1"/>
  <c r="E387" i="114"/>
  <c r="E396" i="114" s="1"/>
  <c r="B399" i="114" s="1"/>
  <c r="D387" i="114"/>
  <c r="D396" i="114" s="1"/>
  <c r="J386" i="114"/>
  <c r="B404" i="114" s="1"/>
  <c r="J385" i="114"/>
  <c r="B403" i="114" s="1"/>
  <c r="J384" i="114"/>
  <c r="J383" i="114"/>
  <c r="B401" i="114" s="1"/>
  <c r="J382" i="114"/>
  <c r="J381" i="114"/>
  <c r="C427" i="114"/>
  <c r="C428" i="114"/>
  <c r="J426" i="114"/>
  <c r="B438" i="114" s="1"/>
  <c r="J425" i="114"/>
  <c r="B437" i="114" s="1"/>
  <c r="H424" i="114"/>
  <c r="G424" i="114"/>
  <c r="D424" i="114"/>
  <c r="J423" i="114"/>
  <c r="J424" i="114" s="1"/>
  <c r="H422" i="114"/>
  <c r="G422" i="114"/>
  <c r="J421" i="114"/>
  <c r="J422" i="114" s="1"/>
  <c r="L421" i="114"/>
  <c r="H419" i="114"/>
  <c r="G419" i="114"/>
  <c r="F419" i="114"/>
  <c r="B432" i="114" s="1"/>
  <c r="E419" i="114"/>
  <c r="E428" i="114" s="1"/>
  <c r="B431" i="114" s="1"/>
  <c r="D419" i="114"/>
  <c r="J418" i="114"/>
  <c r="B436" i="114" s="1"/>
  <c r="J417" i="114"/>
  <c r="B435" i="114"/>
  <c r="J416" i="114"/>
  <c r="J415" i="114"/>
  <c r="J414" i="114"/>
  <c r="J413" i="114"/>
  <c r="L453" i="114"/>
  <c r="C459" i="114"/>
  <c r="C460" i="114" s="1"/>
  <c r="J458" i="114"/>
  <c r="B470" i="114"/>
  <c r="J457" i="114"/>
  <c r="J459" i="114" s="1"/>
  <c r="H456" i="114"/>
  <c r="G456" i="114"/>
  <c r="D456" i="114"/>
  <c r="J455" i="114"/>
  <c r="J456" i="114" s="1"/>
  <c r="H454" i="114"/>
  <c r="G454" i="114"/>
  <c r="J453" i="114"/>
  <c r="J454" i="114" s="1"/>
  <c r="H451" i="114"/>
  <c r="G451" i="114"/>
  <c r="F451" i="114"/>
  <c r="B464" i="114" s="1"/>
  <c r="E451" i="114"/>
  <c r="E460" i="114" s="1"/>
  <c r="B463" i="114" s="1"/>
  <c r="D451" i="114"/>
  <c r="J450" i="114"/>
  <c r="B468" i="114" s="1"/>
  <c r="J449" i="114"/>
  <c r="B467" i="114" s="1"/>
  <c r="J448" i="114"/>
  <c r="B466" i="114" s="1"/>
  <c r="J447" i="114"/>
  <c r="B465" i="114"/>
  <c r="J446" i="114"/>
  <c r="J445" i="114"/>
  <c r="J451" i="114" s="1"/>
  <c r="C491" i="114"/>
  <c r="C492" i="114" s="1"/>
  <c r="J490" i="114"/>
  <c r="B502" i="114" s="1"/>
  <c r="J489" i="114"/>
  <c r="H488" i="114"/>
  <c r="G488" i="114"/>
  <c r="D488" i="114"/>
  <c r="J487" i="114"/>
  <c r="J488" i="114"/>
  <c r="H486" i="114"/>
  <c r="G486" i="114"/>
  <c r="G492" i="114" s="1"/>
  <c r="J485" i="114"/>
  <c r="J486" i="114"/>
  <c r="L485" i="114"/>
  <c r="H483" i="114"/>
  <c r="G483" i="114"/>
  <c r="F483" i="114"/>
  <c r="B496" i="114" s="1"/>
  <c r="E483" i="114"/>
  <c r="E492" i="114" s="1"/>
  <c r="B495" i="114" s="1"/>
  <c r="D483" i="114"/>
  <c r="B494" i="114" s="1"/>
  <c r="J482" i="114"/>
  <c r="B500" i="114"/>
  <c r="J481" i="114"/>
  <c r="B499" i="114" s="1"/>
  <c r="J480" i="114"/>
  <c r="J479" i="114"/>
  <c r="B497" i="114" s="1"/>
  <c r="J478" i="114"/>
  <c r="J477" i="114"/>
  <c r="C523" i="114"/>
  <c r="C524" i="114" s="1"/>
  <c r="J522" i="114"/>
  <c r="B534" i="114" s="1"/>
  <c r="J521" i="114"/>
  <c r="B533" i="114" s="1"/>
  <c r="H520" i="114"/>
  <c r="G520" i="114"/>
  <c r="D520" i="114"/>
  <c r="D524" i="114" s="1"/>
  <c r="J519" i="114"/>
  <c r="J520" i="114" s="1"/>
  <c r="H518" i="114"/>
  <c r="G518" i="114"/>
  <c r="J517" i="114"/>
  <c r="J518" i="114" s="1"/>
  <c r="L517" i="114"/>
  <c r="H515" i="114"/>
  <c r="G515" i="114"/>
  <c r="F515" i="114"/>
  <c r="E515" i="114"/>
  <c r="E524" i="114" s="1"/>
  <c r="B527" i="114" s="1"/>
  <c r="D515" i="114"/>
  <c r="J514" i="114"/>
  <c r="B532" i="114" s="1"/>
  <c r="J513" i="114"/>
  <c r="B531" i="114" s="1"/>
  <c r="J512" i="114"/>
  <c r="B530" i="114" s="1"/>
  <c r="J511" i="114"/>
  <c r="B529" i="114"/>
  <c r="J510" i="114"/>
  <c r="J509" i="114"/>
  <c r="C555" i="114"/>
  <c r="C556" i="114"/>
  <c r="J554" i="114"/>
  <c r="B566" i="114" s="1"/>
  <c r="J553" i="114"/>
  <c r="H552" i="114"/>
  <c r="G552" i="114"/>
  <c r="D552" i="114"/>
  <c r="B558" i="114" s="1"/>
  <c r="J551" i="114"/>
  <c r="J552" i="114" s="1"/>
  <c r="H550" i="114"/>
  <c r="G550" i="114"/>
  <c r="J549" i="114"/>
  <c r="J550" i="114" s="1"/>
  <c r="L549" i="114"/>
  <c r="H547" i="114"/>
  <c r="G547" i="114"/>
  <c r="F547" i="114"/>
  <c r="E547" i="114"/>
  <c r="E556" i="114" s="1"/>
  <c r="B559" i="114" s="1"/>
  <c r="D547" i="114"/>
  <c r="D556" i="114" s="1"/>
  <c r="J546" i="114"/>
  <c r="B564" i="114" s="1"/>
  <c r="J545" i="114"/>
  <c r="B563" i="114" s="1"/>
  <c r="J544" i="114"/>
  <c r="B562" i="114" s="1"/>
  <c r="J543" i="114"/>
  <c r="B561" i="114"/>
  <c r="J542" i="114"/>
  <c r="J541" i="114"/>
  <c r="C587" i="114"/>
  <c r="C588" i="114"/>
  <c r="J586" i="114"/>
  <c r="B598" i="114" s="1"/>
  <c r="J585" i="114"/>
  <c r="H584" i="114"/>
  <c r="G584" i="114"/>
  <c r="D584" i="114"/>
  <c r="J583" i="114"/>
  <c r="J584" i="114" s="1"/>
  <c r="H582" i="114"/>
  <c r="G582" i="114"/>
  <c r="J581" i="114"/>
  <c r="J582" i="114" s="1"/>
  <c r="L581" i="114"/>
  <c r="H579" i="114"/>
  <c r="G579" i="114"/>
  <c r="F579" i="114"/>
  <c r="F588" i="114" s="1"/>
  <c r="E579" i="114"/>
  <c r="E588" i="114" s="1"/>
  <c r="B591" i="114" s="1"/>
  <c r="D579" i="114"/>
  <c r="J578" i="114"/>
  <c r="B596" i="114" s="1"/>
  <c r="J577" i="114"/>
  <c r="B595" i="114" s="1"/>
  <c r="J576" i="114"/>
  <c r="J575" i="114"/>
  <c r="B593" i="114" s="1"/>
  <c r="J574" i="114"/>
  <c r="J573" i="114"/>
  <c r="C619" i="114"/>
  <c r="C620" i="114" s="1"/>
  <c r="J618" i="114"/>
  <c r="B630" i="114"/>
  <c r="J617" i="114"/>
  <c r="H616" i="114"/>
  <c r="G616" i="114"/>
  <c r="D616" i="114"/>
  <c r="J615" i="114"/>
  <c r="H614" i="114"/>
  <c r="G614" i="114"/>
  <c r="J613" i="114"/>
  <c r="J614" i="114" s="1"/>
  <c r="L613" i="114"/>
  <c r="H611" i="114"/>
  <c r="G611" i="114"/>
  <c r="F611" i="114"/>
  <c r="B624" i="114" s="1"/>
  <c r="E611" i="114"/>
  <c r="E620" i="114" s="1"/>
  <c r="B623" i="114" s="1"/>
  <c r="D611" i="114"/>
  <c r="B622" i="114" s="1"/>
  <c r="J610" i="114"/>
  <c r="B628" i="114" s="1"/>
  <c r="J609" i="114"/>
  <c r="B627" i="114" s="1"/>
  <c r="J608" i="114"/>
  <c r="J607" i="114"/>
  <c r="B625" i="114" s="1"/>
  <c r="J606" i="114"/>
  <c r="J605" i="114"/>
  <c r="C650" i="114"/>
  <c r="C651" i="114" s="1"/>
  <c r="J649" i="114"/>
  <c r="B661" i="114" s="1"/>
  <c r="J648" i="114"/>
  <c r="B660" i="114" s="1"/>
  <c r="H647" i="114"/>
  <c r="G647" i="114"/>
  <c r="D647" i="114"/>
  <c r="J646" i="114"/>
  <c r="H645" i="114"/>
  <c r="G645" i="114"/>
  <c r="J644" i="114"/>
  <c r="J645" i="114" s="1"/>
  <c r="L644" i="114"/>
  <c r="H642" i="114"/>
  <c r="G642" i="114"/>
  <c r="F642" i="114"/>
  <c r="F651" i="114" s="1"/>
  <c r="E642" i="114"/>
  <c r="E651" i="114" s="1"/>
  <c r="B654" i="114" s="1"/>
  <c r="D642" i="114"/>
  <c r="D651" i="114" s="1"/>
  <c r="J641" i="114"/>
  <c r="B659" i="114"/>
  <c r="J640" i="114"/>
  <c r="B658" i="114" s="1"/>
  <c r="J639" i="114"/>
  <c r="J638" i="114"/>
  <c r="B656" i="114" s="1"/>
  <c r="J637" i="114"/>
  <c r="J636" i="114"/>
  <c r="J677" i="114"/>
  <c r="J678" i="114" s="1"/>
  <c r="D678" i="114"/>
  <c r="C681" i="114"/>
  <c r="C682" i="114"/>
  <c r="J680" i="114"/>
  <c r="B692" i="114" s="1"/>
  <c r="J679" i="114"/>
  <c r="J681" i="114" s="1"/>
  <c r="H678" i="114"/>
  <c r="G678" i="114"/>
  <c r="H676" i="114"/>
  <c r="G676" i="114"/>
  <c r="J675" i="114"/>
  <c r="J676" i="114" s="1"/>
  <c r="L675" i="114"/>
  <c r="H673" i="114"/>
  <c r="G673" i="114"/>
  <c r="F673" i="114"/>
  <c r="F682" i="114" s="1"/>
  <c r="B686" i="114"/>
  <c r="E673" i="114"/>
  <c r="E682" i="114" s="1"/>
  <c r="B685" i="114" s="1"/>
  <c r="D673" i="114"/>
  <c r="D682" i="114" s="1"/>
  <c r="J672" i="114"/>
  <c r="B690" i="114"/>
  <c r="J671" i="114"/>
  <c r="B689" i="114" s="1"/>
  <c r="J670" i="114"/>
  <c r="J669" i="114"/>
  <c r="B687" i="114" s="1"/>
  <c r="J668" i="114"/>
  <c r="J667" i="114"/>
  <c r="C713" i="114"/>
  <c r="C714" i="114" s="1"/>
  <c r="J712" i="114"/>
  <c r="B724" i="114" s="1"/>
  <c r="J711" i="114"/>
  <c r="J713" i="114" s="1"/>
  <c r="B723" i="114"/>
  <c r="H710" i="114"/>
  <c r="G710" i="114"/>
  <c r="G714" i="114" s="1"/>
  <c r="J709" i="114"/>
  <c r="J710" i="114" s="1"/>
  <c r="H708" i="114"/>
  <c r="G708" i="114"/>
  <c r="J707" i="114"/>
  <c r="J708" i="114" s="1"/>
  <c r="L707" i="114"/>
  <c r="H705" i="114"/>
  <c r="G705" i="114"/>
  <c r="F705" i="114"/>
  <c r="F714" i="114"/>
  <c r="E705" i="114"/>
  <c r="E714" i="114" s="1"/>
  <c r="B717" i="114" s="1"/>
  <c r="D705" i="114"/>
  <c r="J704" i="114"/>
  <c r="B722" i="114" s="1"/>
  <c r="J703" i="114"/>
  <c r="B721" i="114"/>
  <c r="J702" i="114"/>
  <c r="J701" i="114"/>
  <c r="B719" i="114" s="1"/>
  <c r="J700" i="114"/>
  <c r="J699" i="114"/>
  <c r="C745" i="114"/>
  <c r="C746" i="114"/>
  <c r="J744" i="114"/>
  <c r="B756" i="114" s="1"/>
  <c r="J743" i="114"/>
  <c r="J745" i="114" s="1"/>
  <c r="H742" i="114"/>
  <c r="G742" i="114"/>
  <c r="J741" i="114"/>
  <c r="J742" i="114" s="1"/>
  <c r="H740" i="114"/>
  <c r="G740" i="114"/>
  <c r="J739" i="114"/>
  <c r="J740" i="114" s="1"/>
  <c r="L739" i="114"/>
  <c r="H737" i="114"/>
  <c r="G737" i="114"/>
  <c r="F737" i="114"/>
  <c r="B750" i="114" s="1"/>
  <c r="E737" i="114"/>
  <c r="E746" i="114"/>
  <c r="B749" i="114" s="1"/>
  <c r="D737" i="114"/>
  <c r="D746" i="114" s="1"/>
  <c r="J736" i="114"/>
  <c r="B754" i="114" s="1"/>
  <c r="J735" i="114"/>
  <c r="B753" i="114"/>
  <c r="J734" i="114"/>
  <c r="J733" i="114"/>
  <c r="B751" i="114" s="1"/>
  <c r="J732" i="114"/>
  <c r="J731" i="114"/>
  <c r="C776" i="114"/>
  <c r="C777" i="114" s="1"/>
  <c r="J775" i="114"/>
  <c r="B787" i="114" s="1"/>
  <c r="J774" i="114"/>
  <c r="J776" i="114" s="1"/>
  <c r="H773" i="114"/>
  <c r="G773" i="114"/>
  <c r="J772" i="114"/>
  <c r="J773" i="114"/>
  <c r="H771" i="114"/>
  <c r="G771" i="114"/>
  <c r="J770" i="114"/>
  <c r="J771" i="114" s="1"/>
  <c r="L770" i="114"/>
  <c r="H768" i="114"/>
  <c r="G768" i="114"/>
  <c r="F768" i="114"/>
  <c r="F777" i="114" s="1"/>
  <c r="E768" i="114"/>
  <c r="E777" i="114" s="1"/>
  <c r="B780" i="114" s="1"/>
  <c r="D768" i="114"/>
  <c r="B779" i="114" s="1"/>
  <c r="D777" i="114"/>
  <c r="J767" i="114"/>
  <c r="B785" i="114" s="1"/>
  <c r="J766" i="114"/>
  <c r="B784" i="114" s="1"/>
  <c r="J765" i="114"/>
  <c r="J764" i="114"/>
  <c r="B782" i="114" s="1"/>
  <c r="J763" i="114"/>
  <c r="J762" i="114"/>
  <c r="C807" i="114"/>
  <c r="C808" i="114" s="1"/>
  <c r="J806" i="114"/>
  <c r="B818" i="114"/>
  <c r="J805" i="114"/>
  <c r="J807" i="114" s="1"/>
  <c r="B817" i="114"/>
  <c r="H804" i="114"/>
  <c r="G804" i="114"/>
  <c r="J803" i="114"/>
  <c r="J804" i="114" s="1"/>
  <c r="H802" i="114"/>
  <c r="G802" i="114"/>
  <c r="J801" i="114"/>
  <c r="L801" i="114"/>
  <c r="H799" i="114"/>
  <c r="G799" i="114"/>
  <c r="F799" i="114"/>
  <c r="B812" i="114" s="1"/>
  <c r="E799" i="114"/>
  <c r="E808" i="114" s="1"/>
  <c r="B811" i="114" s="1"/>
  <c r="D799" i="114"/>
  <c r="B810" i="114" s="1"/>
  <c r="J798" i="114"/>
  <c r="B816" i="114" s="1"/>
  <c r="J797" i="114"/>
  <c r="B815" i="114" s="1"/>
  <c r="J796" i="114"/>
  <c r="J795" i="114"/>
  <c r="B813" i="114" s="1"/>
  <c r="J794" i="114"/>
  <c r="J793" i="114"/>
  <c r="C838" i="114"/>
  <c r="C839" i="114"/>
  <c r="J837" i="114"/>
  <c r="B849" i="114"/>
  <c r="J836" i="114"/>
  <c r="B848" i="114"/>
  <c r="H835" i="114"/>
  <c r="G835" i="114"/>
  <c r="J834" i="114"/>
  <c r="J835" i="114" s="1"/>
  <c r="H833" i="114"/>
  <c r="G833" i="114"/>
  <c r="J832" i="114"/>
  <c r="J833" i="114" s="1"/>
  <c r="L832" i="114"/>
  <c r="H830" i="114"/>
  <c r="G830" i="114"/>
  <c r="F830" i="114"/>
  <c r="B843" i="114" s="1"/>
  <c r="F839" i="114"/>
  <c r="E830" i="114"/>
  <c r="E839" i="114" s="1"/>
  <c r="B842" i="114" s="1"/>
  <c r="D830" i="114"/>
  <c r="B841" i="114" s="1"/>
  <c r="J829" i="114"/>
  <c r="B847" i="114" s="1"/>
  <c r="J828" i="114"/>
  <c r="B846" i="114" s="1"/>
  <c r="J827" i="114"/>
  <c r="B845" i="114" s="1"/>
  <c r="J826" i="114"/>
  <c r="B844" i="114" s="1"/>
  <c r="J825" i="114"/>
  <c r="J824" i="114"/>
  <c r="C869" i="114"/>
  <c r="C870" i="114" s="1"/>
  <c r="J868" i="114"/>
  <c r="B880" i="114" s="1"/>
  <c r="J867" i="114"/>
  <c r="B879" i="114" s="1"/>
  <c r="H866" i="114"/>
  <c r="G866" i="114"/>
  <c r="J865" i="114"/>
  <c r="J866" i="114" s="1"/>
  <c r="H864" i="114"/>
  <c r="G864" i="114"/>
  <c r="J863" i="114"/>
  <c r="J864" i="114" s="1"/>
  <c r="L863" i="114"/>
  <c r="H861" i="114"/>
  <c r="G861" i="114"/>
  <c r="F861" i="114"/>
  <c r="F870" i="114" s="1"/>
  <c r="B874" i="114"/>
  <c r="E861" i="114"/>
  <c r="E870" i="114" s="1"/>
  <c r="B873" i="114"/>
  <c r="D861" i="114"/>
  <c r="B872" i="114" s="1"/>
  <c r="J860" i="114"/>
  <c r="B878" i="114" s="1"/>
  <c r="J859" i="114"/>
  <c r="B877" i="114" s="1"/>
  <c r="J858" i="114"/>
  <c r="J857" i="114"/>
  <c r="J856" i="114"/>
  <c r="J855" i="114"/>
  <c r="J887" i="114"/>
  <c r="J888" i="114"/>
  <c r="J889" i="114"/>
  <c r="B907" i="114" s="1"/>
  <c r="J890" i="114"/>
  <c r="B908" i="114" s="1"/>
  <c r="C901" i="114"/>
  <c r="C902" i="114"/>
  <c r="J900" i="114"/>
  <c r="B912" i="114" s="1"/>
  <c r="J899" i="114"/>
  <c r="B911" i="114" s="1"/>
  <c r="H898" i="114"/>
  <c r="G898" i="114"/>
  <c r="J897" i="114"/>
  <c r="H896" i="114"/>
  <c r="G896" i="114"/>
  <c r="J895" i="114"/>
  <c r="J896" i="114"/>
  <c r="L895" i="114"/>
  <c r="H893" i="114"/>
  <c r="G893" i="114"/>
  <c r="G902" i="114" s="1"/>
  <c r="F893" i="114"/>
  <c r="B906" i="114" s="1"/>
  <c r="E893" i="114"/>
  <c r="E902" i="114" s="1"/>
  <c r="B905" i="114" s="1"/>
  <c r="D893" i="114"/>
  <c r="B904" i="114" s="1"/>
  <c r="J892" i="114"/>
  <c r="B910" i="114" s="1"/>
  <c r="J891" i="114"/>
  <c r="B909" i="114" s="1"/>
  <c r="C932" i="114"/>
  <c r="C933" i="114" s="1"/>
  <c r="J931" i="114"/>
  <c r="J930" i="114"/>
  <c r="B942" i="114"/>
  <c r="H929" i="114"/>
  <c r="G929" i="114"/>
  <c r="J928" i="114"/>
  <c r="J929" i="114" s="1"/>
  <c r="H927" i="114"/>
  <c r="G927" i="114"/>
  <c r="J926" i="114"/>
  <c r="J927" i="114" s="1"/>
  <c r="L926" i="114"/>
  <c r="H924" i="114"/>
  <c r="G924" i="114"/>
  <c r="F924" i="114"/>
  <c r="B937" i="114" s="1"/>
  <c r="E924" i="114"/>
  <c r="E933" i="114" s="1"/>
  <c r="B936" i="114" s="1"/>
  <c r="D924" i="114"/>
  <c r="D933" i="114" s="1"/>
  <c r="J923" i="114"/>
  <c r="B941" i="114" s="1"/>
  <c r="J922" i="114"/>
  <c r="B940" i="114" s="1"/>
  <c r="J921" i="114"/>
  <c r="B939" i="114" s="1"/>
  <c r="J920" i="114"/>
  <c r="B938" i="114"/>
  <c r="J919" i="114"/>
  <c r="J918" i="114"/>
  <c r="J924" i="114" s="1"/>
  <c r="C964" i="114"/>
  <c r="C965" i="114" s="1"/>
  <c r="J963" i="114"/>
  <c r="B975" i="114" s="1"/>
  <c r="J962" i="114"/>
  <c r="H961" i="114"/>
  <c r="G961" i="114"/>
  <c r="J960" i="114"/>
  <c r="J961" i="114" s="1"/>
  <c r="H959" i="114"/>
  <c r="G959" i="114"/>
  <c r="J958" i="114"/>
  <c r="J959" i="114" s="1"/>
  <c r="L958" i="114"/>
  <c r="H956" i="114"/>
  <c r="G956" i="114"/>
  <c r="F956" i="114"/>
  <c r="B969" i="114" s="1"/>
  <c r="E956" i="114"/>
  <c r="E965" i="114" s="1"/>
  <c r="B968" i="114" s="1"/>
  <c r="D956" i="114"/>
  <c r="D965" i="114" s="1"/>
  <c r="B967" i="114"/>
  <c r="J955" i="114"/>
  <c r="B973" i="114" s="1"/>
  <c r="J954" i="114"/>
  <c r="B972" i="114"/>
  <c r="J953" i="114"/>
  <c r="J952" i="114"/>
  <c r="B970" i="114" s="1"/>
  <c r="J951" i="114"/>
  <c r="J950" i="114"/>
  <c r="C995" i="114"/>
  <c r="C996" i="114"/>
  <c r="J994" i="114"/>
  <c r="B1006" i="114" s="1"/>
  <c r="J993" i="114"/>
  <c r="J995" i="114" s="1"/>
  <c r="H992" i="114"/>
  <c r="G992" i="114"/>
  <c r="J991" i="114"/>
  <c r="J992" i="114" s="1"/>
  <c r="H990" i="114"/>
  <c r="G990" i="114"/>
  <c r="J989" i="114"/>
  <c r="J990" i="114" s="1"/>
  <c r="L989" i="114"/>
  <c r="H987" i="114"/>
  <c r="G987" i="114"/>
  <c r="F987" i="114"/>
  <c r="F996" i="114" s="1"/>
  <c r="E987" i="114"/>
  <c r="E996" i="114" s="1"/>
  <c r="B999" i="114"/>
  <c r="D987" i="114"/>
  <c r="B998" i="114" s="1"/>
  <c r="J986" i="114"/>
  <c r="B1004" i="114" s="1"/>
  <c r="J985" i="114"/>
  <c r="B1003" i="114"/>
  <c r="J984" i="114"/>
  <c r="J983" i="114"/>
  <c r="B1001" i="114" s="1"/>
  <c r="J982" i="114"/>
  <c r="J981" i="114"/>
  <c r="C1026" i="114"/>
  <c r="C1027" i="114"/>
  <c r="J1025" i="114"/>
  <c r="B1037" i="114" s="1"/>
  <c r="J1024" i="114"/>
  <c r="B1036" i="114" s="1"/>
  <c r="H1023" i="114"/>
  <c r="G1023" i="114"/>
  <c r="J1022" i="114"/>
  <c r="J1023" i="114" s="1"/>
  <c r="H1021" i="114"/>
  <c r="G1021" i="114"/>
  <c r="J1020" i="114"/>
  <c r="J1021" i="114"/>
  <c r="L1020" i="114"/>
  <c r="H1018" i="114"/>
  <c r="G1018" i="114"/>
  <c r="G1027" i="114" s="1"/>
  <c r="F1018" i="114"/>
  <c r="F1027" i="114" s="1"/>
  <c r="E1018" i="114"/>
  <c r="E1027" i="114" s="1"/>
  <c r="B1030" i="114" s="1"/>
  <c r="D1018" i="114"/>
  <c r="B1029" i="114" s="1"/>
  <c r="D1027" i="114"/>
  <c r="J1017" i="114"/>
  <c r="B1035" i="114" s="1"/>
  <c r="J1016" i="114"/>
  <c r="B1034" i="114"/>
  <c r="J1015" i="114"/>
  <c r="J1014" i="114"/>
  <c r="B1032" i="114" s="1"/>
  <c r="J1013" i="114"/>
  <c r="J1012" i="114"/>
  <c r="C1058" i="114"/>
  <c r="C1059" i="114"/>
  <c r="J1057" i="114"/>
  <c r="B1069" i="114" s="1"/>
  <c r="J1056" i="114"/>
  <c r="H1055" i="114"/>
  <c r="G1055" i="114"/>
  <c r="J1054" i="114"/>
  <c r="H1053" i="114"/>
  <c r="G1053" i="114"/>
  <c r="J1052" i="114"/>
  <c r="J1053" i="114"/>
  <c r="L1052" i="114"/>
  <c r="H1050" i="114"/>
  <c r="G1050" i="114"/>
  <c r="F1050" i="114"/>
  <c r="E1050" i="114"/>
  <c r="E1059" i="114" s="1"/>
  <c r="B1062" i="114" s="1"/>
  <c r="D1050" i="114"/>
  <c r="B1061" i="114" s="1"/>
  <c r="J1049" i="114"/>
  <c r="J1048" i="114"/>
  <c r="B1066" i="114"/>
  <c r="J1047" i="114"/>
  <c r="B1065" i="114" s="1"/>
  <c r="J1046" i="114"/>
  <c r="B1064" i="114" s="1"/>
  <c r="J1045" i="114"/>
  <c r="J1044" i="114"/>
  <c r="C1091" i="114"/>
  <c r="C1092" i="114"/>
  <c r="J1090" i="114"/>
  <c r="B1102" i="114" s="1"/>
  <c r="J1089" i="114"/>
  <c r="B1101" i="114"/>
  <c r="H1088" i="114"/>
  <c r="G1088" i="114"/>
  <c r="J1087" i="114"/>
  <c r="J1088" i="114" s="1"/>
  <c r="H1086" i="114"/>
  <c r="G1086" i="114"/>
  <c r="J1085" i="114"/>
  <c r="J1086" i="114" s="1"/>
  <c r="L1085" i="114"/>
  <c r="H1083" i="114"/>
  <c r="H1092" i="114" s="1"/>
  <c r="G1083" i="114"/>
  <c r="F1083" i="114"/>
  <c r="B1096" i="114" s="1"/>
  <c r="E1083" i="114"/>
  <c r="E1092" i="114"/>
  <c r="B1095" i="114" s="1"/>
  <c r="D1083" i="114"/>
  <c r="D1092" i="114" s="1"/>
  <c r="J1082" i="114"/>
  <c r="B1100" i="114"/>
  <c r="J1081" i="114"/>
  <c r="B1099" i="114" s="1"/>
  <c r="J1080" i="114"/>
  <c r="J1079" i="114"/>
  <c r="B1097" i="114"/>
  <c r="J1078" i="114"/>
  <c r="J1077" i="114"/>
  <c r="J1083" i="114" s="1"/>
  <c r="C1124" i="114"/>
  <c r="C1125" i="114"/>
  <c r="J1123" i="114"/>
  <c r="B1135" i="114" s="1"/>
  <c r="J1122" i="114"/>
  <c r="B1134" i="114" s="1"/>
  <c r="H1121" i="114"/>
  <c r="G1121" i="114"/>
  <c r="J1120" i="114"/>
  <c r="J1121" i="114"/>
  <c r="H1119" i="114"/>
  <c r="G1119" i="114"/>
  <c r="J1118" i="114"/>
  <c r="J1119" i="114" s="1"/>
  <c r="L1118" i="114"/>
  <c r="H1116" i="114"/>
  <c r="G1116" i="114"/>
  <c r="G1125" i="114" s="1"/>
  <c r="F1116" i="114"/>
  <c r="F1125" i="114" s="1"/>
  <c r="E1116" i="114"/>
  <c r="E1125" i="114" s="1"/>
  <c r="B1128" i="114" s="1"/>
  <c r="D1116" i="114"/>
  <c r="B1127" i="114" s="1"/>
  <c r="J1115" i="114"/>
  <c r="B1133" i="114" s="1"/>
  <c r="J1114" i="114"/>
  <c r="B1132" i="114" s="1"/>
  <c r="J1113" i="114"/>
  <c r="J1112" i="114"/>
  <c r="B1130" i="114" s="1"/>
  <c r="J1111" i="114"/>
  <c r="J1110" i="114"/>
  <c r="C1157" i="114"/>
  <c r="C1158" i="114" s="1"/>
  <c r="J1156" i="114"/>
  <c r="J1157" i="114" s="1"/>
  <c r="B1168" i="114"/>
  <c r="J1155" i="114"/>
  <c r="H1154" i="114"/>
  <c r="G1154" i="114"/>
  <c r="J1153" i="114"/>
  <c r="J1154" i="114" s="1"/>
  <c r="H1152" i="114"/>
  <c r="G1152" i="114"/>
  <c r="J1151" i="114"/>
  <c r="J1152" i="114"/>
  <c r="L1151" i="114"/>
  <c r="H1149" i="114"/>
  <c r="G1149" i="114"/>
  <c r="F1149" i="114"/>
  <c r="E1149" i="114"/>
  <c r="E1158" i="114" s="1"/>
  <c r="B1161" i="114" s="1"/>
  <c r="D1149" i="114"/>
  <c r="B1160" i="114" s="1"/>
  <c r="J1148" i="114"/>
  <c r="B1166" i="114" s="1"/>
  <c r="J1147" i="114"/>
  <c r="B1165" i="114" s="1"/>
  <c r="J1146" i="114"/>
  <c r="B1164" i="114" s="1"/>
  <c r="J1145" i="114"/>
  <c r="J1144" i="114"/>
  <c r="J1143" i="114"/>
  <c r="C1218" i="114"/>
  <c r="C1219" i="114"/>
  <c r="J1217" i="114"/>
  <c r="B1229" i="114" s="1"/>
  <c r="J1216" i="114"/>
  <c r="J1218" i="114" s="1"/>
  <c r="H1215" i="114"/>
  <c r="G1215" i="114"/>
  <c r="J1214" i="114"/>
  <c r="J1215" i="114" s="1"/>
  <c r="H1213" i="114"/>
  <c r="G1213" i="114"/>
  <c r="J1212" i="114"/>
  <c r="J1213" i="114" s="1"/>
  <c r="L1212" i="114"/>
  <c r="H1210" i="114"/>
  <c r="G1210" i="114"/>
  <c r="F1210" i="114"/>
  <c r="B1223" i="114" s="1"/>
  <c r="E1210" i="114"/>
  <c r="E1219" i="114" s="1"/>
  <c r="B1222" i="114" s="1"/>
  <c r="D1210" i="114"/>
  <c r="D1219" i="114"/>
  <c r="J1209" i="114"/>
  <c r="B1227" i="114"/>
  <c r="J1208" i="114"/>
  <c r="B1226" i="114" s="1"/>
  <c r="J1207" i="114"/>
  <c r="J1206" i="114"/>
  <c r="B1224" i="114" s="1"/>
  <c r="J1205" i="114"/>
  <c r="J1204" i="114"/>
  <c r="J1210" i="114" s="1"/>
  <c r="J1235" i="114"/>
  <c r="J1236" i="114"/>
  <c r="J1237" i="114"/>
  <c r="B1255" i="114"/>
  <c r="J1238" i="114"/>
  <c r="J1239" i="114"/>
  <c r="B1257" i="114" s="1"/>
  <c r="J1240" i="114"/>
  <c r="B1258" i="114" s="1"/>
  <c r="D1241" i="114"/>
  <c r="D1250" i="114" s="1"/>
  <c r="E1241" i="114"/>
  <c r="E1250" i="114" s="1"/>
  <c r="B1253" i="114" s="1"/>
  <c r="F1241" i="114"/>
  <c r="G1241" i="114"/>
  <c r="H1241" i="114"/>
  <c r="C1188" i="114"/>
  <c r="C1189" i="114" s="1"/>
  <c r="J1187" i="114"/>
  <c r="B1199" i="114" s="1"/>
  <c r="J1186" i="114"/>
  <c r="B1198" i="114" s="1"/>
  <c r="H1185" i="114"/>
  <c r="G1185" i="114"/>
  <c r="J1184" i="114"/>
  <c r="J1185" i="114" s="1"/>
  <c r="H1183" i="114"/>
  <c r="G1183" i="114"/>
  <c r="J1182" i="114"/>
  <c r="J1183" i="114"/>
  <c r="L1182" i="114"/>
  <c r="H1180" i="114"/>
  <c r="G1180" i="114"/>
  <c r="F1180" i="114"/>
  <c r="B1193" i="114" s="1"/>
  <c r="E1180" i="114"/>
  <c r="E1189" i="114" s="1"/>
  <c r="B1192" i="114"/>
  <c r="D1180" i="114"/>
  <c r="D1189" i="114" s="1"/>
  <c r="J1179" i="114"/>
  <c r="B1197" i="114" s="1"/>
  <c r="J1178" i="114"/>
  <c r="B1196" i="114"/>
  <c r="J1177" i="114"/>
  <c r="J1176" i="114"/>
  <c r="B1194" i="114" s="1"/>
  <c r="J1175" i="114"/>
  <c r="J1174" i="114"/>
  <c r="C1249" i="114"/>
  <c r="C1250" i="114" s="1"/>
  <c r="J1248" i="114"/>
  <c r="B1260" i="114"/>
  <c r="J1247" i="114"/>
  <c r="B1259" i="114" s="1"/>
  <c r="H1246" i="114"/>
  <c r="G1246" i="114"/>
  <c r="J1245" i="114"/>
  <c r="J1246" i="114"/>
  <c r="H1244" i="114"/>
  <c r="G1244" i="114"/>
  <c r="J1243" i="114"/>
  <c r="J1244" i="114" s="1"/>
  <c r="L1243" i="114"/>
  <c r="H1875" i="114"/>
  <c r="C1875" i="114"/>
  <c r="C1876" i="114"/>
  <c r="J1874" i="114"/>
  <c r="B1885" i="114" s="1"/>
  <c r="J1873" i="114"/>
  <c r="J1875" i="114" s="1"/>
  <c r="H1872" i="114"/>
  <c r="G1872" i="114"/>
  <c r="J1871" i="114"/>
  <c r="J1872" i="114" s="1"/>
  <c r="H1870" i="114"/>
  <c r="G1870" i="114"/>
  <c r="J1869" i="114"/>
  <c r="J1870" i="114" s="1"/>
  <c r="L1869" i="114"/>
  <c r="I1867" i="114"/>
  <c r="I1876" i="114" s="1"/>
  <c r="H1867" i="114"/>
  <c r="G1867" i="114"/>
  <c r="E1867" i="114"/>
  <c r="E1876" i="114" s="1"/>
  <c r="B1879" i="114" s="1"/>
  <c r="D1867" i="114"/>
  <c r="D1876" i="114" s="1"/>
  <c r="J1866" i="114"/>
  <c r="B1883" i="114"/>
  <c r="J1865" i="114"/>
  <c r="B1882" i="114"/>
  <c r="J1864" i="114"/>
  <c r="J1863" i="114"/>
  <c r="B1880" i="114"/>
  <c r="J1862" i="114"/>
  <c r="J1861" i="114"/>
  <c r="H1840" i="114"/>
  <c r="C1840" i="114"/>
  <c r="C1841" i="114" s="1"/>
  <c r="J1839" i="114"/>
  <c r="B1850" i="114" s="1"/>
  <c r="J1838" i="114"/>
  <c r="B1849" i="114" s="1"/>
  <c r="H1837" i="114"/>
  <c r="G1837" i="114"/>
  <c r="J1836" i="114"/>
  <c r="J1837" i="114" s="1"/>
  <c r="H1835" i="114"/>
  <c r="G1835" i="114"/>
  <c r="J1834" i="114"/>
  <c r="J1835" i="114" s="1"/>
  <c r="L1834" i="114"/>
  <c r="I1832" i="114"/>
  <c r="I1841" i="114" s="1"/>
  <c r="H1832" i="114"/>
  <c r="G1832" i="114"/>
  <c r="E1832" i="114"/>
  <c r="E1841" i="114" s="1"/>
  <c r="B1844" i="114" s="1"/>
  <c r="D1832" i="114"/>
  <c r="B1843" i="114" s="1"/>
  <c r="J1831" i="114"/>
  <c r="B1848" i="114" s="1"/>
  <c r="J1830" i="114"/>
  <c r="B1847" i="114" s="1"/>
  <c r="J1829" i="114"/>
  <c r="J1828" i="114"/>
  <c r="B1845" i="114"/>
  <c r="J1827" i="114"/>
  <c r="J1826" i="114"/>
  <c r="H1810" i="114"/>
  <c r="C1810" i="114"/>
  <c r="C1811" i="114" s="1"/>
  <c r="J1809" i="114"/>
  <c r="B1820" i="114" s="1"/>
  <c r="J1808" i="114"/>
  <c r="B1819" i="114" s="1"/>
  <c r="H1807" i="114"/>
  <c r="G1807" i="114"/>
  <c r="J1806" i="114"/>
  <c r="J1807" i="114" s="1"/>
  <c r="H1805" i="114"/>
  <c r="G1805" i="114"/>
  <c r="J1804" i="114"/>
  <c r="J1805" i="114" s="1"/>
  <c r="L1804" i="114"/>
  <c r="I1802" i="114"/>
  <c r="I1811" i="114" s="1"/>
  <c r="H1802" i="114"/>
  <c r="G1802" i="114"/>
  <c r="E1802" i="114"/>
  <c r="E1811" i="114" s="1"/>
  <c r="B1814" i="114" s="1"/>
  <c r="D1802" i="114"/>
  <c r="B1813" i="114" s="1"/>
  <c r="J1801" i="114"/>
  <c r="B1818" i="114" s="1"/>
  <c r="J1800" i="114"/>
  <c r="B1817" i="114" s="1"/>
  <c r="J1799" i="114"/>
  <c r="J1798" i="114"/>
  <c r="B1815" i="114"/>
  <c r="J1797" i="114"/>
  <c r="J1796" i="114"/>
  <c r="H1781" i="114"/>
  <c r="C1781" i="114"/>
  <c r="C1782" i="114" s="1"/>
  <c r="J1780" i="114"/>
  <c r="B1791" i="114" s="1"/>
  <c r="J1779" i="114"/>
  <c r="B1790" i="114" s="1"/>
  <c r="H1778" i="114"/>
  <c r="G1778" i="114"/>
  <c r="J1777" i="114"/>
  <c r="J1778" i="114" s="1"/>
  <c r="H1776" i="114"/>
  <c r="G1776" i="114"/>
  <c r="J1775" i="114"/>
  <c r="J1776" i="114" s="1"/>
  <c r="L1775" i="114"/>
  <c r="I1773" i="114"/>
  <c r="I1782" i="114" s="1"/>
  <c r="H1773" i="114"/>
  <c r="G1773" i="114"/>
  <c r="E1773" i="114"/>
  <c r="E1782" i="114" s="1"/>
  <c r="B1785" i="114" s="1"/>
  <c r="D1773" i="114"/>
  <c r="D1782" i="114" s="1"/>
  <c r="J1772" i="114"/>
  <c r="B1789" i="114"/>
  <c r="J1771" i="114"/>
  <c r="J1770" i="114"/>
  <c r="J1769" i="114"/>
  <c r="B1786" i="114" s="1"/>
  <c r="J1768" i="114"/>
  <c r="J1767" i="114"/>
  <c r="H1753" i="114"/>
  <c r="C1753" i="114"/>
  <c r="C1754" i="114"/>
  <c r="J1752" i="114"/>
  <c r="B1763" i="114" s="1"/>
  <c r="J1751" i="114"/>
  <c r="H1750" i="114"/>
  <c r="G1750" i="114"/>
  <c r="J1749" i="114"/>
  <c r="H1748" i="114"/>
  <c r="G1748" i="114"/>
  <c r="G1754" i="114" s="1"/>
  <c r="J1747" i="114"/>
  <c r="J1748" i="114" s="1"/>
  <c r="L1747" i="114"/>
  <c r="I1745" i="114"/>
  <c r="I1754" i="114" s="1"/>
  <c r="H1745" i="114"/>
  <c r="G1745" i="114"/>
  <c r="E1745" i="114"/>
  <c r="E1754" i="114" s="1"/>
  <c r="B1757" i="114" s="1"/>
  <c r="D1745" i="114"/>
  <c r="B1756" i="114" s="1"/>
  <c r="D1754" i="114"/>
  <c r="J1744" i="114"/>
  <c r="B1761" i="114" s="1"/>
  <c r="J1743" i="114"/>
  <c r="B1760" i="114" s="1"/>
  <c r="J1742" i="114"/>
  <c r="J1741" i="114"/>
  <c r="B1758" i="114"/>
  <c r="J1740" i="114"/>
  <c r="J1739" i="114"/>
  <c r="B1734" i="114"/>
  <c r="B1733" i="114"/>
  <c r="B1732" i="114"/>
  <c r="B1731" i="114"/>
  <c r="B1730" i="114"/>
  <c r="B1729" i="114"/>
  <c r="B1728" i="114"/>
  <c r="B1727" i="114"/>
  <c r="L1718" i="114"/>
  <c r="B1704" i="114"/>
  <c r="B1703" i="114"/>
  <c r="B1702" i="114"/>
  <c r="B1701" i="114"/>
  <c r="B1700" i="114"/>
  <c r="B1699" i="114"/>
  <c r="B1698" i="114"/>
  <c r="B1697" i="114"/>
  <c r="L1688" i="114"/>
  <c r="H1666" i="114"/>
  <c r="C1666" i="114"/>
  <c r="C1667" i="114"/>
  <c r="J1665" i="114"/>
  <c r="B1676" i="114" s="1"/>
  <c r="J1664" i="114"/>
  <c r="H1663" i="114"/>
  <c r="G1663" i="114"/>
  <c r="J1662" i="114"/>
  <c r="J1663" i="114" s="1"/>
  <c r="H1661" i="114"/>
  <c r="G1661" i="114"/>
  <c r="J1660" i="114"/>
  <c r="J1661" i="114" s="1"/>
  <c r="L1660" i="114"/>
  <c r="I1658" i="114"/>
  <c r="I1667" i="114" s="1"/>
  <c r="H1658" i="114"/>
  <c r="G1658" i="114"/>
  <c r="E1658" i="114"/>
  <c r="E1667" i="114" s="1"/>
  <c r="B1670" i="114" s="1"/>
  <c r="D1658" i="114"/>
  <c r="J1657" i="114"/>
  <c r="B1674" i="114" s="1"/>
  <c r="J1656" i="114"/>
  <c r="B1673" i="114" s="1"/>
  <c r="J1655" i="114"/>
  <c r="J1654" i="114"/>
  <c r="B1671" i="114" s="1"/>
  <c r="J1653" i="114"/>
  <c r="J1652" i="114"/>
  <c r="H1636" i="114"/>
  <c r="C1636" i="114"/>
  <c r="C1637" i="114" s="1"/>
  <c r="J1635" i="114"/>
  <c r="B1646" i="114" s="1"/>
  <c r="J1634" i="114"/>
  <c r="B1645" i="114" s="1"/>
  <c r="H1633" i="114"/>
  <c r="G1633" i="114"/>
  <c r="J1632" i="114"/>
  <c r="J1633" i="114" s="1"/>
  <c r="H1631" i="114"/>
  <c r="G1631" i="114"/>
  <c r="J1630" i="114"/>
  <c r="J1631" i="114" s="1"/>
  <c r="L1630" i="114"/>
  <c r="I1628" i="114"/>
  <c r="I1637" i="114" s="1"/>
  <c r="H1628" i="114"/>
  <c r="G1628" i="114"/>
  <c r="G1637" i="114" s="1"/>
  <c r="E1628" i="114"/>
  <c r="E1637" i="114" s="1"/>
  <c r="B1640" i="114" s="1"/>
  <c r="D1628" i="114"/>
  <c r="J1627" i="114"/>
  <c r="B1644" i="114" s="1"/>
  <c r="J1626" i="114"/>
  <c r="B1643" i="114" s="1"/>
  <c r="J1625" i="114"/>
  <c r="J1624" i="114"/>
  <c r="B1641" i="114" s="1"/>
  <c r="J1623" i="114"/>
  <c r="J1622" i="114"/>
  <c r="H1607" i="114"/>
  <c r="C1607" i="114"/>
  <c r="C1608" i="114"/>
  <c r="J1606" i="114"/>
  <c r="J1605" i="114"/>
  <c r="J1607" i="114" s="1"/>
  <c r="H1604" i="114"/>
  <c r="G1604" i="114"/>
  <c r="J1603" i="114"/>
  <c r="J1604" i="114" s="1"/>
  <c r="H1602" i="114"/>
  <c r="G1602" i="114"/>
  <c r="J1601" i="114"/>
  <c r="J1602" i="114" s="1"/>
  <c r="L1601" i="114"/>
  <c r="I1599" i="114"/>
  <c r="I1608" i="114" s="1"/>
  <c r="H1599" i="114"/>
  <c r="G1599" i="114"/>
  <c r="E1599" i="114"/>
  <c r="E1608" i="114" s="1"/>
  <c r="B1611" i="114" s="1"/>
  <c r="D1599" i="114"/>
  <c r="B1610" i="114" s="1"/>
  <c r="J1598" i="114"/>
  <c r="B1615" i="114" s="1"/>
  <c r="J1597" i="114"/>
  <c r="B1614" i="114" s="1"/>
  <c r="J1596" i="114"/>
  <c r="J1595" i="114"/>
  <c r="B1612" i="114"/>
  <c r="J1594" i="114"/>
  <c r="J1593" i="114"/>
  <c r="H1578" i="114"/>
  <c r="C1578" i="114"/>
  <c r="C1579" i="114"/>
  <c r="J1577" i="114"/>
  <c r="B1588" i="114" s="1"/>
  <c r="J1576" i="114"/>
  <c r="J1578" i="114"/>
  <c r="H1575" i="114"/>
  <c r="G1575" i="114"/>
  <c r="J1574" i="114"/>
  <c r="J1575" i="114" s="1"/>
  <c r="H1573" i="114"/>
  <c r="G1573" i="114"/>
  <c r="J1572" i="114"/>
  <c r="J1573" i="114" s="1"/>
  <c r="L1572" i="114"/>
  <c r="I1570" i="114"/>
  <c r="I1579" i="114"/>
  <c r="H1570" i="114"/>
  <c r="G1570" i="114"/>
  <c r="E1570" i="114"/>
  <c r="E1579" i="114" s="1"/>
  <c r="B1582" i="114" s="1"/>
  <c r="D1570" i="114"/>
  <c r="B1581" i="114" s="1"/>
  <c r="J1569" i="114"/>
  <c r="B1586" i="114"/>
  <c r="J1568" i="114"/>
  <c r="B1585" i="114" s="1"/>
  <c r="J1567" i="114"/>
  <c r="J1566" i="114"/>
  <c r="B1583" i="114"/>
  <c r="J1565" i="114"/>
  <c r="J1564" i="114"/>
  <c r="H1550" i="114"/>
  <c r="C1550" i="114"/>
  <c r="C1551" i="114"/>
  <c r="J1549" i="114"/>
  <c r="B1560" i="114" s="1"/>
  <c r="J1548" i="114"/>
  <c r="H1547" i="114"/>
  <c r="G1547" i="114"/>
  <c r="J1546" i="114"/>
  <c r="J1547" i="114"/>
  <c r="H1545" i="114"/>
  <c r="G1545" i="114"/>
  <c r="J1544" i="114"/>
  <c r="J1545" i="114" s="1"/>
  <c r="L1544" i="114"/>
  <c r="I1542" i="114"/>
  <c r="I1551" i="114" s="1"/>
  <c r="H1542" i="114"/>
  <c r="G1542" i="114"/>
  <c r="E1542" i="114"/>
  <c r="E1551" i="114" s="1"/>
  <c r="B1554" i="114" s="1"/>
  <c r="D1542" i="114"/>
  <c r="J1541" i="114"/>
  <c r="B1558" i="114" s="1"/>
  <c r="J1540" i="114"/>
  <c r="B1557" i="114" s="1"/>
  <c r="J1539" i="114"/>
  <c r="B1556" i="114" s="1"/>
  <c r="J1538" i="114"/>
  <c r="B1555" i="114" s="1"/>
  <c r="J1537" i="114"/>
  <c r="J1536" i="114"/>
  <c r="H1520" i="114"/>
  <c r="C1520" i="114"/>
  <c r="C1521" i="114" s="1"/>
  <c r="J1519" i="114"/>
  <c r="B1530" i="114" s="1"/>
  <c r="J1518" i="114"/>
  <c r="B1529" i="114" s="1"/>
  <c r="H1517" i="114"/>
  <c r="G1517" i="114"/>
  <c r="J1516" i="114"/>
  <c r="J1517" i="114"/>
  <c r="H1515" i="114"/>
  <c r="G1515" i="114"/>
  <c r="J1514" i="114"/>
  <c r="J1515" i="114" s="1"/>
  <c r="L1514" i="114"/>
  <c r="I1512" i="114"/>
  <c r="I1521" i="114" s="1"/>
  <c r="H1512" i="114"/>
  <c r="G1512" i="114"/>
  <c r="E1512" i="114"/>
  <c r="E1521" i="114" s="1"/>
  <c r="B1524" i="114" s="1"/>
  <c r="D1512" i="114"/>
  <c r="D1521" i="114" s="1"/>
  <c r="B1523" i="114"/>
  <c r="J1511" i="114"/>
  <c r="B1528" i="114"/>
  <c r="J1510" i="114"/>
  <c r="B1527" i="114" s="1"/>
  <c r="J1509" i="114"/>
  <c r="J1508" i="114"/>
  <c r="B1525" i="114" s="1"/>
  <c r="J1507" i="114"/>
  <c r="J1506" i="114"/>
  <c r="H1491" i="114"/>
  <c r="C1491" i="114"/>
  <c r="C1492" i="114" s="1"/>
  <c r="J1490" i="114"/>
  <c r="B1501" i="114" s="1"/>
  <c r="J1489" i="114"/>
  <c r="B1500" i="114" s="1"/>
  <c r="H1488" i="114"/>
  <c r="G1488" i="114"/>
  <c r="G1492" i="114" s="1"/>
  <c r="J1487" i="114"/>
  <c r="J1488" i="114" s="1"/>
  <c r="H1486" i="114"/>
  <c r="G1486" i="114"/>
  <c r="J1485" i="114"/>
  <c r="L1485" i="114"/>
  <c r="I1483" i="114"/>
  <c r="I1492" i="114" s="1"/>
  <c r="H1483" i="114"/>
  <c r="G1483" i="114"/>
  <c r="E1483" i="114"/>
  <c r="E1492" i="114" s="1"/>
  <c r="B1495" i="114" s="1"/>
  <c r="D1483" i="114"/>
  <c r="D1492" i="114" s="1"/>
  <c r="J1482" i="114"/>
  <c r="B1499" i="114"/>
  <c r="J1481" i="114"/>
  <c r="B1498" i="114" s="1"/>
  <c r="J1480" i="114"/>
  <c r="B1497" i="114" s="1"/>
  <c r="J1479" i="114"/>
  <c r="B1496" i="114" s="1"/>
  <c r="J1478" i="114"/>
  <c r="J1477" i="114"/>
  <c r="H1462" i="114"/>
  <c r="C1462" i="114"/>
  <c r="C1463" i="114"/>
  <c r="J1461" i="114"/>
  <c r="B1472" i="114" s="1"/>
  <c r="J1460" i="114"/>
  <c r="J1462" i="114" s="1"/>
  <c r="B1471" i="114"/>
  <c r="H1459" i="114"/>
  <c r="G1459" i="114"/>
  <c r="J1458" i="114"/>
  <c r="J1459" i="114" s="1"/>
  <c r="H1457" i="114"/>
  <c r="G1457" i="114"/>
  <c r="J1456" i="114"/>
  <c r="J1457" i="114" s="1"/>
  <c r="L1456" i="114"/>
  <c r="I1454" i="114"/>
  <c r="I1463" i="114" s="1"/>
  <c r="H1454" i="114"/>
  <c r="G1454" i="114"/>
  <c r="G1463" i="114" s="1"/>
  <c r="E1454" i="114"/>
  <c r="E1463" i="114" s="1"/>
  <c r="B1466" i="114" s="1"/>
  <c r="D1454" i="114"/>
  <c r="B1465" i="114" s="1"/>
  <c r="D1463" i="114"/>
  <c r="J1453" i="114"/>
  <c r="B1470" i="114" s="1"/>
  <c r="J1452" i="114"/>
  <c r="B1469" i="114" s="1"/>
  <c r="J1451" i="114"/>
  <c r="J1450" i="114"/>
  <c r="B1467" i="114" s="1"/>
  <c r="J1449" i="114"/>
  <c r="J1448" i="114"/>
  <c r="J1454" i="114" s="1"/>
  <c r="C1433" i="114"/>
  <c r="C1434" i="114"/>
  <c r="J1432" i="114"/>
  <c r="B1443" i="114" s="1"/>
  <c r="J1431" i="114"/>
  <c r="B1442" i="114" s="1"/>
  <c r="H1430" i="114"/>
  <c r="G1430" i="114"/>
  <c r="J1429" i="114"/>
  <c r="J1430" i="114" s="1"/>
  <c r="H1428" i="114"/>
  <c r="G1428" i="114"/>
  <c r="J1427" i="114"/>
  <c r="J1428" i="114"/>
  <c r="L1427" i="114"/>
  <c r="H1425" i="114"/>
  <c r="G1425" i="114"/>
  <c r="G1434" i="114" s="1"/>
  <c r="E1425" i="114"/>
  <c r="E1434" i="114" s="1"/>
  <c r="B1437" i="114" s="1"/>
  <c r="D1425" i="114"/>
  <c r="D1434" i="114" s="1"/>
  <c r="J1424" i="114"/>
  <c r="B1441" i="114" s="1"/>
  <c r="J1423" i="114"/>
  <c r="B1440" i="114" s="1"/>
  <c r="J1422" i="114"/>
  <c r="J1421" i="114"/>
  <c r="B1438" i="114"/>
  <c r="J1420" i="114"/>
  <c r="J1419" i="114"/>
  <c r="C1404" i="114"/>
  <c r="C1405" i="114" s="1"/>
  <c r="J1403" i="114"/>
  <c r="B1414" i="114"/>
  <c r="J1402" i="114"/>
  <c r="J1404" i="114" s="1"/>
  <c r="H1401" i="114"/>
  <c r="G1401" i="114"/>
  <c r="J1400" i="114"/>
  <c r="H1399" i="114"/>
  <c r="G1399" i="114"/>
  <c r="J1398" i="114"/>
  <c r="J1399" i="114" s="1"/>
  <c r="L1398" i="114"/>
  <c r="H1396" i="114"/>
  <c r="G1396" i="114"/>
  <c r="E1396" i="114"/>
  <c r="E1405" i="114"/>
  <c r="B1408" i="114" s="1"/>
  <c r="D1396" i="114"/>
  <c r="J1395" i="114"/>
  <c r="B1412" i="114"/>
  <c r="J1394" i="114"/>
  <c r="B1411" i="114" s="1"/>
  <c r="J1393" i="114"/>
  <c r="J1392" i="114"/>
  <c r="J1391" i="114"/>
  <c r="J1390" i="114"/>
  <c r="C1374" i="114"/>
  <c r="C1375" i="114" s="1"/>
  <c r="J1373" i="114"/>
  <c r="J1372" i="114"/>
  <c r="B1384" i="114"/>
  <c r="H1371" i="114"/>
  <c r="G1371" i="114"/>
  <c r="J1370" i="114"/>
  <c r="J1371" i="114" s="1"/>
  <c r="H1369" i="114"/>
  <c r="G1369" i="114"/>
  <c r="J1368" i="114"/>
  <c r="J1369" i="114" s="1"/>
  <c r="L1368" i="114"/>
  <c r="H1366" i="114"/>
  <c r="G1366" i="114"/>
  <c r="E1366" i="114"/>
  <c r="E1375" i="114" s="1"/>
  <c r="B1378" i="114"/>
  <c r="D1366" i="114"/>
  <c r="D1375" i="114" s="1"/>
  <c r="J1365" i="114"/>
  <c r="B1383" i="114" s="1"/>
  <c r="J1364" i="114"/>
  <c r="B1382" i="114" s="1"/>
  <c r="J1363" i="114"/>
  <c r="J1362" i="114"/>
  <c r="B1380" i="114" s="1"/>
  <c r="J1361" i="114"/>
  <c r="J1360" i="114"/>
  <c r="C1344" i="114"/>
  <c r="C1345" i="114" s="1"/>
  <c r="J1343" i="114"/>
  <c r="B1355" i="114" s="1"/>
  <c r="J1342" i="114"/>
  <c r="H1341" i="114"/>
  <c r="G1341" i="114"/>
  <c r="J1340" i="114"/>
  <c r="J1341" i="114" s="1"/>
  <c r="H1339" i="114"/>
  <c r="G1339" i="114"/>
  <c r="J1338" i="114"/>
  <c r="J1339" i="114" s="1"/>
  <c r="L1338" i="114"/>
  <c r="H1336" i="114"/>
  <c r="G1336" i="114"/>
  <c r="E1336" i="114"/>
  <c r="E1345" i="114" s="1"/>
  <c r="B1348" i="114" s="1"/>
  <c r="D1336" i="114"/>
  <c r="D1345" i="114" s="1"/>
  <c r="J1335" i="114"/>
  <c r="B1353" i="114" s="1"/>
  <c r="J1334" i="114"/>
  <c r="B1352" i="114"/>
  <c r="J1333" i="114"/>
  <c r="J1332" i="114"/>
  <c r="B1350" i="114"/>
  <c r="J1331" i="114"/>
  <c r="J1330" i="114"/>
  <c r="C1314" i="114"/>
  <c r="C1315" i="114"/>
  <c r="J1313" i="114"/>
  <c r="B1325" i="114" s="1"/>
  <c r="J1312" i="114"/>
  <c r="B1324" i="114" s="1"/>
  <c r="H1311" i="114"/>
  <c r="G1311" i="114"/>
  <c r="J1310" i="114"/>
  <c r="J1311" i="114" s="1"/>
  <c r="H1309" i="114"/>
  <c r="H1315" i="114" s="1"/>
  <c r="G1309" i="114"/>
  <c r="J1308" i="114"/>
  <c r="J1309" i="114"/>
  <c r="L1308" i="114"/>
  <c r="H1306" i="114"/>
  <c r="G1306" i="114"/>
  <c r="E1306" i="114"/>
  <c r="E1315" i="114" s="1"/>
  <c r="B1318" i="114" s="1"/>
  <c r="D1306" i="114"/>
  <c r="B1317" i="114" s="1"/>
  <c r="J1305" i="114"/>
  <c r="B1323" i="114" s="1"/>
  <c r="J1304" i="114"/>
  <c r="B1322" i="114" s="1"/>
  <c r="J1303" i="114"/>
  <c r="J1302" i="114"/>
  <c r="B1320" i="114"/>
  <c r="J1301" i="114"/>
  <c r="J1300" i="114"/>
  <c r="C1281" i="114"/>
  <c r="C1282" i="114" s="1"/>
  <c r="J1280" i="114"/>
  <c r="J1279" i="114"/>
  <c r="B1291" i="114" s="1"/>
  <c r="H1278" i="114"/>
  <c r="G1278" i="114"/>
  <c r="J1277" i="114"/>
  <c r="J1278" i="114" s="1"/>
  <c r="H1276" i="114"/>
  <c r="G1276" i="114"/>
  <c r="G1282" i="114" s="1"/>
  <c r="J1275" i="114"/>
  <c r="J1276" i="114" s="1"/>
  <c r="L1275" i="114"/>
  <c r="H1273" i="114"/>
  <c r="G1273" i="114"/>
  <c r="E1273" i="114"/>
  <c r="E1282" i="114"/>
  <c r="B1285" i="114" s="1"/>
  <c r="D1273" i="114"/>
  <c r="B1284" i="114" s="1"/>
  <c r="J1272" i="114"/>
  <c r="B1290" i="114" s="1"/>
  <c r="J1271" i="114"/>
  <c r="B1289" i="114"/>
  <c r="J1270" i="114"/>
  <c r="J1269" i="114"/>
  <c r="B1287" i="114"/>
  <c r="J1268" i="114"/>
  <c r="J1267" i="114"/>
  <c r="B212" i="114"/>
  <c r="F428" i="114"/>
  <c r="D492" i="114"/>
  <c r="D1608" i="114"/>
  <c r="B748" i="114"/>
  <c r="G332" i="114"/>
  <c r="B217" i="114"/>
  <c r="B1067" i="114"/>
  <c r="F1219" i="114"/>
  <c r="J1055" i="114"/>
  <c r="B1292" i="114"/>
  <c r="D902" i="114"/>
  <c r="D808" i="114"/>
  <c r="H1189" i="114"/>
  <c r="B305" i="114"/>
  <c r="B1129" i="114"/>
  <c r="B1221" i="114"/>
  <c r="D301" i="114"/>
  <c r="B684" i="114"/>
  <c r="B1410" i="114"/>
  <c r="D1315" i="114"/>
  <c r="B1784" i="114"/>
  <c r="D1125" i="114"/>
  <c r="J1401" i="114"/>
  <c r="B1409" i="114"/>
  <c r="J1281" i="114"/>
  <c r="B183" i="114"/>
  <c r="F396" i="114"/>
  <c r="J427" i="114"/>
  <c r="J1249" i="114"/>
  <c r="B718" i="114"/>
  <c r="D1579" i="114"/>
  <c r="J898" i="114"/>
  <c r="J1486" i="114"/>
  <c r="J1091" i="114"/>
  <c r="B1878" i="114"/>
  <c r="F1189" i="114"/>
  <c r="B629" i="114"/>
  <c r="J619" i="114"/>
  <c r="B430" i="114"/>
  <c r="D146" i="114"/>
  <c r="B1167" i="114"/>
  <c r="J869" i="114"/>
  <c r="B1559" i="114"/>
  <c r="J1550" i="114"/>
  <c r="D364" i="114"/>
  <c r="B366" i="114"/>
  <c r="J331" i="114"/>
  <c r="B341" i="114"/>
  <c r="J1753" i="114"/>
  <c r="J491" i="114"/>
  <c r="B501" i="114"/>
  <c r="B215" i="114"/>
  <c r="B1587" i="114"/>
  <c r="B1617" i="114"/>
  <c r="B1762" i="114"/>
  <c r="B1788" i="114"/>
  <c r="B974" i="114"/>
  <c r="J802" i="114"/>
  <c r="B597" i="114"/>
  <c r="F332" i="114"/>
  <c r="B850" i="114" l="1"/>
  <c r="D870" i="114"/>
  <c r="J1433" i="114"/>
  <c r="B245" i="114"/>
  <c r="J145" i="114"/>
  <c r="J1092" i="114"/>
  <c r="B1584" i="114"/>
  <c r="B1589" i="114" s="1"/>
  <c r="G870" i="114"/>
  <c r="J387" i="114"/>
  <c r="H208" i="114"/>
  <c r="J1520" i="114"/>
  <c r="B653" i="114"/>
  <c r="D1282" i="114"/>
  <c r="G1375" i="114"/>
  <c r="B1672" i="114"/>
  <c r="H1027" i="114"/>
  <c r="H870" i="114"/>
  <c r="F620" i="114"/>
  <c r="H524" i="114"/>
  <c r="D1059" i="114"/>
  <c r="H1492" i="114"/>
  <c r="B1613" i="114"/>
  <c r="G1841" i="114"/>
  <c r="G1219" i="114"/>
  <c r="B1098" i="114"/>
  <c r="H933" i="114"/>
  <c r="B592" i="114"/>
  <c r="J555" i="114"/>
  <c r="D428" i="114"/>
  <c r="J238" i="114"/>
  <c r="E115" i="114"/>
  <c r="B118" i="114" s="1"/>
  <c r="G208" i="114"/>
  <c r="B186" i="114"/>
  <c r="H1463" i="114"/>
  <c r="G1059" i="114"/>
  <c r="D460" i="114"/>
  <c r="G1315" i="114"/>
  <c r="J1483" i="114"/>
  <c r="H1811" i="114"/>
  <c r="J956" i="114"/>
  <c r="B876" i="114"/>
  <c r="G556" i="114"/>
  <c r="C115" i="114"/>
  <c r="J1781" i="114"/>
  <c r="B1191" i="114"/>
  <c r="J1542" i="114"/>
  <c r="J1551" i="114" s="1"/>
  <c r="G1092" i="114"/>
  <c r="B783" i="114"/>
  <c r="B752" i="114"/>
  <c r="H556" i="114"/>
  <c r="H492" i="114"/>
  <c r="G177" i="114"/>
  <c r="B121" i="114"/>
  <c r="B1468" i="114"/>
  <c r="B1473" i="114" s="1"/>
  <c r="B498" i="114"/>
  <c r="B1787" i="114"/>
  <c r="B1792" i="114" s="1"/>
  <c r="B626" i="114"/>
  <c r="B631" i="114" s="1"/>
  <c r="B124" i="114"/>
  <c r="B1131" i="114"/>
  <c r="B1136" i="114" s="1"/>
  <c r="H1250" i="114"/>
  <c r="B1225" i="114"/>
  <c r="G839" i="114"/>
  <c r="H115" i="114"/>
  <c r="D839" i="114"/>
  <c r="H1551" i="114"/>
  <c r="J1512" i="114"/>
  <c r="J1521" i="114" s="1"/>
  <c r="H965" i="114"/>
  <c r="H746" i="114"/>
  <c r="J673" i="114"/>
  <c r="F492" i="114"/>
  <c r="G1345" i="114"/>
  <c r="H902" i="114"/>
  <c r="J642" i="114"/>
  <c r="G620" i="114"/>
  <c r="D1158" i="114"/>
  <c r="B1526" i="114"/>
  <c r="B1531" i="114" s="1"/>
  <c r="G996" i="114"/>
  <c r="B971" i="114"/>
  <c r="B814" i="114"/>
  <c r="J547" i="114"/>
  <c r="J556" i="114" s="1"/>
  <c r="G460" i="114"/>
  <c r="G301" i="114"/>
  <c r="J111" i="114"/>
  <c r="B976" i="114"/>
  <c r="J460" i="114"/>
  <c r="J1018" i="114"/>
  <c r="B1230" i="114"/>
  <c r="J861" i="114"/>
  <c r="J870" i="114" s="1"/>
  <c r="J579" i="114"/>
  <c r="J588" i="114" s="1"/>
  <c r="J323" i="114"/>
  <c r="B150" i="114"/>
  <c r="B157" i="114" s="1"/>
  <c r="D1841" i="114"/>
  <c r="B1347" i="114"/>
  <c r="B1377" i="114"/>
  <c r="J1599" i="114"/>
  <c r="J1608" i="114" s="1"/>
  <c r="B1705" i="114"/>
  <c r="H1754" i="114"/>
  <c r="H1841" i="114"/>
  <c r="J1180" i="114"/>
  <c r="D996" i="114"/>
  <c r="F902" i="114"/>
  <c r="J830" i="114"/>
  <c r="J838" i="114"/>
  <c r="B819" i="114"/>
  <c r="J616" i="114"/>
  <c r="B469" i="114"/>
  <c r="B279" i="114"/>
  <c r="B241" i="114"/>
  <c r="J137" i="114"/>
  <c r="G115" i="114"/>
  <c r="F239" i="114"/>
  <c r="J230" i="114"/>
  <c r="J239" i="114" s="1"/>
  <c r="J1124" i="114"/>
  <c r="J1336" i="114"/>
  <c r="H1434" i="114"/>
  <c r="J1491" i="114"/>
  <c r="J1492" i="114" s="1"/>
  <c r="G1876" i="114"/>
  <c r="J1241" i="114"/>
  <c r="J1250" i="114" s="1"/>
  <c r="B1228" i="114"/>
  <c r="G933" i="114"/>
  <c r="H682" i="114"/>
  <c r="J611" i="114"/>
  <c r="J620" i="114" s="1"/>
  <c r="D620" i="114"/>
  <c r="H588" i="114"/>
  <c r="J523" i="114"/>
  <c r="J524" i="114" s="1"/>
  <c r="H460" i="114"/>
  <c r="J108" i="114"/>
  <c r="H1521" i="114"/>
  <c r="B655" i="114"/>
  <c r="H1345" i="114"/>
  <c r="B1735" i="114"/>
  <c r="B1256" i="114"/>
  <c r="F1092" i="114"/>
  <c r="B1033" i="114"/>
  <c r="B1000" i="114"/>
  <c r="B1007" i="114" s="1"/>
  <c r="B1005" i="114"/>
  <c r="G965" i="114"/>
  <c r="B691" i="114"/>
  <c r="B398" i="114"/>
  <c r="H332" i="114"/>
  <c r="J168" i="114"/>
  <c r="J177" i="114" s="1"/>
  <c r="F115" i="114"/>
  <c r="J1314" i="114"/>
  <c r="J1026" i="114"/>
  <c r="H1375" i="114"/>
  <c r="G1521" i="114"/>
  <c r="J1628" i="114"/>
  <c r="J1637" i="114" s="1"/>
  <c r="J1745" i="114"/>
  <c r="H651" i="114"/>
  <c r="B503" i="114"/>
  <c r="B1288" i="114"/>
  <c r="B1293" i="114" s="1"/>
  <c r="B1436" i="114"/>
  <c r="J1273" i="114"/>
  <c r="J1282" i="114" s="1"/>
  <c r="J1396" i="114"/>
  <c r="J1405" i="114" s="1"/>
  <c r="H1876" i="114"/>
  <c r="H1125" i="114"/>
  <c r="B781" i="114"/>
  <c r="B786" i="114"/>
  <c r="B720" i="114"/>
  <c r="H620" i="114"/>
  <c r="G588" i="114"/>
  <c r="H146" i="114"/>
  <c r="J1188" i="114"/>
  <c r="F933" i="114"/>
  <c r="B1351" i="114"/>
  <c r="J1570" i="114"/>
  <c r="J1579" i="114" s="1"/>
  <c r="H1579" i="114"/>
  <c r="G1189" i="114"/>
  <c r="B1002" i="114"/>
  <c r="G682" i="114"/>
  <c r="J515" i="114"/>
  <c r="B276" i="114"/>
  <c r="G239" i="114"/>
  <c r="J199" i="114"/>
  <c r="J105" i="114"/>
  <c r="J650" i="114"/>
  <c r="B526" i="114"/>
  <c r="J964" i="114"/>
  <c r="J965" i="114" s="1"/>
  <c r="J1636" i="114"/>
  <c r="B462" i="114"/>
  <c r="B471" i="114" s="1"/>
  <c r="G1608" i="114"/>
  <c r="B1642" i="114"/>
  <c r="H1782" i="114"/>
  <c r="G1158" i="114"/>
  <c r="G746" i="114"/>
  <c r="G651" i="114"/>
  <c r="J587" i="114"/>
  <c r="H396" i="114"/>
  <c r="G364" i="114"/>
  <c r="H239" i="114"/>
  <c r="B913" i="114"/>
  <c r="B594" i="114"/>
  <c r="B1031" i="114"/>
  <c r="F460" i="114"/>
  <c r="F965" i="114"/>
  <c r="G1551" i="114"/>
  <c r="H1059" i="114"/>
  <c r="H777" i="114"/>
  <c r="H714" i="114"/>
  <c r="J355" i="114"/>
  <c r="H364" i="114"/>
  <c r="H177" i="114"/>
  <c r="J987" i="114"/>
  <c r="J996" i="114" s="1"/>
  <c r="F270" i="114"/>
  <c r="B1616" i="114"/>
  <c r="B1618" i="114" s="1"/>
  <c r="H1637" i="114"/>
  <c r="G1811" i="114"/>
  <c r="J1867" i="114"/>
  <c r="J1876" i="114" s="1"/>
  <c r="B875" i="114"/>
  <c r="J737" i="114"/>
  <c r="J746" i="114" s="1"/>
  <c r="F746" i="114"/>
  <c r="B755" i="114"/>
  <c r="B757" i="114" s="1"/>
  <c r="B565" i="114"/>
  <c r="G428" i="114"/>
  <c r="B312" i="114"/>
  <c r="J1345" i="114"/>
  <c r="B1851" i="114"/>
  <c r="B535" i="114"/>
  <c r="J1463" i="114"/>
  <c r="D714" i="114"/>
  <c r="B716" i="114"/>
  <c r="B1675" i="114"/>
  <c r="J1666" i="114"/>
  <c r="J1832" i="114"/>
  <c r="J1840" i="114"/>
  <c r="H1219" i="114"/>
  <c r="F1158" i="114"/>
  <c r="B1162" i="114"/>
  <c r="B1169" i="114" s="1"/>
  <c r="B1063" i="114"/>
  <c r="F1059" i="114"/>
  <c r="B943" i="114"/>
  <c r="J932" i="114"/>
  <c r="J933" i="114" s="1"/>
  <c r="G808" i="114"/>
  <c r="B688" i="114"/>
  <c r="B693" i="114" s="1"/>
  <c r="J207" i="114"/>
  <c r="B117" i="114"/>
  <c r="D115" i="114"/>
  <c r="D332" i="114"/>
  <c r="J682" i="114"/>
  <c r="B1094" i="114"/>
  <c r="B1103" i="114" s="1"/>
  <c r="J1306" i="114"/>
  <c r="B1321" i="114"/>
  <c r="B1326" i="114" s="1"/>
  <c r="F524" i="114"/>
  <c r="B528" i="114"/>
  <c r="B1407" i="114"/>
  <c r="D1405" i="114"/>
  <c r="G524" i="114"/>
  <c r="J1116" i="114"/>
  <c r="B434" i="114"/>
  <c r="B179" i="114"/>
  <c r="B188" i="114" s="1"/>
  <c r="J1366" i="114"/>
  <c r="J326" i="114"/>
  <c r="J332" i="114" s="1"/>
  <c r="B338" i="114"/>
  <c r="B343" i="114" s="1"/>
  <c r="B1881" i="114"/>
  <c r="H1667" i="114"/>
  <c r="G1782" i="114"/>
  <c r="H1158" i="114"/>
  <c r="H996" i="114"/>
  <c r="J483" i="114"/>
  <c r="J492" i="114" s="1"/>
  <c r="D1551" i="114"/>
  <c r="B1553" i="114"/>
  <c r="B1561" i="114" s="1"/>
  <c r="J363" i="114"/>
  <c r="B373" i="114"/>
  <c r="B1669" i="114"/>
  <c r="B1677" i="114" s="1"/>
  <c r="D1667" i="114"/>
  <c r="B657" i="114"/>
  <c r="J647" i="114"/>
  <c r="J651" i="114" s="1"/>
  <c r="J300" i="114"/>
  <c r="J301" i="114" s="1"/>
  <c r="J1658" i="114"/>
  <c r="J1058" i="114"/>
  <c r="B1068" i="114"/>
  <c r="B590" i="114"/>
  <c r="D588" i="114"/>
  <c r="B402" i="114"/>
  <c r="H1405" i="114"/>
  <c r="B1639" i="114"/>
  <c r="B1647" i="114" s="1"/>
  <c r="D1637" i="114"/>
  <c r="H808" i="114"/>
  <c r="G270" i="114"/>
  <c r="B1413" i="114"/>
  <c r="B1195" i="114"/>
  <c r="J799" i="114"/>
  <c r="J808" i="114" s="1"/>
  <c r="J705" i="114"/>
  <c r="J714" i="114" s="1"/>
  <c r="H428" i="114"/>
  <c r="J146" i="114"/>
  <c r="G1250" i="114"/>
  <c r="B1759" i="114"/>
  <c r="B1764" i="114" s="1"/>
  <c r="J1750" i="114"/>
  <c r="J1754" i="114" s="1"/>
  <c r="B1254" i="114"/>
  <c r="F1250" i="114"/>
  <c r="B1354" i="114"/>
  <c r="J1344" i="114"/>
  <c r="J1219" i="114"/>
  <c r="B272" i="114"/>
  <c r="D270" i="114"/>
  <c r="G1405" i="114"/>
  <c r="H1608" i="114"/>
  <c r="H1282" i="114"/>
  <c r="G1667" i="114"/>
  <c r="H301" i="114"/>
  <c r="B1494" i="114"/>
  <c r="B1502" i="114" s="1"/>
  <c r="J1810" i="114"/>
  <c r="J901" i="114"/>
  <c r="B1381" i="114"/>
  <c r="J1027" i="114"/>
  <c r="B1846" i="114"/>
  <c r="B1163" i="114"/>
  <c r="J1149" i="114"/>
  <c r="J1158" i="114" s="1"/>
  <c r="J1050" i="114"/>
  <c r="J1059" i="114" s="1"/>
  <c r="J768" i="114"/>
  <c r="J777" i="114" s="1"/>
  <c r="B567" i="114"/>
  <c r="B405" i="114"/>
  <c r="J395" i="114"/>
  <c r="G146" i="114"/>
  <c r="J261" i="114"/>
  <c r="J270" i="114" s="1"/>
  <c r="J1773" i="114"/>
  <c r="B1816" i="114"/>
  <c r="B1821" i="114" s="1"/>
  <c r="J1802" i="114"/>
  <c r="H839" i="114"/>
  <c r="B370" i="114"/>
  <c r="B1385" i="114"/>
  <c r="J1374" i="114"/>
  <c r="F808" i="114"/>
  <c r="J1425" i="114"/>
  <c r="J1434" i="114" s="1"/>
  <c r="B1439" i="114"/>
  <c r="B1444" i="114" s="1"/>
  <c r="G1579" i="114"/>
  <c r="B1884" i="114"/>
  <c r="B935" i="114"/>
  <c r="G777" i="114"/>
  <c r="F556" i="114"/>
  <c r="B560" i="114"/>
  <c r="B433" i="114"/>
  <c r="J419" i="114"/>
  <c r="J428" i="114" s="1"/>
  <c r="B210" i="114"/>
  <c r="B219" i="114" s="1"/>
  <c r="I115" i="114"/>
  <c r="B1252" i="114"/>
  <c r="J893" i="114"/>
  <c r="D1811" i="114"/>
  <c r="F364" i="114"/>
  <c r="B248" i="114"/>
  <c r="B375" i="114" l="1"/>
  <c r="J208" i="114"/>
  <c r="B788" i="114"/>
  <c r="J1189" i="114"/>
  <c r="J1782" i="114"/>
  <c r="B439" i="114"/>
  <c r="B599" i="114"/>
  <c r="B1200" i="114"/>
  <c r="B725" i="114"/>
  <c r="B662" i="114"/>
  <c r="B881" i="114"/>
  <c r="B1386" i="114"/>
  <c r="B126" i="114"/>
  <c r="B281" i="114"/>
  <c r="B1356" i="114"/>
  <c r="B1886" i="114"/>
  <c r="J902" i="114"/>
  <c r="J396" i="114"/>
  <c r="J1315" i="114"/>
  <c r="B1070" i="114"/>
  <c r="B407" i="114"/>
  <c r="J364" i="114"/>
  <c r="J1125" i="114"/>
  <c r="B1038" i="114"/>
  <c r="J115" i="114"/>
  <c r="B250" i="114"/>
  <c r="J1667" i="114"/>
  <c r="B1415" i="114"/>
  <c r="J839" i="114"/>
  <c r="J1375" i="114"/>
  <c r="J1811" i="114"/>
  <c r="B944" i="114"/>
  <c r="J1841" i="114"/>
  <c r="B1261" i="1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Monolo Cinzia</author>
  </authors>
  <commentList>
    <comment ref="C16" authorId="0" shapeId="0" xr:uid="{887420CF-4470-4178-8A47-3BB09525158C}">
      <text>
        <r>
          <rPr>
            <b/>
            <sz val="9"/>
            <color indexed="81"/>
            <rFont val="Tahoma"/>
            <family val="2"/>
          </rPr>
          <t>Monolo Cinzia:</t>
        </r>
        <r>
          <rPr>
            <sz val="9"/>
            <color indexed="81"/>
            <rFont val="Tahoma"/>
            <family val="2"/>
          </rPr>
          <t xml:space="preserve">
Da gestire manualmente perché non gestiti da sistema
</t>
        </r>
      </text>
    </comment>
  </commentList>
</comments>
</file>

<file path=xl/sharedStrings.xml><?xml version="1.0" encoding="utf-8"?>
<sst xmlns="http://schemas.openxmlformats.org/spreadsheetml/2006/main" count="44192" uniqueCount="5101">
  <si>
    <t>Il Sole 24 Ore S.p.A.</t>
  </si>
  <si>
    <t>F</t>
  </si>
  <si>
    <t>Totale complessivo</t>
  </si>
  <si>
    <t>Quotidiano</t>
  </si>
  <si>
    <t>(Tutto)</t>
  </si>
  <si>
    <t>M</t>
  </si>
  <si>
    <t>Giornalisti</t>
  </si>
  <si>
    <t>24 Ore Cultura S.r.l.</t>
  </si>
  <si>
    <t>Grafici</t>
  </si>
  <si>
    <t>Totale</t>
  </si>
  <si>
    <t>Commercio</t>
  </si>
  <si>
    <t>RCO+</t>
  </si>
  <si>
    <t>Televisivi</t>
  </si>
  <si>
    <t>Poligrafici</t>
  </si>
  <si>
    <t>Radiofonici</t>
  </si>
  <si>
    <t>Dirigenti</t>
  </si>
  <si>
    <t>Esteri</t>
  </si>
  <si>
    <t>Società</t>
  </si>
  <si>
    <t>Contratto</t>
  </si>
  <si>
    <t>Praticanti</t>
  </si>
  <si>
    <t>Quadri</t>
  </si>
  <si>
    <t>Impieg</t>
  </si>
  <si>
    <t>Operai</t>
  </si>
  <si>
    <t>gio</t>
  </si>
  <si>
    <t>quotidiano</t>
  </si>
  <si>
    <t>rco+</t>
  </si>
  <si>
    <t>radio24</t>
  </si>
  <si>
    <t>redazioneIL</t>
  </si>
  <si>
    <t>HTS</t>
  </si>
  <si>
    <t>Totale Sole</t>
  </si>
  <si>
    <t>enel</t>
  </si>
  <si>
    <t>Totale 24 Ore Cultura</t>
  </si>
  <si>
    <t>UK  e  USA</t>
  </si>
  <si>
    <t>Estero</t>
  </si>
  <si>
    <t>Totale Altre Società</t>
  </si>
  <si>
    <t>TOTALE GRUPPO</t>
  </si>
  <si>
    <t>gruppo</t>
  </si>
  <si>
    <t>Di cui Dirigenti</t>
  </si>
  <si>
    <t>Di cui Giornalisti</t>
  </si>
  <si>
    <t>Di cui Poligrafici</t>
  </si>
  <si>
    <t>Di cui Grafici</t>
  </si>
  <si>
    <t>Di cui Televisivi</t>
  </si>
  <si>
    <t>Di cui Radiofonici</t>
  </si>
  <si>
    <t>Di cui Commercio</t>
  </si>
  <si>
    <t>Di cui Estero</t>
  </si>
  <si>
    <t>Codice azienda</t>
  </si>
  <si>
    <t>Descrizione qualifica</t>
  </si>
  <si>
    <t>Descrizione livello</t>
  </si>
  <si>
    <t>IMPIEGATO      I</t>
  </si>
  <si>
    <t>GIORNALISTA    G</t>
  </si>
  <si>
    <t xml:space="preserve">AV VICE DIRETTORE             </t>
  </si>
  <si>
    <t xml:space="preserve">CR CAPO REDATTORE             </t>
  </si>
  <si>
    <t>QUADRO         F</t>
  </si>
  <si>
    <t xml:space="preserve">CS CAPO SERVIZIO              </t>
  </si>
  <si>
    <t xml:space="preserve">CSV VICE CAPO SERVIZIO        </t>
  </si>
  <si>
    <t xml:space="preserve">RM2 REDATTORE MAGG. 30 MM     </t>
  </si>
  <si>
    <t xml:space="preserve">CRV VICE CAPO REDATTORE       </t>
  </si>
  <si>
    <t xml:space="preserve">T1 COLLABORATORE FISSO 8      </t>
  </si>
  <si>
    <t>DIRIGENTE      D</t>
  </si>
  <si>
    <t xml:space="preserve">RE REDATTORE ESPERTO          </t>
  </si>
  <si>
    <t xml:space="preserve">A DIRETTORE                   </t>
  </si>
  <si>
    <t>Azienda</t>
  </si>
  <si>
    <t>Sesso</t>
  </si>
  <si>
    <t>Codice struttura - livello 2</t>
  </si>
  <si>
    <t>Descrizione struttura - livello 2</t>
  </si>
  <si>
    <t>Descrizione sede</t>
  </si>
  <si>
    <t>Codice contratto</t>
  </si>
  <si>
    <t>Descrizione contratto</t>
  </si>
  <si>
    <t>Descrizione struttura - livello 3</t>
  </si>
  <si>
    <t>PERSONALE GIORNALISTI, RADIO E CULTURA</t>
  </si>
  <si>
    <t>PIAZZA INDIPENDENZA 23 B/C - ROMA (RM)</t>
  </si>
  <si>
    <t>85</t>
  </si>
  <si>
    <t>85_GIORNALISTI      086</t>
  </si>
  <si>
    <t>VIA SOLTERI 38 - TRENTO (TN)</t>
  </si>
  <si>
    <t xml:space="preserve">K03 </t>
  </si>
  <si>
    <t>QUOTIDIANO</t>
  </si>
  <si>
    <t>VICE DIRETTORI</t>
  </si>
  <si>
    <t>DIRETTORE</t>
  </si>
  <si>
    <t>VIA ALESSANDRO VOLTA 44 - PALERMO (PA)</t>
  </si>
  <si>
    <t>REDAZIONI ITALIA</t>
  </si>
  <si>
    <t>VIALE IV NOVEMBRE 6 - GENOVA (GE)</t>
  </si>
  <si>
    <t>GRAFICI</t>
  </si>
  <si>
    <t>FINANZA E MERCATI</t>
  </si>
  <si>
    <t>LUNEDI</t>
  </si>
  <si>
    <t>DOMENICA</t>
  </si>
  <si>
    <t>ECONOMIA E IMPRESE</t>
  </si>
  <si>
    <t>IMPRESA E TERRITORI</t>
  </si>
  <si>
    <t>INVIATI</t>
  </si>
  <si>
    <t>NORME E TRIBUTI</t>
  </si>
  <si>
    <t>RAPPORTI24</t>
  </si>
  <si>
    <t>ESTERI EUROPA-MONDO</t>
  </si>
  <si>
    <t>PLUS24</t>
  </si>
  <si>
    <t>CAPOREDAZIONE</t>
  </si>
  <si>
    <t>COMMENTI E INCHIESTE</t>
  </si>
  <si>
    <t>MODA24</t>
  </si>
  <si>
    <t>CASA24 PLUS</t>
  </si>
  <si>
    <t>REDAZIONI ESTERE</t>
  </si>
  <si>
    <t>NOVA24</t>
  </si>
  <si>
    <t>REDAZIONE ROMA</t>
  </si>
  <si>
    <t>ONLINE</t>
  </si>
  <si>
    <t>RADIO 24</t>
  </si>
  <si>
    <t>HOW TO SPEND IT</t>
  </si>
  <si>
    <t>Conteggio di Codice Fiscale</t>
  </si>
  <si>
    <t>24 Ore Cultura srl</t>
  </si>
  <si>
    <t>ENEL</t>
  </si>
  <si>
    <t>Il Sole 24 Ore Eventi S.r.l.</t>
  </si>
  <si>
    <t>Totale Il Sole 24 Ore Eventi S.r.l.</t>
  </si>
  <si>
    <t>Il Sole 24 Ore Eventi srl</t>
  </si>
  <si>
    <t>Ticket 24 Ore Srl - chiusa il 29/02/20</t>
  </si>
  <si>
    <t>dir-vdir 7</t>
  </si>
  <si>
    <t>DATO AL 31/01/2021</t>
  </si>
  <si>
    <t>DATO AL 28/02/2021</t>
  </si>
  <si>
    <t>DATO AL 31/03/2021</t>
  </si>
  <si>
    <t>-Gentili/MarinoC</t>
  </si>
  <si>
    <t>VIALE SARCA 223 - MILANO (MI)</t>
  </si>
  <si>
    <t>DATO AL 30/04/2021</t>
  </si>
  <si>
    <t>-Furbesco, MilanoF</t>
  </si>
  <si>
    <t>DATO AL 31/05/2021</t>
  </si>
  <si>
    <t>DATO AL 30/06/2021</t>
  </si>
  <si>
    <t>Furbesco</t>
  </si>
  <si>
    <t>Milano F</t>
  </si>
  <si>
    <t>VIA TORTONA 56 - MILANO (MI)</t>
  </si>
  <si>
    <t>DATO AL 31/08/2021</t>
  </si>
  <si>
    <t>DATO AL 31/07/2021</t>
  </si>
  <si>
    <t>Codice dipendente</t>
  </si>
  <si>
    <t>Codice struttura - livello 1</t>
  </si>
  <si>
    <t>Descrizione struttura - livello 1</t>
  </si>
  <si>
    <t>Codice centro di costo</t>
  </si>
  <si>
    <t>Descrizione centro di costo</t>
  </si>
  <si>
    <t>Cognome</t>
  </si>
  <si>
    <t>Nome</t>
  </si>
  <si>
    <t>Codice Fiscale</t>
  </si>
  <si>
    <t>Codice sede</t>
  </si>
  <si>
    <t>Comune sede</t>
  </si>
  <si>
    <t>Codice livello</t>
  </si>
  <si>
    <t>Data assunzione</t>
  </si>
  <si>
    <t>Data di assunzione nel gruppo</t>
  </si>
  <si>
    <t>Data di nascita</t>
  </si>
  <si>
    <t>Codice posizione lavorativa</t>
  </si>
  <si>
    <t>Descrizione posizione lavorativa</t>
  </si>
  <si>
    <t>Descrizione causale assunzione</t>
  </si>
  <si>
    <t>Data scadenza posizione lavorativa</t>
  </si>
  <si>
    <t>Tipologia Contratto a Termine</t>
  </si>
  <si>
    <t>Data Scadenza Contratto a Termine</t>
  </si>
  <si>
    <t>Data cessazione</t>
  </si>
  <si>
    <t>Matricola</t>
  </si>
  <si>
    <t>Codice part-time</t>
  </si>
  <si>
    <t>300 - % Ptime</t>
  </si>
  <si>
    <t>Descrizione part-time</t>
  </si>
  <si>
    <t>Data decorrenza part-time</t>
  </si>
  <si>
    <t>Data scadenza part-time</t>
  </si>
  <si>
    <t>Codice categoria protetta</t>
  </si>
  <si>
    <t>Descrizione Categoria Protetta</t>
  </si>
  <si>
    <t>Azienda di provenienza</t>
  </si>
  <si>
    <t>Sindacato</t>
  </si>
  <si>
    <t>INDIRIZZO EMAIL</t>
  </si>
  <si>
    <t>0005-Timbra/Firma</t>
  </si>
  <si>
    <t>Descrizione 0005-Timbra/Firma</t>
  </si>
  <si>
    <t>0015-Tipo orario</t>
  </si>
  <si>
    <t>Descrizione 0015-Tipo orario</t>
  </si>
  <si>
    <t>Data decorrenza smart working</t>
  </si>
  <si>
    <t>Descrizione tipologia smart working</t>
  </si>
  <si>
    <t>Data scadenza smart working</t>
  </si>
  <si>
    <t>Primo responsabile</t>
  </si>
  <si>
    <t>Descrizione primo responsabile</t>
  </si>
  <si>
    <t xml:space="preserve">IL SOLE 24 ORE S.P.A.                   </t>
  </si>
  <si>
    <t xml:space="preserve">A           </t>
  </si>
  <si>
    <t>CORPORATE</t>
  </si>
  <si>
    <t xml:space="preserve">CRISTINA          </t>
  </si>
  <si>
    <t xml:space="preserve">MILANO                 </t>
  </si>
  <si>
    <t xml:space="preserve">A  </t>
  </si>
  <si>
    <t xml:space="preserve">A LIV. IMPIEGATO              </t>
  </si>
  <si>
    <t>A</t>
  </si>
  <si>
    <t>A.IN FORZA</t>
  </si>
  <si>
    <t>1  -ASSUNZIONE                1</t>
  </si>
  <si>
    <t xml:space="preserve"> </t>
  </si>
  <si>
    <t>FULL TIME      100000000FF100-FULL TIME</t>
  </si>
  <si>
    <t xml:space="preserve">  </t>
  </si>
  <si>
    <t xml:space="preserve">EV  </t>
  </si>
  <si>
    <t>F-FIRMA</t>
  </si>
  <si>
    <t>1=5 X 8</t>
  </si>
  <si>
    <t xml:space="preserve">A04 </t>
  </si>
  <si>
    <t>INTERNAL AUDITING</t>
  </si>
  <si>
    <t>016100   INTERNAL AUDITING</t>
  </si>
  <si>
    <t xml:space="preserve">AS </t>
  </si>
  <si>
    <t xml:space="preserve">AS LIV. IMPIEGATO             </t>
  </si>
  <si>
    <t xml:space="preserve">CLAUDIO           </t>
  </si>
  <si>
    <t xml:space="preserve">D  </t>
  </si>
  <si>
    <t xml:space="preserve">DIRIGENTE INDUSTRIA           </t>
  </si>
  <si>
    <t xml:space="preserve">DD  </t>
  </si>
  <si>
    <t>E</t>
  </si>
  <si>
    <t>E-ESENTE</t>
  </si>
  <si>
    <t xml:space="preserve">B           </t>
  </si>
  <si>
    <t xml:space="preserve">Q12000      </t>
  </si>
  <si>
    <t>Q12000   ALTA FREQUENZA</t>
  </si>
  <si>
    <t xml:space="preserve">AGNELLI                         </t>
  </si>
  <si>
    <t xml:space="preserve">ROBERTA           </t>
  </si>
  <si>
    <t>GNLRRT77P64M102F</t>
  </si>
  <si>
    <t>RR</t>
  </si>
  <si>
    <t xml:space="preserve">4^  LIV. IMPIEGATO            </t>
  </si>
  <si>
    <t xml:space="preserve">RN  </t>
  </si>
  <si>
    <t xml:space="preserve">roberta.agnelli@radio24.it                        </t>
  </si>
  <si>
    <t xml:space="preserve">ARBULLA                         </t>
  </si>
  <si>
    <t xml:space="preserve">DARIO             </t>
  </si>
  <si>
    <t>RBLDRA61D28F205N</t>
  </si>
  <si>
    <t xml:space="preserve">6Q </t>
  </si>
  <si>
    <t xml:space="preserve">6Q LIV. QUADRO                </t>
  </si>
  <si>
    <t>NON ISCRITTO       NON ISCRITTO</t>
  </si>
  <si>
    <t xml:space="preserve">dario.arbulla@radio24.it                          </t>
  </si>
  <si>
    <t xml:space="preserve">FRANCO            </t>
  </si>
  <si>
    <t>C.I.S.L.           C.I.S.L</t>
  </si>
  <si>
    <t xml:space="preserve">ZELLINO                         </t>
  </si>
  <si>
    <t xml:space="preserve">SIMONA            </t>
  </si>
  <si>
    <t>ZLLSMN69A46F205Y</t>
  </si>
  <si>
    <t>30 H O GRA/RADI075000000PP30.0/40- PT 75.00-P</t>
  </si>
  <si>
    <t xml:space="preserve">simona.zellino@radio24.it                         </t>
  </si>
  <si>
    <t xml:space="preserve">Q13000      </t>
  </si>
  <si>
    <t>Q13000   BASSA FREQUENZA</t>
  </si>
  <si>
    <t xml:space="preserve">ALICINO                         </t>
  </si>
  <si>
    <t xml:space="preserve">DANILO            </t>
  </si>
  <si>
    <t>LCNDNL65C25F205T</t>
  </si>
  <si>
    <t xml:space="preserve">5^  LIV. IMPIEGATO            </t>
  </si>
  <si>
    <t xml:space="preserve">danilo.alicino@radio24.it                         </t>
  </si>
  <si>
    <t xml:space="preserve">FORTUNATI                       </t>
  </si>
  <si>
    <t xml:space="preserve">SANDRO            </t>
  </si>
  <si>
    <t>FRTSDR66H30F205V</t>
  </si>
  <si>
    <t xml:space="preserve">sandro.fortunati@radio24.it                       </t>
  </si>
  <si>
    <t xml:space="preserve">Q1400001    </t>
  </si>
  <si>
    <t>Q1400001   SERVIZI RADIOFONICI</t>
  </si>
  <si>
    <t xml:space="preserve">FABIO                           </t>
  </si>
  <si>
    <t xml:space="preserve">GIUSEPPE          </t>
  </si>
  <si>
    <t>FBAGPP64C08F205B</t>
  </si>
  <si>
    <t xml:space="preserve">2^  LIV. IMPIEGATO            </t>
  </si>
  <si>
    <t>INVALIDI CIVILI</t>
  </si>
  <si>
    <t>C.G.I.L.           C.G.I.L</t>
  </si>
  <si>
    <t>T</t>
  </si>
  <si>
    <t>T-TIMBRA</t>
  </si>
  <si>
    <t>SCOTTI GUIDO</t>
  </si>
  <si>
    <t xml:space="preserve">MADINI                          </t>
  </si>
  <si>
    <t xml:space="preserve">DONATELLA         </t>
  </si>
  <si>
    <t>MDNDTL67B59F205K</t>
  </si>
  <si>
    <t xml:space="preserve">3^  LIV. IMPIEGATO            </t>
  </si>
  <si>
    <t>U.I.L.             U.I.L</t>
  </si>
  <si>
    <t xml:space="preserve">donatella.madini@radio24.it                       </t>
  </si>
  <si>
    <t xml:space="preserve">MAZZA                           </t>
  </si>
  <si>
    <t xml:space="preserve">EMANUELA          </t>
  </si>
  <si>
    <t>MZZMNL73C65H501R</t>
  </si>
  <si>
    <t xml:space="preserve">ROMA                   </t>
  </si>
  <si>
    <t xml:space="preserve">emanuela.mazza@radio24.it                         </t>
  </si>
  <si>
    <t xml:space="preserve">MERATI                          </t>
  </si>
  <si>
    <t>MRTMNL72L60A940S</t>
  </si>
  <si>
    <t xml:space="preserve">emanuela.merati@radio24.it                        </t>
  </si>
  <si>
    <t>TEMPO DETERMINATO</t>
  </si>
  <si>
    <t xml:space="preserve">Q16000      </t>
  </si>
  <si>
    <t>Q16000   PRODUZIONE PROGRAMMI RADIO</t>
  </si>
  <si>
    <t xml:space="preserve">LUCA              </t>
  </si>
  <si>
    <t xml:space="preserve">DE LUCA                         </t>
  </si>
  <si>
    <t xml:space="preserve">GIORGIO           </t>
  </si>
  <si>
    <t>DLCGRG83C01F839O</t>
  </si>
  <si>
    <t xml:space="preserve">giorgio.deluca@radio24.it                         </t>
  </si>
  <si>
    <t xml:space="preserve">DEFRANCHI                       </t>
  </si>
  <si>
    <t xml:space="preserve">JACOPO            </t>
  </si>
  <si>
    <t>DFRJCP96E28E463C</t>
  </si>
  <si>
    <t>1C-ASSUNZIONE CONTR. A TERMINE1</t>
  </si>
  <si>
    <t>D</t>
  </si>
  <si>
    <t xml:space="preserve">jacopo.defranchi@radio24.it                       </t>
  </si>
  <si>
    <t xml:space="preserve">FAGGIN                          </t>
  </si>
  <si>
    <t xml:space="preserve">LAURA             </t>
  </si>
  <si>
    <t>FGGLRA78S59D325L</t>
  </si>
  <si>
    <t xml:space="preserve">laura.faggin@radio24.it                           </t>
  </si>
  <si>
    <t xml:space="preserve">FUSCONI                         </t>
  </si>
  <si>
    <t xml:space="preserve">ELISABETTA        </t>
  </si>
  <si>
    <t>FSCLBT74E67F205M</t>
  </si>
  <si>
    <t xml:space="preserve">elisabetta.fusconi@radio24.it                     </t>
  </si>
  <si>
    <t xml:space="preserve">LOMBARDO                        </t>
  </si>
  <si>
    <t xml:space="preserve">MARCO             </t>
  </si>
  <si>
    <t>LMBMRC85M21F335G</t>
  </si>
  <si>
    <t xml:space="preserve">marco.lombardo@radio24.it                         </t>
  </si>
  <si>
    <t xml:space="preserve">ALESSANDRO        </t>
  </si>
  <si>
    <t xml:space="preserve">LORENZI                         </t>
  </si>
  <si>
    <t xml:space="preserve">SILVIO            </t>
  </si>
  <si>
    <t>LRNSLV74E28F205C</t>
  </si>
  <si>
    <t xml:space="preserve">silvio.lorenzi@radio24.it                         </t>
  </si>
  <si>
    <t xml:space="preserve">LUCHETTI                        </t>
  </si>
  <si>
    <t xml:space="preserve">MIRIAM            </t>
  </si>
  <si>
    <t>LCHMRM84A52B639Z</t>
  </si>
  <si>
    <t xml:space="preserve">miriam.luchetti@radio24.it                        </t>
  </si>
  <si>
    <t xml:space="preserve">MARCOTULLI                      </t>
  </si>
  <si>
    <t>MRCLSN72D07H501J</t>
  </si>
  <si>
    <t xml:space="preserve">alessandro.marcotulli@radio24.it                  </t>
  </si>
  <si>
    <t xml:space="preserve">NESPOLI                         </t>
  </si>
  <si>
    <t xml:space="preserve">LORENZO           </t>
  </si>
  <si>
    <t>NSPLNZ85S28B639M</t>
  </si>
  <si>
    <t xml:space="preserve">lorenzo.nespoli@radio24.it                        </t>
  </si>
  <si>
    <t>5=6 X 6,66</t>
  </si>
  <si>
    <t xml:space="preserve">PANIZZA ARIOTTI                 </t>
  </si>
  <si>
    <t xml:space="preserve">ANITA AURELIA     </t>
  </si>
  <si>
    <t>PNZNRL77E67L219J</t>
  </si>
  <si>
    <t xml:space="preserve">anita.panizza@radio24.it                          </t>
  </si>
  <si>
    <t xml:space="preserve">POLI                            </t>
  </si>
  <si>
    <t xml:space="preserve">RICCARDO          </t>
  </si>
  <si>
    <t>PLORCR82T24L949L</t>
  </si>
  <si>
    <t xml:space="preserve">riccardo.poli@radio24.it                          </t>
  </si>
  <si>
    <t xml:space="preserve">RAMELLI                         </t>
  </si>
  <si>
    <t xml:space="preserve">MATTEO            </t>
  </si>
  <si>
    <t>RMLMTT89L11C751W</t>
  </si>
  <si>
    <t xml:space="preserve">THOMAS            </t>
  </si>
  <si>
    <t xml:space="preserve">SANTORO                         </t>
  </si>
  <si>
    <t>SNTMRC93C14A489I</t>
  </si>
  <si>
    <t xml:space="preserve">marco.santoro@radio24.it                          </t>
  </si>
  <si>
    <t xml:space="preserve">SCHIATTONE                      </t>
  </si>
  <si>
    <t xml:space="preserve">CLAUDIA           </t>
  </si>
  <si>
    <t>SCHCLD89P61C136T</t>
  </si>
  <si>
    <t xml:space="preserve">claudia.schiattone@radio24.it                     </t>
  </si>
  <si>
    <t xml:space="preserve">SCHIRANO                        </t>
  </si>
  <si>
    <t>SCHLSN89A10L049F</t>
  </si>
  <si>
    <t>1S-ASSUNZIONE STABILIZZAZIONE 1S</t>
  </si>
  <si>
    <t xml:space="preserve">alessandro.schirano@radio24.it                    </t>
  </si>
  <si>
    <t xml:space="preserve">SCOTTI                          </t>
  </si>
  <si>
    <t xml:space="preserve">GUIDO             </t>
  </si>
  <si>
    <t>SCTGDU74L24F704Y</t>
  </si>
  <si>
    <t xml:space="preserve">guido.scotti@radio24.it                           </t>
  </si>
  <si>
    <t xml:space="preserve">SPECIALE                        </t>
  </si>
  <si>
    <t xml:space="preserve">LUIGI             </t>
  </si>
  <si>
    <t>SPCLGU76D05G273Q</t>
  </si>
  <si>
    <t xml:space="preserve">luigi.speciale@radio24.it                         </t>
  </si>
  <si>
    <t xml:space="preserve">TERNULLO                        </t>
  </si>
  <si>
    <t xml:space="preserve">VALENTINA         </t>
  </si>
  <si>
    <t>TRNVNT82T56E281B</t>
  </si>
  <si>
    <t xml:space="preserve">valentina.ternullo@radio24.it                     </t>
  </si>
  <si>
    <t xml:space="preserve">VANOSSI                         </t>
  </si>
  <si>
    <t>VNSLRA79C51B639A</t>
  </si>
  <si>
    <t xml:space="preserve">laura.vanossi@radio24.it                          </t>
  </si>
  <si>
    <t xml:space="preserve">Q18000      </t>
  </si>
  <si>
    <t>Q18000   TECNICI DI REGIA</t>
  </si>
  <si>
    <t xml:space="preserve">AUREGGI                         </t>
  </si>
  <si>
    <t xml:space="preserve">FILIPPO           </t>
  </si>
  <si>
    <t>RGGFPP72A12F205X</t>
  </si>
  <si>
    <t xml:space="preserve">filippo.aureggi@radio24.it                        </t>
  </si>
  <si>
    <t>PREVIATO MICHELE</t>
  </si>
  <si>
    <t xml:space="preserve">BERNARDI                        </t>
  </si>
  <si>
    <t xml:space="preserve">VALERIA           </t>
  </si>
  <si>
    <t>BRNVLR76L58H501U</t>
  </si>
  <si>
    <t xml:space="preserve">valeria.bernardi@radio24.it                       </t>
  </si>
  <si>
    <t xml:space="preserve">CHIAPPINI                       </t>
  </si>
  <si>
    <t>CHPLSN75A27A132X</t>
  </si>
  <si>
    <t xml:space="preserve">alessandro.chiappini@radio24.it                   </t>
  </si>
  <si>
    <t xml:space="preserve">CORLEONI                        </t>
  </si>
  <si>
    <t xml:space="preserve">PAOLO             </t>
  </si>
  <si>
    <t>CRLPLA74B05I608R</t>
  </si>
  <si>
    <t xml:space="preserve">paolo.corleoni@radio24.it                         </t>
  </si>
  <si>
    <t xml:space="preserve">FERRONATO                       </t>
  </si>
  <si>
    <t xml:space="preserve">GIAN MARCO        </t>
  </si>
  <si>
    <t>FRRGMR87P18F205V</t>
  </si>
  <si>
    <t xml:space="preserve">gianmarco.ferronato@radio24.it                    </t>
  </si>
  <si>
    <t xml:space="preserve">FRISANI                         </t>
  </si>
  <si>
    <t>FRSRRT86B68L049R</t>
  </si>
  <si>
    <t xml:space="preserve">roberta.frisani@radio24.it                        </t>
  </si>
  <si>
    <t xml:space="preserve">LA CORTE                        </t>
  </si>
  <si>
    <t xml:space="preserve">PIETRO            </t>
  </si>
  <si>
    <t>LCRPTR78A16G273X</t>
  </si>
  <si>
    <t xml:space="preserve">pietro.lacorte@radio24.it                         </t>
  </si>
  <si>
    <t xml:space="preserve">LAURICELLA                      </t>
  </si>
  <si>
    <t xml:space="preserve">CARMELO           </t>
  </si>
  <si>
    <t>LRCCML74R15F704B</t>
  </si>
  <si>
    <t xml:space="preserve">carmelo.lauricella@radio24.it                     </t>
  </si>
  <si>
    <t xml:space="preserve">PREVIATO                        </t>
  </si>
  <si>
    <t xml:space="preserve">MICHELE           </t>
  </si>
  <si>
    <t>PRVMHL75H25F205R</t>
  </si>
  <si>
    <t xml:space="preserve">michele.previato@radio24.it                       </t>
  </si>
  <si>
    <t xml:space="preserve">ANDREA            </t>
  </si>
  <si>
    <t xml:space="preserve">TERUZZI                         </t>
  </si>
  <si>
    <t xml:space="preserve">DANIELE           </t>
  </si>
  <si>
    <t>TRZDNL76C09F704M</t>
  </si>
  <si>
    <t xml:space="preserve">daniele.teruzzi@radio24.it                        </t>
  </si>
  <si>
    <t xml:space="preserve">FESTORAZZI                      </t>
  </si>
  <si>
    <t xml:space="preserve">LORENZO FRANCESCO </t>
  </si>
  <si>
    <t>FSTLNZ63D09C623R</t>
  </si>
  <si>
    <t xml:space="preserve">lorenzo.festorazzi@radio24.it                     </t>
  </si>
  <si>
    <t xml:space="preserve">B03 </t>
  </si>
  <si>
    <t xml:space="preserve">Q11000      </t>
  </si>
  <si>
    <t>SILVESTRI FEDERICO</t>
  </si>
  <si>
    <t xml:space="preserve">CASA                            </t>
  </si>
  <si>
    <t>CSARRT73T43A662J</t>
  </si>
  <si>
    <t xml:space="preserve">roberta.casa@ilsole24ore.com                      </t>
  </si>
  <si>
    <t xml:space="preserve">LIGIOS                          </t>
  </si>
  <si>
    <t xml:space="preserve">ELENA             </t>
  </si>
  <si>
    <t>LGSLNE75R53I452W</t>
  </si>
  <si>
    <t xml:space="preserve">elena.ligios@radio24.it                           </t>
  </si>
  <si>
    <t xml:space="preserve">D           </t>
  </si>
  <si>
    <t xml:space="preserve">D02 </t>
  </si>
  <si>
    <t>512000   MARKETING EDITORIALE</t>
  </si>
  <si>
    <t xml:space="preserve">FLORIO                          </t>
  </si>
  <si>
    <t xml:space="preserve">FRANCESCA         </t>
  </si>
  <si>
    <t>FLRFNC80B62D086M</t>
  </si>
  <si>
    <t xml:space="preserve">francesca.florio@ilsole24ore.com                  </t>
  </si>
  <si>
    <t>MUZZA MANUELA</t>
  </si>
  <si>
    <t xml:space="preserve">GORINI                          </t>
  </si>
  <si>
    <t xml:space="preserve">FEDERICO          </t>
  </si>
  <si>
    <t>GRNFRC74A28F205D</t>
  </si>
  <si>
    <t>2  -VARIAZIONE SOCIETARIA     2</t>
  </si>
  <si>
    <t xml:space="preserve">federico.gorini@ilsole24ore.com                   </t>
  </si>
  <si>
    <t xml:space="preserve">BARBARA           </t>
  </si>
  <si>
    <t xml:space="preserve">EP  </t>
  </si>
  <si>
    <t xml:space="preserve">7 LIV. IMPIEGATO              </t>
  </si>
  <si>
    <t xml:space="preserve">PSO </t>
  </si>
  <si>
    <t>7=5 X 7.20</t>
  </si>
  <si>
    <t>51210010 SVILUPPO DIGITALE MKTG EDITORIA</t>
  </si>
  <si>
    <t xml:space="preserve">MOTTA                           </t>
  </si>
  <si>
    <t xml:space="preserve">STEFANO           </t>
  </si>
  <si>
    <t xml:space="preserve">B1 </t>
  </si>
  <si>
    <t xml:space="preserve">B1 LIV. IMPIEGATO             </t>
  </si>
  <si>
    <t xml:space="preserve">EN  </t>
  </si>
  <si>
    <t xml:space="preserve">MUZZA                           </t>
  </si>
  <si>
    <t xml:space="preserve">MANUELA           </t>
  </si>
  <si>
    <t>MZZMNL80B46F205O</t>
  </si>
  <si>
    <t xml:space="preserve">manuela.muzza@ilsole24ore.com                     </t>
  </si>
  <si>
    <t xml:space="preserve">SCABBIA                         </t>
  </si>
  <si>
    <t>SCBSFN74B22F205F</t>
  </si>
  <si>
    <t xml:space="preserve">stefano.scabbia@ilsole24ore.com                   </t>
  </si>
  <si>
    <t>513000  POLITICHE COMMERCIALI DIFF.LOG.</t>
  </si>
  <si>
    <t xml:space="preserve">BOZETICKY                       </t>
  </si>
  <si>
    <t>BZTDNL69C23F119I</t>
  </si>
  <si>
    <t xml:space="preserve">danilo.bozeticky@ilsole24ore.com                  </t>
  </si>
  <si>
    <t>CARRASSI ALESSANDRO</t>
  </si>
  <si>
    <t xml:space="preserve">CARRASSI                        </t>
  </si>
  <si>
    <t>CRRLSN79E16C424J</t>
  </si>
  <si>
    <t xml:space="preserve">Q  </t>
  </si>
  <si>
    <t xml:space="preserve">Q LIV. QUADRI                 </t>
  </si>
  <si>
    <t xml:space="preserve">alessandro.carrassi@ilsole24ore.com               </t>
  </si>
  <si>
    <t>51320010 LOGISTICA</t>
  </si>
  <si>
    <t xml:space="preserve">BOSSI                           </t>
  </si>
  <si>
    <t xml:space="preserve">CAPONE                          </t>
  </si>
  <si>
    <t xml:space="preserve">LEONARDO          </t>
  </si>
  <si>
    <t>CPNLRD72E08H501Z</t>
  </si>
  <si>
    <t xml:space="preserve">leonardo.capone@ilsole24ore.com                   </t>
  </si>
  <si>
    <t xml:space="preserve">GALLI                           </t>
  </si>
  <si>
    <t xml:space="preserve">TURATI                          </t>
  </si>
  <si>
    <t xml:space="preserve">SONIA GINA        </t>
  </si>
  <si>
    <t>TRTSGN69L44F205Z</t>
  </si>
  <si>
    <t xml:space="preserve">B2 </t>
  </si>
  <si>
    <t xml:space="preserve">B2 LIV. IMPIEGATO             </t>
  </si>
  <si>
    <t xml:space="preserve">sonia.turati@ilsole24ore.com                      </t>
  </si>
  <si>
    <t>51320020 DIFFUSIONE</t>
  </si>
  <si>
    <t xml:space="preserve">PATRIZIA          </t>
  </si>
  <si>
    <t xml:space="preserve">ANNA              </t>
  </si>
  <si>
    <t>MTTNNA87L46E801A</t>
  </si>
  <si>
    <t xml:space="preserve">anna.motta@ilsole24ore.com                        </t>
  </si>
  <si>
    <t>513400   PIANIFICAZ. E CONTROLLO COMM.LE</t>
  </si>
  <si>
    <t xml:space="preserve">BLASEOTTO                       </t>
  </si>
  <si>
    <t xml:space="preserve">MONICA            </t>
  </si>
  <si>
    <t>BLSMNC68R45F205Y</t>
  </si>
  <si>
    <t xml:space="preserve">monica.blaseotto@ilsole24ore.com                  </t>
  </si>
  <si>
    <t xml:space="preserve">GALLUZZI                        </t>
  </si>
  <si>
    <t xml:space="preserve">MASSIMILIANO      </t>
  </si>
  <si>
    <t>GLLMSM66M17F205Q</t>
  </si>
  <si>
    <t xml:space="preserve">massimiliano.galluzzi@ilsole24ore.com             </t>
  </si>
  <si>
    <t>513500   VENDITE ABBON. NUOVI E RINNOVI</t>
  </si>
  <si>
    <t xml:space="preserve">BRUGNOLI                        </t>
  </si>
  <si>
    <t>BRGLSN75H28F205V</t>
  </si>
  <si>
    <t xml:space="preserve">alessandro.brugnoli@ilsole24ore.com               </t>
  </si>
  <si>
    <t>RUSSO FILOMENA</t>
  </si>
  <si>
    <t xml:space="preserve">DIGIOVANNI                      </t>
  </si>
  <si>
    <t>DGVLBT67H49F205K</t>
  </si>
  <si>
    <t xml:space="preserve">elisabetta.digiovanni@ilsole24ore.com             </t>
  </si>
  <si>
    <t xml:space="preserve">RUSSO                           </t>
  </si>
  <si>
    <t xml:space="preserve">FILOMENA          </t>
  </si>
  <si>
    <t>RSSFMN68M71G131B</t>
  </si>
  <si>
    <t xml:space="preserve">filomena.russo@ilsole24ore.com                    </t>
  </si>
  <si>
    <t xml:space="preserve">B13000      </t>
  </si>
  <si>
    <t>B13000   BUSINESS DATA MANAGEMENT</t>
  </si>
  <si>
    <t xml:space="preserve">CICCHETTI                       </t>
  </si>
  <si>
    <t xml:space="preserve">MAURO             </t>
  </si>
  <si>
    <t>CCCMRA67A20H501A</t>
  </si>
  <si>
    <t xml:space="preserve">mauro.cicchetti@ilsole24ore.com                   </t>
  </si>
  <si>
    <t xml:space="preserve">MARCO GIOVANNI    </t>
  </si>
  <si>
    <t xml:space="preserve">FABIO             </t>
  </si>
  <si>
    <t xml:space="preserve">ROSSI                           </t>
  </si>
  <si>
    <t xml:space="preserve">DORA              </t>
  </si>
  <si>
    <t>RSSDRO78A45B300L</t>
  </si>
  <si>
    <t xml:space="preserve">dora.rossi@ilsole24ore.com                        </t>
  </si>
  <si>
    <t xml:space="preserve">F16000      </t>
  </si>
  <si>
    <t>F16000   MARKETING SVILUPPO DIGITALE</t>
  </si>
  <si>
    <t xml:space="preserve">MASSIMO           </t>
  </si>
  <si>
    <t xml:space="preserve">CAROTA                          </t>
  </si>
  <si>
    <t xml:space="preserve">GIULIA            </t>
  </si>
  <si>
    <t>CRTGLI85H67G482Q</t>
  </si>
  <si>
    <t xml:space="preserve">giulia.carota@ilsole24ore.com                     </t>
  </si>
  <si>
    <t xml:space="preserve">PETRUCCI                        </t>
  </si>
  <si>
    <t xml:space="preserve">SALVATORE         </t>
  </si>
  <si>
    <t>PTRSVT64T18L273E</t>
  </si>
  <si>
    <t xml:space="preserve">salvatore.petrucci@ilsole24ore.com                </t>
  </si>
  <si>
    <t xml:space="preserve">F1600010    </t>
  </si>
  <si>
    <t>F1600010 E-COMMERCE</t>
  </si>
  <si>
    <t xml:space="preserve">TOMMASO           </t>
  </si>
  <si>
    <t xml:space="preserve">D03 </t>
  </si>
  <si>
    <t>412620   COORDINAMENTO TECNICO PRODUTTIV</t>
  </si>
  <si>
    <t xml:space="preserve">CROCETTI                        </t>
  </si>
  <si>
    <t xml:space="preserve">GIANCARLO         </t>
  </si>
  <si>
    <t>CRCGCR71E27Z133G</t>
  </si>
  <si>
    <t>B1S</t>
  </si>
  <si>
    <t xml:space="preserve">B1S LIV. IMPIEGATO            </t>
  </si>
  <si>
    <t xml:space="preserve">gianni.crocetti@ilsole24ore.com                   </t>
  </si>
  <si>
    <t>ROCCHETTI WALTER</t>
  </si>
  <si>
    <t xml:space="preserve">ROCCHETTI                       </t>
  </si>
  <si>
    <t xml:space="preserve">WALTER            </t>
  </si>
  <si>
    <t>RCCWTR75P07F205D</t>
  </si>
  <si>
    <t xml:space="preserve">walter.rocchetti@ilsole24ore.com                  </t>
  </si>
  <si>
    <t>GRAZIANI MARCO</t>
  </si>
  <si>
    <t>51120001 PROGR. PROD. E GEST. CARTA</t>
  </si>
  <si>
    <t xml:space="preserve">GUARINI                         </t>
  </si>
  <si>
    <t xml:space="preserve">ANGELO            </t>
  </si>
  <si>
    <t>GRNNGL76D04C619N</t>
  </si>
  <si>
    <t xml:space="preserve">9 LIV. IMPIEGATO              </t>
  </si>
  <si>
    <t xml:space="preserve">angelo.guarini@ilsole24ore.com                    </t>
  </si>
  <si>
    <t xml:space="preserve">RICCABONI                       </t>
  </si>
  <si>
    <t>RCCSMN70D53F205T</t>
  </si>
  <si>
    <t xml:space="preserve">simona.riccaboni@ilsole24ore.com                  </t>
  </si>
  <si>
    <t>GUARINI ANGELO</t>
  </si>
  <si>
    <t>2=6 X 6</t>
  </si>
  <si>
    <t xml:space="preserve">                              </t>
  </si>
  <si>
    <t>I</t>
  </si>
  <si>
    <t>I.ASPETT. PERSON.</t>
  </si>
  <si>
    <t xml:space="preserve">FULVIO            </t>
  </si>
  <si>
    <t xml:space="preserve">GRAZIANI                        </t>
  </si>
  <si>
    <t>GRZMRC66L25A345L</t>
  </si>
  <si>
    <t xml:space="preserve">marco.graziani@ilsole24ore.com                    </t>
  </si>
  <si>
    <t xml:space="preserve">ANTONIO           </t>
  </si>
  <si>
    <t xml:space="preserve">SERGIO            </t>
  </si>
  <si>
    <t>3=5 X 7</t>
  </si>
  <si>
    <t xml:space="preserve">NICOLA            </t>
  </si>
  <si>
    <t>51130012 ASSISTENTI EDITORIALI</t>
  </si>
  <si>
    <t xml:space="preserve">ARGENTIERO                      </t>
  </si>
  <si>
    <t>RGNTMS70A16B180D</t>
  </si>
  <si>
    <t xml:space="preserve">8 LIV. IMPIEGATO              </t>
  </si>
  <si>
    <t xml:space="preserve">tommaso.argentiero@ilsole24ore.com                </t>
  </si>
  <si>
    <t xml:space="preserve">BACCALINI                       </t>
  </si>
  <si>
    <t>BCCFBA66S27G535V</t>
  </si>
  <si>
    <t xml:space="preserve">fabio.baccalini@ilsole24ore.com                   </t>
  </si>
  <si>
    <t xml:space="preserve">BASILE                          </t>
  </si>
  <si>
    <t xml:space="preserve">CARLA             </t>
  </si>
  <si>
    <t>BSLCRL60P47D969D</t>
  </si>
  <si>
    <t xml:space="preserve">carla.basile@ilsole24ore.com                      </t>
  </si>
  <si>
    <t xml:space="preserve">CRIPPA                          </t>
  </si>
  <si>
    <t xml:space="preserve">GARIMOLDI                       </t>
  </si>
  <si>
    <t>GRMMNL71P68F205G</t>
  </si>
  <si>
    <t xml:space="preserve">manuela.garimoldi@ilsole24ore.com                 </t>
  </si>
  <si>
    <t>ORFANO/VEDOVA DEL LAVORO</t>
  </si>
  <si>
    <t xml:space="preserve">LONGARI                         </t>
  </si>
  <si>
    <t>LNGLRA62L66F205M</t>
  </si>
  <si>
    <t xml:space="preserve">laura.longari@ilsole24ore.com                     </t>
  </si>
  <si>
    <t xml:space="preserve">LONGO                           </t>
  </si>
  <si>
    <t xml:space="preserve">SIRTORI                         </t>
  </si>
  <si>
    <t>SRTLNZ68A25F205F</t>
  </si>
  <si>
    <t xml:space="preserve">lorenzo.sirtori@ilsole24ore.com                   </t>
  </si>
  <si>
    <t xml:space="preserve">ZIMBARDI                        </t>
  </si>
  <si>
    <t>ZMBMHL70C01F205Q</t>
  </si>
  <si>
    <t xml:space="preserve">michele.zimbardi@ilsole24ore.com                  </t>
  </si>
  <si>
    <t>51130013 GRAFICI DI REDAZIONE</t>
  </si>
  <si>
    <t xml:space="preserve">BALDO                           </t>
  </si>
  <si>
    <t xml:space="preserve">SIMONE FELICE     </t>
  </si>
  <si>
    <t>BLDSNF71A22F704O</t>
  </si>
  <si>
    <t xml:space="preserve">simone.baldo@ilsole24ore.com                      </t>
  </si>
  <si>
    <t xml:space="preserve">CASTELLI                        </t>
  </si>
  <si>
    <t xml:space="preserve">IVAN              </t>
  </si>
  <si>
    <t>CSTVNI76H18F205N</t>
  </si>
  <si>
    <t xml:space="preserve">ivan.castelli@ilsole24ore.com                     </t>
  </si>
  <si>
    <t xml:space="preserve">CITTERIO                        </t>
  </si>
  <si>
    <t>CTTSFN66M03F205V</t>
  </si>
  <si>
    <t xml:space="preserve">stefano.citterio@ilsole24ore.com                  </t>
  </si>
  <si>
    <t xml:space="preserve">DEL PIN                         </t>
  </si>
  <si>
    <t xml:space="preserve">SOFIA             </t>
  </si>
  <si>
    <t>DLPSFO81P68D286P</t>
  </si>
  <si>
    <t xml:space="preserve">sofia.delpin@ilsole24ore.com                      </t>
  </si>
  <si>
    <t xml:space="preserve">DI PAOLA                        </t>
  </si>
  <si>
    <t>DPLLSN77R08F205G</t>
  </si>
  <si>
    <t xml:space="preserve">alessandro.dipaola@ilsole24ore.com                </t>
  </si>
  <si>
    <t>GLLLSN76E29F205O</t>
  </si>
  <si>
    <t xml:space="preserve">alessandro.galli@ilsole24ore.com                  </t>
  </si>
  <si>
    <t xml:space="preserve">MAURIZIO          </t>
  </si>
  <si>
    <t>LNGGPP68M16F205G</t>
  </si>
  <si>
    <t xml:space="preserve">giuseppe.longo@ilsole24ore.com                    </t>
  </si>
  <si>
    <t xml:space="preserve">MONETTI                         </t>
  </si>
  <si>
    <t>MNTFRC73E06I726Q</t>
  </si>
  <si>
    <t xml:space="preserve">federico.monetti@ilsole24ore.com                  </t>
  </si>
  <si>
    <t xml:space="preserve">MONTECCHI                       </t>
  </si>
  <si>
    <t xml:space="preserve">CATERINA          </t>
  </si>
  <si>
    <t>MNTCRN74R56Z133W</t>
  </si>
  <si>
    <t xml:space="preserve">caterina.montecchi@ilsole24ore.com                </t>
  </si>
  <si>
    <t xml:space="preserve">PALENA                          </t>
  </si>
  <si>
    <t xml:space="preserve">LIBORIO BRUNO     </t>
  </si>
  <si>
    <t>PLNLRB73B14F205D</t>
  </si>
  <si>
    <t xml:space="preserve">bruno.palena@ilsole24ore.com                      </t>
  </si>
  <si>
    <t xml:space="preserve">PASTORE                         </t>
  </si>
  <si>
    <t xml:space="preserve">FABIO WLADIMIRO   </t>
  </si>
  <si>
    <t>PSTFWL74P21F205S</t>
  </si>
  <si>
    <t xml:space="preserve">fabio.pastore@ilsole24ore.com                     </t>
  </si>
  <si>
    <t xml:space="preserve">PERUGGIA                        </t>
  </si>
  <si>
    <t>PRGPLA74S19E514G</t>
  </si>
  <si>
    <t xml:space="preserve">paolo.peruggia@ilsole24ore.com                    </t>
  </si>
  <si>
    <t xml:space="preserve">POLONI                          </t>
  </si>
  <si>
    <t>PLNVNI77E09F205E</t>
  </si>
  <si>
    <t xml:space="preserve">ivan.poloni@ilsole24ore.com                       </t>
  </si>
  <si>
    <t xml:space="preserve">RENDINA                         </t>
  </si>
  <si>
    <t>RNDLSN73P25F205V</t>
  </si>
  <si>
    <t xml:space="preserve">alessandro.rendina@ilsole24ore.com                </t>
  </si>
  <si>
    <t xml:space="preserve">VERGARI                         </t>
  </si>
  <si>
    <t xml:space="preserve">SIMONE            </t>
  </si>
  <si>
    <t>VRGSMN73D08F205E</t>
  </si>
  <si>
    <t xml:space="preserve">simone.vergari@ilsole24ore.com                    </t>
  </si>
  <si>
    <t>51130014 LAB24</t>
  </si>
  <si>
    <t xml:space="preserve">CALVI                           </t>
  </si>
  <si>
    <t xml:space="preserve">ALICE             </t>
  </si>
  <si>
    <t>CLVLCA86E48F205S</t>
  </si>
  <si>
    <t xml:space="preserve">alice.calvi@ilsole24ore.com                       </t>
  </si>
  <si>
    <t xml:space="preserve">CAPORLINGUA                     </t>
  </si>
  <si>
    <t xml:space="preserve">MARINA            </t>
  </si>
  <si>
    <t>CPRMRN74T64E730G</t>
  </si>
  <si>
    <t xml:space="preserve">marina.caporlingua@ilsole24ore.com                </t>
  </si>
  <si>
    <t xml:space="preserve">GALIMBERTI                      </t>
  </si>
  <si>
    <t>GLMLCU81R27B729M</t>
  </si>
  <si>
    <t xml:space="preserve">luca.galimberti@ilsole24ore.com                   </t>
  </si>
  <si>
    <t xml:space="preserve">ZITTI POZZI                     </t>
  </si>
  <si>
    <t xml:space="preserve">RENATO            </t>
  </si>
  <si>
    <t>ZTTRNT71L17F205T</t>
  </si>
  <si>
    <t xml:space="preserve">renato.zittipozzi@ilsole24ore.com                 </t>
  </si>
  <si>
    <t>51130015 GRAFICI INFOGRAFICI</t>
  </si>
  <si>
    <t xml:space="preserve">ALBANO                          </t>
  </si>
  <si>
    <t>LBNCLD73L54H703Z</t>
  </si>
  <si>
    <t xml:space="preserve">claudia.albano@ilsole24ore.com                    </t>
  </si>
  <si>
    <t xml:space="preserve">BARBARA                         </t>
  </si>
  <si>
    <t>BRBFRC82A30F205D</t>
  </si>
  <si>
    <t xml:space="preserve">federico.barbara@ilsole24ore.com                  </t>
  </si>
  <si>
    <t xml:space="preserve">BOLDURA                         </t>
  </si>
  <si>
    <t xml:space="preserve">ARIANNA           </t>
  </si>
  <si>
    <t>BLDRNN72L51F205P</t>
  </si>
  <si>
    <t xml:space="preserve">arianna.boldura@ilsole24ore.com                   </t>
  </si>
  <si>
    <t xml:space="preserve">CAPPUCCINO                      </t>
  </si>
  <si>
    <t xml:space="preserve">NOEMI             </t>
  </si>
  <si>
    <t>CPPNMO82H41C003Q</t>
  </si>
  <si>
    <t xml:space="preserve">noemi.cappuccino@ilsole24ore.com                  </t>
  </si>
  <si>
    <t xml:space="preserve">COMPI                           </t>
  </si>
  <si>
    <t>CMPMRZ74B27F205Y</t>
  </si>
  <si>
    <t xml:space="preserve">maurizio.compi@ilsole24ore.com                    </t>
  </si>
  <si>
    <t xml:space="preserve">D'ANGELO                        </t>
  </si>
  <si>
    <t>DNGFLV76H22L872Y</t>
  </si>
  <si>
    <t xml:space="preserve">fulvio.dangelo@ilsole24ore.com                    </t>
  </si>
  <si>
    <t xml:space="preserve">FORTAREZZA                      </t>
  </si>
  <si>
    <t>FRTNTN74A26F205Q</t>
  </si>
  <si>
    <t xml:space="preserve">antonio.fortarezza@ilsole24ore.com                </t>
  </si>
  <si>
    <t xml:space="preserve">MALLAMACI                       </t>
  </si>
  <si>
    <t>MLLNDR67R18F205N</t>
  </si>
  <si>
    <t xml:space="preserve">andrea.mallamaci@ilsole24ore.com                  </t>
  </si>
  <si>
    <t xml:space="preserve">NONNO                           </t>
  </si>
  <si>
    <t xml:space="preserve">RENATO MARIA      </t>
  </si>
  <si>
    <t>NNNRTM67H14H501J</t>
  </si>
  <si>
    <t xml:space="preserve">renato.nonno@ilsole24ore.com                      </t>
  </si>
  <si>
    <t xml:space="preserve">TAVAGLIONE                      </t>
  </si>
  <si>
    <t>TVGLCU73P15F205Q</t>
  </si>
  <si>
    <t xml:space="preserve">luca.tavaglione@ilsole24ore.com                   </t>
  </si>
  <si>
    <t xml:space="preserve">ZOCCHI                          </t>
  </si>
  <si>
    <t xml:space="preserve">LUCA PIETRO       </t>
  </si>
  <si>
    <t>ZCCLPT65A29H736T</t>
  </si>
  <si>
    <t xml:space="preserve">lucapietro.zocchi@ilsole24ore.com                 </t>
  </si>
  <si>
    <t>511600   DATI BORSE E MERCATI</t>
  </si>
  <si>
    <t>ROCCHETTI MUNARI ENRICO AGOSTINO</t>
  </si>
  <si>
    <t xml:space="preserve">DI TOMASO                       </t>
  </si>
  <si>
    <t xml:space="preserve">PRD </t>
  </si>
  <si>
    <t xml:space="preserve">SILVIA            </t>
  </si>
  <si>
    <t>DTMSLV71A60F205G</t>
  </si>
  <si>
    <t xml:space="preserve">silvia.ditomaso@ilsole24ore.com                   </t>
  </si>
  <si>
    <t xml:space="preserve">ROBERTO           </t>
  </si>
  <si>
    <t xml:space="preserve">ROCCHETTI MUNARI                </t>
  </si>
  <si>
    <t xml:space="preserve">ENRICO AGOSTINO   </t>
  </si>
  <si>
    <t>RCCNCG74B10F205H</t>
  </si>
  <si>
    <t xml:space="preserve">enrico.munari@ilsole24ore.com                     </t>
  </si>
  <si>
    <t xml:space="preserve">ROVERSI                         </t>
  </si>
  <si>
    <t>RVRLNE68E64F205M</t>
  </si>
  <si>
    <t xml:space="preserve">elena.roversi@ilsole24ore.com                     </t>
  </si>
  <si>
    <t xml:space="preserve">NICOLETTA         </t>
  </si>
  <si>
    <t xml:space="preserve">E           </t>
  </si>
  <si>
    <t xml:space="preserve">LINA              </t>
  </si>
  <si>
    <t xml:space="preserve">E03 </t>
  </si>
  <si>
    <t>215100   CREDIT MANAGEMENT</t>
  </si>
  <si>
    <t xml:space="preserve">FOGLIA                          </t>
  </si>
  <si>
    <t>FGLRNN75B54D969E</t>
  </si>
  <si>
    <t xml:space="preserve">arianna.foglia@ilsole24ore.com                    </t>
  </si>
  <si>
    <t xml:space="preserve">PASINI                          </t>
  </si>
  <si>
    <t>PSNSLV65B47F205S</t>
  </si>
  <si>
    <t xml:space="preserve">silvia.pasini@ilsole24ore.com                     </t>
  </si>
  <si>
    <t>215500   FINANZA, TESORERIA E RISK MAN</t>
  </si>
  <si>
    <t xml:space="preserve">BERLESE                         </t>
  </si>
  <si>
    <t>BRLSMN74M63L304T</t>
  </si>
  <si>
    <t xml:space="preserve">simona.berlese@ilsole24ore.com                    </t>
  </si>
  <si>
    <t>21550001 TESORERIA E RISK MANAGEMENT</t>
  </si>
  <si>
    <t xml:space="preserve">PAOLA             </t>
  </si>
  <si>
    <t>CRPPLA80A67I625V</t>
  </si>
  <si>
    <t xml:space="preserve">B3 </t>
  </si>
  <si>
    <t xml:space="preserve">B3 LIV. IMPIEGATO             </t>
  </si>
  <si>
    <t xml:space="preserve">paola.crippa@ilsole24ore.com                      </t>
  </si>
  <si>
    <t xml:space="preserve">GAGLIARDI                       </t>
  </si>
  <si>
    <t xml:space="preserve">ELEONORA          </t>
  </si>
  <si>
    <t>GGLLNR78A63D912M</t>
  </si>
  <si>
    <t xml:space="preserve">eleonora.gagliardi@ilsole24ore.com                </t>
  </si>
  <si>
    <t xml:space="preserve">SOLINAS                         </t>
  </si>
  <si>
    <t>SLNGPP66L27D969G</t>
  </si>
  <si>
    <t xml:space="preserve">giuseppe.solinas@ilsole24ore.com                  </t>
  </si>
  <si>
    <t xml:space="preserve">E04 </t>
  </si>
  <si>
    <t>PIANIFICAZIONE E CONTROLLO</t>
  </si>
  <si>
    <t>013000   INVESTOR RELATIONS</t>
  </si>
  <si>
    <t xml:space="preserve">ROMANO                          </t>
  </si>
  <si>
    <t xml:space="preserve">RAFFAELLA         </t>
  </si>
  <si>
    <t>RMNRFL68M64C933O</t>
  </si>
  <si>
    <t xml:space="preserve">raffaella.romano@ilsole24ore.com                  </t>
  </si>
  <si>
    <t>214000   PIANIFICAZIONE E CONTROLLO DI G</t>
  </si>
  <si>
    <t xml:space="preserve">CARLETTI                        </t>
  </si>
  <si>
    <t>CRLCLD71T51D612S</t>
  </si>
  <si>
    <t xml:space="preserve">claudia.carletti@ilsole24ore.com                  </t>
  </si>
  <si>
    <t>RODARI ANNA ADELE</t>
  </si>
  <si>
    <t xml:space="preserve">LOZZI                           </t>
  </si>
  <si>
    <t>LZZMTT69A14F205Z</t>
  </si>
  <si>
    <t xml:space="preserve">matteo.lozzi@ilsole24ore.com                      </t>
  </si>
  <si>
    <t xml:space="preserve">MILISENNA                       </t>
  </si>
  <si>
    <t xml:space="preserve">RAFFAELE          </t>
  </si>
  <si>
    <t>MLSRFL79L04G273Q</t>
  </si>
  <si>
    <t xml:space="preserve">raffaele.milisenna@ilsole24ore.com                </t>
  </si>
  <si>
    <t xml:space="preserve">RODARI                          </t>
  </si>
  <si>
    <t xml:space="preserve">ANNA ADELE        </t>
  </si>
  <si>
    <t>RDRNDL76A56F205N</t>
  </si>
  <si>
    <t xml:space="preserve">anna.rodari@ilsole24ore.com                       </t>
  </si>
  <si>
    <t xml:space="preserve">E07 </t>
  </si>
  <si>
    <t>AMMINISTRAZIONE E BILANCIO</t>
  </si>
  <si>
    <t xml:space="preserve">CASALINI                        </t>
  </si>
  <si>
    <t xml:space="preserve">FRANCESCO LUIGI   </t>
  </si>
  <si>
    <t>CSLFNC72L13L174I</t>
  </si>
  <si>
    <t xml:space="preserve">francesco.casalini@ilsole24ore.com                </t>
  </si>
  <si>
    <t xml:space="preserve">DE LUCIA                        </t>
  </si>
  <si>
    <t>DLCPLA72C64A390U</t>
  </si>
  <si>
    <t xml:space="preserve">paola.delucia@ilsole24ore.com                     </t>
  </si>
  <si>
    <t xml:space="preserve">GIUSEPPINA        </t>
  </si>
  <si>
    <t>21520011 CONTABILITA' GENERALE</t>
  </si>
  <si>
    <t xml:space="preserve">DANIELA           </t>
  </si>
  <si>
    <t xml:space="preserve">CUOCCI                          </t>
  </si>
  <si>
    <t xml:space="preserve">GRAZIELLA         </t>
  </si>
  <si>
    <t>CCCGZL63D65F205P</t>
  </si>
  <si>
    <t xml:space="preserve">graziella.cuocci@ilsole24ore.com                  </t>
  </si>
  <si>
    <t xml:space="preserve">GARAVAGLIA                      </t>
  </si>
  <si>
    <t>GRVLCU69R16H264X</t>
  </si>
  <si>
    <t xml:space="preserve">luca.garavaglia@ilsole24ore.com                   </t>
  </si>
  <si>
    <t>21520012 CONTABILITA' FORNITORI</t>
  </si>
  <si>
    <t xml:space="preserve">BASSANO                         </t>
  </si>
  <si>
    <t xml:space="preserve">LAURA MARINA      </t>
  </si>
  <si>
    <t>BSSLMR72B67F205L</t>
  </si>
  <si>
    <t xml:space="preserve">laura.bassano@ilsole24ore.com                     </t>
  </si>
  <si>
    <t xml:space="preserve">BONGIORNO                       </t>
  </si>
  <si>
    <t>BNGGPP65H25B300J</t>
  </si>
  <si>
    <t xml:space="preserve">giuseppe.bongiorno@ilsole24ore.com                </t>
  </si>
  <si>
    <t xml:space="preserve">CELLAMARE                       </t>
  </si>
  <si>
    <t>CLLCST85D56F205X</t>
  </si>
  <si>
    <t xml:space="preserve">cristina.cellamare@ilsole24ore.com                </t>
  </si>
  <si>
    <t xml:space="preserve">SIDA                            </t>
  </si>
  <si>
    <t xml:space="preserve">MORENO            </t>
  </si>
  <si>
    <t>SDIMRN73T17F205M</t>
  </si>
  <si>
    <t xml:space="preserve">moreno.sida@ilsole24ore.com                       </t>
  </si>
  <si>
    <t>21520013 CONTABILITA' CLIENTI</t>
  </si>
  <si>
    <t xml:space="preserve">ABBIATI                         </t>
  </si>
  <si>
    <t xml:space="preserve">MATTIA            </t>
  </si>
  <si>
    <t>BBTMTT86R03F205T</t>
  </si>
  <si>
    <t xml:space="preserve">mattia.abbiati@ilsole24ore.com                    </t>
  </si>
  <si>
    <t xml:space="preserve">BONVINI                         </t>
  </si>
  <si>
    <t>BNVFBA74H12B201A</t>
  </si>
  <si>
    <t xml:space="preserve">fabio.bonvini@ilsole24ore.com                     </t>
  </si>
  <si>
    <t xml:space="preserve">BUSTO                           </t>
  </si>
  <si>
    <t>BSTLNZ81E03C136O</t>
  </si>
  <si>
    <t xml:space="preserve">lorenzo.busto@ilsole24ore.com                     </t>
  </si>
  <si>
    <t xml:space="preserve">DELLAVEDOVA                     </t>
  </si>
  <si>
    <t xml:space="preserve">SARA              </t>
  </si>
  <si>
    <t>DLLSRA76L68D198B</t>
  </si>
  <si>
    <t xml:space="preserve">sara.dellavedova@ilsole24ore.com                  </t>
  </si>
  <si>
    <t xml:space="preserve">FILICI                          </t>
  </si>
  <si>
    <t>FLCVNT75L48F205F</t>
  </si>
  <si>
    <t xml:space="preserve">valentina.filici@ilsole24ore.com                  </t>
  </si>
  <si>
    <t xml:space="preserve">FRUSTACI                        </t>
  </si>
  <si>
    <t xml:space="preserve">ANTONELLA         </t>
  </si>
  <si>
    <t>FRSNNL71B63I266V</t>
  </si>
  <si>
    <t xml:space="preserve">antonella.frustaci@ilsole24ore.com                </t>
  </si>
  <si>
    <t xml:space="preserve">MASSA                           </t>
  </si>
  <si>
    <t xml:space="preserve">VERONICA          </t>
  </si>
  <si>
    <t>MSSVNC71S63F205B</t>
  </si>
  <si>
    <t xml:space="preserve">veronica.massa@ilsole24ore.com                    </t>
  </si>
  <si>
    <t xml:space="preserve">ROSADA                          </t>
  </si>
  <si>
    <t>RSDBBR75E63F205O</t>
  </si>
  <si>
    <t xml:space="preserve">barbara.rosada@ilsole24ore.com                    </t>
  </si>
  <si>
    <t xml:space="preserve">C11000      </t>
  </si>
  <si>
    <t>C11000   AMMINISTRAZIONE VENDITE</t>
  </si>
  <si>
    <t xml:space="preserve">ARCANGELI                       </t>
  </si>
  <si>
    <t xml:space="preserve">EMILIANO          </t>
  </si>
  <si>
    <t xml:space="preserve">CINZIA            </t>
  </si>
  <si>
    <t xml:space="preserve">ALESSIO           </t>
  </si>
  <si>
    <t xml:space="preserve">FLAVIO            </t>
  </si>
  <si>
    <t xml:space="preserve">GENTILI                         </t>
  </si>
  <si>
    <t>GNTSFN70R23E958N</t>
  </si>
  <si>
    <t xml:space="preserve">stefano.gentili@ilsole24ore.com                   </t>
  </si>
  <si>
    <t xml:space="preserve">LUCANTONI                       </t>
  </si>
  <si>
    <t>LCNMRC70P08H501D</t>
  </si>
  <si>
    <t xml:space="preserve">marco.lucantoni@ilsole24ore.com                   </t>
  </si>
  <si>
    <t xml:space="preserve">MERLINO                         </t>
  </si>
  <si>
    <t>MRLFNC65T56L047X</t>
  </si>
  <si>
    <t xml:space="preserve">francesca.merlino@ilsole24ore.com                 </t>
  </si>
  <si>
    <t xml:space="preserve">ONORATI                         </t>
  </si>
  <si>
    <t>NRTPLA64B44H501S</t>
  </si>
  <si>
    <t xml:space="preserve">Paola.Onorati@ilsole24ore.com                     </t>
  </si>
  <si>
    <t xml:space="preserve">ORLANDI                         </t>
  </si>
  <si>
    <t xml:space="preserve">PELLICCIA                       </t>
  </si>
  <si>
    <t>PLLNDR76E06L182W</t>
  </si>
  <si>
    <t xml:space="preserve">andrea.pelliccia@ilsole24ore.com                  </t>
  </si>
  <si>
    <t xml:space="preserve">PROIETTI ALIMONTI               </t>
  </si>
  <si>
    <t xml:space="preserve">MARZIA            </t>
  </si>
  <si>
    <t>PRTMRZ66S70A446S</t>
  </si>
  <si>
    <t xml:space="preserve">marzia.proietti@ilsole24ore.com                   </t>
  </si>
  <si>
    <t xml:space="preserve">FRANCESCO         </t>
  </si>
  <si>
    <t xml:space="preserve">SUCCI                           </t>
  </si>
  <si>
    <t>SCCFNC67R27C543R</t>
  </si>
  <si>
    <t xml:space="preserve">francesco.succi@ilsole24ore.com                   </t>
  </si>
  <si>
    <t xml:space="preserve">TRANQUILLI                      </t>
  </si>
  <si>
    <t xml:space="preserve">VINCENZO          </t>
  </si>
  <si>
    <t>TRNVCN67S30G492B</t>
  </si>
  <si>
    <t xml:space="preserve">vincenzo.tranquilli@ilsole24ore.com               </t>
  </si>
  <si>
    <t xml:space="preserve">E08 </t>
  </si>
  <si>
    <t>FISCALITA'</t>
  </si>
  <si>
    <t>21000001 FISCALITA'</t>
  </si>
  <si>
    <t xml:space="preserve">DI VITA                         </t>
  </si>
  <si>
    <t xml:space="preserve">ALBERTO           </t>
  </si>
  <si>
    <t>DVTLRT65C21C351R</t>
  </si>
  <si>
    <t>9  -ALTRE MOTIVAZIONI         9</t>
  </si>
  <si>
    <t xml:space="preserve">alberto.divita@ilsole24ore.com                    </t>
  </si>
  <si>
    <t xml:space="preserve">RESPIGO                         </t>
  </si>
  <si>
    <t xml:space="preserve">ANNA ROSA         </t>
  </si>
  <si>
    <t>RSPNRS83S48F205S</t>
  </si>
  <si>
    <t xml:space="preserve">annaRosa.respigo@ilsole24ore.com                  </t>
  </si>
  <si>
    <t>DI VITA ALBERTO</t>
  </si>
  <si>
    <t>SISTEMI INFORMATICI GESTIONALI</t>
  </si>
  <si>
    <t>415110   SISTEMI INFORMATICI GESTIONALI</t>
  </si>
  <si>
    <t>FANTUZZI MARILISA</t>
  </si>
  <si>
    <t xml:space="preserve">CASAGRANDE                      </t>
  </si>
  <si>
    <t>CSGSFN67A17C523R</t>
  </si>
  <si>
    <t xml:space="preserve">stefano.casagrande@ilsole24ore.com                </t>
  </si>
  <si>
    <t xml:space="preserve">FANTUZZI                        </t>
  </si>
  <si>
    <t xml:space="preserve">MARILISA          </t>
  </si>
  <si>
    <t>FNTMLS69T69F880Q</t>
  </si>
  <si>
    <t xml:space="preserve">marilisa.fantuzzi@ilsole24ore.com                 </t>
  </si>
  <si>
    <t xml:space="preserve">GIANNASI                        </t>
  </si>
  <si>
    <t>GNNPLA68B24F205U</t>
  </si>
  <si>
    <t xml:space="preserve">paolo.giannasi@ilsole24ore.com                    </t>
  </si>
  <si>
    <t xml:space="preserve">GOLA                            </t>
  </si>
  <si>
    <t xml:space="preserve">FEDERICA MARIA    </t>
  </si>
  <si>
    <t>GLOFRC70D63F205I</t>
  </si>
  <si>
    <t xml:space="preserve">MONTANARO                       </t>
  </si>
  <si>
    <t>MNTSFN87R19F205M</t>
  </si>
  <si>
    <t xml:space="preserve">stefano.montanaro@ilsole24ore.com                 </t>
  </si>
  <si>
    <t xml:space="preserve">PESANDO                         </t>
  </si>
  <si>
    <t>PSNMRZ68M24M109P</t>
  </si>
  <si>
    <t xml:space="preserve">maurizio.pesando@ilsole24ore.com                  </t>
  </si>
  <si>
    <t xml:space="preserve">RESTELLI                        </t>
  </si>
  <si>
    <t>RSTRRT69C06E648O</t>
  </si>
  <si>
    <t xml:space="preserve">roberto.restelli@ilsole24ore.com                  </t>
  </si>
  <si>
    <t xml:space="preserve">STOCCO                          </t>
  </si>
  <si>
    <t xml:space="preserve">FILOMENA MARA     </t>
  </si>
  <si>
    <t>STCFMN69S56A940Y</t>
  </si>
  <si>
    <t xml:space="preserve">mara.stocco@ilsole24ore.com                       </t>
  </si>
  <si>
    <t>AFFARI LEGALI E SOCIETARI</t>
  </si>
  <si>
    <t>012000   AFFARI LEGALI E SOCIETARI</t>
  </si>
  <si>
    <t xml:space="preserve">GIOVANNI          </t>
  </si>
  <si>
    <t xml:space="preserve">SANSONE                         </t>
  </si>
  <si>
    <t xml:space="preserve">MARCO ANIELLO     </t>
  </si>
  <si>
    <t>SNSMCN82P05F205X</t>
  </si>
  <si>
    <t xml:space="preserve">marco.sansone@ilsole24ore.com                     </t>
  </si>
  <si>
    <t>016110  PRIVACY E SICUREZZA DATI</t>
  </si>
  <si>
    <t xml:space="preserve">GAMBUSERA                       </t>
  </si>
  <si>
    <t xml:space="preserve">CHIARA            </t>
  </si>
  <si>
    <t>GMBCHR73H63F205G</t>
  </si>
  <si>
    <t xml:space="preserve">chiara.gambusera@ilsole24ore.com                  </t>
  </si>
  <si>
    <t xml:space="preserve">F           </t>
  </si>
  <si>
    <t xml:space="preserve">F02 </t>
  </si>
  <si>
    <t>DIREZIONE PERSONALE</t>
  </si>
  <si>
    <t xml:space="preserve">FORTE                           </t>
  </si>
  <si>
    <t>FRTNNA82S65F205W</t>
  </si>
  <si>
    <t xml:space="preserve">anna.forte@ilsole24ore.com                        </t>
  </si>
  <si>
    <t xml:space="preserve">CRISTIANA         </t>
  </si>
  <si>
    <t xml:space="preserve">DELLE DONNE                     </t>
  </si>
  <si>
    <t>DLLDNL64B28B301A</t>
  </si>
  <si>
    <t xml:space="preserve">danilo.delledonne@ilsole24ore.com                 </t>
  </si>
  <si>
    <t xml:space="preserve">BACCHILEGA                      </t>
  </si>
  <si>
    <t>BCCMRC76D27F205X</t>
  </si>
  <si>
    <t xml:space="preserve">marco.bacchilega@ilsole24ore.com                  </t>
  </si>
  <si>
    <t xml:space="preserve">BARABINO                        </t>
  </si>
  <si>
    <t>BRBMNL76E63I452C</t>
  </si>
  <si>
    <t xml:space="preserve">emanuela.barabino@ilsole24ore.com                 </t>
  </si>
  <si>
    <t xml:space="preserve">CANTONI                         </t>
  </si>
  <si>
    <t xml:space="preserve">GIUSEPPINA ENRICA </t>
  </si>
  <si>
    <t>CNTGPP66H55G388W</t>
  </si>
  <si>
    <t xml:space="preserve">pinuccia.cantoni@ilsole24ore.com                  </t>
  </si>
  <si>
    <t xml:space="preserve">ANNAMARIA         </t>
  </si>
  <si>
    <t xml:space="preserve">MARRADI                         </t>
  </si>
  <si>
    <t>MRRDNL71S45F205R</t>
  </si>
  <si>
    <t xml:space="preserve">daniela.marradi@ilsole24ore.com                   </t>
  </si>
  <si>
    <t xml:space="preserve">VITTORI                         </t>
  </si>
  <si>
    <t>VTTSLV67A53F704W</t>
  </si>
  <si>
    <t xml:space="preserve">silvia.vittori@ilsole24ore.com                    </t>
  </si>
  <si>
    <t xml:space="preserve">F09 </t>
  </si>
  <si>
    <t>SERVIZI GENERALI SICUREZZA E AMBIENTE</t>
  </si>
  <si>
    <t>414000   SERVIZI GENERALI SICUREZZA E AM</t>
  </si>
  <si>
    <t xml:space="preserve">SORGI                           </t>
  </si>
  <si>
    <t xml:space="preserve">GIANPAOLO         </t>
  </si>
  <si>
    <t>SRGGPL73M12A515F</t>
  </si>
  <si>
    <t xml:space="preserve">gianpaolo.sorgi@ilsole24ore.com                   </t>
  </si>
  <si>
    <t>41400001  SUPPORTO TECNICO E HSE</t>
  </si>
  <si>
    <t>SORGI GIANPAOLO</t>
  </si>
  <si>
    <t xml:space="preserve">DE MARTIIS                      </t>
  </si>
  <si>
    <t xml:space="preserve">VITTORIO          </t>
  </si>
  <si>
    <t>DMRVTR64M08H501Z</t>
  </si>
  <si>
    <t xml:space="preserve">vittorio.demartiis@ilsole24ore.com                </t>
  </si>
  <si>
    <t xml:space="preserve">C1 </t>
  </si>
  <si>
    <t xml:space="preserve">C1 LIV. IMPIEGATO             </t>
  </si>
  <si>
    <t>511305   SUPPORTI REDAZIONALI</t>
  </si>
  <si>
    <t>51130501 SEGRETERIE REDAZIONE MILANO</t>
  </si>
  <si>
    <t xml:space="preserve">CASTELLAZZI                     </t>
  </si>
  <si>
    <t xml:space="preserve">ELEONORA MARIA    </t>
  </si>
  <si>
    <t>CSTLRM65D43F205Z</t>
  </si>
  <si>
    <t xml:space="preserve">eleonora.castellazzi@ilsole24ore.com              </t>
  </si>
  <si>
    <t>51130502 SEGRETERIE REDAZIONE ROMA</t>
  </si>
  <si>
    <t xml:space="preserve">CASSETTA                        </t>
  </si>
  <si>
    <t xml:space="preserve">TIZIANA           </t>
  </si>
  <si>
    <t>CSSTZN69R69H501N</t>
  </si>
  <si>
    <t xml:space="preserve">tiziana.cassetta@ilsole24ore.com                  </t>
  </si>
  <si>
    <t xml:space="preserve">SCANNAVINI                      </t>
  </si>
  <si>
    <t>SCNMNL70T71H501F</t>
  </si>
  <si>
    <t xml:space="preserve">manuela.scannavini@ilsole24ore.com                </t>
  </si>
  <si>
    <t>51400001 DIREZIONE QUOTIDIANO</t>
  </si>
  <si>
    <t xml:space="preserve">LANZANI                         </t>
  </si>
  <si>
    <t xml:space="preserve">MARIACRISTINA     </t>
  </si>
  <si>
    <t>LNZMCR75A41I625J</t>
  </si>
  <si>
    <t xml:space="preserve">cristina.lanzani@ilsole24ore.com                  </t>
  </si>
  <si>
    <t>TREBBI ROBERTA</t>
  </si>
  <si>
    <t xml:space="preserve">RADAELLI                        </t>
  </si>
  <si>
    <t>RDLVLR70L68F205W</t>
  </si>
  <si>
    <t xml:space="preserve">valeria.radaelli@ilsole24ore.com                  </t>
  </si>
  <si>
    <t>51511001 SUPPORTI AGENZIA</t>
  </si>
  <si>
    <t xml:space="preserve">STEFANIA          </t>
  </si>
  <si>
    <t xml:space="preserve">D'ANIELLO                       </t>
  </si>
  <si>
    <t xml:space="preserve">ERICA             </t>
  </si>
  <si>
    <t>DNLRCE65P42L483N</t>
  </si>
  <si>
    <t xml:space="preserve">erica.daniello@ilsole24ore.com                    </t>
  </si>
  <si>
    <t xml:space="preserve">ELISA             </t>
  </si>
  <si>
    <t>51820001   HOW TO SPEND IT</t>
  </si>
  <si>
    <t xml:space="preserve">GENTILE                         </t>
  </si>
  <si>
    <t xml:space="preserve">LUISA             </t>
  </si>
  <si>
    <t>GNTLSU68L65F205Y</t>
  </si>
  <si>
    <t xml:space="preserve">luisa.gentile@ilsole24ore.com                     </t>
  </si>
  <si>
    <t xml:space="preserve">LUCCHESI                        </t>
  </si>
  <si>
    <t>LCCVNI77L17G220Q</t>
  </si>
  <si>
    <t xml:space="preserve">sergio.lucchesi@ilsole24ore.com                   </t>
  </si>
  <si>
    <t xml:space="preserve">PIPISTRELLI                     </t>
  </si>
  <si>
    <t>SIMONA MARIA CATER</t>
  </si>
  <si>
    <t>PPSSNM71T53F205R</t>
  </si>
  <si>
    <t xml:space="preserve">simona.pipistrelli@ilsole24ore.com                </t>
  </si>
  <si>
    <t xml:space="preserve">VERGERIO                        </t>
  </si>
  <si>
    <t xml:space="preserve">ALESSANDRA        </t>
  </si>
  <si>
    <t>VRGLSN63P60F205Z</t>
  </si>
  <si>
    <t xml:space="preserve">alessandra.vergerio@ilsole24ore.com               </t>
  </si>
  <si>
    <t xml:space="preserve">CACCIA                          </t>
  </si>
  <si>
    <t>CCCRFL69M52F205Y</t>
  </si>
  <si>
    <t xml:space="preserve">raffaella.caccia@ilsole24ore.com                  </t>
  </si>
  <si>
    <t xml:space="preserve">CIPOLLA                         </t>
  </si>
  <si>
    <t xml:space="preserve">ANNA MARIA        </t>
  </si>
  <si>
    <t>CPLNMR70C52C588Q</t>
  </si>
  <si>
    <t xml:space="preserve">annamaria.cipolla@ilsole24ore.com                 </t>
  </si>
  <si>
    <t xml:space="preserve">GRANDE                          </t>
  </si>
  <si>
    <t xml:space="preserve">IVANA             </t>
  </si>
  <si>
    <t>GRNVNI74E70G388X</t>
  </si>
  <si>
    <t xml:space="preserve">ivana.grande@ilsole24ore.com                      </t>
  </si>
  <si>
    <t xml:space="preserve">MALANCA                         </t>
  </si>
  <si>
    <t>MLNLRA72B63I441R</t>
  </si>
  <si>
    <t xml:space="preserve">laura.malanca@ilsole24ore.com                     </t>
  </si>
  <si>
    <t xml:space="preserve">MAMBRETTI                       </t>
  </si>
  <si>
    <t>MMBLRT66L19D416N</t>
  </si>
  <si>
    <t xml:space="preserve">Alberto.Mambretti@ilsole24ore.com                 </t>
  </si>
  <si>
    <t xml:space="preserve">MARINO                          </t>
  </si>
  <si>
    <t>MRNSDR71T04F205F</t>
  </si>
  <si>
    <t xml:space="preserve">sandro.marino@ilsole24ore.com                     </t>
  </si>
  <si>
    <t xml:space="preserve">RIGAMONTI                       </t>
  </si>
  <si>
    <t xml:space="preserve">ERIKA             </t>
  </si>
  <si>
    <t>RGMRKE71H49G337S</t>
  </si>
  <si>
    <t xml:space="preserve">erika.rigamonti@ilsole24ore.com                   </t>
  </si>
  <si>
    <t xml:space="preserve">F11 </t>
  </si>
  <si>
    <t>514800   STRUTTURA MEDIA FACTORY ENEL</t>
  </si>
  <si>
    <t xml:space="preserve">GIACINTI                        </t>
  </si>
  <si>
    <t xml:space="preserve">MARIA FRANCESCA   </t>
  </si>
  <si>
    <t>GCNMFR63H50H501K</t>
  </si>
  <si>
    <t xml:space="preserve">mariafrancesca.giacinti@ilsole24ore.com           </t>
  </si>
  <si>
    <t xml:space="preserve">LETI                            </t>
  </si>
  <si>
    <t>LTECRL76E53H501N</t>
  </si>
  <si>
    <t xml:space="preserve">carla.leti@ilsole24ore.com                        </t>
  </si>
  <si>
    <t xml:space="preserve">ORSINI                          </t>
  </si>
  <si>
    <t xml:space="preserve">CAMILLA           </t>
  </si>
  <si>
    <t>RSNCLL91S55D786C</t>
  </si>
  <si>
    <t xml:space="preserve">ZAMPINI                         </t>
  </si>
  <si>
    <t>ZMPMSM69E23F611H</t>
  </si>
  <si>
    <t xml:space="preserve">CS </t>
  </si>
  <si>
    <t xml:space="preserve">GRR </t>
  </si>
  <si>
    <t>SIND.GIORN.        SINDACATO GIORNALISTI</t>
  </si>
  <si>
    <t xml:space="preserve">massimiliano.zampini@ilsole24ore.com              </t>
  </si>
  <si>
    <t xml:space="preserve">G           </t>
  </si>
  <si>
    <t xml:space="preserve">G01 </t>
  </si>
  <si>
    <t xml:space="preserve">ZUCCONI                         </t>
  </si>
  <si>
    <t>ZCCGNN61H26A210W</t>
  </si>
  <si>
    <t xml:space="preserve">giovanni.zucconi@ilsole24ore.com                  </t>
  </si>
  <si>
    <t xml:space="preserve">MARIO             </t>
  </si>
  <si>
    <t>CANTATORE GIANFRANCO</t>
  </si>
  <si>
    <t xml:space="preserve">G03 </t>
  </si>
  <si>
    <t xml:space="preserve">GIANNI            </t>
  </si>
  <si>
    <t xml:space="preserve">BENAGLIA                        </t>
  </si>
  <si>
    <t>BNGLNZ71H12M052S</t>
  </si>
  <si>
    <t xml:space="preserve">Lorenzo.Benaglia@ilsole24ore.com                  </t>
  </si>
  <si>
    <t xml:space="preserve">CARLO             </t>
  </si>
  <si>
    <t>BSSMSM68H01F205Z</t>
  </si>
  <si>
    <t xml:space="preserve">massimo.bossi@ilsole24ore.com                     </t>
  </si>
  <si>
    <t xml:space="preserve">DI CAGNO                        </t>
  </si>
  <si>
    <t>DCGLSN68A02L219X</t>
  </si>
  <si>
    <t xml:space="preserve">alessandro.dicagno@ilsole24ore.com                </t>
  </si>
  <si>
    <t xml:space="preserve">SANTONI                         </t>
  </si>
  <si>
    <t xml:space="preserve">FABRIZIO          </t>
  </si>
  <si>
    <t>SNTFRZ67D11H501X</t>
  </si>
  <si>
    <t xml:space="preserve">fabrizio.santoni@ilsole24ore.com                  </t>
  </si>
  <si>
    <t xml:space="preserve">BONA                            </t>
  </si>
  <si>
    <t>BNOMTT72E24F205B</t>
  </si>
  <si>
    <t xml:space="preserve">matteo.bona@ilsole24ore.com                       </t>
  </si>
  <si>
    <t xml:space="preserve">CECI                            </t>
  </si>
  <si>
    <t xml:space="preserve">ESPOSITO                        </t>
  </si>
  <si>
    <t xml:space="preserve">SAVERIO ANTONIO   </t>
  </si>
  <si>
    <t>SPSSRN66C26F205O</t>
  </si>
  <si>
    <t xml:space="preserve">saverio.esposito@ilsole24ore.com                  </t>
  </si>
  <si>
    <t xml:space="preserve">MARCHETTI                       </t>
  </si>
  <si>
    <t xml:space="preserve">SUSANNA           </t>
  </si>
  <si>
    <t>MRCSNN79L68F952A</t>
  </si>
  <si>
    <t xml:space="preserve">susanna.marchetti@ilsole24ore.com                 </t>
  </si>
  <si>
    <t xml:space="preserve">G05 </t>
  </si>
  <si>
    <t>TECNOLOGIE DI PRODOTTO</t>
  </si>
  <si>
    <t xml:space="preserve">AIELLO                          </t>
  </si>
  <si>
    <t xml:space="preserve">ROSARIO           </t>
  </si>
  <si>
    <t>LLARSR65T22D122J</t>
  </si>
  <si>
    <t xml:space="preserve">rosario.aiello@ilsole24ore.com                    </t>
  </si>
  <si>
    <t xml:space="preserve">CONTALDO                        </t>
  </si>
  <si>
    <t xml:space="preserve">EMANUELE          </t>
  </si>
  <si>
    <t>CNTMNL75H14L182S</t>
  </si>
  <si>
    <t xml:space="preserve">emanuele.contaldo@ilsole24ore.com                 </t>
  </si>
  <si>
    <t xml:space="preserve">CALLARI                         </t>
  </si>
  <si>
    <t>CLLNGL93A20I754W</t>
  </si>
  <si>
    <t xml:space="preserve">angelo.callari@ilsole24ore.com                    </t>
  </si>
  <si>
    <t xml:space="preserve">CANTATORE                       </t>
  </si>
  <si>
    <t xml:space="preserve">GIANFRANCO        </t>
  </si>
  <si>
    <t>CNTGFR69R02F704G</t>
  </si>
  <si>
    <t xml:space="preserve">Gianfranco.Cantatore@ilsole24ore.com              </t>
  </si>
  <si>
    <t xml:space="preserve">MICELI                          </t>
  </si>
  <si>
    <t xml:space="preserve">GIULIA SABINA     </t>
  </si>
  <si>
    <t>MCLGSB70S55F943X</t>
  </si>
  <si>
    <t xml:space="preserve">giulia.miceli@ilsole24ore.com                     </t>
  </si>
  <si>
    <t xml:space="preserve">POLIDORO                        </t>
  </si>
  <si>
    <t xml:space="preserve">DOMENICO          </t>
  </si>
  <si>
    <t>PLDDNC66M18A345Z</t>
  </si>
  <si>
    <t xml:space="preserve">domenico.polidoro@ilsole24ore.com                 </t>
  </si>
  <si>
    <t xml:space="preserve">UMBERTO           </t>
  </si>
  <si>
    <t>RCNMRT68H23H501I</t>
  </si>
  <si>
    <t xml:space="preserve">umberto.arcangeli@ilsole24ore.com                 </t>
  </si>
  <si>
    <t>ORLANDI MARIO</t>
  </si>
  <si>
    <t>RLNMRA69P05A662V</t>
  </si>
  <si>
    <t xml:space="preserve">mario.orlandi@ilsole24ore.com                     </t>
  </si>
  <si>
    <t xml:space="preserve">RUSSI                           </t>
  </si>
  <si>
    <t xml:space="preserve">GIOVANBATTISTA    </t>
  </si>
  <si>
    <t>RSSGNB69S20H501U</t>
  </si>
  <si>
    <t xml:space="preserve">giovanbattista.russi@ilsole24ore.com              </t>
  </si>
  <si>
    <t xml:space="preserve">VITALE                          </t>
  </si>
  <si>
    <t xml:space="preserve">DONNA                           </t>
  </si>
  <si>
    <t>DNNMRC74B04L219A</t>
  </si>
  <si>
    <t xml:space="preserve">marco.donna@ilsole24ore.com                       </t>
  </si>
  <si>
    <t>511100   SISTEMI EDITORIALI</t>
  </si>
  <si>
    <t>FAVINI MAYLA</t>
  </si>
  <si>
    <t xml:space="preserve">FAVINI                          </t>
  </si>
  <si>
    <t xml:space="preserve">MAYLA             </t>
  </si>
  <si>
    <t>FVNMYL82C62F205F</t>
  </si>
  <si>
    <t xml:space="preserve">mayla.favini@ilsole24ore.com                      </t>
  </si>
  <si>
    <t xml:space="preserve">FUMAGALLI                       </t>
  </si>
  <si>
    <t>FMGRRT64C04F205K</t>
  </si>
  <si>
    <t xml:space="preserve">roberto.fumagalli@ilsole24ore.com                 </t>
  </si>
  <si>
    <t xml:space="preserve">MASTROGIOVANNI                  </t>
  </si>
  <si>
    <t>MSTGNN65M24H703N</t>
  </si>
  <si>
    <t xml:space="preserve">giovanni.mastrogiovanni@ilsole24ore.com           </t>
  </si>
  <si>
    <t xml:space="preserve">NARDELLO                        </t>
  </si>
  <si>
    <t xml:space="preserve">FELICE            </t>
  </si>
  <si>
    <t>NRDFLC75S22F205P</t>
  </si>
  <si>
    <t xml:space="preserve">felice.nardello@ilsole24ore.com                   </t>
  </si>
  <si>
    <t xml:space="preserve">RONCORONI                       </t>
  </si>
  <si>
    <t>RNCCRL71S15E951R</t>
  </si>
  <si>
    <t xml:space="preserve">carlo.roncoroni@ilsole24ore.com                   </t>
  </si>
  <si>
    <t xml:space="preserve">H           </t>
  </si>
  <si>
    <t xml:space="preserve">H01 </t>
  </si>
  <si>
    <t xml:space="preserve">CAPELLI                         </t>
  </si>
  <si>
    <t xml:space="preserve">FIORELLA          </t>
  </si>
  <si>
    <t>CPLFLL65C61F205U</t>
  </si>
  <si>
    <t xml:space="preserve">fiorella.capelli@ilsole24ore.com                  </t>
  </si>
  <si>
    <t>MINELLA ERALDO</t>
  </si>
  <si>
    <t xml:space="preserve">MINELLA                         </t>
  </si>
  <si>
    <t xml:space="preserve">ERALDO            </t>
  </si>
  <si>
    <t>MNLRLD59A04I968P</t>
  </si>
  <si>
    <t xml:space="preserve">eraldo.minella@ilsole24ore.com                    </t>
  </si>
  <si>
    <t xml:space="preserve">H02 </t>
  </si>
  <si>
    <t xml:space="preserve">C13200      </t>
  </si>
  <si>
    <t>C13200   CUSTOMER CARE</t>
  </si>
  <si>
    <t xml:space="preserve">CHIOFFI                         </t>
  </si>
  <si>
    <t>CHFLSN66L54H501Q</t>
  </si>
  <si>
    <t xml:space="preserve">alessandra.chioffi@ilsole24ore.com                </t>
  </si>
  <si>
    <t xml:space="preserve">NADIA             </t>
  </si>
  <si>
    <t xml:space="preserve">MORESCHINI                      </t>
  </si>
  <si>
    <t>MRSCST72S42H501K</t>
  </si>
  <si>
    <t xml:space="preserve">cristina.moreschini@ilsole24ore.com               </t>
  </si>
  <si>
    <t xml:space="preserve">H03 </t>
  </si>
  <si>
    <t>CONTERIO ANTONIO</t>
  </si>
  <si>
    <t xml:space="preserve">B1000030    </t>
  </si>
  <si>
    <t xml:space="preserve">CONTERIO                        </t>
  </si>
  <si>
    <t>CNTNTN64C24L219P</t>
  </si>
  <si>
    <t xml:space="preserve">luca.conterio@ilsole24ore.com                     </t>
  </si>
  <si>
    <t xml:space="preserve">B10130      </t>
  </si>
  <si>
    <t>B10130   SUPPORTO COMMERCIALE E SALES AC</t>
  </si>
  <si>
    <t xml:space="preserve">DI GIULIO                       </t>
  </si>
  <si>
    <t>DGLCST75T49H501B</t>
  </si>
  <si>
    <t xml:space="preserve">cristina.digiulio@ilsole24ore.com                 </t>
  </si>
  <si>
    <t>PALMA ENRICA</t>
  </si>
  <si>
    <t xml:space="preserve">FRASCHETTI                      </t>
  </si>
  <si>
    <t>FRSLRA67T50H501T</t>
  </si>
  <si>
    <t xml:space="preserve">laura.fraschetti@ilsole24ore.com                  </t>
  </si>
  <si>
    <t xml:space="preserve">GORI                            </t>
  </si>
  <si>
    <t xml:space="preserve">SAMANTHA          </t>
  </si>
  <si>
    <t>GROSNT73D62C352B</t>
  </si>
  <si>
    <t xml:space="preserve">samantha.gori@ilsole24ore.com                     </t>
  </si>
  <si>
    <t xml:space="preserve">NASONE                          </t>
  </si>
  <si>
    <t xml:space="preserve">ANGELA            </t>
  </si>
  <si>
    <t>NSNNGL73R64H501E</t>
  </si>
  <si>
    <t xml:space="preserve">angela.nasone@ilsole24ore.com                     </t>
  </si>
  <si>
    <t xml:space="preserve">PALMA                           </t>
  </si>
  <si>
    <t xml:space="preserve">ENRICA            </t>
  </si>
  <si>
    <t>PLMNRC77B49H501U</t>
  </si>
  <si>
    <t xml:space="preserve">enrica.palma@ilsole24ore.com                      </t>
  </si>
  <si>
    <t xml:space="preserve">PICCININI                       </t>
  </si>
  <si>
    <t xml:space="preserve">MILVA             </t>
  </si>
  <si>
    <t>PCCMLV64B50A515V</t>
  </si>
  <si>
    <t xml:space="preserve">milva.piccinini@ilsole24ore.com                   </t>
  </si>
  <si>
    <t xml:space="preserve">RENZETTI                        </t>
  </si>
  <si>
    <t>RNZLBT85D44I992F</t>
  </si>
  <si>
    <t xml:space="preserve">elisabetta.renzetti@ilsole24ore.com               </t>
  </si>
  <si>
    <t xml:space="preserve">VERNA                           </t>
  </si>
  <si>
    <t>VRNLSN74M58H501K</t>
  </si>
  <si>
    <t xml:space="preserve">alessandra.verna@ilsole24ore.com                  </t>
  </si>
  <si>
    <t xml:space="preserve">H04 </t>
  </si>
  <si>
    <t>AREA FISCO LAVORO</t>
  </si>
  <si>
    <t>SPSRRT65D10F839E</t>
  </si>
  <si>
    <t xml:space="preserve">roberto.esposito@ilsole24ore.com                  </t>
  </si>
  <si>
    <t xml:space="preserve">TORCIANI                        </t>
  </si>
  <si>
    <t xml:space="preserve">MORENA            </t>
  </si>
  <si>
    <t>TRCMRN67P47G388Z</t>
  </si>
  <si>
    <t xml:space="preserve">morena.torciani@ilsole24ore.com                   </t>
  </si>
  <si>
    <t>ESPOSITO ROBERTO</t>
  </si>
  <si>
    <t>81511510 REDAZIONE FISCO</t>
  </si>
  <si>
    <t xml:space="preserve">BELLELLI                        </t>
  </si>
  <si>
    <t xml:space="preserve">GIOVANNA          </t>
  </si>
  <si>
    <t>BLLGNN64S62A944A</t>
  </si>
  <si>
    <t xml:space="preserve">giovanna.bellelli@ilsole24ore.com                 </t>
  </si>
  <si>
    <t xml:space="preserve">BRUNS                           </t>
  </si>
  <si>
    <t xml:space="preserve">MARINA MARIA      </t>
  </si>
  <si>
    <t>BRNMNM64T69F205I</t>
  </si>
  <si>
    <t xml:space="preserve">marina.bruns@ilsole24ore.com                      </t>
  </si>
  <si>
    <t xml:space="preserve">IRENE             </t>
  </si>
  <si>
    <t xml:space="preserve">DI GREGORIO                     </t>
  </si>
  <si>
    <t>DGRPLA70H11H501R</t>
  </si>
  <si>
    <t xml:space="preserve">paolo.digregorio@ilsole24ore.com                  </t>
  </si>
  <si>
    <t xml:space="preserve">FESTUCCIA                       </t>
  </si>
  <si>
    <t xml:space="preserve">GIANNA            </t>
  </si>
  <si>
    <t>FSTGNN65C70H501H</t>
  </si>
  <si>
    <t xml:space="preserve">gianna.festuccia@ilsole24ore.com                  </t>
  </si>
  <si>
    <t xml:space="preserve">GIOVINE                         </t>
  </si>
  <si>
    <t>GVNLCU70T30B639L</t>
  </si>
  <si>
    <t xml:space="preserve">luca.giovine@ilsole24ore.com                      </t>
  </si>
  <si>
    <t xml:space="preserve">GISMUNDI                        </t>
  </si>
  <si>
    <t>GSMSFN71H24H501F</t>
  </si>
  <si>
    <t xml:space="preserve">stefano.gismundi@ilsole24ore.com                  </t>
  </si>
  <si>
    <t xml:space="preserve">LOPERGOLO                       </t>
  </si>
  <si>
    <t xml:space="preserve">GIANLUCA          </t>
  </si>
  <si>
    <t>LPRGLC68C22F052M</t>
  </si>
  <si>
    <t xml:space="preserve">gianluca.lopergolo@ilsole24ore.com                </t>
  </si>
  <si>
    <t xml:space="preserve">MONTEMURRO                      </t>
  </si>
  <si>
    <t xml:space="preserve">ANNALISA          </t>
  </si>
  <si>
    <t>MNTNLS64A52F839C</t>
  </si>
  <si>
    <t xml:space="preserve">annalisa.montemurro@ilsole24ore.com               </t>
  </si>
  <si>
    <t xml:space="preserve">MARIA CRISTINA    </t>
  </si>
  <si>
    <t xml:space="preserve">ALDA              </t>
  </si>
  <si>
    <t>PLMLDA64L60H426J</t>
  </si>
  <si>
    <t xml:space="preserve">alda.palma@ilsole24ore.com                        </t>
  </si>
  <si>
    <t xml:space="preserve">PARROTTA                        </t>
  </si>
  <si>
    <t xml:space="preserve">CARMEN            </t>
  </si>
  <si>
    <t>PRRCMN65H48H501L</t>
  </si>
  <si>
    <t xml:space="preserve">carmen.parrotta@ilsole24ore.com                   </t>
  </si>
  <si>
    <t xml:space="preserve">PISCIOTTA                       </t>
  </si>
  <si>
    <t>PSCCNZ63D62G478U</t>
  </si>
  <si>
    <t xml:space="preserve">cinzia.pisciotta@ilsole24ore.com                  </t>
  </si>
  <si>
    <t xml:space="preserve">RAVAGLIOLI                      </t>
  </si>
  <si>
    <t xml:space="preserve">SANDRA            </t>
  </si>
  <si>
    <t>RVGSDR67L64F205U</t>
  </si>
  <si>
    <t xml:space="preserve">sandra.ravaglioli@ilsole24ore.com                 </t>
  </si>
  <si>
    <t xml:space="preserve">SPIGA                           </t>
  </si>
  <si>
    <t>SPGPLA66S01H501K</t>
  </si>
  <si>
    <t xml:space="preserve">paolo.spiga@ilsole24ore.com                       </t>
  </si>
  <si>
    <t>815130   REDAZIONE FISCO - TRENTO</t>
  </si>
  <si>
    <t xml:space="preserve">CALLEGARI                       </t>
  </si>
  <si>
    <t xml:space="preserve">ILARIA            </t>
  </si>
  <si>
    <t>CLLLRI70T67L378P</t>
  </si>
  <si>
    <t xml:space="preserve">TRENTO                 </t>
  </si>
  <si>
    <t xml:space="preserve">ilaria.callegari@ilsole24ore.com                  </t>
  </si>
  <si>
    <t xml:space="preserve">COSER                           </t>
  </si>
  <si>
    <t>CSRRRT68H48L378A</t>
  </si>
  <si>
    <t xml:space="preserve">roberta.coser@ilsole24ore.com                     </t>
  </si>
  <si>
    <t xml:space="preserve">SARDI                           </t>
  </si>
  <si>
    <t>SRDPLA77S02E565C</t>
  </si>
  <si>
    <t xml:space="preserve">paolo.sardi@ilsole24ore.com                       </t>
  </si>
  <si>
    <t>815200   REDAZIONE LAVORO</t>
  </si>
  <si>
    <t xml:space="preserve">COLANTONI                       </t>
  </si>
  <si>
    <t>CLNCLD73L45H501C</t>
  </si>
  <si>
    <t xml:space="preserve">claudia.colantoni@ilsole24ore.com                 </t>
  </si>
  <si>
    <t>COPPOLA DANIELA</t>
  </si>
  <si>
    <t xml:space="preserve">COPPOLA                         </t>
  </si>
  <si>
    <t>CPPDNL69B61H501D</t>
  </si>
  <si>
    <t xml:space="preserve">daniela.coppola@ilsole24ore.com                   </t>
  </si>
  <si>
    <t xml:space="preserve">GRASSI                          </t>
  </si>
  <si>
    <t>GRSNGL66S62F205U</t>
  </si>
  <si>
    <t xml:space="preserve">angela.grassi@ilsole24ore.com                     </t>
  </si>
  <si>
    <t xml:space="preserve">MANGIONI                        </t>
  </si>
  <si>
    <t xml:space="preserve">MARGHERITA        </t>
  </si>
  <si>
    <t>MNGMGH73P43E507S</t>
  </si>
  <si>
    <t xml:space="preserve">margherita.mangioni@ilsole24ore.com               </t>
  </si>
  <si>
    <t xml:space="preserve">MARIANI                         </t>
  </si>
  <si>
    <t xml:space="preserve">LIA               </t>
  </si>
  <si>
    <t>MRNLIA74B46A345T</t>
  </si>
  <si>
    <t>25 ORE GRAFICI 062500000PP25.0/40- PT 62.50-P</t>
  </si>
  <si>
    <t xml:space="preserve">lia.mariani@ilsole24ore.com                       </t>
  </si>
  <si>
    <t xml:space="preserve">PESARESI                        </t>
  </si>
  <si>
    <t xml:space="preserve">ANTONIO MARCO     </t>
  </si>
  <si>
    <t>PSRNNM69H10L682A</t>
  </si>
  <si>
    <t xml:space="preserve">antonio.pesaresi@ilsole24ore.com                  </t>
  </si>
  <si>
    <t xml:space="preserve">VARRIANO                        </t>
  </si>
  <si>
    <t xml:space="preserve">MICHELA           </t>
  </si>
  <si>
    <t>VRRMHL64M69H501D</t>
  </si>
  <si>
    <t xml:space="preserve">michela.varriano@ilsole24ore.com                  </t>
  </si>
  <si>
    <t xml:space="preserve">POLVERE                         </t>
  </si>
  <si>
    <t xml:space="preserve">VANNA             </t>
  </si>
  <si>
    <t>PLVVNN70A52F205Z</t>
  </si>
  <si>
    <t xml:space="preserve">vanna.polvere@ilsole24ore.com                     </t>
  </si>
  <si>
    <t xml:space="preserve">E11010      </t>
  </si>
  <si>
    <t>E11010   REDAZIONE ESPERTO RISPONDE</t>
  </si>
  <si>
    <t xml:space="preserve">GAGGINI                         </t>
  </si>
  <si>
    <t>GGGMRC63A06F205L</t>
  </si>
  <si>
    <t xml:space="preserve">marco.gaggini@ilsole24ore.com                     </t>
  </si>
  <si>
    <t>RICCI LUCCHI EMANUELA</t>
  </si>
  <si>
    <t xml:space="preserve">RICCI LUCCHI                    </t>
  </si>
  <si>
    <t>RCCMNL66H64E783R</t>
  </si>
  <si>
    <t xml:space="preserve">emanuela.riccilucchi@ilsole24ore.com              </t>
  </si>
  <si>
    <t xml:space="preserve">SONIA             </t>
  </si>
  <si>
    <t>RSSSNO68S66E388C</t>
  </si>
  <si>
    <t>SORDOMUTI</t>
  </si>
  <si>
    <t xml:space="preserve">sonia.rossi@ilsole24ore.com                       </t>
  </si>
  <si>
    <t xml:space="preserve">VALIA                           </t>
  </si>
  <si>
    <t>VLADNC69H21B036G</t>
  </si>
  <si>
    <t xml:space="preserve">domenico.valia@ilsole24ore.com                    </t>
  </si>
  <si>
    <t xml:space="preserve">H05 </t>
  </si>
  <si>
    <t>815420   DIGITAL MARKETING SERV. PROF.</t>
  </si>
  <si>
    <t xml:space="preserve">PROIETTI                        </t>
  </si>
  <si>
    <t>PRTNTN77B11H501P</t>
  </si>
  <si>
    <t xml:space="preserve">antonio.proietti@ilsole24ore.com                  </t>
  </si>
  <si>
    <t>CORSI FLAVIO</t>
  </si>
  <si>
    <t xml:space="preserve">B10140      </t>
  </si>
  <si>
    <t xml:space="preserve">GENOVA                          </t>
  </si>
  <si>
    <t>GNVLSN70C17G273J</t>
  </si>
  <si>
    <t xml:space="preserve">alessandro.genova@ilsole24ore.com                 </t>
  </si>
  <si>
    <t xml:space="preserve">LA ROCCHIA                      </t>
  </si>
  <si>
    <t>LRCNTN73T09H501L</t>
  </si>
  <si>
    <t>INVALIDI PER SERVIZIO</t>
  </si>
  <si>
    <t xml:space="preserve">antonio.larocchia@ilsole24ore.com                 </t>
  </si>
  <si>
    <t xml:space="preserve">QUINTO                          </t>
  </si>
  <si>
    <t xml:space="preserve">MARIA CHIARA      </t>
  </si>
  <si>
    <t>QNTMCH74A70A669Z</t>
  </si>
  <si>
    <t xml:space="preserve">mariachiara.quinto@ilsole24ore.com                </t>
  </si>
  <si>
    <t xml:space="preserve">C12000      </t>
  </si>
  <si>
    <t>C12000  PRODUCT MANAGEMENT</t>
  </si>
  <si>
    <t xml:space="preserve">BATTISTON                       </t>
  </si>
  <si>
    <t>BTTCST73R65L736D</t>
  </si>
  <si>
    <t xml:space="preserve">cristiana.battiston@ilsole24ore.com               </t>
  </si>
  <si>
    <t xml:space="preserve">BOSCARINO                       </t>
  </si>
  <si>
    <t>BSCGPP81M44I754H</t>
  </si>
  <si>
    <t xml:space="preserve">giuseppina.boscarino@ilsole24ore.com              </t>
  </si>
  <si>
    <t xml:space="preserve">DI PIETRO                       </t>
  </si>
  <si>
    <t xml:space="preserve">ALESSIA           </t>
  </si>
  <si>
    <t>DPTLSS75M41H501L</t>
  </si>
  <si>
    <t xml:space="preserve">alessia.dipietro@ilsole24ore.com                  </t>
  </si>
  <si>
    <t xml:space="preserve">GABOARDI                        </t>
  </si>
  <si>
    <t>GBRLSN76L04F205P</t>
  </si>
  <si>
    <t xml:space="preserve">alessandro.gaboardi@ilsole24ore.com               </t>
  </si>
  <si>
    <t xml:space="preserve">GRASSO                          </t>
  </si>
  <si>
    <t>GRSRNT72D12F839Y</t>
  </si>
  <si>
    <t xml:space="preserve">renato.grasso@ilsole24ore.com                     </t>
  </si>
  <si>
    <t xml:space="preserve">G12410      </t>
  </si>
  <si>
    <t>G12410   MARKETING SERVIZI PROFESSIONALI</t>
  </si>
  <si>
    <t xml:space="preserve">CORSI                           </t>
  </si>
  <si>
    <t>CRSFLV68D02H501P</t>
  </si>
  <si>
    <t xml:space="preserve">flavio.corsi@ilsole24ore.com                      </t>
  </si>
  <si>
    <t xml:space="preserve">G1241001    </t>
  </si>
  <si>
    <t>G1241001 ANALISI MKTG E REPORTING - PROF</t>
  </si>
  <si>
    <t xml:space="preserve">BRAGHIERI                       </t>
  </si>
  <si>
    <t>BRGMRA80D24G535U</t>
  </si>
  <si>
    <t xml:space="preserve">mauro.braghieri@ilsole24ore.com                   </t>
  </si>
  <si>
    <t xml:space="preserve">GATTI                           </t>
  </si>
  <si>
    <t>GTTFRC71L23H501K</t>
  </si>
  <si>
    <t xml:space="preserve">federico.gatti@ilsole24ore.com                    </t>
  </si>
  <si>
    <t xml:space="preserve">ZINNO                           </t>
  </si>
  <si>
    <t>ZNNGPP75M30G942E</t>
  </si>
  <si>
    <t xml:space="preserve">giuseppe.zinno@ilsole24ore.com                    </t>
  </si>
  <si>
    <t xml:space="preserve">LONGHI                          </t>
  </si>
  <si>
    <t xml:space="preserve">IVAN CARLO        </t>
  </si>
  <si>
    <t>LNGVCR71L08F965F</t>
  </si>
  <si>
    <t xml:space="preserve">ivan.longhi@ilsole24ore.com                       </t>
  </si>
  <si>
    <t xml:space="preserve">H06 </t>
  </si>
  <si>
    <t>FIORETTI EMMA</t>
  </si>
  <si>
    <t xml:space="preserve">CASAMASSIMA                     </t>
  </si>
  <si>
    <t xml:space="preserve">FABIANA           </t>
  </si>
  <si>
    <t>CSMFBN76C64L424D</t>
  </si>
  <si>
    <t xml:space="preserve">fabiana.casamassima@ilsole24ore.com               </t>
  </si>
  <si>
    <t xml:space="preserve">D'ARTIBALE                      </t>
  </si>
  <si>
    <t>DRTSLV76R58H501A</t>
  </si>
  <si>
    <t xml:space="preserve">silvia.dartibale@ilsole24ore.com                  </t>
  </si>
  <si>
    <t xml:space="preserve">DI NISIO                        </t>
  </si>
  <si>
    <t xml:space="preserve">FLAVIANO          </t>
  </si>
  <si>
    <t>DNSFVN74H13H501W</t>
  </si>
  <si>
    <t xml:space="preserve">flaviano.dinisio@ilsole24ore.com                  </t>
  </si>
  <si>
    <t xml:space="preserve">FERRACCI                        </t>
  </si>
  <si>
    <t>FRRVNT75T57H501U</t>
  </si>
  <si>
    <t xml:space="preserve">valentina.ferracci@ilsole24ore.com                </t>
  </si>
  <si>
    <t xml:space="preserve">FIORETTI                        </t>
  </si>
  <si>
    <t xml:space="preserve">EMMA              </t>
  </si>
  <si>
    <t>FRTMME65C52H501D</t>
  </si>
  <si>
    <t xml:space="preserve">emma.fioretti@ilsole24ore.com                     </t>
  </si>
  <si>
    <t>BULGARELLI ENNIO</t>
  </si>
  <si>
    <t xml:space="preserve">MORABITO                        </t>
  </si>
  <si>
    <t>MRBGNN72C46B300W</t>
  </si>
  <si>
    <t xml:space="preserve">giovanna.morabito@ilsole24ore.com                 </t>
  </si>
  <si>
    <t xml:space="preserve">DAVIDE            </t>
  </si>
  <si>
    <t xml:space="preserve">SALINO                          </t>
  </si>
  <si>
    <t>SLNCST69E68H501Y</t>
  </si>
  <si>
    <t xml:space="preserve">cristiana.salino@ilsole24ore.com                  </t>
  </si>
  <si>
    <t xml:space="preserve">TANTURRI                        </t>
  </si>
  <si>
    <t>TNTMSM71R24H501E</t>
  </si>
  <si>
    <t xml:space="preserve">massimiliano.tanturri@ilsole24ore.com             </t>
  </si>
  <si>
    <t xml:space="preserve">TOMASSETTI                      </t>
  </si>
  <si>
    <t>TMSSFN70M28H501C</t>
  </si>
  <si>
    <t xml:space="preserve">stefano.tomassetti@ilsole24ore.com                </t>
  </si>
  <si>
    <t xml:space="preserve">BULGARELLI                      </t>
  </si>
  <si>
    <t xml:space="preserve">ENNIO             </t>
  </si>
  <si>
    <t>BLGNNE61S14A794G</t>
  </si>
  <si>
    <t xml:space="preserve">ennio.bulgarelli@ilsole24ore.com                  </t>
  </si>
  <si>
    <t>815400   REDAZIONE DIRITTO E FONTI NORM.</t>
  </si>
  <si>
    <t>DE SANCTIS FULVIA PAOLA</t>
  </si>
  <si>
    <t xml:space="preserve">COCCO                           </t>
  </si>
  <si>
    <t xml:space="preserve">SABRINA           </t>
  </si>
  <si>
    <t>CCCSRN71E55H501M</t>
  </si>
  <si>
    <t xml:space="preserve">sabrina.cocco@ilsole24ore.com                     </t>
  </si>
  <si>
    <t xml:space="preserve">DE SANCTIS                      </t>
  </si>
  <si>
    <t xml:space="preserve">FULVIA PAOLA      </t>
  </si>
  <si>
    <t>DSNFVP68R55A515V</t>
  </si>
  <si>
    <t xml:space="preserve">fulvia.desanctis@ilsole24ore.com                  </t>
  </si>
  <si>
    <t xml:space="preserve">GIOVANNONI                      </t>
  </si>
  <si>
    <t>GVNDNL61A67H501U</t>
  </si>
  <si>
    <t xml:space="preserve">daniela.giovannoni@ilsole24ore.com                </t>
  </si>
  <si>
    <t xml:space="preserve">INGRETOLLI                      </t>
  </si>
  <si>
    <t xml:space="preserve">MARIA DANIELA     </t>
  </si>
  <si>
    <t>NGRMDN66M64H501K</t>
  </si>
  <si>
    <t xml:space="preserve">daniela.ingretolli@ilsole24ore.com                </t>
  </si>
  <si>
    <t xml:space="preserve">MELONI                          </t>
  </si>
  <si>
    <t>MLNMRC67A15H501Y</t>
  </si>
  <si>
    <t xml:space="preserve">marco.meloni@ilsole24ore.com                      </t>
  </si>
  <si>
    <t xml:space="preserve">MILANI                          </t>
  </si>
  <si>
    <t>MLNFBN74B59H501E</t>
  </si>
  <si>
    <t xml:space="preserve">fabiana.milani@ilsole24ore.com                    </t>
  </si>
  <si>
    <t xml:space="preserve">MOLLO                           </t>
  </si>
  <si>
    <t xml:space="preserve">MARIA ELISA       </t>
  </si>
  <si>
    <t>MLLMLS63L67H183E</t>
  </si>
  <si>
    <t xml:space="preserve">mariaelisa.mollo@ilsole24ore.com                  </t>
  </si>
  <si>
    <t xml:space="preserve">PICCIOCCHI                      </t>
  </si>
  <si>
    <t>PCCPLA66P63H501I</t>
  </si>
  <si>
    <t xml:space="preserve">paola.picciocchi@ilsole24ore.com                  </t>
  </si>
  <si>
    <t xml:space="preserve">SANTOLAMAZZA                    </t>
  </si>
  <si>
    <t>SNTBBR72C69L182C</t>
  </si>
  <si>
    <t xml:space="preserve">barbara.santolamazza@ilsole24ore.com              </t>
  </si>
  <si>
    <t xml:space="preserve">TRALDI                          </t>
  </si>
  <si>
    <t>TRLBBR73B46H501I</t>
  </si>
  <si>
    <t xml:space="preserve">barbara.traldi@ilsole24ore.com                    </t>
  </si>
  <si>
    <t xml:space="preserve">G12000      </t>
  </si>
  <si>
    <t>G12000   REDAZIONE AREE TECNICHE E P.A.</t>
  </si>
  <si>
    <t xml:space="preserve">ASCIONE                         </t>
  </si>
  <si>
    <t xml:space="preserve">ISABELLA          </t>
  </si>
  <si>
    <t>SCNSLL74T64I838K</t>
  </si>
  <si>
    <t xml:space="preserve">isabella.ascione@ilsole24ore.com                  </t>
  </si>
  <si>
    <t xml:space="preserve">FURNO                           </t>
  </si>
  <si>
    <t>FRNPLA71P56B963P</t>
  </si>
  <si>
    <t xml:space="preserve">paola.furno@ilsole24ore.com                       </t>
  </si>
  <si>
    <t>ASCIONE ISABELLA</t>
  </si>
  <si>
    <t xml:space="preserve">LALLI                           </t>
  </si>
  <si>
    <t xml:space="preserve">MARIA IDA         </t>
  </si>
  <si>
    <t>LLLMRD72E41A345U</t>
  </si>
  <si>
    <t xml:space="preserve">mariaIda.lalli@ilsole24ore.com                    </t>
  </si>
  <si>
    <t xml:space="preserve">SALAPARUTA                      </t>
  </si>
  <si>
    <t xml:space="preserve">CORINNA           </t>
  </si>
  <si>
    <t>SLPCNN70M42H501V</t>
  </si>
  <si>
    <t xml:space="preserve">corinna.salaparuta@ilsole24ore.com                </t>
  </si>
  <si>
    <t xml:space="preserve">TUDINI                          </t>
  </si>
  <si>
    <t>TDNMNC71L42H501S</t>
  </si>
  <si>
    <t xml:space="preserve">monica.tudini@ilsole24ore.com                     </t>
  </si>
  <si>
    <t xml:space="preserve">E11000      </t>
  </si>
  <si>
    <t xml:space="preserve">GIANOTTI                        </t>
  </si>
  <si>
    <t>GNTNDR74A12A940D</t>
  </si>
  <si>
    <t xml:space="preserve">andrea.gianotti@ilsole24ore.com                   </t>
  </si>
  <si>
    <t xml:space="preserve">GUERRA                          </t>
  </si>
  <si>
    <t>GRRMRC77H05C933T</t>
  </si>
  <si>
    <t xml:space="preserve">marco.guerra@ilsole24ore.com                      </t>
  </si>
  <si>
    <t>GIANOTTI ANDREA</t>
  </si>
  <si>
    <t xml:space="preserve">MONTEVERDI                      </t>
  </si>
  <si>
    <t>MNTNDR74M28F205J</t>
  </si>
  <si>
    <t xml:space="preserve">andrea.monteverdi@ilsole24ore.com                 </t>
  </si>
  <si>
    <t xml:space="preserve">ROSANNA           </t>
  </si>
  <si>
    <t xml:space="preserve">MOSCATELLI                      </t>
  </si>
  <si>
    <t>MSCLBT67P61F205V</t>
  </si>
  <si>
    <t xml:space="preserve">elisabetta.moscatelli@ilsole24ore.com             </t>
  </si>
  <si>
    <t xml:space="preserve">NOVELLINI                       </t>
  </si>
  <si>
    <t>NVLVLR62P67B110D</t>
  </si>
  <si>
    <t xml:space="preserve">valeria.novellini@ilsole24ore.com                 </t>
  </si>
  <si>
    <t xml:space="preserve">TANTARDINI                      </t>
  </si>
  <si>
    <t xml:space="preserve">CINZIA LEONIA     </t>
  </si>
  <si>
    <t>TNTCZL61R43L319W</t>
  </si>
  <si>
    <t xml:space="preserve">cinzia.tantardini@ilsole24ore.com                 </t>
  </si>
  <si>
    <t xml:space="preserve">G1240010    </t>
  </si>
  <si>
    <t xml:space="preserve">MERLI                           </t>
  </si>
  <si>
    <t xml:space="preserve">IVO               </t>
  </si>
  <si>
    <t>MRLVIO67C31H264U</t>
  </si>
  <si>
    <t xml:space="preserve">ivo.merli@ilsole24ore.com                         </t>
  </si>
  <si>
    <t xml:space="preserve">TULLII                          </t>
  </si>
  <si>
    <t>TLLCST77T48F205Q</t>
  </si>
  <si>
    <t xml:space="preserve">cristiana.tullii@ilsole24ore.com                  </t>
  </si>
  <si>
    <t xml:space="preserve">G1240020    </t>
  </si>
  <si>
    <t>G1240020 SOLUZIONI RADIOCOR</t>
  </si>
  <si>
    <t xml:space="preserve">DE FAZIO                        </t>
  </si>
  <si>
    <t>DFZPLA67L58C352T</t>
  </si>
  <si>
    <t xml:space="preserve">paola.defazio@ilsole24ore.com                     </t>
  </si>
  <si>
    <t xml:space="preserve">RENZI                           </t>
  </si>
  <si>
    <t xml:space="preserve">LISETTA           </t>
  </si>
  <si>
    <t>RNZLTT66M57A944B</t>
  </si>
  <si>
    <t xml:space="preserve">lisetta.renzi@ilsole24ore.com                     </t>
  </si>
  <si>
    <t xml:space="preserve">R14300      </t>
  </si>
  <si>
    <t xml:space="preserve">GUGLIELMI                       </t>
  </si>
  <si>
    <t>GGLLRT69E31H501P</t>
  </si>
  <si>
    <t xml:space="preserve">alberto.guglielmi@ilsole24ore.com                 </t>
  </si>
  <si>
    <t xml:space="preserve">ZAMBARBIERI                     </t>
  </si>
  <si>
    <t>ZMBNDA66M53F205Z</t>
  </si>
  <si>
    <t xml:space="preserve">nadia.zambarbieri@ilsole24ore.com                 </t>
  </si>
  <si>
    <t xml:space="preserve">K           </t>
  </si>
  <si>
    <t>REDAZIONI GIORNALISTICHE</t>
  </si>
  <si>
    <t>514000   DIREZIONE QUOTIDIANO</t>
  </si>
  <si>
    <t xml:space="preserve">AV </t>
  </si>
  <si>
    <t xml:space="preserve">GBM </t>
  </si>
  <si>
    <t xml:space="preserve">GSS </t>
  </si>
  <si>
    <t xml:space="preserve">TAMBURINI                       </t>
  </si>
  <si>
    <t xml:space="preserve">FABIO ANTONIO     </t>
  </si>
  <si>
    <t>TMBFNT54H23F205G</t>
  </si>
  <si>
    <t xml:space="preserve">fabio.tamburini@ilsole24ore.com                   </t>
  </si>
  <si>
    <t>514100   REDAZIONI ITALIA</t>
  </si>
  <si>
    <t xml:space="preserve">AMADORE                         </t>
  </si>
  <si>
    <t xml:space="preserve">ANTONINO          </t>
  </si>
  <si>
    <t>MDRNNN67P02I199N</t>
  </si>
  <si>
    <t xml:space="preserve">PALERMO                </t>
  </si>
  <si>
    <t>RM2</t>
  </si>
  <si>
    <t xml:space="preserve">nino.amadore@ilsole24ore.com                      </t>
  </si>
  <si>
    <t xml:space="preserve">DE FORCADE DE BIAIX MARGOTTA    </t>
  </si>
  <si>
    <t xml:space="preserve">RAOUL             </t>
  </si>
  <si>
    <t>DFRRLA66P09D969H</t>
  </si>
  <si>
    <t xml:space="preserve">GENOVA                 </t>
  </si>
  <si>
    <t xml:space="preserve">raoul.deforcade@ilsole24ore.com                   </t>
  </si>
  <si>
    <t xml:space="preserve">GANZ                            </t>
  </si>
  <si>
    <t>GNZBBR69S49L565R</t>
  </si>
  <si>
    <t xml:space="preserve">barbara.ganz@ilsole24ore.com                      </t>
  </si>
  <si>
    <t xml:space="preserve">GRECO                           </t>
  </si>
  <si>
    <t>GRCFMN73L65B180W</t>
  </si>
  <si>
    <t xml:space="preserve">TORINO                 </t>
  </si>
  <si>
    <t xml:space="preserve">filomena.greco@ilsole24ore.com                    </t>
  </si>
  <si>
    <t xml:space="preserve">VIOLA                           </t>
  </si>
  <si>
    <t xml:space="preserve">VERA              </t>
  </si>
  <si>
    <t>VLIVRE63C60F839V</t>
  </si>
  <si>
    <t>PIAZZA DEI MARTIRI 58 - NAPOLI (NA)</t>
  </si>
  <si>
    <t xml:space="preserve">NAPOLI                 </t>
  </si>
  <si>
    <t>CSV</t>
  </si>
  <si>
    <t xml:space="preserve">vera.viola@ilsole24ore.com                        </t>
  </si>
  <si>
    <t>514210   REDAZIONE E CORRISP BRUXELLES</t>
  </si>
  <si>
    <t xml:space="preserve">BEDA              </t>
  </si>
  <si>
    <t>RMNBDE67D08H501Q</t>
  </si>
  <si>
    <t xml:space="preserve">beda.romano@ilsole24ore.com                       </t>
  </si>
  <si>
    <t xml:space="preserve">BUFACCHI                        </t>
  </si>
  <si>
    <t>BFCSLL61S57H501J</t>
  </si>
  <si>
    <t>CRV</t>
  </si>
  <si>
    <t>514300   REDAZIONE MILANO</t>
  </si>
  <si>
    <t xml:space="preserve">ANNICCHIARICO                   </t>
  </si>
  <si>
    <t>NNCLRT62C24A662F</t>
  </si>
  <si>
    <t xml:space="preserve">alberto.annicchiarico@ilsole24ore.com             </t>
  </si>
  <si>
    <t xml:space="preserve">AQUARO                          </t>
  </si>
  <si>
    <t xml:space="preserve">DARIO RAFFAELE    </t>
  </si>
  <si>
    <t>QRADRF80M21E986X</t>
  </si>
  <si>
    <t xml:space="preserve">dario.aquaro@ilsole24ore.com                      </t>
  </si>
  <si>
    <t xml:space="preserve">ATTUS                           </t>
  </si>
  <si>
    <t xml:space="preserve">ADRIANO           </t>
  </si>
  <si>
    <t>TTSDRN71P21I138S</t>
  </si>
  <si>
    <t xml:space="preserve">adriano.attus@ilsole24ore.com                     </t>
  </si>
  <si>
    <t xml:space="preserve">BARBIERO                        </t>
  </si>
  <si>
    <t>BRBMFR63D68F839B</t>
  </si>
  <si>
    <t xml:space="preserve">francesca.barbiero@ilsole24ore.com                </t>
  </si>
  <si>
    <t xml:space="preserve">BARTOLONI                       </t>
  </si>
  <si>
    <t xml:space="preserve">MARZIO            </t>
  </si>
  <si>
    <t>BRTMRZ71C13H501X</t>
  </si>
  <si>
    <t xml:space="preserve">marzio.bartoloni@ilsole24ore.com                  </t>
  </si>
  <si>
    <t xml:space="preserve">BATTOCLETTI                     </t>
  </si>
  <si>
    <t>BTTMCR72L55L483N</t>
  </si>
  <si>
    <t xml:space="preserve">cristina.battocletti@ilsole24ore.com              </t>
  </si>
  <si>
    <t xml:space="preserve">BELLINAZZO                      </t>
  </si>
  <si>
    <t>BLLMRC74D20F839M</t>
  </si>
  <si>
    <t xml:space="preserve">marco.bellinazzo@ilsole24ore.com                  </t>
  </si>
  <si>
    <t xml:space="preserve">BELLOMO                         </t>
  </si>
  <si>
    <t xml:space="preserve">ROSA MARIA        </t>
  </si>
  <si>
    <t>BLLRMR69A41L219E</t>
  </si>
  <si>
    <t xml:space="preserve">sissi.bellomo@ilsole24ore.com                     </t>
  </si>
  <si>
    <t xml:space="preserve">BENECCHI                        </t>
  </si>
  <si>
    <t>BNCLCU65E14H186T</t>
  </si>
  <si>
    <t xml:space="preserve">CR </t>
  </si>
  <si>
    <t xml:space="preserve">luca.benecchi@ilsole24ore.com                     </t>
  </si>
  <si>
    <t xml:space="preserve">BIOLCHINI                       </t>
  </si>
  <si>
    <t>BLCSFN70E04B354N</t>
  </si>
  <si>
    <t xml:space="preserve">stefano.biolchini@ilsole24ore.com                 </t>
  </si>
  <si>
    <t xml:space="preserve">BIONDI                          </t>
  </si>
  <si>
    <t>BNDNDR76T01A773V</t>
  </si>
  <si>
    <t xml:space="preserve">andrea.biondi@ilsole24ore.com                     </t>
  </si>
  <si>
    <t xml:space="preserve">BONGIORNI                       </t>
  </si>
  <si>
    <t>BNGRRT71E11F205T</t>
  </si>
  <si>
    <t xml:space="preserve">roberto.bongiorni@ilsole24ore.com                 </t>
  </si>
  <si>
    <t xml:space="preserve">BRICCO                          </t>
  </si>
  <si>
    <t>BRCPLA73D20E379G</t>
  </si>
  <si>
    <t xml:space="preserve">paolo.bricco@ilsole24ore.com                      </t>
  </si>
  <si>
    <t xml:space="preserve">BRONZO                          </t>
  </si>
  <si>
    <t xml:space="preserve">ENRICO            </t>
  </si>
  <si>
    <t>BRNNRC64P09G478O</t>
  </si>
  <si>
    <t xml:space="preserve">enrico.bronzo@ilsole24ore.com                     </t>
  </si>
  <si>
    <t xml:space="preserve">BUSSI                           </t>
  </si>
  <si>
    <t>BSSCHR71H41A479M</t>
  </si>
  <si>
    <t>27 H O GIORNALI075000000PP27.0/36- PT 75.00-P</t>
  </si>
  <si>
    <t xml:space="preserve">chiara.bussi@ilsole24ore.com                      </t>
  </si>
  <si>
    <t xml:space="preserve">CANDIDI                         </t>
  </si>
  <si>
    <t xml:space="preserve">ANDREA MARIA      </t>
  </si>
  <si>
    <t>CNDNRM63A03L182E</t>
  </si>
  <si>
    <t xml:space="preserve">andreamaria.candidi@ilsole24ore.com               </t>
  </si>
  <si>
    <t xml:space="preserve">CAPPELLINI                      </t>
  </si>
  <si>
    <t xml:space="preserve">MICAELA           </t>
  </si>
  <si>
    <t>CPPMCL75S59M126K</t>
  </si>
  <si>
    <t xml:space="preserve">micaela.cappellini@ilsole24ore.com                </t>
  </si>
  <si>
    <t xml:space="preserve">CAPRINO                         </t>
  </si>
  <si>
    <t>CPRMRZ68D28F158X</t>
  </si>
  <si>
    <t xml:space="preserve">maurizio.caprino@ilsole24ore.com                  </t>
  </si>
  <si>
    <t xml:space="preserve">CARLINI                         </t>
  </si>
  <si>
    <t>CRLVTR68L04D969J</t>
  </si>
  <si>
    <t xml:space="preserve">vittorio.carlini@ilsole24ore.com                  </t>
  </si>
  <si>
    <t xml:space="preserve">CASADEI                         </t>
  </si>
  <si>
    <t>CSDCST76E52I304Z</t>
  </si>
  <si>
    <t xml:space="preserve">cristina.casadei@ilsole24ore.com                  </t>
  </si>
  <si>
    <t xml:space="preserve">MARTA             </t>
  </si>
  <si>
    <t>CSDMRT83T63G388C</t>
  </si>
  <si>
    <t xml:space="preserve">marta.casadei@ilsole24ore.com                     </t>
  </si>
  <si>
    <t xml:space="preserve">CATTANEO                        </t>
  </si>
  <si>
    <t>CTTLRA79A58I628W</t>
  </si>
  <si>
    <t xml:space="preserve">laura.cattaneo@ilsole24ore.com                    </t>
  </si>
  <si>
    <t xml:space="preserve">CAVESTRI                        </t>
  </si>
  <si>
    <t>CVSLRA74M52L219O</t>
  </si>
  <si>
    <t xml:space="preserve">laura.cavestri@ilsole24ore.com                    </t>
  </si>
  <si>
    <t xml:space="preserve">CELLINO                         </t>
  </si>
  <si>
    <t xml:space="preserve">MAXIMILIAN        </t>
  </si>
  <si>
    <t>CLLMML70C23H501I</t>
  </si>
  <si>
    <t xml:space="preserve">maximilian.cellino@ilsole24ore.com                </t>
  </si>
  <si>
    <t xml:space="preserve">CEPPETELLI CAPRINI              </t>
  </si>
  <si>
    <t xml:space="preserve">BALDUINO          </t>
  </si>
  <si>
    <t>CPPBDN62D17H501C</t>
  </si>
  <si>
    <t xml:space="preserve">balduino.ceppetelli@ilsole24ore.com               </t>
  </si>
  <si>
    <t xml:space="preserve">CHIERCHIA                       </t>
  </si>
  <si>
    <t>CHRVCN60T03L245Y</t>
  </si>
  <si>
    <t xml:space="preserve">vincenzo.chierchia@ilsole24ore.com                </t>
  </si>
  <si>
    <t xml:space="preserve">COLLEDANI                       </t>
  </si>
  <si>
    <t xml:space="preserve">MARIA LUISA       </t>
  </si>
  <si>
    <t>CLLMLS72R44I904C</t>
  </si>
  <si>
    <t xml:space="preserve">marialuisa.colledani@ilsole24ore.com              </t>
  </si>
  <si>
    <t xml:space="preserve">CRISCIONE                       </t>
  </si>
  <si>
    <t>CRSNTN64C30A755H</t>
  </si>
  <si>
    <t xml:space="preserve">antonio.criscione@ilsole24ore.com                 </t>
  </si>
  <si>
    <t xml:space="preserve">CRIVELLI                        </t>
  </si>
  <si>
    <t xml:space="preserve">GIULIA VALENTINA  </t>
  </si>
  <si>
    <t>CRVGVL69R61F205Q</t>
  </si>
  <si>
    <t xml:space="preserve">RE </t>
  </si>
  <si>
    <t xml:space="preserve">giulia.crivelli@ilsole24ore.com                   </t>
  </si>
  <si>
    <t xml:space="preserve">D'AMBROSIO                      </t>
  </si>
  <si>
    <t>DMBNRT68T51F839T</t>
  </si>
  <si>
    <t xml:space="preserve">GN  </t>
  </si>
  <si>
    <t xml:space="preserve">D'ANGERIO                       </t>
  </si>
  <si>
    <t xml:space="preserve">VITALIANO         </t>
  </si>
  <si>
    <t>DNGVLN67H27I073Y</t>
  </si>
  <si>
    <t xml:space="preserve">vitaliano.dangerio@ilsole24ore.com                </t>
  </si>
  <si>
    <t xml:space="preserve">D'ASCENZO                       </t>
  </si>
  <si>
    <t>DSCMNC71D64F205X</t>
  </si>
  <si>
    <t xml:space="preserve">monica.dascenzo@ilsole24ore.com                   </t>
  </si>
  <si>
    <t xml:space="preserve">DA RIN BETTINA                  </t>
  </si>
  <si>
    <t>DRNRRT60M07F205F</t>
  </si>
  <si>
    <t xml:space="preserve">roberto.darin@ilsole24ore.com                     </t>
  </si>
  <si>
    <t xml:space="preserve">DAVI                            </t>
  </si>
  <si>
    <t>DVALCU81A03D969O</t>
  </si>
  <si>
    <t xml:space="preserve">luca.davi@ilsole24ore.com                         </t>
  </si>
  <si>
    <t xml:space="preserve">DECESARI                        </t>
  </si>
  <si>
    <t xml:space="preserve">SEVERINA          </t>
  </si>
  <si>
    <t>DCSSRN62C56F952I</t>
  </si>
  <si>
    <t xml:space="preserve">mariacarla.decesari@ilsole24ore.com               </t>
  </si>
  <si>
    <t xml:space="preserve">DEL BO                          </t>
  </si>
  <si>
    <t xml:space="preserve">JEAN MARIE        </t>
  </si>
  <si>
    <t>DLBJMR66A03Z110O</t>
  </si>
  <si>
    <t xml:space="preserve">jean.delbo@ilsole24ore.com                        </t>
  </si>
  <si>
    <t xml:space="preserve">DELLA VALLE                     </t>
  </si>
  <si>
    <t xml:space="preserve">MARIA ISABELLA    </t>
  </si>
  <si>
    <t>DLLMSB67B43Z401K</t>
  </si>
  <si>
    <t xml:space="preserve">isabella.dellavalle@ilsole24ore.com               </t>
  </si>
  <si>
    <t xml:space="preserve">DEZZA                           </t>
  </si>
  <si>
    <t>DZZPLA68L69F205V</t>
  </si>
  <si>
    <t xml:space="preserve">paola.dezza@ilsole24ore.com                       </t>
  </si>
  <si>
    <t xml:space="preserve">DI CARO                         </t>
  </si>
  <si>
    <t xml:space="preserve">ELIANA            </t>
  </si>
  <si>
    <t>DCRLNE72E70F052A</t>
  </si>
  <si>
    <t xml:space="preserve">eliana.dicaro@ilsole24ore.com                     </t>
  </si>
  <si>
    <t xml:space="preserve">DI DONFRANCESCO                 </t>
  </si>
  <si>
    <t>DDNGLC72L04E388I</t>
  </si>
  <si>
    <t xml:space="preserve">gianluca.didonfrancesco@ilsole24ore.com           </t>
  </si>
  <si>
    <t xml:space="preserve">ELLI                            </t>
  </si>
  <si>
    <t>LLESFN62E25F205C</t>
  </si>
  <si>
    <t xml:space="preserve">stefano.elli@ilsole24ore.com                      </t>
  </si>
  <si>
    <t xml:space="preserve">T1 </t>
  </si>
  <si>
    <t xml:space="preserve">FESTA                           </t>
  </si>
  <si>
    <t>FSTCRL66L10F205M</t>
  </si>
  <si>
    <t xml:space="preserve">carlo.festa@ilsole24ore.com                       </t>
  </si>
  <si>
    <t xml:space="preserve">FILIPPETTI                      </t>
  </si>
  <si>
    <t>FLPSMN73E09E256Z</t>
  </si>
  <si>
    <t xml:space="preserve">simone.filippetti@ilsole24ore.com                 </t>
  </si>
  <si>
    <t xml:space="preserve">FOSSATI                         </t>
  </si>
  <si>
    <t>GLMLSN66H27I625T</t>
  </si>
  <si>
    <t xml:space="preserve">alessandro.galimberti@ilsole24ore.com             </t>
  </si>
  <si>
    <t xml:space="preserve">GALVAGNI                        </t>
  </si>
  <si>
    <t>GLVLRA75R47E565M</t>
  </si>
  <si>
    <t xml:space="preserve">laura.galvagni@ilsole24ore.com                    </t>
  </si>
  <si>
    <t xml:space="preserve">GAMBA                           </t>
  </si>
  <si>
    <t>GMBCST68C47G388T</t>
  </si>
  <si>
    <t xml:space="preserve">cristiana.gamba@ilsole24ore.com                   </t>
  </si>
  <si>
    <t xml:space="preserve">GENNAI                          </t>
  </si>
  <si>
    <t>GNNNDR69P07G702B</t>
  </si>
  <si>
    <t xml:space="preserve">andrea.gennai@ilsole24ore.com                     </t>
  </si>
  <si>
    <t xml:space="preserve">GERVASIO                        </t>
  </si>
  <si>
    <t xml:space="preserve">MARIA             </t>
  </si>
  <si>
    <t>GRVMRA73H61C495I</t>
  </si>
  <si>
    <t xml:space="preserve">marika.gervasio@ilsole24ore.com                   </t>
  </si>
  <si>
    <t xml:space="preserve">GIAMMARIOLI                     </t>
  </si>
  <si>
    <t>GMMCLD74D24G478E</t>
  </si>
  <si>
    <t xml:space="preserve">claudio.giammarioli@ilsole24ore.com               </t>
  </si>
  <si>
    <t xml:space="preserve">GRASSANI                        </t>
  </si>
  <si>
    <t>GRSLRT70H22F205Q</t>
  </si>
  <si>
    <t xml:space="preserve">alberto.grassani@ilsole24ore.com                  </t>
  </si>
  <si>
    <t xml:space="preserve">GRATTAGLIANO                    </t>
  </si>
  <si>
    <t>GRTFBA69E22C975E</t>
  </si>
  <si>
    <t xml:space="preserve">fabio.grattagliano@ilsole24ore.com                </t>
  </si>
  <si>
    <t>GRZLSN64P10D612J</t>
  </si>
  <si>
    <t xml:space="preserve">alessandro.graziani@ilsole24ore.com               </t>
  </si>
  <si>
    <t xml:space="preserve">INCORVATI                       </t>
  </si>
  <si>
    <t xml:space="preserve">LUCILLA           </t>
  </si>
  <si>
    <t>NCRLLL64T47C632F</t>
  </si>
  <si>
    <t xml:space="preserve">lucilla.incorvati@ilsole24ore.com                 </t>
  </si>
  <si>
    <t xml:space="preserve">IOTTI                           </t>
  </si>
  <si>
    <t>TTIRRT62C27C933O</t>
  </si>
  <si>
    <t xml:space="preserve">roberto.iotti@ilsole24ore.com                     </t>
  </si>
  <si>
    <t xml:space="preserve">LA POSTA                        </t>
  </si>
  <si>
    <t>LPSLRA69L59F839W</t>
  </si>
  <si>
    <t xml:space="preserve">laura.laposta@ilsole24ore.com                     </t>
  </si>
  <si>
    <t xml:space="preserve">LATOUR                          </t>
  </si>
  <si>
    <t>LTRGPP81L27H703Z</t>
  </si>
  <si>
    <t xml:space="preserve">giuseppe.latour@ilsole24ore.com                   </t>
  </si>
  <si>
    <t xml:space="preserve">MORYA             </t>
  </si>
  <si>
    <t>LNGMRY75T04F205O</t>
  </si>
  <si>
    <t xml:space="preserve">morya.longo@ilsole24ore.com                       </t>
  </si>
  <si>
    <t xml:space="preserve">LOPS                            </t>
  </si>
  <si>
    <t xml:space="preserve">VITO              </t>
  </si>
  <si>
    <t>LPSVTI78H30A285Q</t>
  </si>
  <si>
    <t xml:space="preserve">vito.lops@ilsole24ore.com                         </t>
  </si>
  <si>
    <t xml:space="preserve">MACIOCCHI                       </t>
  </si>
  <si>
    <t>MCCPRZ60C69H501K</t>
  </si>
  <si>
    <t xml:space="preserve">patrizia.maciocchi@ilsole24ore.com                </t>
  </si>
  <si>
    <t xml:space="preserve">MANCINI                         </t>
  </si>
  <si>
    <t>MNCGNN78E48L736W</t>
  </si>
  <si>
    <t xml:space="preserve">giovanna.mancini@ilsole24ore.com                  </t>
  </si>
  <si>
    <t xml:space="preserve">MANGANO                         </t>
  </si>
  <si>
    <t xml:space="preserve">MARIGIA           </t>
  </si>
  <si>
    <t>MNGMRG75R42A662H</t>
  </si>
  <si>
    <t xml:space="preserve">marigia.mangano@ilsole24ore.com                   </t>
  </si>
  <si>
    <t xml:space="preserve">MASCIAGA                        </t>
  </si>
  <si>
    <t>MSCMRC73P30E379Z</t>
  </si>
  <si>
    <t xml:space="preserve">marco.masciaga@ilsole24ore.com                    </t>
  </si>
  <si>
    <t xml:space="preserve">ARMANDO           </t>
  </si>
  <si>
    <t xml:space="preserve">MENEGHELLO                      </t>
  </si>
  <si>
    <t>MNGMTT76M13B157H</t>
  </si>
  <si>
    <t xml:space="preserve">matteo.meneghello@ilsole24ore.com                 </t>
  </si>
  <si>
    <t xml:space="preserve">MICARDI                         </t>
  </si>
  <si>
    <t xml:space="preserve">FEDERICA          </t>
  </si>
  <si>
    <t>MCRFRC68L70F205X</t>
  </si>
  <si>
    <t xml:space="preserve">federica.micardi@ilsole24ore.com                  </t>
  </si>
  <si>
    <t xml:space="preserve">MINCIOTTI                       </t>
  </si>
  <si>
    <t xml:space="preserve">guido.minciotti@ilsole24ore.com                   </t>
  </si>
  <si>
    <t xml:space="preserve">MIRAGLIA                        </t>
  </si>
  <si>
    <t>MRGRRT64T42B157D</t>
  </si>
  <si>
    <t xml:space="preserve">roberta.miraglia@ilsole24ore.com                  </t>
  </si>
  <si>
    <t xml:space="preserve">MISSIERI                        </t>
  </si>
  <si>
    <t>MSSNTN68B13G535Y</t>
  </si>
  <si>
    <t xml:space="preserve">antonio.missieri@ilsole24ore.com                  </t>
  </si>
  <si>
    <t xml:space="preserve">MONACI                          </t>
  </si>
  <si>
    <t>MNCSRA77P69E202A</t>
  </si>
  <si>
    <t xml:space="preserve">sara.monaci@ilsole24ore.com                       </t>
  </si>
  <si>
    <t xml:space="preserve">MONTI                           </t>
  </si>
  <si>
    <t xml:space="preserve">MARA              </t>
  </si>
  <si>
    <t>MNTMRA62B68A944L</t>
  </si>
  <si>
    <t xml:space="preserve">mara.monti@ilsole24ore.com                        </t>
  </si>
  <si>
    <t xml:space="preserve">MORINO                          </t>
  </si>
  <si>
    <t xml:space="preserve">MARCO VITTORIO    </t>
  </si>
  <si>
    <t>MRNMCV63S23H570E</t>
  </si>
  <si>
    <t xml:space="preserve">marco.morino@ilsole24ore.com                      </t>
  </si>
  <si>
    <t xml:space="preserve">NARRACCI                        </t>
  </si>
  <si>
    <t>NRRFNC66H28C975S</t>
  </si>
  <si>
    <t xml:space="preserve">francesco.narracci@ilsole24ore.com                </t>
  </si>
  <si>
    <t xml:space="preserve">NASO                            </t>
  </si>
  <si>
    <t xml:space="preserve">GESUELE           </t>
  </si>
  <si>
    <t>NSAGSL67M05H224O</t>
  </si>
  <si>
    <t xml:space="preserve">lello.naso@ilsole24ore.com                        </t>
  </si>
  <si>
    <t xml:space="preserve">NEGRI                           </t>
  </si>
  <si>
    <t>NGRGNN65M08F205X</t>
  </si>
  <si>
    <t xml:space="preserve">giovanni.negri@ilsole24ore.com                    </t>
  </si>
  <si>
    <t xml:space="preserve">NETTI                           </t>
  </si>
  <si>
    <t xml:space="preserve">ENRICO CAIO MAURO </t>
  </si>
  <si>
    <t>NTTNCC59S09F205V</t>
  </si>
  <si>
    <t xml:space="preserve">enrico.netti@ilsole24ore.com                      </t>
  </si>
  <si>
    <t xml:space="preserve">OLIVIERI                        </t>
  </si>
  <si>
    <t>LVRNNL60A44F205Z</t>
  </si>
  <si>
    <t xml:space="preserve">antonella.olivieri@ilsole24ore.com                </t>
  </si>
  <si>
    <t xml:space="preserve">ORLANDO                         </t>
  </si>
  <si>
    <t xml:space="preserve">LUCA ENRICO       </t>
  </si>
  <si>
    <t>RLNLNR66A09F205X</t>
  </si>
  <si>
    <t xml:space="preserve">luca.orlando@ilsole24ore.com                      </t>
  </si>
  <si>
    <t xml:space="preserve">PEZZATTI                        </t>
  </si>
  <si>
    <t>PZZFRC69T61F205D</t>
  </si>
  <si>
    <t xml:space="preserve">federica.pezzatti@ilsole24ore.com                 </t>
  </si>
  <si>
    <t xml:space="preserve">PIGNATELLI                      </t>
  </si>
  <si>
    <t>PGNMHL70C03L872K</t>
  </si>
  <si>
    <t xml:space="preserve">michele.pignatelli@ilsole24ore.com                </t>
  </si>
  <si>
    <t xml:space="preserve">PIRRELLI                        </t>
  </si>
  <si>
    <t xml:space="preserve">MARILENA          </t>
  </si>
  <si>
    <t>PRRMLN63R45A662W</t>
  </si>
  <si>
    <t xml:space="preserve">marilena.pirrelli@ilsole24ore.com                 </t>
  </si>
  <si>
    <t xml:space="preserve">PIZZIN                          </t>
  </si>
  <si>
    <t>PZZMRA63R10L424A</t>
  </si>
  <si>
    <t xml:space="preserve">mauro.pizzin@ilsole24ore.com                      </t>
  </si>
  <si>
    <t xml:space="preserve">PRIOSCHI                        </t>
  </si>
  <si>
    <t>PRSMTT71D02I441Y</t>
  </si>
  <si>
    <t xml:space="preserve">matteo.prioschi@ilsole24ore.com                   </t>
  </si>
  <si>
    <t xml:space="preserve">REDAELLI                        </t>
  </si>
  <si>
    <t>RDLMRZ66A52A940O</t>
  </si>
  <si>
    <t xml:space="preserve">marzia.redaelli@ilsole24ore.com                   </t>
  </si>
  <si>
    <t xml:space="preserve">RICCI                           </t>
  </si>
  <si>
    <t xml:space="preserve">LARA ALESSANDRA   </t>
  </si>
  <si>
    <t>RCCLLS76M54Z401H</t>
  </si>
  <si>
    <t xml:space="preserve">lara.ricci@ilsole24ore.com                        </t>
  </si>
  <si>
    <t xml:space="preserve">SALIS                           </t>
  </si>
  <si>
    <t>SLSSFN70T06B745E</t>
  </si>
  <si>
    <t xml:space="preserve">stefano.salis@ilsole24ore.com                     </t>
  </si>
  <si>
    <t xml:space="preserve">SGAMBATO                        </t>
  </si>
  <si>
    <t>SGMMLN73C23B963E</t>
  </si>
  <si>
    <t xml:space="preserve">emiliano.sgambato@ilsole24ore.com                 </t>
  </si>
  <si>
    <t xml:space="preserve">SORRENTINO                      </t>
  </si>
  <si>
    <t>SRRRCR64B27L259A</t>
  </si>
  <si>
    <t xml:space="preserve">riccardo.sorrentino@ilsole24ore.com               </t>
  </si>
  <si>
    <t xml:space="preserve">URSINO                          </t>
  </si>
  <si>
    <t>RSNGFR68A30D969F</t>
  </si>
  <si>
    <t xml:space="preserve">gianfranco.ursino@ilsole24ore.com                 </t>
  </si>
  <si>
    <t xml:space="preserve">VALSANIA                        </t>
  </si>
  <si>
    <t>VLSMRC61S10L219T</t>
  </si>
  <si>
    <t xml:space="preserve">marco.valsania@ilsole24ore.com                    </t>
  </si>
  <si>
    <t xml:space="preserve">VERONESE                        </t>
  </si>
  <si>
    <t>VRNLCU71E05H620S</t>
  </si>
  <si>
    <t xml:space="preserve">luca.veronese@ilsole24ore.com                     </t>
  </si>
  <si>
    <t>514400   NOVA 24</t>
  </si>
  <si>
    <t xml:space="preserve">MACCAFERRI                      </t>
  </si>
  <si>
    <t>MCCLSS72M69A944I</t>
  </si>
  <si>
    <t xml:space="preserve">alessia.maccaferri@ilsole24ore.com                </t>
  </si>
  <si>
    <t xml:space="preserve">TREMOLADA                       </t>
  </si>
  <si>
    <t xml:space="preserve">LUCA STEFANO      </t>
  </si>
  <si>
    <t>TRMLST70B05D969Q</t>
  </si>
  <si>
    <t xml:space="preserve">luca.tremolada@ilsole24ore.com                    </t>
  </si>
  <si>
    <t>514500  LUNEDI'</t>
  </si>
  <si>
    <t xml:space="preserve">BRUNO                           </t>
  </si>
  <si>
    <t xml:space="preserve">EUGENIO           </t>
  </si>
  <si>
    <t>BRNGNE74S13H501Y</t>
  </si>
  <si>
    <t xml:space="preserve">eugenio.bruno@ilsole24ore.com                     </t>
  </si>
  <si>
    <t xml:space="preserve">DEL FREO                        </t>
  </si>
  <si>
    <t>DLFNNA62L66B832E</t>
  </si>
  <si>
    <t xml:space="preserve">DELL'OSTE                       </t>
  </si>
  <si>
    <t xml:space="preserve">CRISTIANO         </t>
  </si>
  <si>
    <t>DLLCST77L30B885Y</t>
  </si>
  <si>
    <t xml:space="preserve">cristiano.delloste@ilsole24ore.com                </t>
  </si>
  <si>
    <t xml:space="preserve">FRANCA            </t>
  </si>
  <si>
    <t xml:space="preserve">FINIZIO                         </t>
  </si>
  <si>
    <t>FNZMHL82R56G224E</t>
  </si>
  <si>
    <t xml:space="preserve">michela.finizio@ilsole24ore.com                   </t>
  </si>
  <si>
    <t xml:space="preserve">ILLIANO                         </t>
  </si>
  <si>
    <t>LLNLGU63S21L259Z</t>
  </si>
  <si>
    <t xml:space="preserve">luigi.illiano@ilsole24ore.com                     </t>
  </si>
  <si>
    <t xml:space="preserve">LANDOLFI                        </t>
  </si>
  <si>
    <t xml:space="preserve">FLAVIA            </t>
  </si>
  <si>
    <t>LNDFLV69P62H501I</t>
  </si>
  <si>
    <t xml:space="preserve">flavia.landolfi@ilsole24ore.com                   </t>
  </si>
  <si>
    <t xml:space="preserve">MAGLIONE                        </t>
  </si>
  <si>
    <t>MGLVNT77H41E379Q</t>
  </si>
  <si>
    <t xml:space="preserve">valentina.maglione@ilsole24ore.com                </t>
  </si>
  <si>
    <t xml:space="preserve">MAZZEI                          </t>
  </si>
  <si>
    <t xml:space="preserve">BIANCA LUCIA      </t>
  </si>
  <si>
    <t>MZZBCL66T71B496D</t>
  </si>
  <si>
    <t xml:space="preserve">biancalucia.mazzei@ilsole24ore.com                </t>
  </si>
  <si>
    <t xml:space="preserve">MELIS                           </t>
  </si>
  <si>
    <t xml:space="preserve">VALENTINA MARIA   </t>
  </si>
  <si>
    <t>MLSVNT75B41D969W</t>
  </si>
  <si>
    <t xml:space="preserve">valentina.melis@ilsole24ore.com                   </t>
  </si>
  <si>
    <t xml:space="preserve">UCCELLO                         </t>
  </si>
  <si>
    <t>CCLMRA72R68G273E</t>
  </si>
  <si>
    <t xml:space="preserve">serena.uccello@ilsole24ore.com                    </t>
  </si>
  <si>
    <t>514700   REDAZIONE ROMA</t>
  </si>
  <si>
    <t xml:space="preserve">BEGHELLI                        </t>
  </si>
  <si>
    <t>BGHCHR78D51D653W</t>
  </si>
  <si>
    <t xml:space="preserve">chiara.beghelli@ilsole24ore.com                   </t>
  </si>
  <si>
    <t xml:space="preserve">CARDUCCI ARTENISIO              </t>
  </si>
  <si>
    <t>CRDFBA64L24H501K</t>
  </si>
  <si>
    <t xml:space="preserve">fabio.carducci@ilsole24ore.com                    </t>
  </si>
  <si>
    <t xml:space="preserve">CARLI                           </t>
  </si>
  <si>
    <t>CRLNDR78B17H501W</t>
  </si>
  <si>
    <t xml:space="preserve">andrea.carli@ilsole24ore.com                      </t>
  </si>
  <si>
    <t xml:space="preserve">CIMMARUSTI                      </t>
  </si>
  <si>
    <t>CMMVNI78M12A662D</t>
  </si>
  <si>
    <t xml:space="preserve">ivan.cimmarusti@ilsole24ore.com                   </t>
  </si>
  <si>
    <t xml:space="preserve">COLOMBO                         </t>
  </si>
  <si>
    <t>CLMDVD63P30E514Y</t>
  </si>
  <si>
    <t xml:space="preserve">davide.colombo@ilsole24ore.com                    </t>
  </si>
  <si>
    <t xml:space="preserve">DI PILLO                        </t>
  </si>
  <si>
    <t>DPLLRA68B61A345U</t>
  </si>
  <si>
    <t xml:space="preserve">laura.dipillo@ilsole24ore.com                     </t>
  </si>
  <si>
    <t xml:space="preserve">DOMINELLI                       </t>
  </si>
  <si>
    <t xml:space="preserve">CELESTINA         </t>
  </si>
  <si>
    <t>DMNCST77L64D976F</t>
  </si>
  <si>
    <t xml:space="preserve">celestina.dominelli@ilsole24ore.com               </t>
  </si>
  <si>
    <t xml:space="preserve">FERRAZZA                        </t>
  </si>
  <si>
    <t>FRRRCR74L25H501H</t>
  </si>
  <si>
    <t xml:space="preserve">riccardo.ferrazza@ilsole24ore.com                 </t>
  </si>
  <si>
    <t xml:space="preserve">FOTINA                          </t>
  </si>
  <si>
    <t xml:space="preserve">CARMINE           </t>
  </si>
  <si>
    <t>FTNCMN75P19F839Y</t>
  </si>
  <si>
    <t xml:space="preserve">carmine.fotina@ilsole24ore.com                    </t>
  </si>
  <si>
    <t>GGLNDR71T22F839T</t>
  </si>
  <si>
    <t xml:space="preserve">andrea.gagliardi@ilsole24ore.com                  </t>
  </si>
  <si>
    <t xml:space="preserve">MARINI                          </t>
  </si>
  <si>
    <t>MRNNDR77H03G535T</t>
  </si>
  <si>
    <t xml:space="preserve">andrea.marini@ilsole24ore.com                     </t>
  </si>
  <si>
    <t xml:space="preserve">MARRONI                         </t>
  </si>
  <si>
    <t>MRRCRL61M21I726M</t>
  </si>
  <si>
    <t xml:space="preserve">carlo.marroni@ilsole24ore.com                     </t>
  </si>
  <si>
    <t xml:space="preserve">MOBILI                          </t>
  </si>
  <si>
    <t>MBLMRC63P20H501L</t>
  </si>
  <si>
    <t xml:space="preserve">marco.mobili@ilsole24ore.com                      </t>
  </si>
  <si>
    <t xml:space="preserve">PALMERINI                       </t>
  </si>
  <si>
    <t>PLMLNI65H60A345J</t>
  </si>
  <si>
    <t xml:space="preserve">lina.palmerini@ilsole24ore.com                    </t>
  </si>
  <si>
    <t xml:space="preserve">PARENTE                         </t>
  </si>
  <si>
    <t>PRNGNN77H12G596N</t>
  </si>
  <si>
    <t xml:space="preserve">giovanni.parente@ilsole24ore.com                  </t>
  </si>
  <si>
    <t xml:space="preserve">PATTA                           </t>
  </si>
  <si>
    <t xml:space="preserve">EMILIA ALZIRA     </t>
  </si>
  <si>
    <t>PTTMLZ69B49H501Q</t>
  </si>
  <si>
    <t xml:space="preserve">emilia.patta@ilsole24ore.com                      </t>
  </si>
  <si>
    <t xml:space="preserve">GERARDO           </t>
  </si>
  <si>
    <t xml:space="preserve">PERRONE                         </t>
  </si>
  <si>
    <t>PRRMNL77B42H501U</t>
  </si>
  <si>
    <t xml:space="preserve">manuela.perrone@ilsole24ore.com                   </t>
  </si>
  <si>
    <t xml:space="preserve">POGLIOTTI                       </t>
  </si>
  <si>
    <t>PGLGRG67H06H501D</t>
  </si>
  <si>
    <t xml:space="preserve">giorgio.pogliotti@ilsole24ore.com                 </t>
  </si>
  <si>
    <t xml:space="preserve">SERAFINI                        </t>
  </si>
  <si>
    <t>SRFLRA69A60H501J</t>
  </si>
  <si>
    <t xml:space="preserve">laura.serafini@ilsole24ore.com                    </t>
  </si>
  <si>
    <t xml:space="preserve">SESTO                           </t>
  </si>
  <si>
    <t xml:space="preserve">MARIOLINA         </t>
  </si>
  <si>
    <t>SSTMLN72S49C351N</t>
  </si>
  <si>
    <t xml:space="preserve">mariolina.sesto@ilsole24ore.com                   </t>
  </si>
  <si>
    <t xml:space="preserve">TROVATI                         </t>
  </si>
  <si>
    <t>TRVGNN75S24F952F</t>
  </si>
  <si>
    <t xml:space="preserve">gianni.trovati@ilsole24ore.com                    </t>
  </si>
  <si>
    <t xml:space="preserve">TUCCI                           </t>
  </si>
  <si>
    <t>TCCCLD76H26H501D</t>
  </si>
  <si>
    <t xml:space="preserve">claudio.tucci@ilsole24ore.com                     </t>
  </si>
  <si>
    <t>516000   ON LINE REDAZIONE</t>
  </si>
  <si>
    <t xml:space="preserve">BARBIERI                        </t>
  </si>
  <si>
    <t>BRBFNC74P50B832Y</t>
  </si>
  <si>
    <t xml:space="preserve">francesca.barbieri@ilsole24ore.com                </t>
  </si>
  <si>
    <t xml:space="preserve">BARONE                          </t>
  </si>
  <si>
    <t>BRNNCL72R23G812D</t>
  </si>
  <si>
    <t xml:space="preserve">nicola.barone@ilsole24ore.com                     </t>
  </si>
  <si>
    <t xml:space="preserve">BISAZZA                         </t>
  </si>
  <si>
    <t>BSZBBR67S68G224K</t>
  </si>
  <si>
    <t xml:space="preserve">barbara.bisazza@ilsole24ore.com                   </t>
  </si>
  <si>
    <t xml:space="preserve">CIANFLONE                       </t>
  </si>
  <si>
    <t>MARIO CIRO DOMENIC</t>
  </si>
  <si>
    <t>CNFMCR65C25F205Y</t>
  </si>
  <si>
    <t xml:space="preserve">mario.cianflone@ilsole24ore.com                   </t>
  </si>
  <si>
    <t xml:space="preserve">COTTONE                         </t>
  </si>
  <si>
    <t>CTTNLT59D47H501O</t>
  </si>
  <si>
    <t xml:space="preserve">nicoletta.cottone@ilsole24ore.com                 </t>
  </si>
  <si>
    <t xml:space="preserve">DONADDIO                        </t>
  </si>
  <si>
    <t>DNDMSM77H04F952T</t>
  </si>
  <si>
    <t xml:space="preserve">massimo.donaddio@ilsole24ore.com                  </t>
  </si>
  <si>
    <t xml:space="preserve">FINOTTO                         </t>
  </si>
  <si>
    <t>FNTCRL66E03L669V</t>
  </si>
  <si>
    <t xml:space="preserve">carloandrea.finotto@ilsole24ore.com               </t>
  </si>
  <si>
    <t xml:space="preserve">FRANCESCHI DE MARCHI            </t>
  </si>
  <si>
    <t>FRNNDR79R23L682N</t>
  </si>
  <si>
    <t xml:space="preserve">andrea.franceschi@ilsole24ore.com                 </t>
  </si>
  <si>
    <t xml:space="preserve">FRISONE                         </t>
  </si>
  <si>
    <t xml:space="preserve">MARCELLO          </t>
  </si>
  <si>
    <t>FRSMCL66T04F158N</t>
  </si>
  <si>
    <t xml:space="preserve">marcello.frisone@ilsole24ore.com                  </t>
  </si>
  <si>
    <t xml:space="preserve">LARIZZA                         </t>
  </si>
  <si>
    <t xml:space="preserve">ANTONIO CARLO     </t>
  </si>
  <si>
    <t>LRZNNC76C03F205H</t>
  </si>
  <si>
    <t xml:space="preserve">antonio.larizza@ilsole24ore.com                   </t>
  </si>
  <si>
    <t xml:space="preserve">LO CONTE                        </t>
  </si>
  <si>
    <t>LCNMRC63S12F205D</t>
  </si>
  <si>
    <t xml:space="preserve">marco.loconte@ilsole24ore.com                     </t>
  </si>
  <si>
    <t xml:space="preserve">MAGNANI                         </t>
  </si>
  <si>
    <t>MGNLRT90C17L781G</t>
  </si>
  <si>
    <t xml:space="preserve">alberto.magnani@ilsole24ore.com                   </t>
  </si>
  <si>
    <t xml:space="preserve">MANGANARO                       </t>
  </si>
  <si>
    <t>MNGNGL77H50F158F</t>
  </si>
  <si>
    <t xml:space="preserve">angela.manganaro@ilsole24ore.com                  </t>
  </si>
  <si>
    <t xml:space="preserve">MARRO                           </t>
  </si>
  <si>
    <t>MRRNRC67P15A944J</t>
  </si>
  <si>
    <t xml:space="preserve">enrico.marro@ilsole24ore.com                      </t>
  </si>
  <si>
    <t xml:space="preserve">MEONI                           </t>
  </si>
  <si>
    <t xml:space="preserve">GABRIELE          </t>
  </si>
  <si>
    <t>MNEGRL71S02A944E</t>
  </si>
  <si>
    <t xml:space="preserve">gabriele.meoni@ilsole24ore.com                    </t>
  </si>
  <si>
    <t xml:space="preserve">NUTI                            </t>
  </si>
  <si>
    <t>NTUVTR68E04G702U</t>
  </si>
  <si>
    <t xml:space="preserve">vittorio.nuti@ilsole24ore.com                     </t>
  </si>
  <si>
    <t xml:space="preserve">PERUZZI                         </t>
  </si>
  <si>
    <t>PRZMRC65R17L500G</t>
  </si>
  <si>
    <t xml:space="preserve">marco.peruzzi@ilsole24ore.com                     </t>
  </si>
  <si>
    <t xml:space="preserve">PRISCO                          </t>
  </si>
  <si>
    <t>PRSFNC76L27G813I</t>
  </si>
  <si>
    <t xml:space="preserve">francesco.prisco@ilsole24ore.com                  </t>
  </si>
  <si>
    <t xml:space="preserve">REGGIO                          </t>
  </si>
  <si>
    <t xml:space="preserve">ROSALBA           </t>
  </si>
  <si>
    <t>RGGRLB66D43F205J</t>
  </si>
  <si>
    <t xml:space="preserve">rosalba.reggio@ilsole24ore.com                    </t>
  </si>
  <si>
    <t xml:space="preserve">SALVIOLI MARIANI                </t>
  </si>
  <si>
    <t>SLVLCU81D04F205Y</t>
  </si>
  <si>
    <t xml:space="preserve">luca.salvioli@ilsole24ore.com                     </t>
  </si>
  <si>
    <t xml:space="preserve">SARCINA                         </t>
  </si>
  <si>
    <t>SRCFNC64A29F205X</t>
  </si>
  <si>
    <t xml:space="preserve">franco.sarcina@ilsole24ore.com                    </t>
  </si>
  <si>
    <t xml:space="preserve">TRIPODI                         </t>
  </si>
  <si>
    <t>TRPLSS71E61H501Y</t>
  </si>
  <si>
    <t xml:space="preserve">alessia.tripodi@ilsole24ore.com                   </t>
  </si>
  <si>
    <t xml:space="preserve">K04 </t>
  </si>
  <si>
    <t xml:space="preserve">Q15000      </t>
  </si>
  <si>
    <t>Q15000   REDAZIONE GIORNALISTICA NEWS</t>
  </si>
  <si>
    <t xml:space="preserve">ARONA                           </t>
  </si>
  <si>
    <t>RNALSN68D05F965Q</t>
  </si>
  <si>
    <t xml:space="preserve">alessandro.arona@radio24.it                       </t>
  </si>
  <si>
    <t xml:space="preserve">BETTINI                         </t>
  </si>
  <si>
    <t>BTTLRA69D62E202E</t>
  </si>
  <si>
    <t xml:space="preserve">laura.bettini@radio24.it                          </t>
  </si>
  <si>
    <t xml:space="preserve">CAGNOLA                         </t>
  </si>
  <si>
    <t>CGNMRT73R62M052C</t>
  </si>
  <si>
    <t xml:space="preserve">marta.cagnola@radio24.it                          </t>
  </si>
  <si>
    <t xml:space="preserve">CALANDRA                        </t>
  </si>
  <si>
    <t>CLNRFL76S47A783J</t>
  </si>
  <si>
    <t xml:space="preserve">CARAMELLI                       </t>
  </si>
  <si>
    <t>CRMCRN73M58A509D</t>
  </si>
  <si>
    <t xml:space="preserve">caterina.caramelli@radio24.it                     </t>
  </si>
  <si>
    <t xml:space="preserve">CARPINELLI                      </t>
  </si>
  <si>
    <t>CRPCST71D50F704Q</t>
  </si>
  <si>
    <t xml:space="preserve">cristina.carpinelli@radio24.it                    </t>
  </si>
  <si>
    <t xml:space="preserve">MARIA PIERA       </t>
  </si>
  <si>
    <t>CCEMPR68D70A462C</t>
  </si>
  <si>
    <t xml:space="preserve">piera.ceci@radio24.it                             </t>
  </si>
  <si>
    <t xml:space="preserve">DE ROSA                         </t>
  </si>
  <si>
    <t>DRSVLR73R45H501N</t>
  </si>
  <si>
    <t xml:space="preserve">valeria.derosa@radio24.it                         </t>
  </si>
  <si>
    <t xml:space="preserve">DONELLI                         </t>
  </si>
  <si>
    <t xml:space="preserve">GIANLUIGI         </t>
  </si>
  <si>
    <t>DNLGLG65C14F205U</t>
  </si>
  <si>
    <t xml:space="preserve">gigi.donelli@radio24.it                           </t>
  </si>
  <si>
    <t xml:space="preserve">FIORITO                         </t>
  </si>
  <si>
    <t>FRTLBT64B45H501A</t>
  </si>
  <si>
    <t xml:space="preserve">elisabetta.fiorito@radio24.it                     </t>
  </si>
  <si>
    <t xml:space="preserve">FURLANETTO                      </t>
  </si>
  <si>
    <t>FRLVNT72D54F443D</t>
  </si>
  <si>
    <t xml:space="preserve">valentina.furlanetto@radio24.it                   </t>
  </si>
  <si>
    <t xml:space="preserve">GENTA                           </t>
  </si>
  <si>
    <t xml:space="preserve">GIAN CARLO        </t>
  </si>
  <si>
    <t>GNTGCR68B29G388A</t>
  </si>
  <si>
    <t xml:space="preserve">carlo.genta@radio24.it                            </t>
  </si>
  <si>
    <t xml:space="preserve">GIORDANO                        </t>
  </si>
  <si>
    <t>GRDRRT65S70F205Q</t>
  </si>
  <si>
    <t xml:space="preserve">roberta.giordano@radio24.it                       </t>
  </si>
  <si>
    <t xml:space="preserve">MAGNANO                         </t>
  </si>
  <si>
    <t>MGNRNN70P69L049W</t>
  </si>
  <si>
    <t xml:space="preserve">rosanna.magnano@radio24.it                        </t>
  </si>
  <si>
    <t>MNCMRC64P30C351U</t>
  </si>
  <si>
    <t xml:space="preserve">marco.mancini@radio24.it                          </t>
  </si>
  <si>
    <t>MRNNNA71M45L219X</t>
  </si>
  <si>
    <t xml:space="preserve">MAURIZI                         </t>
  </si>
  <si>
    <t>MRZLSS71L24G702E</t>
  </si>
  <si>
    <t xml:space="preserve">alessio.maurizi@radio24.it                        </t>
  </si>
  <si>
    <t xml:space="preserve">MIGLIETTA                       </t>
  </si>
  <si>
    <t>MGLVCN67D25H501B</t>
  </si>
  <si>
    <t xml:space="preserve">MIGLIORATI                      </t>
  </si>
  <si>
    <t>MGLNNA72M67B157O</t>
  </si>
  <si>
    <t xml:space="preserve">NAVA                            </t>
  </si>
  <si>
    <t>NVASRG75M27M052A</t>
  </si>
  <si>
    <t xml:space="preserve">sergio.nava@radio24.it                            </t>
  </si>
  <si>
    <t xml:space="preserve">PAGLIARINI                      </t>
  </si>
  <si>
    <t>PGLNRC72A27F257D</t>
  </si>
  <si>
    <t xml:space="preserve">enrico.pagliarini@radio24.it                      </t>
  </si>
  <si>
    <t xml:space="preserve">PELLEGATTA                      </t>
  </si>
  <si>
    <t xml:space="preserve">ROBERTA ANGELA    </t>
  </si>
  <si>
    <t>PLLRRT67S62F704I</t>
  </si>
  <si>
    <t xml:space="preserve">roberta.pellegatta@radio24.it                     </t>
  </si>
  <si>
    <t xml:space="preserve">PEZZALI                         </t>
  </si>
  <si>
    <t xml:space="preserve">MARIALUISA        </t>
  </si>
  <si>
    <t>PZZMLS70E48B157B</t>
  </si>
  <si>
    <t xml:space="preserve">marialuisa.pezzali@radio24.it                     </t>
  </si>
  <si>
    <t>RCCDRA73C17H501L</t>
  </si>
  <si>
    <t xml:space="preserve">SCHEPISI                        </t>
  </si>
  <si>
    <t>SCHLSN70P45H501U</t>
  </si>
  <si>
    <t xml:space="preserve">alessandra.schepisi@radio24.it                    </t>
  </si>
  <si>
    <t xml:space="preserve">SPETIA                          </t>
  </si>
  <si>
    <t>SPTSMN76C16D653I</t>
  </si>
  <si>
    <t xml:space="preserve">simone.spetia@radio24.it                          </t>
  </si>
  <si>
    <t xml:space="preserve">TEDESCO                         </t>
  </si>
  <si>
    <t>TDSLSN70B43A662P</t>
  </si>
  <si>
    <t xml:space="preserve">alessandra.tedesco@radio24.it                     </t>
  </si>
  <si>
    <t xml:space="preserve">TRILLO'                         </t>
  </si>
  <si>
    <t xml:space="preserve">TERESA            </t>
  </si>
  <si>
    <t>TRLTRS62M70C479G</t>
  </si>
  <si>
    <t xml:space="preserve">VIALI                           </t>
  </si>
  <si>
    <t>VLINDR69L13H501D</t>
  </si>
  <si>
    <t xml:space="preserve">andrea.viali@radio24.it                           </t>
  </si>
  <si>
    <t xml:space="preserve">ZANCANER                        </t>
  </si>
  <si>
    <t xml:space="preserve">LIVIA MARIA       </t>
  </si>
  <si>
    <t>ZNCLMR79C49B041T</t>
  </si>
  <si>
    <t xml:space="preserve">livia.zancaner@radio24.it                         </t>
  </si>
  <si>
    <t xml:space="preserve">Q17000      </t>
  </si>
  <si>
    <t>Q17000   REDAZIONE GIORNALISTICA PROGRAM</t>
  </si>
  <si>
    <t xml:space="preserve">BARISONI                        </t>
  </si>
  <si>
    <t xml:space="preserve">SEBASTIANO        </t>
  </si>
  <si>
    <t>BRSSST68T11H501G</t>
  </si>
  <si>
    <t xml:space="preserve">sebastiano.barisoni@radio24.it                    </t>
  </si>
  <si>
    <t xml:space="preserve">CRUCIANI                        </t>
  </si>
  <si>
    <t>CRCGPP66P15H501F</t>
  </si>
  <si>
    <t xml:space="preserve">giuseppe.cruciani@radio24.it                      </t>
  </si>
  <si>
    <t xml:space="preserve">MILAN                           </t>
  </si>
  <si>
    <t>MLNLSN70T05I690G</t>
  </si>
  <si>
    <t xml:space="preserve">alessandro.milan@radio24.it                       </t>
  </si>
  <si>
    <t xml:space="preserve">ROSCIANI                        </t>
  </si>
  <si>
    <t xml:space="preserve">DEBORA            </t>
  </si>
  <si>
    <t>RSCDBR69H48A271X</t>
  </si>
  <si>
    <t xml:space="preserve">debora.rosciani@radio24.it                        </t>
  </si>
  <si>
    <t xml:space="preserve">SCAGLIONI                       </t>
  </si>
  <si>
    <t>SCGLSN65C71D969S</t>
  </si>
  <si>
    <t xml:space="preserve">alessandra.scaglioni@radio24.it                   </t>
  </si>
  <si>
    <t xml:space="preserve">DEGANELLO                       </t>
  </si>
  <si>
    <t>DGNSRA81H61I531W</t>
  </si>
  <si>
    <t xml:space="preserve">sara.deganello@ilsole24ore.com                    </t>
  </si>
  <si>
    <t xml:space="preserve">PATERNOSTER                     </t>
  </si>
  <si>
    <t xml:space="preserve">MADDALENA         </t>
  </si>
  <si>
    <t>PTRMDL77D47A662I</t>
  </si>
  <si>
    <t xml:space="preserve">madda.paternoster@ilsole24ore.com                 </t>
  </si>
  <si>
    <t xml:space="preserve">K08 </t>
  </si>
  <si>
    <t>518200   HOW TO SPEND IT</t>
  </si>
  <si>
    <t xml:space="preserve">POLLA MATTIOT                   </t>
  </si>
  <si>
    <t>PLLNLT65D45D205P</t>
  </si>
  <si>
    <t xml:space="preserve">nicoletta.pollamattiot@ilsole24ore.com            </t>
  </si>
  <si>
    <t xml:space="preserve">K09 </t>
  </si>
  <si>
    <t>515010   RCO+ FINANZA E MERCATI MI</t>
  </si>
  <si>
    <t xml:space="preserve">ARCUDI                          </t>
  </si>
  <si>
    <t>RCDSFN76D45F205B</t>
  </si>
  <si>
    <t xml:space="preserve">stefania.arcudi@ilsole24ore.com                   </t>
  </si>
  <si>
    <t xml:space="preserve">BRAMBATI                        </t>
  </si>
  <si>
    <t>BRMMNL72C54F205J</t>
  </si>
  <si>
    <t xml:space="preserve">manuela.brambati@ilsole24ore.com                  </t>
  </si>
  <si>
    <t>CRLFLV78B50H501D</t>
  </si>
  <si>
    <t xml:space="preserve">flavia.carletti@ilsole24ore.com                   </t>
  </si>
  <si>
    <t xml:space="preserve">CONDINA                         </t>
  </si>
  <si>
    <t xml:space="preserve">CHEO              </t>
  </si>
  <si>
    <t>CNDCHE77E12F205G</t>
  </si>
  <si>
    <t xml:space="preserve">cheo.condina@ilsole24ore.com                      </t>
  </si>
  <si>
    <t xml:space="preserve">DI CRISTOFARO                   </t>
  </si>
  <si>
    <t>DCRCHR75M61H501P</t>
  </si>
  <si>
    <t xml:space="preserve">chiara.dicristofaro@ilsole24ore.com               </t>
  </si>
  <si>
    <t xml:space="preserve">FONTANA                         </t>
  </si>
  <si>
    <t>FNTNDR78M22B019V</t>
  </si>
  <si>
    <t xml:space="preserve">andrea.fontana@ilsole24ore.com                    </t>
  </si>
  <si>
    <t xml:space="preserve">LODI                            </t>
  </si>
  <si>
    <t>LDOMNC62C57D969R</t>
  </si>
  <si>
    <t xml:space="preserve">monica.lodi@ilsole24ore.com                       </t>
  </si>
  <si>
    <t xml:space="preserve">MICHELI                         </t>
  </si>
  <si>
    <t>MCHLNR71M59I726H</t>
  </si>
  <si>
    <t xml:space="preserve">eleonora.micheli@ilsole24ore.com                  </t>
  </si>
  <si>
    <t xml:space="preserve">MIELE                           </t>
  </si>
  <si>
    <t>MLINRC80T19H703B</t>
  </si>
  <si>
    <t xml:space="preserve">enrico.miele@ilsole24ore.com                      </t>
  </si>
  <si>
    <t xml:space="preserve">PANCERI                         </t>
  </si>
  <si>
    <t>PNCPLA63A24F205P</t>
  </si>
  <si>
    <t xml:space="preserve">paolo.panceri@ilsole24ore.com                     </t>
  </si>
  <si>
    <t xml:space="preserve">PARONETTO                       </t>
  </si>
  <si>
    <t>PRNPLA79L05M172W</t>
  </si>
  <si>
    <t xml:space="preserve">paolo.paronetto@ilsole24ore.com                   </t>
  </si>
  <si>
    <t xml:space="preserve">POGGI                           </t>
  </si>
  <si>
    <t xml:space="preserve">CORRADO GIOVANNI  </t>
  </si>
  <si>
    <t>PGGCRD66H24F205F</t>
  </si>
  <si>
    <t xml:space="preserve">corrado.poggi@ilsole24ore.com                     </t>
  </si>
  <si>
    <t xml:space="preserve">POLLICE                         </t>
  </si>
  <si>
    <t>PLLDRA68A16F205O</t>
  </si>
  <si>
    <t xml:space="preserve">dario.pollice@ilsole24ore.com                     </t>
  </si>
  <si>
    <t xml:space="preserve">TASSO                           </t>
  </si>
  <si>
    <t>TSSSLL67M50F205Q</t>
  </si>
  <si>
    <t xml:space="preserve">isabella.tasso@ilsole24ore.com                    </t>
  </si>
  <si>
    <t>515020   RCO+ FINANZA E MERCATI RM</t>
  </si>
  <si>
    <t xml:space="preserve">BONANNI                         </t>
  </si>
  <si>
    <t>BNNFBA61L21H501C</t>
  </si>
  <si>
    <t xml:space="preserve">fabio.bonanni@ilsole24ore.com                     </t>
  </si>
  <si>
    <t xml:space="preserve">BONOMI                          </t>
  </si>
  <si>
    <t>BNMBBR72C56H282O</t>
  </si>
  <si>
    <t xml:space="preserve">barbara.bonomi@ilsole24ore.com                    </t>
  </si>
  <si>
    <t xml:space="preserve">CAPOZZI                         </t>
  </si>
  <si>
    <t>CPZLSN69P67H501T</t>
  </si>
  <si>
    <t xml:space="preserve">alessandra.capozzi@ilsole24ore.com                </t>
  </si>
  <si>
    <t xml:space="preserve">CELIO                           </t>
  </si>
  <si>
    <t>CLECLD74H24H501Z</t>
  </si>
  <si>
    <t xml:space="preserve">claudio.celio@ilsole24ore.com                     </t>
  </si>
  <si>
    <t xml:space="preserve">FILIPPONE                       </t>
  </si>
  <si>
    <t>FLPNCL78R01F839H</t>
  </si>
  <si>
    <t xml:space="preserve">nicola.filippone@ilsole24ore.com                  </t>
  </si>
  <si>
    <t xml:space="preserve">GRAZIOLA                        </t>
  </si>
  <si>
    <t>GRZGRD62T20H501W</t>
  </si>
  <si>
    <t xml:space="preserve">gerardo.graziola@ilsole24ore.com                  </t>
  </si>
  <si>
    <t xml:space="preserve">LUPOI                           </t>
  </si>
  <si>
    <t>LPUMSM71D25H224E</t>
  </si>
  <si>
    <t xml:space="preserve">massimo.lupoi@ilsole24ore.com                     </t>
  </si>
  <si>
    <t xml:space="preserve">MARINARO                        </t>
  </si>
  <si>
    <t>MRNNTN74L30H501O</t>
  </si>
  <si>
    <t xml:space="preserve">marcello.marinaro@ilsole24ore.com                 </t>
  </si>
  <si>
    <t xml:space="preserve">NEPITELLI                       </t>
  </si>
  <si>
    <t>NPTBBR65D64H501Z</t>
  </si>
  <si>
    <t xml:space="preserve">barbara.nepitelli@ilsole24ore.com                 </t>
  </si>
  <si>
    <t xml:space="preserve">ROSSITTO                        </t>
  </si>
  <si>
    <t>RSSSMN75A51C351Z</t>
  </si>
  <si>
    <t xml:space="preserve">simona.rossitto@ilsole24ore.com                   </t>
  </si>
  <si>
    <t xml:space="preserve">SALOMONE                        </t>
  </si>
  <si>
    <t>SLMNDR71E22H501C</t>
  </si>
  <si>
    <t xml:space="preserve">andrea.salomone@ilsole24ore.com                   </t>
  </si>
  <si>
    <t>815410   RCO+ NORME E P.A.</t>
  </si>
  <si>
    <t xml:space="preserve">GEG </t>
  </si>
  <si>
    <t xml:space="preserve">CASCIOLA                        </t>
  </si>
  <si>
    <t>CSCDNL68P58C811E</t>
  </si>
  <si>
    <t xml:space="preserve">daniela.casciola@ilsole24ore.com                  </t>
  </si>
  <si>
    <t xml:space="preserve">DE PASCALE                      </t>
  </si>
  <si>
    <t>DPSCMN62R09H703O</t>
  </si>
  <si>
    <t xml:space="preserve">carmine.depascale@ilsole24ore.com                 </t>
  </si>
  <si>
    <t xml:space="preserve">ALDO              </t>
  </si>
  <si>
    <t>DCGLDA68T09L219I</t>
  </si>
  <si>
    <t xml:space="preserve">aldo.dicagno@ilsole24ore.com                      </t>
  </si>
  <si>
    <t>GTTSMN66M42H501J</t>
  </si>
  <si>
    <t xml:space="preserve">simona.gatti@ilsole24ore.com                      </t>
  </si>
  <si>
    <t xml:space="preserve">MACHINA GRIFEO                  </t>
  </si>
  <si>
    <t>MCHFNC71L17H501U</t>
  </si>
  <si>
    <t xml:space="preserve">francesco.machinagrifeo@ilsole24ore.com           </t>
  </si>
  <si>
    <t xml:space="preserve">PIAGNERELLI                     </t>
  </si>
  <si>
    <t xml:space="preserve">GIAMPAOLO         </t>
  </si>
  <si>
    <t>PGNGPL72H13F205M</t>
  </si>
  <si>
    <t xml:space="preserve">giampaolo.piagnerelli@ilsole24ore.com             </t>
  </si>
  <si>
    <t>RSSPLA64L65H501P</t>
  </si>
  <si>
    <t xml:space="preserve">paola.rossi@ilsole24ore.com                       </t>
  </si>
  <si>
    <t xml:space="preserve">A16335      </t>
  </si>
  <si>
    <t>A16335   RCO+ ECONOMIA E SERVIZI</t>
  </si>
  <si>
    <t xml:space="preserve">DELL'OREFICE                    </t>
  </si>
  <si>
    <t>DLLGRG69M28F839X</t>
  </si>
  <si>
    <t xml:space="preserve">GPE </t>
  </si>
  <si>
    <t xml:space="preserve">giorgio.dellorefice@ilsole24ore.com               </t>
  </si>
  <si>
    <t xml:space="preserve">DIFFIDENTI                      </t>
  </si>
  <si>
    <t xml:space="preserve">ERNESTO           </t>
  </si>
  <si>
    <t>DFFRST67P11H501P</t>
  </si>
  <si>
    <t xml:space="preserve">ernesto.diffidenti@ilsole24ore.com                </t>
  </si>
  <si>
    <t xml:space="preserve">FRONTERA                        </t>
  </si>
  <si>
    <t>FRNMSM64S16H501X</t>
  </si>
  <si>
    <t xml:space="preserve">massimo.frontera@ilsole24ore.com                  </t>
  </si>
  <si>
    <t xml:space="preserve">GOBBI                           </t>
  </si>
  <si>
    <t>GBBBBR70D46G478O</t>
  </si>
  <si>
    <t xml:space="preserve">barbara.gobbi@ilsole24ore.com                     </t>
  </si>
  <si>
    <t xml:space="preserve">LERBINI                         </t>
  </si>
  <si>
    <t>LRBLSN70C29H501S</t>
  </si>
  <si>
    <t xml:space="preserve">alessandro.lerbini@ilsole24ore.com                </t>
  </si>
  <si>
    <t xml:space="preserve">LODDO                           </t>
  </si>
  <si>
    <t xml:space="preserve">VINCENZA          </t>
  </si>
  <si>
    <t>LDDVCN70R69H224Y</t>
  </si>
  <si>
    <t xml:space="preserve">vincenza.loddo@ilsole24ore.com                    </t>
  </si>
  <si>
    <t xml:space="preserve">MARZIALETTI                     </t>
  </si>
  <si>
    <t>MRZSLV73M68H501C</t>
  </si>
  <si>
    <t xml:space="preserve">silvia.marzialetti@ilsole24ore.com                </t>
  </si>
  <si>
    <t xml:space="preserve">ROMEO LIRONCURTI                </t>
  </si>
  <si>
    <t>RMLLSS75D23H501T</t>
  </si>
  <si>
    <t xml:space="preserve">alessio.romeo@ilsole24ore.com                     </t>
  </si>
  <si>
    <t xml:space="preserve">SALERNO                         </t>
  </si>
  <si>
    <t>SLRMRA72D24I872X</t>
  </si>
  <si>
    <t xml:space="preserve">mauro.salerno@ilsole24ore.com                     </t>
  </si>
  <si>
    <t xml:space="preserve">L           </t>
  </si>
  <si>
    <t>DG SYSTEM 24</t>
  </si>
  <si>
    <t xml:space="preserve">L01 </t>
  </si>
  <si>
    <t>610000   DG SYSTEM 24</t>
  </si>
  <si>
    <t xml:space="preserve">FAVERO                          </t>
  </si>
  <si>
    <t xml:space="preserve">MARISTELLA        </t>
  </si>
  <si>
    <t>FVRMST62R58F205B</t>
  </si>
  <si>
    <t xml:space="preserve">maristella.favero@ilsole24ore.com                 </t>
  </si>
  <si>
    <t xml:space="preserve">SILVESTRI                       </t>
  </si>
  <si>
    <t>SLVFRC71A14F205W</t>
  </si>
  <si>
    <t xml:space="preserve">federico.silvestri@ilsole24ore.com                </t>
  </si>
  <si>
    <t xml:space="preserve">L03 </t>
  </si>
  <si>
    <t xml:space="preserve">FACCHINI                        </t>
  </si>
  <si>
    <t>FCCFNC77L58A662V</t>
  </si>
  <si>
    <t xml:space="preserve">francesca.facchini@ilsole24ore.com                </t>
  </si>
  <si>
    <t xml:space="preserve">FARINA                          </t>
  </si>
  <si>
    <t xml:space="preserve">TATIANA ROBERTA   </t>
  </si>
  <si>
    <t>FRNTNR67E41D150U</t>
  </si>
  <si>
    <t xml:space="preserve">tatiana.farina@ilsole24ore.com                    </t>
  </si>
  <si>
    <t>GBBVLR73T63F205Y</t>
  </si>
  <si>
    <t xml:space="preserve">valeria.gobbi@ilsole24ore.com                     </t>
  </si>
  <si>
    <t xml:space="preserve">MUNDO                           </t>
  </si>
  <si>
    <t>MNDCLD70P70A942B</t>
  </si>
  <si>
    <t xml:space="preserve">claudia.mundo@ilsole24ore.com                     </t>
  </si>
  <si>
    <t xml:space="preserve">SCURTO                          </t>
  </si>
  <si>
    <t>SCRVNT72B50F205A</t>
  </si>
  <si>
    <t xml:space="preserve">valentina.scurto@ilsole24ore.com                  </t>
  </si>
  <si>
    <t>612300 ANALISI E RICERCHE SYSTEM24</t>
  </si>
  <si>
    <t xml:space="preserve">LEONESIO                        </t>
  </si>
  <si>
    <t>LNSBBR69B62A940E</t>
  </si>
  <si>
    <t xml:space="preserve">barbara.leonesio@ilsole24ore.com                  </t>
  </si>
  <si>
    <t xml:space="preserve">LUVIE'                          </t>
  </si>
  <si>
    <t>LVULNE73R46F205Q</t>
  </si>
  <si>
    <t xml:space="preserve">elena.luvie@ilsole24ore.com                       </t>
  </si>
  <si>
    <t xml:space="preserve">SCUTERI                         </t>
  </si>
  <si>
    <t>SCTMHL77T52F205J</t>
  </si>
  <si>
    <t xml:space="preserve">michela.scuteri@ilsole24ore.com                   </t>
  </si>
  <si>
    <t xml:space="preserve">L04 </t>
  </si>
  <si>
    <t>611310   PIANIF. E IMPAGINAZ. QUOTIDIANO</t>
  </si>
  <si>
    <t>BRAMBILLA ALESSANDRA MARIA</t>
  </si>
  <si>
    <t xml:space="preserve">CASTRIOTA                       </t>
  </si>
  <si>
    <t xml:space="preserve">EUGENIO GIORGIO   </t>
  </si>
  <si>
    <t>CSTGGR68R16E514T</t>
  </si>
  <si>
    <t xml:space="preserve">eugenio.castriota@ilsole24ore.com                 </t>
  </si>
  <si>
    <t>CRVSLV76B64F205G</t>
  </si>
  <si>
    <t xml:space="preserve">silvia.crivelli@ilsole24ore.com                   </t>
  </si>
  <si>
    <t xml:space="preserve">GIANNONE                        </t>
  </si>
  <si>
    <t>GNNCLD79H07F205K</t>
  </si>
  <si>
    <t xml:space="preserve">claudio.giannone@ilsole24ore.com                  </t>
  </si>
  <si>
    <t xml:space="preserve">MONTAGNA                        </t>
  </si>
  <si>
    <t>MNTNMR70T69G388J</t>
  </si>
  <si>
    <t xml:space="preserve">annamaria.montagna@ilsole24ore.com                </t>
  </si>
  <si>
    <t xml:space="preserve">RAIMONDI                        </t>
  </si>
  <si>
    <t>RMNNDA75C47E801B</t>
  </si>
  <si>
    <t xml:space="preserve">nadia.raimondi@ilsole24ore.com                    </t>
  </si>
  <si>
    <t>61131010 OPERATIONS EDITORIALE ADVERTISI</t>
  </si>
  <si>
    <t xml:space="preserve">BRAMBILLA                       </t>
  </si>
  <si>
    <t xml:space="preserve">ALESSANDRA MARIA  </t>
  </si>
  <si>
    <t>BRMLSN68E52F205G</t>
  </si>
  <si>
    <t xml:space="preserve">alessandra.brambilla@ilsole24ore.com              </t>
  </si>
  <si>
    <t>LO CAMPO ALESSANDRO</t>
  </si>
  <si>
    <t>611320   PIANIF. E IMPAG. PERIOD E RADIO</t>
  </si>
  <si>
    <t xml:space="preserve">CORDIOLI                        </t>
  </si>
  <si>
    <t xml:space="preserve">LAURA MARIA       </t>
  </si>
  <si>
    <t>CRDLMR67B41F205U</t>
  </si>
  <si>
    <t xml:space="preserve">laura.cordioli@ilsole24ore.com                    </t>
  </si>
  <si>
    <t xml:space="preserve">FUSARI                          </t>
  </si>
  <si>
    <t xml:space="preserve">GIULIANA          </t>
  </si>
  <si>
    <t>FSRGLN67B46F205W</t>
  </si>
  <si>
    <t xml:space="preserve">giuliana.fusari@ilsole24ore.com                   </t>
  </si>
  <si>
    <t xml:space="preserve">MARANGIO                        </t>
  </si>
  <si>
    <t>MRNFLV67C50Z110P</t>
  </si>
  <si>
    <t xml:space="preserve">flavia.marangio@ilsole24ore.com                   </t>
  </si>
  <si>
    <t>611330   GESTIONE PROVVIGIONE AGENTI</t>
  </si>
  <si>
    <t xml:space="preserve">CAMARRI                         </t>
  </si>
  <si>
    <t xml:space="preserve">RITA              </t>
  </si>
  <si>
    <t>CMRRTI69R55F712M</t>
  </si>
  <si>
    <t xml:space="preserve">rita.camarri@ilsole24ore.com                      </t>
  </si>
  <si>
    <t xml:space="preserve">LO CAMPO                        </t>
  </si>
  <si>
    <t>LCMLSN74P22I158T</t>
  </si>
  <si>
    <t xml:space="preserve">alessandro.locampo@ilsole24ore.com                </t>
  </si>
  <si>
    <t xml:space="preserve">PANARO                          </t>
  </si>
  <si>
    <t xml:space="preserve">GRAZIA            </t>
  </si>
  <si>
    <t>PNRGRZ78B42C134H</t>
  </si>
  <si>
    <t xml:space="preserve">grazia.panaro@ilsole24ore.com                     </t>
  </si>
  <si>
    <t xml:space="preserve">VANELLI                         </t>
  </si>
  <si>
    <t>VNLFRZ65H21F205X</t>
  </si>
  <si>
    <t xml:space="preserve">fabrizio.vanelli@ilsole24ore.com                  </t>
  </si>
  <si>
    <t>PANARO GRAZIA</t>
  </si>
  <si>
    <t xml:space="preserve">DE MARTINO                      </t>
  </si>
  <si>
    <t>DMRLSN68L20H501J</t>
  </si>
  <si>
    <t xml:space="preserve">alessandro.demartino@ilsole24ore.com              </t>
  </si>
  <si>
    <t xml:space="preserve">ROSATI                          </t>
  </si>
  <si>
    <t>RSTRTI60E46H50ME</t>
  </si>
  <si>
    <t xml:space="preserve">rita.rosati@ilsole24ore.com                       </t>
  </si>
  <si>
    <t xml:space="preserve">ANELLI                          </t>
  </si>
  <si>
    <t>DANIELA MARIA BAMB</t>
  </si>
  <si>
    <t>NLLDLM68R43F205P</t>
  </si>
  <si>
    <t xml:space="preserve">daniela.anelli@ilsole24ore.com                    </t>
  </si>
  <si>
    <t xml:space="preserve">SAMIOLO                         </t>
  </si>
  <si>
    <t>SMLLRA65R55F704U</t>
  </si>
  <si>
    <t xml:space="preserve">laura.samiolo@ilsole24ore.com                     </t>
  </si>
  <si>
    <t>615000   PIANIFICAZIONE WEB</t>
  </si>
  <si>
    <t xml:space="preserve">BELLANOVA                       </t>
  </si>
  <si>
    <t>BLLGLC80P05I690R</t>
  </si>
  <si>
    <t xml:space="preserve">gianluca.bellanova@ilsole24ore.com                </t>
  </si>
  <si>
    <t xml:space="preserve">GALIANO                         </t>
  </si>
  <si>
    <t>GLNVCN87S08C514L</t>
  </si>
  <si>
    <t xml:space="preserve">vincenzo.galiano@ilsole24ore.com                  </t>
  </si>
  <si>
    <t xml:space="preserve">RASPA                           </t>
  </si>
  <si>
    <t xml:space="preserve">DAVID GIUSEPPE    </t>
  </si>
  <si>
    <t>RSPDDG78M07F205Y</t>
  </si>
  <si>
    <t xml:space="preserve">david.raspa@ilsole24ore.com                       </t>
  </si>
  <si>
    <t>61500010 PROGRAMMATIC</t>
  </si>
  <si>
    <t xml:space="preserve">NIVINI                          </t>
  </si>
  <si>
    <t>NVNMHL71H17F205V</t>
  </si>
  <si>
    <t xml:space="preserve">michele.nivini@ilsole24ore.com                    </t>
  </si>
  <si>
    <t xml:space="preserve">C11210      </t>
  </si>
  <si>
    <t>C11210   GESTIONE ORDINI COMMERCIALI</t>
  </si>
  <si>
    <t xml:space="preserve">RICCIARDI                       </t>
  </si>
  <si>
    <t>RCCRRT76S08F205G</t>
  </si>
  <si>
    <t xml:space="preserve">roberto.ricciardi@ilsole24ore.com                 </t>
  </si>
  <si>
    <t xml:space="preserve">L05 </t>
  </si>
  <si>
    <t>612100   VENDITE ADVT TIPOLOGIA DI SERV.</t>
  </si>
  <si>
    <t xml:space="preserve">BEZZE                           </t>
  </si>
  <si>
    <t>BZZNDA68R55A010Q</t>
  </si>
  <si>
    <t xml:space="preserve">nadia.bezze@ilsole24ore.com                       </t>
  </si>
  <si>
    <t>FERRARIO ANTONIO DANILO</t>
  </si>
  <si>
    <t xml:space="preserve">LAURA MANUELA     </t>
  </si>
  <si>
    <t>FSSLMN76D69F205J</t>
  </si>
  <si>
    <t xml:space="preserve">laura.fossati@ilsole24ore.com                     </t>
  </si>
  <si>
    <t>616000   ADVERTISING STAMPA</t>
  </si>
  <si>
    <t xml:space="preserve">FERRARIO                        </t>
  </si>
  <si>
    <t xml:space="preserve">ANTONIO DANILO    </t>
  </si>
  <si>
    <t>FRRNND65B19I690T</t>
  </si>
  <si>
    <t xml:space="preserve">danilo.ferrario@ilsole24ore.com                   </t>
  </si>
  <si>
    <t>61800010 EDITORI ESTERI</t>
  </si>
  <si>
    <t xml:space="preserve">FALCIONI                        </t>
  </si>
  <si>
    <t xml:space="preserve">STEPHANIE         </t>
  </si>
  <si>
    <t>FLCSPH74D50Z110O</t>
  </si>
  <si>
    <t xml:space="preserve">stephanie.falcioni@ilsole24ore.com                </t>
  </si>
  <si>
    <t xml:space="preserve">L09 </t>
  </si>
  <si>
    <t xml:space="preserve">DE ROSE                         </t>
  </si>
  <si>
    <t>DRSNTN83A10D086Y</t>
  </si>
  <si>
    <t xml:space="preserve">antonio.derose@ilsole24ore.com                    </t>
  </si>
  <si>
    <t xml:space="preserve">DI GIORGI                       </t>
  </si>
  <si>
    <t>DGRRFL76P45G273A</t>
  </si>
  <si>
    <t xml:space="preserve">raffaella.digiorgi@ilsole24ore.com                </t>
  </si>
  <si>
    <t xml:space="preserve">DI PRIMA                        </t>
  </si>
  <si>
    <t>DPRRCE84L64A940U</t>
  </si>
  <si>
    <t xml:space="preserve">erica.diprima@ilsole24ore.com                     </t>
  </si>
  <si>
    <t xml:space="preserve">MURGIA                          </t>
  </si>
  <si>
    <t>MRGMRC80A06B354Z</t>
  </si>
  <si>
    <t xml:space="preserve">marco.murgia@ilsole24ore.com                      </t>
  </si>
  <si>
    <t xml:space="preserve">BERTORELLI                      </t>
  </si>
  <si>
    <t xml:space="preserve">WALTER PASQUALE   </t>
  </si>
  <si>
    <t>BRTWTR69B22F205I</t>
  </si>
  <si>
    <t xml:space="preserve">walter.bertorelli@radio24.it                      </t>
  </si>
  <si>
    <t xml:space="preserve">FRANCICA                        </t>
  </si>
  <si>
    <t>FRNFRC82L56I754T</t>
  </si>
  <si>
    <t xml:space="preserve">federica.francica@ilsole24ore.com                 </t>
  </si>
  <si>
    <t xml:space="preserve">STANZIONE                       </t>
  </si>
  <si>
    <t>STNLCU81D27F704I</t>
  </si>
  <si>
    <t xml:space="preserve">luca.stanzione@ilsole24ore.com                    </t>
  </si>
  <si>
    <t xml:space="preserve">L10 </t>
  </si>
  <si>
    <t xml:space="preserve">WOLTER                          </t>
  </si>
  <si>
    <t>MARIA PAOLA MADDAL</t>
  </si>
  <si>
    <t>WLTMPL65L45F205H</t>
  </si>
  <si>
    <t xml:space="preserve">Maria.Wolter@ilsole24ore.com                      </t>
  </si>
  <si>
    <t xml:space="preserve">Q           </t>
  </si>
  <si>
    <t>COMUNICAZIONE E RELAZIONI ESTERNE</t>
  </si>
  <si>
    <t xml:space="preserve">Q01 </t>
  </si>
  <si>
    <t xml:space="preserve">B14000      </t>
  </si>
  <si>
    <t>B14000   COMUNICAZIONE E REL. ESTERNE</t>
  </si>
  <si>
    <t xml:space="preserve">CHIODA                          </t>
  </si>
  <si>
    <t>CHDMLS64E57G388N</t>
  </si>
  <si>
    <t xml:space="preserve">marialuisa.chioda@ilsole24ore.com                 </t>
  </si>
  <si>
    <t>COZZI GINEVRA</t>
  </si>
  <si>
    <t xml:space="preserve">COZZI                           </t>
  </si>
  <si>
    <t xml:space="preserve">GINEVRA           </t>
  </si>
  <si>
    <t>CZZGVR71S58F205H</t>
  </si>
  <si>
    <t xml:space="preserve">ginevra.cozzi@ilsole24ore.com                     </t>
  </si>
  <si>
    <t xml:space="preserve">OCCHINI                         </t>
  </si>
  <si>
    <t xml:space="preserve">FULVIA            </t>
  </si>
  <si>
    <t>CCHFLV75B57F537G</t>
  </si>
  <si>
    <t xml:space="preserve">elettra.occhini@ilsole24ore.com                   </t>
  </si>
  <si>
    <t xml:space="preserve">PIOVANI                         </t>
  </si>
  <si>
    <t>PVNFNC66L71D150I</t>
  </si>
  <si>
    <t xml:space="preserve">franca.piovani@ilsole24ore.com                    </t>
  </si>
  <si>
    <t xml:space="preserve">RIEFOLO                         </t>
  </si>
  <si>
    <t>RFLVNC87C42F839S</t>
  </si>
  <si>
    <t xml:space="preserve">veronica.riefolo@ilsole24ore.com                  </t>
  </si>
  <si>
    <t xml:space="preserve">24 ORE CULTURA S.R.L.                   </t>
  </si>
  <si>
    <t xml:space="preserve">W           </t>
  </si>
  <si>
    <t>24 ORE CULTURA</t>
  </si>
  <si>
    <t xml:space="preserve">W01 </t>
  </si>
  <si>
    <t xml:space="preserve">W19050      </t>
  </si>
  <si>
    <t xml:space="preserve">EO  </t>
  </si>
  <si>
    <t>SERINI SIMONA</t>
  </si>
  <si>
    <t xml:space="preserve">MARTINA           </t>
  </si>
  <si>
    <t xml:space="preserve">LECCIOLI                        </t>
  </si>
  <si>
    <t xml:space="preserve">MARIA CINZIA      </t>
  </si>
  <si>
    <t>LCCMCN67A64F205Y</t>
  </si>
  <si>
    <t>2T-TRASFERIMENTO AZIENDA/RAMO 2T</t>
  </si>
  <si>
    <t xml:space="preserve">cinzia.leccioli@24orecultura.com                  </t>
  </si>
  <si>
    <t xml:space="preserve">SERINI                          </t>
  </si>
  <si>
    <t>SRNSMN79P59A662X</t>
  </si>
  <si>
    <t xml:space="preserve">EA  </t>
  </si>
  <si>
    <t xml:space="preserve">simona.serini@24orecultura.com                    </t>
  </si>
  <si>
    <t>CLMLBT65C57F205E</t>
  </si>
  <si>
    <t xml:space="preserve">elisabetta.colombo@24orecultura.com               </t>
  </si>
  <si>
    <t>CAPPITELLI PAOLA MONICA</t>
  </si>
  <si>
    <t xml:space="preserve">GIORGIA           </t>
  </si>
  <si>
    <t>MNTGRG77T56F205Q</t>
  </si>
  <si>
    <t xml:space="preserve">giorgia.montagna@24orecultura.com                 </t>
  </si>
  <si>
    <t xml:space="preserve">SIVIERI                         </t>
  </si>
  <si>
    <t xml:space="preserve">GIANMARCO         </t>
  </si>
  <si>
    <t>SVRGMR69R20F205K</t>
  </si>
  <si>
    <t xml:space="preserve">gianmarco.sivieri@24orecultura.com                </t>
  </si>
  <si>
    <t>SAVINO MARIA CHIARA</t>
  </si>
  <si>
    <t xml:space="preserve">W19510      </t>
  </si>
  <si>
    <t xml:space="preserve">IANNAZZO                        </t>
  </si>
  <si>
    <t xml:space="preserve">VERDIANA          </t>
  </si>
  <si>
    <t>NNZVDN87P49M208F</t>
  </si>
  <si>
    <t xml:space="preserve">verdiana.iannazzo@24orecultura.com                </t>
  </si>
  <si>
    <t xml:space="preserve">PANCIERA                        </t>
  </si>
  <si>
    <t>PNCMNC72M63I690I</t>
  </si>
  <si>
    <t xml:space="preserve">monica.panciera@24orecultura.com                  </t>
  </si>
  <si>
    <t xml:space="preserve">W19520      </t>
  </si>
  <si>
    <t xml:space="preserve">CAPPITELLI                      </t>
  </si>
  <si>
    <t xml:space="preserve">PAOLA MONICA      </t>
  </si>
  <si>
    <t>CPPPMN69C60F205Y</t>
  </si>
  <si>
    <t xml:space="preserve">paola.cappitelli@24orecultura.com                 </t>
  </si>
  <si>
    <t xml:space="preserve">CAVOLA                          </t>
  </si>
  <si>
    <t>CVLFNC92M44H501B</t>
  </si>
  <si>
    <t xml:space="preserve">francesca.cavola@24orecultura.com                 </t>
  </si>
  <si>
    <t xml:space="preserve">FRASSONI                        </t>
  </si>
  <si>
    <t xml:space="preserve">LUCIA             </t>
  </si>
  <si>
    <t>FRSLCU84D45D969U</t>
  </si>
  <si>
    <t xml:space="preserve">lucia.frassoni@24orecultura.com                   </t>
  </si>
  <si>
    <t xml:space="preserve">SAVINO                          </t>
  </si>
  <si>
    <t>SVNMCH74E61B300S</t>
  </si>
  <si>
    <t xml:space="preserve">chiara.savino@24orecultura.com                    </t>
  </si>
  <si>
    <t>SRFSDR79B65C745J</t>
  </si>
  <si>
    <t xml:space="preserve">VADRUCCI                        </t>
  </si>
  <si>
    <t>VDRSFN74H45F205N</t>
  </si>
  <si>
    <t xml:space="preserve">stefania.vadrucci@24orecultura.com                </t>
  </si>
  <si>
    <t xml:space="preserve">VALBUZZI                        </t>
  </si>
  <si>
    <t xml:space="preserve">MARIKA            </t>
  </si>
  <si>
    <t>VLBMRK79M53L175I</t>
  </si>
  <si>
    <t xml:space="preserve">marika.valbuzzi@24orecultura.com                  </t>
  </si>
  <si>
    <t xml:space="preserve">BARTOMIOLI                      </t>
  </si>
  <si>
    <t>BRTMRZ78A25F205K</t>
  </si>
  <si>
    <t xml:space="preserve">maurizio.bartomioli@24orecultura.com              </t>
  </si>
  <si>
    <t xml:space="preserve">CASSINARI                       </t>
  </si>
  <si>
    <t>CSSFNC91C21G535W</t>
  </si>
  <si>
    <t xml:space="preserve">francesco.cassinari@24orecultura.com              </t>
  </si>
  <si>
    <t xml:space="preserve">KASPAR                          </t>
  </si>
  <si>
    <t xml:space="preserve">VICTORIA SARA     </t>
  </si>
  <si>
    <t>KSPVTR94M60F205S</t>
  </si>
  <si>
    <t xml:space="preserve">victoria.kaspar@24orecultura.com                  </t>
  </si>
  <si>
    <t xml:space="preserve">PIUZZI                          </t>
  </si>
  <si>
    <t>PZZDNL65C48H501X</t>
  </si>
  <si>
    <t xml:space="preserve">daniela.piuzzi@24orecultura.com                   </t>
  </si>
  <si>
    <t xml:space="preserve">IL SOLE 24 ORE EVENTI S.R.L.            </t>
  </si>
  <si>
    <t xml:space="preserve">R           </t>
  </si>
  <si>
    <t>24 ORE EVENTI SRL</t>
  </si>
  <si>
    <t xml:space="preserve">R01 </t>
  </si>
  <si>
    <t>24 ORE EVENTI</t>
  </si>
  <si>
    <t xml:space="preserve">L19050      </t>
  </si>
  <si>
    <t>L19050 MARKETING E COMUNICAZIONE</t>
  </si>
  <si>
    <t xml:space="preserve">D'ADDA                          </t>
  </si>
  <si>
    <t>DDDPLA89B58F205H</t>
  </si>
  <si>
    <t xml:space="preserve">paola.dadda@ilsole24ore.com                       </t>
  </si>
  <si>
    <t xml:space="preserve">MARTIN PICCINI                  </t>
  </si>
  <si>
    <t xml:space="preserve">TATIANA           </t>
  </si>
  <si>
    <t>MRTTTN74L65Z131L</t>
  </si>
  <si>
    <t xml:space="preserve">tatiana.martin@ilsole24ore.com                    </t>
  </si>
  <si>
    <t xml:space="preserve">RAMELLA                         </t>
  </si>
  <si>
    <t xml:space="preserve">NICOL             </t>
  </si>
  <si>
    <t>RMLNCL78D42F205N</t>
  </si>
  <si>
    <t xml:space="preserve">nicol.ramella@ilsole24ore.com                     </t>
  </si>
  <si>
    <t xml:space="preserve">RONCHETTO                       </t>
  </si>
  <si>
    <t>RNCMCG71C10D208X</t>
  </si>
  <si>
    <t xml:space="preserve">SOLAZZO                         </t>
  </si>
  <si>
    <t>SLZVLR75E70A662X</t>
  </si>
  <si>
    <t xml:space="preserve">valeria.solazzo@ilsole24ore.com                   </t>
  </si>
  <si>
    <t xml:space="preserve">TREBBI                          </t>
  </si>
  <si>
    <t>TRBRRT70R66I459I</t>
  </si>
  <si>
    <t xml:space="preserve">roberta.trebbi@ilsole24ore.com                    </t>
  </si>
  <si>
    <t xml:space="preserve">TRUNGADI                        </t>
  </si>
  <si>
    <t>TRNLSE63C48E479J</t>
  </si>
  <si>
    <t xml:space="preserve">elisa.trungadi@ilsole24ore.com                    </t>
  </si>
  <si>
    <t xml:space="preserve">L19060      </t>
  </si>
  <si>
    <t>L19060 SALES</t>
  </si>
  <si>
    <t xml:space="preserve">GAIA                            </t>
  </si>
  <si>
    <t>GAIFRC71D62G388V</t>
  </si>
  <si>
    <t xml:space="preserve">federica.gaia@ilsole24ore.com                     </t>
  </si>
  <si>
    <t xml:space="preserve">GOTTINI                         </t>
  </si>
  <si>
    <t xml:space="preserve">MIRELLA           </t>
  </si>
  <si>
    <t>GTTMLL66P48L388L</t>
  </si>
  <si>
    <t xml:space="preserve">mirella.gottini@ilsole24ore.com                   </t>
  </si>
  <si>
    <t xml:space="preserve">MATALETTI                       </t>
  </si>
  <si>
    <t>MTLDNL61R30H501T</t>
  </si>
  <si>
    <t xml:space="preserve">daniele.mataletti@ilsole24ore.com                 </t>
  </si>
  <si>
    <t xml:space="preserve">IL SOLE 24 ORE SPA                      </t>
  </si>
  <si>
    <t>83_COLLABORAT./SOCI CD</t>
  </si>
  <si>
    <t>COLLABORATORE  C</t>
  </si>
  <si>
    <t xml:space="preserve">COLLABORATORE                 </t>
  </si>
  <si>
    <t xml:space="preserve">                                                  </t>
  </si>
  <si>
    <t xml:space="preserve">    </t>
  </si>
  <si>
    <t xml:space="preserve">                       </t>
  </si>
  <si>
    <t xml:space="preserve">FERRARI                         </t>
  </si>
  <si>
    <t xml:space="preserve">Q14000      </t>
  </si>
  <si>
    <t>Q14000   SERVIZI RADIOFONICI</t>
  </si>
  <si>
    <t>82_NON DIPENDENTI</t>
  </si>
  <si>
    <t>NON DIPENDENTE Z</t>
  </si>
  <si>
    <t>INT</t>
  </si>
  <si>
    <t xml:space="preserve">INTERINALE                    </t>
  </si>
  <si>
    <t xml:space="preserve">LONGOBARDO                      </t>
  </si>
  <si>
    <t xml:space="preserve">ROSA              </t>
  </si>
  <si>
    <t>LNGRSO80E55F205O</t>
  </si>
  <si>
    <t xml:space="preserve">MOROSATO                        </t>
  </si>
  <si>
    <t>MRSSNT81R58F205X</t>
  </si>
  <si>
    <t xml:space="preserve">SANTINI                         </t>
  </si>
  <si>
    <t xml:space="preserve">MICOL             </t>
  </si>
  <si>
    <t>SNTMCL82M42D548Y</t>
  </si>
  <si>
    <t>FRTLSS88H14F205G</t>
  </si>
  <si>
    <t xml:space="preserve">DILETTA           </t>
  </si>
  <si>
    <t>DATO AL 30/09/2021</t>
  </si>
  <si>
    <t>Codice struttura - livello 3</t>
  </si>
  <si>
    <t xml:space="preserve">ROSI                            </t>
  </si>
  <si>
    <t>RSOMTN91S69G478W</t>
  </si>
  <si>
    <t xml:space="preserve">martina.rosi@ilsole24ore.com                      </t>
  </si>
  <si>
    <t xml:space="preserve">L21 </t>
  </si>
  <si>
    <t xml:space="preserve">L20 </t>
  </si>
  <si>
    <t xml:space="preserve">L17 </t>
  </si>
  <si>
    <t xml:space="preserve">L19 </t>
  </si>
  <si>
    <t xml:space="preserve">L06 </t>
  </si>
  <si>
    <t xml:space="preserve">L07 </t>
  </si>
  <si>
    <t xml:space="preserve">L23 </t>
  </si>
  <si>
    <t xml:space="preserve">L14 </t>
  </si>
  <si>
    <t xml:space="preserve">L02 </t>
  </si>
  <si>
    <t xml:space="preserve">L27 </t>
  </si>
  <si>
    <t xml:space="preserve">L08 </t>
  </si>
  <si>
    <t xml:space="preserve">L16 </t>
  </si>
  <si>
    <t xml:space="preserve">L15 </t>
  </si>
  <si>
    <t xml:space="preserve">L18 </t>
  </si>
  <si>
    <t xml:space="preserve">L11 </t>
  </si>
  <si>
    <t xml:space="preserve">L22 </t>
  </si>
  <si>
    <t xml:space="preserve">L25 </t>
  </si>
  <si>
    <t xml:space="preserve">L26 </t>
  </si>
  <si>
    <t>DATO AL 31/10/2021</t>
  </si>
  <si>
    <t>DATO AL 30/09/2022</t>
  </si>
  <si>
    <t xml:space="preserve">-Deponti -Geroni -Bernabò </t>
  </si>
  <si>
    <t>Di cui Praticanti</t>
  </si>
  <si>
    <t>DATO AL 31/08/2022</t>
  </si>
  <si>
    <t>-Momoli +Deganello</t>
  </si>
  <si>
    <t>-Deganello</t>
  </si>
  <si>
    <t>DATO AL 31/07/2022</t>
  </si>
  <si>
    <t>-Pelosi</t>
  </si>
  <si>
    <t>DATO AL 30/06/2022</t>
  </si>
  <si>
    <t>-Mariani/Padula/Cherchi/Picchio/Lanfrancone/Fracchia</t>
  </si>
  <si>
    <t>DATO AL 31/05/2022</t>
  </si>
  <si>
    <t>-Scott</t>
  </si>
  <si>
    <t>DIRIGENTI: IL 16/5 comunicato l'ingresso di D'Asero AD dal 27/4/22</t>
  </si>
  <si>
    <t>DATO AL 30/04/2022</t>
  </si>
  <si>
    <t>DATO AL 31/03/2022</t>
  </si>
  <si>
    <t>-Mennella</t>
  </si>
  <si>
    <t>-2 operai usciti il 29/3 - data comunicazione 13/4/22</t>
  </si>
  <si>
    <t>DATO AL 28/02/2022</t>
  </si>
  <si>
    <t>DATO AL 31/01/2022</t>
  </si>
  <si>
    <t>DATO AL 31/12/2021</t>
  </si>
  <si>
    <t>DATO AL 30/11/2021</t>
  </si>
  <si>
    <t>Decorrenza sede</t>
  </si>
  <si>
    <t>90_DIR.INDUSTRIA    063 V012</t>
  </si>
  <si>
    <t>21_IND.GRAFICI EDIT.090 G011</t>
  </si>
  <si>
    <t>RR_RADIOTV P.(RADIO)072 G091</t>
  </si>
  <si>
    <t xml:space="preserve">giuseppe.fabio@radio24.it                         </t>
  </si>
  <si>
    <t xml:space="preserve">RIVA                            </t>
  </si>
  <si>
    <t xml:space="preserve">ANNA ELENA        </t>
  </si>
  <si>
    <t>RVINLN94H62D286G</t>
  </si>
  <si>
    <t xml:space="preserve">annaelena.riva@radio24.it                         </t>
  </si>
  <si>
    <t xml:space="preserve">SALVATORE                       </t>
  </si>
  <si>
    <t>SLVCRL99M26H501J</t>
  </si>
  <si>
    <t xml:space="preserve">carlo.salvatore@radio24.it                        </t>
  </si>
  <si>
    <t xml:space="preserve">Q19300      </t>
  </si>
  <si>
    <t>Q19300  EVENTI RADIO24</t>
  </si>
  <si>
    <t>25_POLIGRAFICI      085 G041</t>
  </si>
  <si>
    <t>SIGONA CARLO</t>
  </si>
  <si>
    <t xml:space="preserve">SIGONA                          </t>
  </si>
  <si>
    <t>SGNCRL72T14F258G</t>
  </si>
  <si>
    <t xml:space="preserve">carlo.sigona@ilsole24ore.com                      </t>
  </si>
  <si>
    <t xml:space="preserve">FAINA                           </t>
  </si>
  <si>
    <t>FNARNN94A71G478V</t>
  </si>
  <si>
    <t xml:space="preserve">arianna.faina@ilsole24ore.com                     </t>
  </si>
  <si>
    <t xml:space="preserve">BESTETTI                        </t>
  </si>
  <si>
    <t>BSTMRC76L26F205R</t>
  </si>
  <si>
    <t xml:space="preserve">marco.bestetti@ilsole24ore.com                    </t>
  </si>
  <si>
    <t>OPERATIONS DG P&amp;D</t>
  </si>
  <si>
    <t>PALENA LIBORIO BRUNO</t>
  </si>
  <si>
    <t xml:space="preserve">MORTARA                         </t>
  </si>
  <si>
    <t>MRTSLV81L58F205H</t>
  </si>
  <si>
    <t xml:space="preserve">silvia.mortara@ilsole24ore.com                    </t>
  </si>
  <si>
    <t xml:space="preserve">E06 </t>
  </si>
  <si>
    <t>INVESTOR RELATIONS</t>
  </si>
  <si>
    <t xml:space="preserve">JURI VENERANDO    </t>
  </si>
  <si>
    <t>RSSJVN85S27I625H</t>
  </si>
  <si>
    <t xml:space="preserve">jurivenerando.russo@ilsole24ore.com               </t>
  </si>
  <si>
    <t xml:space="preserve">CERRATO                         </t>
  </si>
  <si>
    <t>CRRMHL78E24C129K</t>
  </si>
  <si>
    <t xml:space="preserve">michele.cerrato@ilsole24ore.com                   </t>
  </si>
  <si>
    <t>DELLAVEDOVA SARA</t>
  </si>
  <si>
    <t xml:space="preserve">GANDOLFI                        </t>
  </si>
  <si>
    <t>GNDVLR80S69F205C</t>
  </si>
  <si>
    <t xml:space="preserve">valeria.gandolfi@ilsole24ore.com                  </t>
  </si>
  <si>
    <t xml:space="preserve">MARAZZI                         </t>
  </si>
  <si>
    <t>MRZBBR68L64F205L</t>
  </si>
  <si>
    <t xml:space="preserve">barbara.marazzi@ilsole24ore.com                   </t>
  </si>
  <si>
    <t xml:space="preserve">MUNGO                           </t>
  </si>
  <si>
    <t>MNGSMN87R71D198L</t>
  </si>
  <si>
    <t xml:space="preserve">simona.mungo@ilsole24ore.com                      </t>
  </si>
  <si>
    <t>31000020 ORGANIZZAZIONE</t>
  </si>
  <si>
    <t xml:space="preserve">BOTTARI                         </t>
  </si>
  <si>
    <t>BTTVTI63P07L042F</t>
  </si>
  <si>
    <t xml:space="preserve">vito.bottari@ilsole24ore.com                      </t>
  </si>
  <si>
    <t>GENTILE LUISA</t>
  </si>
  <si>
    <t>514600   SEGRETERIA RED. ALTRI PERIODICI</t>
  </si>
  <si>
    <t>BOTTARI VITO</t>
  </si>
  <si>
    <t xml:space="preserve">LEONE                           </t>
  </si>
  <si>
    <t>LNELSN93H01L113S</t>
  </si>
  <si>
    <t>85_GIORNALISTI      086 G031</t>
  </si>
  <si>
    <t>41530001 PRODOTTI PUBLISHING &amp; DIGITAL</t>
  </si>
  <si>
    <t xml:space="preserve">NARDINI                         </t>
  </si>
  <si>
    <t>NRDMNL74T10D612S</t>
  </si>
  <si>
    <t xml:space="preserve">emanuele.nardini@ilsole24ore.com                  </t>
  </si>
  <si>
    <t>41530010 DATA PLATFORM</t>
  </si>
  <si>
    <t>ZUCCONI GIOVANNI</t>
  </si>
  <si>
    <t>415120   INFRASTRUTTURE E  IT NETWORKING</t>
  </si>
  <si>
    <t xml:space="preserve">BERATTO                         </t>
  </si>
  <si>
    <t>BRTDRA86S17F205Q</t>
  </si>
  <si>
    <t xml:space="preserve">dario.beratto@ilsole24ore.com                     </t>
  </si>
  <si>
    <t>415200   E-COMMERCE &amp; DIGITAL TRANSFORMA</t>
  </si>
  <si>
    <t>415230   PROD. AREA PROF.LE E GEST.PIATT</t>
  </si>
  <si>
    <t>41530020 CONTROLLO QUALITA'</t>
  </si>
  <si>
    <t xml:space="preserve">VERROCA                         </t>
  </si>
  <si>
    <t xml:space="preserve">MARIANO           </t>
  </si>
  <si>
    <t>VRRMRN88M31L328Z</t>
  </si>
  <si>
    <t xml:space="preserve">mariano.verroca@ilsole24ore.com                   </t>
  </si>
  <si>
    <t>OPERATIONS E CUSTOMER ENGAGEMENT</t>
  </si>
  <si>
    <t>412700   PREP. EDITORIALE PROFESSIONALE</t>
  </si>
  <si>
    <t>QUINTO MARIA CHIARA</t>
  </si>
  <si>
    <t>G1240010 PIATTAFORME INFORMATIVE BUS.DEV</t>
  </si>
  <si>
    <t>R14300   BANDI E GARE D'APPALTO</t>
  </si>
  <si>
    <t xml:space="preserve">G1240030    </t>
  </si>
  <si>
    <t>G1240030 PRODOTTI PERSONALIZZATI</t>
  </si>
  <si>
    <t xml:space="preserve">BELLASIO                        </t>
  </si>
  <si>
    <t>BLLDNL74R26F205O</t>
  </si>
  <si>
    <t xml:space="preserve">daniele.bellasio@ilsole24ore.com                  </t>
  </si>
  <si>
    <t>FIGEC CISAL        FIGEC CISAL</t>
  </si>
  <si>
    <t xml:space="preserve">CURCIO                          </t>
  </si>
  <si>
    <t>CRCCLL92P46H919J</t>
  </si>
  <si>
    <t xml:space="preserve">camilla.curcio@ilsole24ore.com                    </t>
  </si>
  <si>
    <t>MNCGDU67D26D969K</t>
  </si>
  <si>
    <t xml:space="preserve">SIMONETTA                       </t>
  </si>
  <si>
    <t xml:space="preserve">BIAGIO            </t>
  </si>
  <si>
    <t>SMNBGI80T23D086H</t>
  </si>
  <si>
    <t xml:space="preserve">biagio.simonetta@ilsole24ore.com                  </t>
  </si>
  <si>
    <t>CCEMGH98H67L781Z</t>
  </si>
  <si>
    <t xml:space="preserve">margherita.ceci@ilsole24ore.com                   </t>
  </si>
  <si>
    <t>BARISONI SEBASTIANO</t>
  </si>
  <si>
    <t xml:space="preserve">teresa.trillo@radio24.it                          </t>
  </si>
  <si>
    <t>TASSO ISABELLA</t>
  </si>
  <si>
    <t xml:space="preserve">STRADA                          </t>
  </si>
  <si>
    <t>STRLSE75S69E063P</t>
  </si>
  <si>
    <t xml:space="preserve">elisa.strada@ilsole24ore.com                      </t>
  </si>
  <si>
    <t>GALIANO VINCENZO</t>
  </si>
  <si>
    <t xml:space="preserve">CROCI                           </t>
  </si>
  <si>
    <t>CRCNDR92R16E514I</t>
  </si>
  <si>
    <t xml:space="preserve">andrea.croci@ilsole24ore.com                      </t>
  </si>
  <si>
    <t>VTLMRC84P11F205B</t>
  </si>
  <si>
    <t xml:space="preserve">marco.vitale@ilsole24ore.com                      </t>
  </si>
  <si>
    <t>DI GIORGI RAFFAELLA</t>
  </si>
  <si>
    <t>FRANCICA FEDERICA</t>
  </si>
  <si>
    <t>W19050   MUDEC E TICKETING</t>
  </si>
  <si>
    <t xml:space="preserve">W1910010    </t>
  </si>
  <si>
    <t>W1910010 OPERATIONS MOSTRE 24 ORE CULTUR</t>
  </si>
  <si>
    <t xml:space="preserve">W1910020    </t>
  </si>
  <si>
    <t>W1910020 OPERATIONS MUDEC 24 ORE CULTURA</t>
  </si>
  <si>
    <t>W19510   EDITORIA &amp; BOOKSHOP</t>
  </si>
  <si>
    <t xml:space="preserve">RICCA                           </t>
  </si>
  <si>
    <t>RCCMNC88B68A940X</t>
  </si>
  <si>
    <t xml:space="preserve">monica.ricca@24orecultura.com                     </t>
  </si>
  <si>
    <t xml:space="preserve">CALASSO                         </t>
  </si>
  <si>
    <t>CLSLNE84A51F205L</t>
  </si>
  <si>
    <t xml:space="preserve">elena.calasso@24orecultura.com                    </t>
  </si>
  <si>
    <t xml:space="preserve">FERRARO                         </t>
  </si>
  <si>
    <t>FRRRFL91H66L845E</t>
  </si>
  <si>
    <t xml:space="preserve">raffaella.ferraro@24orecultura.com                </t>
  </si>
  <si>
    <t xml:space="preserve">W1953010    </t>
  </si>
  <si>
    <t>W1953010 COMUNICAZIONE DI PRODOTTO</t>
  </si>
  <si>
    <t xml:space="preserve">W1953020    </t>
  </si>
  <si>
    <t>W1953020 COMMERCIALE MOSTRE</t>
  </si>
  <si>
    <t>DATO AL 31/10/2022</t>
  </si>
  <si>
    <r>
      <t xml:space="preserve">dir-vdir =&gt; </t>
    </r>
    <r>
      <rPr>
        <sz val="10"/>
        <color indexed="10"/>
        <rFont val="Arial"/>
        <family val="2"/>
      </rPr>
      <t>6</t>
    </r>
  </si>
  <si>
    <t>+ Bellasio</t>
  </si>
  <si>
    <t xml:space="preserve">TRECCARICHI                     </t>
  </si>
  <si>
    <t xml:space="preserve">GIUSEPPE WILLIAM  </t>
  </si>
  <si>
    <t>TRCGPP87T22B202O</t>
  </si>
  <si>
    <t xml:space="preserve">giuseppe.treccarichi@ilsole24ore.com              </t>
  </si>
  <si>
    <t xml:space="preserve">CATANIA                         </t>
  </si>
  <si>
    <t>CTNGLI88H53H501I</t>
  </si>
  <si>
    <t xml:space="preserve">giulia.catania@ilsole24ore.com                    </t>
  </si>
  <si>
    <t xml:space="preserve">MISCEO                          </t>
  </si>
  <si>
    <t>MSCNLS75H54A662Z</t>
  </si>
  <si>
    <t xml:space="preserve">annalisa.misceo@ilsole24ore.com                   </t>
  </si>
  <si>
    <t>DATO AL 30/11/2022</t>
  </si>
  <si>
    <t>- Fossati</t>
  </si>
  <si>
    <t xml:space="preserve">B04 </t>
  </si>
  <si>
    <t xml:space="preserve">B05 </t>
  </si>
  <si>
    <t xml:space="preserve">G02 </t>
  </si>
  <si>
    <t xml:space="preserve">I           </t>
  </si>
  <si>
    <t xml:space="preserve">I01 </t>
  </si>
  <si>
    <t xml:space="preserve">PAPARO                          </t>
  </si>
  <si>
    <t xml:space="preserve">ALEXIS BENEDICTA  </t>
  </si>
  <si>
    <t>PPRLSB88L66E202M</t>
  </si>
  <si>
    <t xml:space="preserve">alexis.paparo@ilsole24ore.com                     </t>
  </si>
  <si>
    <t xml:space="preserve">COLLABORATORI 24ORE CULTURA             </t>
  </si>
  <si>
    <t>DOMICILIO DEL LAVORATORE  -  ()</t>
  </si>
  <si>
    <t>DATO AL 31/12/2022</t>
  </si>
  <si>
    <t xml:space="preserve">A01 </t>
  </si>
  <si>
    <t>011000   CORPORATE</t>
  </si>
  <si>
    <t xml:space="preserve">POZZATO                         </t>
  </si>
  <si>
    <t>PZZCST67M58F205P</t>
  </si>
  <si>
    <t xml:space="preserve">cristina.pozzato@ilsole24ore.com                  </t>
  </si>
  <si>
    <t xml:space="preserve">FERRO                           </t>
  </si>
  <si>
    <t>FRRNDR65L28D969P</t>
  </si>
  <si>
    <t xml:space="preserve">andrea.ferro@radio24.it                           </t>
  </si>
  <si>
    <t>DOMICILIO COLLABORATORE  -  ()</t>
  </si>
  <si>
    <t xml:space="preserve">PADULA                          </t>
  </si>
  <si>
    <t>PDLSVT58L17D416Y</t>
  </si>
  <si>
    <t xml:space="preserve">ext.salvatore.padula@ilsole24ore.com              </t>
  </si>
  <si>
    <t>816000   SOFTWARE GESTIONALI</t>
  </si>
  <si>
    <t xml:space="preserve">BONELLI                         </t>
  </si>
  <si>
    <t>BNLFNC49M12B201O</t>
  </si>
  <si>
    <t xml:space="preserve">ext.francesco.bonelli@ilsole24ore.com             </t>
  </si>
  <si>
    <t xml:space="preserve">MARCHIONI                       </t>
  </si>
  <si>
    <t>MRCVNT79C63F205L</t>
  </si>
  <si>
    <t xml:space="preserve">MUTTI                           </t>
  </si>
  <si>
    <t>MTTMSM60S03L304S</t>
  </si>
  <si>
    <t xml:space="preserve">ext.massimo.mutti@ilsole24ore.com                 </t>
  </si>
  <si>
    <t xml:space="preserve">FEBBO                           </t>
  </si>
  <si>
    <t>FBBFNC92A60A485Y</t>
  </si>
  <si>
    <t xml:space="preserve">VILLANI                         </t>
  </si>
  <si>
    <t>PAOLA MARIA NOVELL</t>
  </si>
  <si>
    <t>VLLPMR61R60L219O</t>
  </si>
  <si>
    <t xml:space="preserve">ext.paolamaria.villani@ilsole24ore.com            </t>
  </si>
  <si>
    <t xml:space="preserve">CERRETELLI                      </t>
  </si>
  <si>
    <t xml:space="preserve">ADRIANA           </t>
  </si>
  <si>
    <t>CRRDRN48E67F205W</t>
  </si>
  <si>
    <t xml:space="preserve">ext.adriana.cerretelli@ilsole24ore.com            </t>
  </si>
  <si>
    <t xml:space="preserve">DEGLI INNOCENTI                 </t>
  </si>
  <si>
    <t>DGLNLT62C57B157Q</t>
  </si>
  <si>
    <t xml:space="preserve">nicoldynes@aol.com                                </t>
  </si>
  <si>
    <t xml:space="preserve">PIERACCINI                      </t>
  </si>
  <si>
    <t>PRCSLV67P44G999H</t>
  </si>
  <si>
    <t xml:space="preserve">ext.silvia.pieraccini@ilsole24ore.com             </t>
  </si>
  <si>
    <t xml:space="preserve">SCOTT                           </t>
  </si>
  <si>
    <t>SCTNNL62A64F205Y</t>
  </si>
  <si>
    <t xml:space="preserve">ext.antonella.scott@ilsole24ore.com               </t>
  </si>
  <si>
    <t xml:space="preserve">TORNO                           </t>
  </si>
  <si>
    <t>TRNRND53R22F205P</t>
  </si>
  <si>
    <t xml:space="preserve">ext.armando.torno@ilsole24ore.com                 </t>
  </si>
  <si>
    <t xml:space="preserve">PESOLE                          </t>
  </si>
  <si>
    <t xml:space="preserve">AGOSTINO          </t>
  </si>
  <si>
    <t>PSLGTN51L28H501N</t>
  </si>
  <si>
    <t xml:space="preserve">dino.pesole@ilsole24ore.com                       </t>
  </si>
  <si>
    <t xml:space="preserve">PICCHIO                         </t>
  </si>
  <si>
    <t>PCCNLT58R61G478S</t>
  </si>
  <si>
    <t xml:space="preserve">np@nicolettapicchio.com                           </t>
  </si>
  <si>
    <t xml:space="preserve">K07 </t>
  </si>
  <si>
    <t>ALTRE TESTATE</t>
  </si>
  <si>
    <t>FRRNLT61B66F205E</t>
  </si>
  <si>
    <t xml:space="preserve">ext.nicoletta.ferrari@ilsole24ore.com             </t>
  </si>
  <si>
    <t xml:space="preserve">LICINI                          </t>
  </si>
  <si>
    <t>LCNGLN57D41D530W</t>
  </si>
  <si>
    <t xml:space="preserve">ext.giuliana.licini@ilsole24ore.com               </t>
  </si>
  <si>
    <t xml:space="preserve">MADEDDU                         </t>
  </si>
  <si>
    <t>MDDDVD71S07E281E</t>
  </si>
  <si>
    <t xml:space="preserve">ext.davide.madeddu@ilsole24ore.com                </t>
  </si>
  <si>
    <t xml:space="preserve">francesca.febbo@ilsole24ore.com                   </t>
  </si>
  <si>
    <t xml:space="preserve">valentina.marchioni@ilsole24ore.com               </t>
  </si>
  <si>
    <t xml:space="preserve">ARCHIVIO                        </t>
  </si>
  <si>
    <t>RCHSFN90S59L049L</t>
  </si>
  <si>
    <t xml:space="preserve">stefania.archivio@ilsole24ore.com                 </t>
  </si>
  <si>
    <t xml:space="preserve">ext.sandra.serafini@24orecultura.com              </t>
  </si>
  <si>
    <t>DATO AL 31/01/2023</t>
  </si>
  <si>
    <t>- Ludovico Marco</t>
  </si>
  <si>
    <t>uscito Bozzano USA</t>
  </si>
  <si>
    <t>TRECCARICHI GIUSEPPE WILLIAM</t>
  </si>
  <si>
    <t xml:space="preserve">MALTAGLIATI                     </t>
  </si>
  <si>
    <t xml:space="preserve">DIANA             </t>
  </si>
  <si>
    <t>MLTDNI88E62E514S</t>
  </si>
  <si>
    <t>DATO AL 28/02/2023</t>
  </si>
  <si>
    <t xml:space="preserve">LA GALA                         </t>
  </si>
  <si>
    <t>LGLNTN77C17F924I</t>
  </si>
  <si>
    <t xml:space="preserve">antonio.lagala@ilsole24ore.com                    </t>
  </si>
  <si>
    <t xml:space="preserve">FAVARO                          </t>
  </si>
  <si>
    <t>FVRLSN95L18I403W</t>
  </si>
  <si>
    <t xml:space="preserve">alessandro.favaro@ilsole24ore.com                 </t>
  </si>
  <si>
    <t>RUSSO JURI VENERANDO</t>
  </si>
  <si>
    <t>BUSTO LORENZO</t>
  </si>
  <si>
    <t>DONNA MARCO</t>
  </si>
  <si>
    <t>DG SERVIZI PROFESSIONALI E FORMAZIONE</t>
  </si>
  <si>
    <t>MORESCHINI CRISTINA</t>
  </si>
  <si>
    <t xml:space="preserve">H09 </t>
  </si>
  <si>
    <t xml:space="preserve">CAMILLA ILARIA    </t>
  </si>
  <si>
    <t>CLMCLL89M65I577F</t>
  </si>
  <si>
    <t xml:space="preserve">camilla.colombo@ilsole24ore.com                   </t>
  </si>
  <si>
    <t>DATO AL 31/03/2023</t>
  </si>
  <si>
    <t>- Sessa Alfredo</t>
  </si>
  <si>
    <t>- Paris Marta</t>
  </si>
  <si>
    <t>+ Colombo Camilla</t>
  </si>
  <si>
    <t xml:space="preserve">EVOLO                           </t>
  </si>
  <si>
    <t>VLEFNC96H12F537P</t>
  </si>
  <si>
    <t xml:space="preserve">francesco.evolo@ilsole24ore.com                   </t>
  </si>
  <si>
    <t>DG M&amp;B - DG RADIO 24</t>
  </si>
  <si>
    <t>32 ORE GRAFICI 080000000PP32.0/40- PT 80.00-P</t>
  </si>
  <si>
    <t>DG M&amp;B - DG PUBLISHING &amp; DIGITAL</t>
  </si>
  <si>
    <t xml:space="preserve">DALL'AGNOLA                     </t>
  </si>
  <si>
    <t xml:space="preserve">DELIA             </t>
  </si>
  <si>
    <t>DLLDLE75R53F205U</t>
  </si>
  <si>
    <t xml:space="preserve">delia.dallagnola@ilsole24ore.com                  </t>
  </si>
  <si>
    <t>BACCHILEGA MARCO</t>
  </si>
  <si>
    <t>DIR INFORMATION TECHNOLOGY</t>
  </si>
  <si>
    <t>415300   DIR INFORMATION TECHNOLOGY</t>
  </si>
  <si>
    <t xml:space="preserve">COSENZA                         </t>
  </si>
  <si>
    <t xml:space="preserve">AMERIGO           </t>
  </si>
  <si>
    <t>CSNMRG88T10C349Q</t>
  </si>
  <si>
    <t xml:space="preserve">amerigo.cosenza@ilsole24ore.com                   </t>
  </si>
  <si>
    <t xml:space="preserve">GRAVINA                         </t>
  </si>
  <si>
    <t xml:space="preserve">VALERIO           </t>
  </si>
  <si>
    <t>GRVVLR85C27L049N</t>
  </si>
  <si>
    <t xml:space="preserve">valerio.gravina@ilsole24ore.com                   </t>
  </si>
  <si>
    <t xml:space="preserve">SANTINELLI                      </t>
  </si>
  <si>
    <t xml:space="preserve">CLARA             </t>
  </si>
  <si>
    <t>SNTCLR95M62Z110O</t>
  </si>
  <si>
    <t xml:space="preserve">clara.santinelli@ilsole24ore.com                  </t>
  </si>
  <si>
    <t xml:space="preserve">F1500010    </t>
  </si>
  <si>
    <t>F1500010 STUDI E ANALISI</t>
  </si>
  <si>
    <t>DG M&amp;B - DG SYSTEM 24</t>
  </si>
  <si>
    <t>DG M&amp;B - BUSINESS DEVELOPMENT - RADIOCOR</t>
  </si>
  <si>
    <t xml:space="preserve">G12600      </t>
  </si>
  <si>
    <t>G12600 ANALISI &amp; REPORTING OPERATIVO</t>
  </si>
  <si>
    <t>81_BORSISTI/STAGE   CD</t>
  </si>
  <si>
    <t>BORSISTA/STAGE B</t>
  </si>
  <si>
    <t xml:space="preserve">STAGE                         </t>
  </si>
  <si>
    <t>DATO AL 30/04/2023</t>
  </si>
  <si>
    <t xml:space="preserve">SOLLEVANTI                      </t>
  </si>
  <si>
    <t>SLLSRA93B50D786W</t>
  </si>
  <si>
    <t xml:space="preserve">sara.sollevanti@ilsole24ore.com                   </t>
  </si>
  <si>
    <t>DATO AL 31/05/2023</t>
  </si>
  <si>
    <t>- Soldavini</t>
  </si>
  <si>
    <t>- Giliberto</t>
  </si>
  <si>
    <t xml:space="preserve">PORTERA                         </t>
  </si>
  <si>
    <t>PRTTMS02L20D912Z</t>
  </si>
  <si>
    <t xml:space="preserve">thomas.portera@ilsole24ore.com                    </t>
  </si>
  <si>
    <t xml:space="preserve">BLASIOLI                        </t>
  </si>
  <si>
    <t>BLSSFN96L53E435J</t>
  </si>
  <si>
    <t xml:space="preserve">stefania.blasioli@ilsole24ore.com                 </t>
  </si>
  <si>
    <t xml:space="preserve">DE MAIO                         </t>
  </si>
  <si>
    <t>DMESMN97S27L400B</t>
  </si>
  <si>
    <t xml:space="preserve">simone.demaio@ilsole24ore.com                     </t>
  </si>
  <si>
    <t xml:space="preserve">DEVINCENZO                      </t>
  </si>
  <si>
    <t>DVNGLI92M57F205W</t>
  </si>
  <si>
    <t xml:space="preserve">giulia.devincenzo@ilsole24ore.com                 </t>
  </si>
  <si>
    <t>SPSLCA96S48F704S</t>
  </si>
  <si>
    <t xml:space="preserve">alice.esposito@ilsole24ore.com                    </t>
  </si>
  <si>
    <t xml:space="preserve">STAGE SOLE                              </t>
  </si>
  <si>
    <t xml:space="preserve">GIARDINO                        </t>
  </si>
  <si>
    <t>GRDGRG98E28D086P</t>
  </si>
  <si>
    <t xml:space="preserve">giorgio.giardino@radio24.it                       </t>
  </si>
  <si>
    <t>DATO AL 30/06/2023</t>
  </si>
  <si>
    <t xml:space="preserve">VIELMI                          </t>
  </si>
  <si>
    <t>VLMGLI91R69E704O</t>
  </si>
  <si>
    <t>- Santilli</t>
  </si>
  <si>
    <t>- Carminati</t>
  </si>
  <si>
    <t>DATO AL 31/07/2023</t>
  </si>
  <si>
    <t>VIA GIUSEPPE GIACOSA 38 - TORINO (TO)</t>
  </si>
  <si>
    <t>LUPOI MASSIMO</t>
  </si>
  <si>
    <t xml:space="preserve">FABBRI                          </t>
  </si>
  <si>
    <t xml:space="preserve">REBECCA           </t>
  </si>
  <si>
    <t>FBBRCC94L43F241O</t>
  </si>
  <si>
    <t xml:space="preserve">rebecca.fabbri@24orecultura.com                   </t>
  </si>
  <si>
    <t>DATO AL 31/08/2023</t>
  </si>
  <si>
    <t>- Losi</t>
  </si>
  <si>
    <t xml:space="preserve">MARTELLI                        </t>
  </si>
  <si>
    <t>MRTSLV97B64L400A</t>
  </si>
  <si>
    <t xml:space="preserve">silvia.martelli@ilsole24ore.com                   </t>
  </si>
  <si>
    <t xml:space="preserve">MIGLIORISI                      </t>
  </si>
  <si>
    <t xml:space="preserve">ANGELICA          </t>
  </si>
  <si>
    <t>MGLNLC93L49H501Q</t>
  </si>
  <si>
    <t xml:space="preserve">angelica.migliorisi@ilsole24ore.com               </t>
  </si>
  <si>
    <t xml:space="preserve">BONADIES                        </t>
  </si>
  <si>
    <t>BNDLRA81P65C349L</t>
  </si>
  <si>
    <t xml:space="preserve">laura.bonadies@ilsole24ore.com                    </t>
  </si>
  <si>
    <t xml:space="preserve">COLUCCI                         </t>
  </si>
  <si>
    <t>CLCGRG98R43L319Z</t>
  </si>
  <si>
    <t>RP2</t>
  </si>
  <si>
    <t xml:space="preserve">RP2 REDATTORE MINORE 30 MM    </t>
  </si>
  <si>
    <t xml:space="preserve">giorgia.colucci@ilsole24ore.com                   </t>
  </si>
  <si>
    <t xml:space="preserve">DI MICHELE                      </t>
  </si>
  <si>
    <t>DMCCHR79H44H501G</t>
  </si>
  <si>
    <t xml:space="preserve">chiara.dimichele@ilsole24ore.com                  </t>
  </si>
  <si>
    <t xml:space="preserve">SOLIGO                          </t>
  </si>
  <si>
    <t>SLGMTN93S50L407A</t>
  </si>
  <si>
    <t xml:space="preserve">martina.soligo@ilsole24ore.com                    </t>
  </si>
  <si>
    <t xml:space="preserve">PIAZZOLLA                       </t>
  </si>
  <si>
    <t>PZZRNI99T51C665Z</t>
  </si>
  <si>
    <t xml:space="preserve">irene.piazzolla@ilsole24ore.com                   </t>
  </si>
  <si>
    <t>DATO AL 30/09/2023</t>
  </si>
  <si>
    <t>SNTDNC87S23D643K</t>
  </si>
  <si>
    <t xml:space="preserve">domenico.santoro@ilsole24ore.com                  </t>
  </si>
  <si>
    <t xml:space="preserve">MONTEMEZZANI                    </t>
  </si>
  <si>
    <t>MNTCHR88B51E648Z</t>
  </si>
  <si>
    <t xml:space="preserve">chiara.montemezzani@ilsole24ore.com               </t>
  </si>
  <si>
    <t xml:space="preserve">IZZO                            </t>
  </si>
  <si>
    <t xml:space="preserve">FULVIOMARIA       </t>
  </si>
  <si>
    <t>ZZIFVM83H05F912W</t>
  </si>
  <si>
    <t xml:space="preserve">fulviomaria.izzo@ilsole24ore.com                  </t>
  </si>
  <si>
    <t xml:space="preserve">SPEZZI                          </t>
  </si>
  <si>
    <t xml:space="preserve">FLAMINIA          </t>
  </si>
  <si>
    <t>SPZFMN91A51H501E</t>
  </si>
  <si>
    <t xml:space="preserve">flaminia.spezzi@ilsole24ore.com                   </t>
  </si>
  <si>
    <t>DATO AL 31/10/2023</t>
  </si>
  <si>
    <t xml:space="preserve">MUSELLA                         </t>
  </si>
  <si>
    <t xml:space="preserve">SERENA            </t>
  </si>
  <si>
    <t>MSLSRN90T67F205E</t>
  </si>
  <si>
    <t xml:space="preserve">serena.musella@ilsole24ore.com                    </t>
  </si>
  <si>
    <t xml:space="preserve">DRADI                           </t>
  </si>
  <si>
    <t>DRDFRC85M12Z611F</t>
  </si>
  <si>
    <t xml:space="preserve">federico.dradi@ilsole24ore.com                    </t>
  </si>
  <si>
    <t xml:space="preserve">Federica.Gola@ilsole24ore.com                     </t>
  </si>
  <si>
    <t xml:space="preserve">annarita.dambrosio@ilsole24ore.com                </t>
  </si>
  <si>
    <t xml:space="preserve">marco.ronchetto@ilsole24ore.com                   </t>
  </si>
  <si>
    <t>DATO AL 30/11/2023</t>
  </si>
  <si>
    <t>FINANZA E TESORERIA</t>
  </si>
  <si>
    <t>DALL'AGNOLA DELIA</t>
  </si>
  <si>
    <t xml:space="preserve">E05 </t>
  </si>
  <si>
    <t>NORME,PROCESSI E SISTEMI AMMINISTRATIVI</t>
  </si>
  <si>
    <t>21000002 NORME, PROCESSI E SISTEMI AMMIN</t>
  </si>
  <si>
    <t>215000   AMMINISTRAZIONE E BILANCIO</t>
  </si>
  <si>
    <t>DE LUCIA PAOLA</t>
  </si>
  <si>
    <t>PROCUREMENT</t>
  </si>
  <si>
    <t xml:space="preserve">E11 </t>
  </si>
  <si>
    <t>AMMINISTRAZIONE VENDITE</t>
  </si>
  <si>
    <t xml:space="preserve">COPERCINI                       </t>
  </si>
  <si>
    <t>CPRGLC63S10F205R</t>
  </si>
  <si>
    <t xml:space="preserve">gianluca.copercini@ilsole24ore.com                </t>
  </si>
  <si>
    <t>RAVAGLIOLI SANDRA</t>
  </si>
  <si>
    <t>GISMUNDI STEFANO</t>
  </si>
  <si>
    <t xml:space="preserve">MATTIACCI                       </t>
  </si>
  <si>
    <t xml:space="preserve">BEATRICE          </t>
  </si>
  <si>
    <t>MTTBRC93R58H501I</t>
  </si>
  <si>
    <t xml:space="preserve">beatrice.mattiacci@ilsole24ore.com                </t>
  </si>
  <si>
    <t>DATO AL 31/12/2023</t>
  </si>
  <si>
    <t xml:space="preserve">PANCANI                         </t>
  </si>
  <si>
    <t>PNCSMN85B52F205X</t>
  </si>
  <si>
    <t xml:space="preserve">simona.pancani@ilsole24ore.com                    </t>
  </si>
  <si>
    <t xml:space="preserve">CERAVOLO                        </t>
  </si>
  <si>
    <t>CRVVCN70S65G034I</t>
  </si>
  <si>
    <t xml:space="preserve">enza.ceravolo@ilsole24ore.com                     </t>
  </si>
  <si>
    <t>414100   COORDINAMENTO OPERATIVO</t>
  </si>
  <si>
    <t xml:space="preserve">RAFFELE                         </t>
  </si>
  <si>
    <t>RFFDNL78S27L872C</t>
  </si>
  <si>
    <t xml:space="preserve">daniele.raffele@ilsole24ore.com                   </t>
  </si>
  <si>
    <t xml:space="preserve">POCOBELLI                       </t>
  </si>
  <si>
    <t>PCBMRA89S13F964K</t>
  </si>
  <si>
    <t xml:space="preserve">mauro.pocobelli@ilsole24ore.com                   </t>
  </si>
  <si>
    <t>DATO AL 31/01/2024</t>
  </si>
  <si>
    <t xml:space="preserve">MANZOLI                         </t>
  </si>
  <si>
    <t xml:space="preserve">FLAVIA LAURA      </t>
  </si>
  <si>
    <t>MNZFVL93T65I690O</t>
  </si>
  <si>
    <t xml:space="preserve">flavia.manzoli@ilsole24ore.com                    </t>
  </si>
  <si>
    <t>20 H O GRA/COMM050000000PP20.0/40- PT 50.00-P</t>
  </si>
  <si>
    <t>BRBFNC99H43F205V</t>
  </si>
  <si>
    <t xml:space="preserve">francesca.barbieri2@ilsole24ore.com               </t>
  </si>
  <si>
    <t xml:space="preserve">anna.marino@ilsole24ore.com                       </t>
  </si>
  <si>
    <t xml:space="preserve">vincenzo.miglietta@ilsole24ore.com                </t>
  </si>
  <si>
    <t xml:space="preserve">ARIOLI                          </t>
  </si>
  <si>
    <t>RLASMN81D69F205Q</t>
  </si>
  <si>
    <t xml:space="preserve">simona.arioli@ilsole24ore.com                     </t>
  </si>
  <si>
    <t xml:space="preserve">PANNI                           </t>
  </si>
  <si>
    <t>PNNLCU94R50I608X</t>
  </si>
  <si>
    <t xml:space="preserve">lucia.panni@ilsole24ore.com                       </t>
  </si>
  <si>
    <t>DATO AL 29/02/2024</t>
  </si>
  <si>
    <t xml:space="preserve">ALTEI                           </t>
  </si>
  <si>
    <t>LTALSN82R17F839Z</t>
  </si>
  <si>
    <t xml:space="preserve">alessandro.altei@ilsole24ore.com                  </t>
  </si>
  <si>
    <t>ALTEI ALESSANDRO</t>
  </si>
  <si>
    <t>1R-ASS.RINNOVO CONTR.A TERMINE1R</t>
  </si>
  <si>
    <t xml:space="preserve">anna.migliorati@radio24.it                        </t>
  </si>
  <si>
    <t>CLLGNN86B42F205M</t>
  </si>
  <si>
    <t xml:space="preserve">giovanna.cellamare@ilsole24ore.com                </t>
  </si>
  <si>
    <t xml:space="preserve">D'ORSI                          </t>
  </si>
  <si>
    <t>DRSLSS92L42H501D</t>
  </si>
  <si>
    <t xml:space="preserve">alessia.dorsi@ilsole24ore.com                     </t>
  </si>
  <si>
    <t>612050   MARKETING &amp; BRAND CONNECT</t>
  </si>
  <si>
    <t>DATO AL 31/03/2024</t>
  </si>
  <si>
    <t xml:space="preserve">MAMMONE                         </t>
  </si>
  <si>
    <t>MMMSVT83M08F537K</t>
  </si>
  <si>
    <t xml:space="preserve">salvatore.mammone@ilsole24ore.com                 </t>
  </si>
  <si>
    <t xml:space="preserve">SALA                            </t>
  </si>
  <si>
    <t>SLACLD99P68B729C</t>
  </si>
  <si>
    <t xml:space="preserve">6 LIV. IMPIEGATO              </t>
  </si>
  <si>
    <t xml:space="preserve">claudia.sala@ilsole24ore.com                      </t>
  </si>
  <si>
    <t xml:space="preserve">10 LIV. QUADRO                </t>
  </si>
  <si>
    <t xml:space="preserve">AVANCINI                        </t>
  </si>
  <si>
    <t>VNCMRC79H10F205O</t>
  </si>
  <si>
    <t xml:space="preserve">marco.avancini@ilsole24ore.com                    </t>
  </si>
  <si>
    <t xml:space="preserve">SCIARAFFA                       </t>
  </si>
  <si>
    <t xml:space="preserve">PASQUALE          </t>
  </si>
  <si>
    <t>SCRPQL91T06F104P</t>
  </si>
  <si>
    <t xml:space="preserve">pasquale.sciaraffa@ilsole24ore.com                </t>
  </si>
  <si>
    <t>DATO AL 30/04/2024</t>
  </si>
  <si>
    <t xml:space="preserve">DI STEFANO                      </t>
  </si>
  <si>
    <t>DSTGRG98A49G914V</t>
  </si>
  <si>
    <t xml:space="preserve">giorgia.distefano@ilsole24ore.com                 </t>
  </si>
  <si>
    <t xml:space="preserve">RECUPERO                        </t>
  </si>
  <si>
    <t>RCPNDR03T31G388H</t>
  </si>
  <si>
    <t xml:space="preserve">andrea.recupero@ilsole24ore.com                   </t>
  </si>
  <si>
    <t xml:space="preserve">BOROMEI                         </t>
  </si>
  <si>
    <t>BRMPLA76D51F205I</t>
  </si>
  <si>
    <t xml:space="preserve">paola.boromei@ilsole24ore.com                     </t>
  </si>
  <si>
    <t xml:space="preserve">COSTANZO                        </t>
  </si>
  <si>
    <t>CSTFRZ91H16C351O</t>
  </si>
  <si>
    <t xml:space="preserve">fabrizio.costanzo@ilsole24ore.com                 </t>
  </si>
  <si>
    <t>BOROMEI PAOLA</t>
  </si>
  <si>
    <t xml:space="preserve">CARROZZA                        </t>
  </si>
  <si>
    <t>CRRLCU94D50H703F</t>
  </si>
  <si>
    <t xml:space="preserve">lucia.carrozza@ilsole24ore.com                    </t>
  </si>
  <si>
    <t xml:space="preserve">MILINCIC                        </t>
  </si>
  <si>
    <t xml:space="preserve">GORANA            </t>
  </si>
  <si>
    <t>MLNGRN84B61Z153M</t>
  </si>
  <si>
    <t xml:space="preserve">gorana.milincic@24orecultura.com                  </t>
  </si>
  <si>
    <t>DATO AL 31/05/2024</t>
  </si>
  <si>
    <t>TORCIANI MORENA</t>
  </si>
  <si>
    <t>POLVERE VANNA</t>
  </si>
  <si>
    <t xml:space="preserve">RAMPULLA                        </t>
  </si>
  <si>
    <t>RMPVNT86R42H501P</t>
  </si>
  <si>
    <t xml:space="preserve">valentina.rampulla@ilsole24ore.com                </t>
  </si>
  <si>
    <t>DATO AL 30/06/2024</t>
  </si>
  <si>
    <t>v.439-Età</t>
  </si>
  <si>
    <t>GRDLCA95R64B019Y</t>
  </si>
  <si>
    <t xml:space="preserve">alice.giordano@ilsole24ore.com                    </t>
  </si>
  <si>
    <t xml:space="preserve">BENOTTI                         </t>
  </si>
  <si>
    <t>BNTMNC93C62E514Y</t>
  </si>
  <si>
    <t xml:space="preserve">monica.benotti@ilsole24ore.com                    </t>
  </si>
  <si>
    <t xml:space="preserve">SABETTA                         </t>
  </si>
  <si>
    <t>SBTFRC93P59F205O</t>
  </si>
  <si>
    <t xml:space="preserve">federica.sabetta@ilsole24ore.com                  </t>
  </si>
  <si>
    <t xml:space="preserve">STAMATOPOULOS                   </t>
  </si>
  <si>
    <t>STMGRG69M15H501P</t>
  </si>
  <si>
    <t xml:space="preserve">giorgio.stamatopoulos@radio24.it                  </t>
  </si>
  <si>
    <t xml:space="preserve">NESTA                           </t>
  </si>
  <si>
    <t>NSTSFN92E60F205C</t>
  </si>
  <si>
    <t xml:space="preserve">stefania.nesta@ilsole24ore.com                    </t>
  </si>
  <si>
    <t xml:space="preserve">ext.samantha.morosato@radio24.it                  </t>
  </si>
  <si>
    <t xml:space="preserve">ext.micol.santini@radio24.it                      </t>
  </si>
  <si>
    <t>DATO AL 31/07/2024</t>
  </si>
  <si>
    <t>-1 MACELLONI MARINA</t>
  </si>
  <si>
    <t>+1 STAMATOPOULOS GIORGIO</t>
  </si>
  <si>
    <t>DATO AL 31/08/2024</t>
  </si>
  <si>
    <t>Cittadinanza</t>
  </si>
  <si>
    <t>Decodifica Cittadinanza</t>
  </si>
  <si>
    <t xml:space="preserve">I  </t>
  </si>
  <si>
    <t>ITALIA                              IT</t>
  </si>
  <si>
    <t xml:space="preserve">PISSENATI                       </t>
  </si>
  <si>
    <t>PSSSRA98H64F205N</t>
  </si>
  <si>
    <t xml:space="preserve">sara.pissenati@ilsole24ore.com                    </t>
  </si>
  <si>
    <t>LA GALA ANTONIO</t>
  </si>
  <si>
    <t xml:space="preserve">PALA                            </t>
  </si>
  <si>
    <t xml:space="preserve">MARIA GRAZIA      </t>
  </si>
  <si>
    <t>PLAMGR94S52I452D</t>
  </si>
  <si>
    <t xml:space="preserve">maria.pala@ilsole24ore.com                        </t>
  </si>
  <si>
    <t xml:space="preserve">EISA                            </t>
  </si>
  <si>
    <t>YEHIA MOHAMED HASS</t>
  </si>
  <si>
    <t>SEIYMH86E16Z336C</t>
  </si>
  <si>
    <t xml:space="preserve">yehia.eisa@ilsole24ore.com                        </t>
  </si>
  <si>
    <t xml:space="preserve">ET </t>
  </si>
  <si>
    <t>EGITTO                           023EG                   419</t>
  </si>
  <si>
    <t>GENOVA ALESSANDRO</t>
  </si>
  <si>
    <t xml:space="preserve">FERRANTE                        </t>
  </si>
  <si>
    <t>FRRLSN77D47G813D</t>
  </si>
  <si>
    <t xml:space="preserve">alessandra.ferrante@ilsole24ore.com               </t>
  </si>
  <si>
    <t xml:space="preserve">SCANDROGLIO                     </t>
  </si>
  <si>
    <t>SCNNLS85T51B300R</t>
  </si>
  <si>
    <t xml:space="preserve">annalisa.scandroglio@24orecultura.com             </t>
  </si>
  <si>
    <t xml:space="preserve">BAGNASCO                        </t>
  </si>
  <si>
    <t xml:space="preserve">GIACOMO           </t>
  </si>
  <si>
    <t>BGNGCM57P06D969I</t>
  </si>
  <si>
    <t xml:space="preserve">giacomobagnasco57@gmail.com                       </t>
  </si>
  <si>
    <t xml:space="preserve">CARBONE                         </t>
  </si>
  <si>
    <t>CRBNLT60H57L219U</t>
  </si>
  <si>
    <t xml:space="preserve">ext.nicoletta.carbone@radio24.it                  </t>
  </si>
  <si>
    <t xml:space="preserve">NICOLETTI                       </t>
  </si>
  <si>
    <t>NCLGLC54M17G478C</t>
  </si>
  <si>
    <t xml:space="preserve">gianluca.nicoletti@radio24.it                     </t>
  </si>
  <si>
    <t>DATO AL 30/09/2024</t>
  </si>
  <si>
    <t>MARKETING RADI0 24</t>
  </si>
  <si>
    <t>AREA TECNICI E REGIA</t>
  </si>
  <si>
    <t>PRODUZIONE</t>
  </si>
  <si>
    <t xml:space="preserve">B06 </t>
  </si>
  <si>
    <t>EVENTI RADIO 24</t>
  </si>
  <si>
    <t>SVILUPPO DIGITALE E MARKETING EDITORIALE</t>
  </si>
  <si>
    <t xml:space="preserve">D06 </t>
  </si>
  <si>
    <t>POLITICHE COMMERCIALI, DIFF. E LOGISTICA</t>
  </si>
  <si>
    <t xml:space="preserve">D07 </t>
  </si>
  <si>
    <t>VENDITE ABBONAMENTI E RINNOVI</t>
  </si>
  <si>
    <t>BUSINESS DATA MANAGEMENT</t>
  </si>
  <si>
    <t xml:space="preserve">D09 </t>
  </si>
  <si>
    <t xml:space="preserve">D10 </t>
  </si>
  <si>
    <t>E-COMMERCE</t>
  </si>
  <si>
    <t>DIR CENTRALE PERSONALE, ORGANIZZA E SOST</t>
  </si>
  <si>
    <t>DIR.COM. SERVIZI PROF. E FORMAZIONE</t>
  </si>
  <si>
    <t>MARKETING SERVIZI PROF. E FORMAZIONE</t>
  </si>
  <si>
    <t xml:space="preserve">CALZONI                         </t>
  </si>
  <si>
    <t>CLZDTT96M42F205W</t>
  </si>
  <si>
    <t xml:space="preserve">diletta.calzoni@ilsole24ore.com                   </t>
  </si>
  <si>
    <t>AREA LEGALE E MERCATI DI SVILUPPO</t>
  </si>
  <si>
    <t>AREA FINANCIAL SERVICES &amp; PATNERSHIP B2B</t>
  </si>
  <si>
    <t xml:space="preserve">H10 </t>
  </si>
  <si>
    <t>AREA PARTNER 24 ORE E COMMUNITY DEVELOP.</t>
  </si>
  <si>
    <t>MARKETING E BRAND CONNECT</t>
  </si>
  <si>
    <t xml:space="preserve">BERTINO                         </t>
  </si>
  <si>
    <t>BRTCRN70B60Z133J</t>
  </si>
  <si>
    <t xml:space="preserve">caterina.bertino@ilsole24ore.com                  </t>
  </si>
  <si>
    <t>VITALE MARCO</t>
  </si>
  <si>
    <t>DIGITAL MARKETING ADVERTISING</t>
  </si>
  <si>
    <t>BUSINESS DEVELOPMENT - RADIOCOR</t>
  </si>
  <si>
    <t xml:space="preserve">IASENZA                         </t>
  </si>
  <si>
    <t>SNZGLI96P50D286D</t>
  </si>
  <si>
    <t xml:space="preserve">giulia.iasenza@ilsole24ore.com                    </t>
  </si>
  <si>
    <t>DATO AL 31/10/2024</t>
  </si>
  <si>
    <t xml:space="preserve">MAGRI                           </t>
  </si>
  <si>
    <t xml:space="preserve">CANDIDA           </t>
  </si>
  <si>
    <t>MGRCDD85P42G842K</t>
  </si>
  <si>
    <t xml:space="preserve">candida.magri@ilsole24ore.com                     </t>
  </si>
  <si>
    <t xml:space="preserve">ext.anna.delfreo@ilsole24ore.com                  </t>
  </si>
  <si>
    <t xml:space="preserve">ext.isabella.bufacchi@ilsole24ore.com             </t>
  </si>
  <si>
    <t>DATO AL 30/11/2024</t>
  </si>
  <si>
    <t>- Del Freo ; '- Dragoni</t>
  </si>
  <si>
    <t>VIA LUIGI BOCCHERINI 15 - ROMA (RM)</t>
  </si>
  <si>
    <t xml:space="preserve">matteo.ramelli@ilsole24ore.com                    </t>
  </si>
  <si>
    <t>DATO AL 31/12/2024</t>
  </si>
  <si>
    <t>- Orioli</t>
  </si>
  <si>
    <t>Q11000   MARKETING RADI0 24</t>
  </si>
  <si>
    <t>511200   OPERATIONS P&amp;D</t>
  </si>
  <si>
    <t xml:space="preserve">ANNARITA          </t>
  </si>
  <si>
    <t>413000   PROCUREMENT</t>
  </si>
  <si>
    <t xml:space="preserve">FERRETTI                        </t>
  </si>
  <si>
    <t xml:space="preserve">ALESSIA FRANCESCA </t>
  </si>
  <si>
    <t>FRRLSF87R50I690J</t>
  </si>
  <si>
    <t xml:space="preserve">alessia.ferretti@ilsole24ore.com                  </t>
  </si>
  <si>
    <t>015000   DG SERVIZI PROF. e FORMAZIONE</t>
  </si>
  <si>
    <t xml:space="preserve">TOZZI                           </t>
  </si>
  <si>
    <t>TZZFNC70M58D612Q</t>
  </si>
  <si>
    <t xml:space="preserve">francesca.tozzi@ilsole24ore.com                   </t>
  </si>
  <si>
    <t xml:space="preserve">B10010      </t>
  </si>
  <si>
    <t>B10010  OPERATIONS E CUSTOMER ENGAGEMEN</t>
  </si>
  <si>
    <t>B1000030 DIR.COM. SERVIZI PROF. E FORM.</t>
  </si>
  <si>
    <t>815115   AREA FISCO LAVORO</t>
  </si>
  <si>
    <t xml:space="preserve">PERROTTI                        </t>
  </si>
  <si>
    <t>PRRVNT97P64F839A</t>
  </si>
  <si>
    <t xml:space="preserve">valentina.perrotti@ilsole24ore.com                </t>
  </si>
  <si>
    <t>B10140   TRADE MARKETING</t>
  </si>
  <si>
    <t xml:space="preserve">BUCCOLIERO                      </t>
  </si>
  <si>
    <t>BCCMRT98A64D869K</t>
  </si>
  <si>
    <t xml:space="preserve">marta.buccoliero@ilsole24ore.com                  </t>
  </si>
  <si>
    <t xml:space="preserve">G1241002    </t>
  </si>
  <si>
    <t>G1241002 GRAFICI MKTG SERV. PROF E FORM.</t>
  </si>
  <si>
    <t>815100 AREA LEGALE E MERCATI DI SVILUPPO</t>
  </si>
  <si>
    <t xml:space="preserve">G1200010    </t>
  </si>
  <si>
    <t>G1200010 REDAZIONE AZIENDE</t>
  </si>
  <si>
    <t>E11000  AREA FINANCIAL SERVICES &amp; PATNER</t>
  </si>
  <si>
    <t>81800010 AREA PARTNER 24 ORE e COMM.DEVE</t>
  </si>
  <si>
    <t xml:space="preserve">DI MARIA                        </t>
  </si>
  <si>
    <t>DMRSLV88S63G273R</t>
  </si>
  <si>
    <t xml:space="preserve">silvia.dimaria@ilsole24ore.com                    </t>
  </si>
  <si>
    <t>CARDUCCI ARTENISIO FABIO</t>
  </si>
  <si>
    <t>613950   VENDITE ADV CENTRI MEDIA E AGEN</t>
  </si>
  <si>
    <t>61207010 DIGITAL MARKETING ADVERTISING</t>
  </si>
  <si>
    <t>61207020 DIGITAL PRODUCT DEVELOPMENT</t>
  </si>
  <si>
    <t>W19520   SVILUPPO COMMERCIALE &amp; MOSTRE</t>
  </si>
  <si>
    <t xml:space="preserve">W1952010    </t>
  </si>
  <si>
    <t>W1952010 MOSTRE</t>
  </si>
  <si>
    <t xml:space="preserve">TORNEO                          </t>
  </si>
  <si>
    <t>TRNVNI94A01I754J</t>
  </si>
  <si>
    <t>015000 DG SERVIZI PROFESSIONALI E FORMAZ</t>
  </si>
  <si>
    <t>81800010 AREA PARTNER 24 ORE E COMM.DEVE</t>
  </si>
  <si>
    <t xml:space="preserve">FATIGUSO                        </t>
  </si>
  <si>
    <t xml:space="preserve">RITA FRANCESCA    </t>
  </si>
  <si>
    <t>FTGRFR62R62A662A</t>
  </si>
  <si>
    <t xml:space="preserve">CARRUBBA                        </t>
  </si>
  <si>
    <t>CRRSVT51E19C351G</t>
  </si>
  <si>
    <t xml:space="preserve">ext.salvatore.carrubba@ilsole24ore.com            </t>
  </si>
  <si>
    <t>DATO AL 31/01/2025</t>
  </si>
  <si>
    <t xml:space="preserve">CUMINI                          </t>
  </si>
  <si>
    <t xml:space="preserve">chiara.cumini@ilsole24ore.com                     </t>
  </si>
  <si>
    <t xml:space="preserve">NUCCIARELLI                     </t>
  </si>
  <si>
    <t xml:space="preserve">GAIA              </t>
  </si>
  <si>
    <t>NCCGAI01C47G478H</t>
  </si>
  <si>
    <t xml:space="preserve">gaia.nucciarelli@ilsole24ore.com                  </t>
  </si>
  <si>
    <t xml:space="preserve">U           </t>
  </si>
  <si>
    <t xml:space="preserve">U01 </t>
  </si>
  <si>
    <t xml:space="preserve">PELLEGATTI                      </t>
  </si>
  <si>
    <t>PLLCRL50D11F205F</t>
  </si>
  <si>
    <t xml:space="preserve">ext.carlo.pellegatti@radio24.it                   </t>
  </si>
  <si>
    <t>DATO AL 28/02/2025</t>
  </si>
  <si>
    <t>CMNCHR96B58I403S</t>
  </si>
  <si>
    <t>BARABINO EMANUELA</t>
  </si>
  <si>
    <t xml:space="preserve">giulia.vielmi@ilsole24ore.com                     </t>
  </si>
  <si>
    <t xml:space="preserve">ext.rita.fatiguso@ilsole24ore.com                 </t>
  </si>
  <si>
    <t>DATO AL 31/03/2025</t>
  </si>
  <si>
    <t>35 ORE GRAFICI 087500000PP35.0/40- PT 87.50-P</t>
  </si>
  <si>
    <t xml:space="preserve">DI BONA                         </t>
  </si>
  <si>
    <t>DBNCST88L46A486N</t>
  </si>
  <si>
    <t>DATO AL 30/04/2025</t>
  </si>
  <si>
    <t xml:space="preserve">BOLZONI                         </t>
  </si>
  <si>
    <t>BLZRRT85M25D969E</t>
  </si>
  <si>
    <t xml:space="preserve">roberto.bolzoni@ilsole24ore.com                   </t>
  </si>
  <si>
    <t>DATO AL 31/05/2025</t>
  </si>
  <si>
    <t>- Meazza</t>
  </si>
  <si>
    <t>AMMINISTR., FINANZA E CONTROLLO</t>
  </si>
  <si>
    <t>31000010 SEL. FORMAZIONE ED EMPLOYER BRA</t>
  </si>
  <si>
    <t>31000030 HR ANALYTICS &amp; BUDGETING</t>
  </si>
  <si>
    <t>311000   DIRETTORE DEL PERSONALE</t>
  </si>
  <si>
    <t>312000   AMMINISTRAZIONE DEL PERSONALE</t>
  </si>
  <si>
    <t>DG I&amp;T - DIR INFORMATION TECHNOLOGY</t>
  </si>
  <si>
    <t>IT OPERATIONS &amp; INFRASTRUCTURE</t>
  </si>
  <si>
    <t>SALES SUPPORT &amp; OPERATIONS</t>
  </si>
  <si>
    <t>61400010 SALES SUPPORT &amp; OPERATIONS</t>
  </si>
  <si>
    <t>DIREZIONE COMMERCIALE STAMPA E PA</t>
  </si>
  <si>
    <t>DIREZIONE COMMERCIALE CENTRI MEDIA</t>
  </si>
  <si>
    <t xml:space="preserve">S           </t>
  </si>
  <si>
    <t xml:space="preserve">MEAZZA                          </t>
  </si>
  <si>
    <t>MZZMRA62S13F205Q</t>
  </si>
  <si>
    <t>DATO AL 30/06/2025</t>
  </si>
  <si>
    <t>310000   DIR. CENTR. PERS, ORG e SOST.</t>
  </si>
  <si>
    <t>31000050 ESG E INIZIATIVE DI SVILUPPO</t>
  </si>
  <si>
    <t>31000070 CERTIF. ISO PARITA' DI GEN. E A</t>
  </si>
  <si>
    <t>31200010 GEST. AMMINISTRATIVA AGENTI</t>
  </si>
  <si>
    <t xml:space="preserve">SALVATORELLI                    </t>
  </si>
  <si>
    <t>SLVSLV82C41G942M</t>
  </si>
  <si>
    <t xml:space="preserve">silvia.salvatorelli@ilsole24ore.com               </t>
  </si>
  <si>
    <t>DI PILLO LAURA</t>
  </si>
  <si>
    <t>GRASSANI ALBERTO</t>
  </si>
  <si>
    <t xml:space="preserve">raffaella.calandra@ilsole24ore.com                </t>
  </si>
  <si>
    <t xml:space="preserve">dario.ricci@ilsole24ore.com                       </t>
  </si>
  <si>
    <t xml:space="preserve">ivan.torneo@ilsole24ore.com                       </t>
  </si>
  <si>
    <t xml:space="preserve">NATALI                          </t>
  </si>
  <si>
    <t xml:space="preserve">ELISA NANCY       </t>
  </si>
  <si>
    <t>NTLLNN81S55Z700Y</t>
  </si>
  <si>
    <t xml:space="preserve">PISELLI                         </t>
  </si>
  <si>
    <t>PSLCHR87A66D761F</t>
  </si>
  <si>
    <t>DATO AL 31/07/2025</t>
  </si>
  <si>
    <t>+1 Torneo Ivan</t>
  </si>
  <si>
    <t>C</t>
  </si>
  <si>
    <t>C.MATERN.OBBLIG.</t>
  </si>
  <si>
    <t xml:space="preserve">ext.mauro.meazza@ilsole24ore.com                  </t>
  </si>
  <si>
    <t>DATO AL 31/08/2025</t>
  </si>
  <si>
    <t>- Attanasio Rosa</t>
  </si>
  <si>
    <t xml:space="preserve">LAZZARINI                       </t>
  </si>
  <si>
    <t>LZZSMN84H52L219H</t>
  </si>
  <si>
    <t xml:space="preserve">simona.lazzarini@ilsole24ore.com                  </t>
  </si>
  <si>
    <t>MARCHETTI SUSANNA</t>
  </si>
  <si>
    <t>BERATTO DARIO</t>
  </si>
  <si>
    <t>BONA MATTEO</t>
  </si>
  <si>
    <t>FUMAGALLI ROBERTO</t>
  </si>
  <si>
    <t>VIA ALESSANDRO POERIO 24 - VENEZIA (VE)</t>
  </si>
  <si>
    <t xml:space="preserve">VENEZIA                </t>
  </si>
  <si>
    <t xml:space="preserve">K10 </t>
  </si>
  <si>
    <t>24 ORE NEXT MED</t>
  </si>
  <si>
    <t>518300   REDAZIONE NUOVO PERIODICO</t>
  </si>
  <si>
    <t xml:space="preserve">ANTONELLI                       </t>
  </si>
  <si>
    <t>NTNCLD76T03E333D</t>
  </si>
  <si>
    <t xml:space="preserve">claudio.antonelli@ilsole24ore.com                 </t>
  </si>
  <si>
    <t xml:space="preserve">BUSSOLA                         </t>
  </si>
  <si>
    <t>BSSMTT71S14F861P</t>
  </si>
  <si>
    <t>AUTONOMO       S</t>
  </si>
  <si>
    <t xml:space="preserve">AUTONOMO                      </t>
  </si>
  <si>
    <t xml:space="preserve">ext.matteo.bussola@radio24.it                     </t>
  </si>
  <si>
    <t>HTSI</t>
  </si>
  <si>
    <t>- Mincuzzi</t>
  </si>
  <si>
    <t>Nuovo Per.</t>
  </si>
  <si>
    <t>+ Antonelli</t>
  </si>
  <si>
    <t>DATO AL 30/09/2025</t>
  </si>
  <si>
    <t>MNGCNZ80L52G273V</t>
  </si>
  <si>
    <t xml:space="preserve">cinzia.mangano@ilsole24ore.com                    </t>
  </si>
  <si>
    <t xml:space="preserve">BOZZELLA                        </t>
  </si>
  <si>
    <t>BZZLSN00B44D286Z</t>
  </si>
  <si>
    <t xml:space="preserve">alessandra.bozzella@ilsole24ore.com               </t>
  </si>
  <si>
    <t xml:space="preserve">MONOLO                          </t>
  </si>
  <si>
    <t>MNLCNZ99M63E801K</t>
  </si>
  <si>
    <t xml:space="preserve">cinzia.monolo@ilsole24ore.com                     </t>
  </si>
  <si>
    <t xml:space="preserve">ONOFRI                          </t>
  </si>
  <si>
    <t xml:space="preserve">SILVIA EMANUELA   </t>
  </si>
  <si>
    <t>NFRSVM65R57H501N</t>
  </si>
  <si>
    <t xml:space="preserve">silvia.onofri@ilsole24ore.com                     </t>
  </si>
  <si>
    <t>DECESARI SEVERINA</t>
  </si>
  <si>
    <t>TAMBURINI FABIO ANTONIO</t>
  </si>
  <si>
    <t xml:space="preserve">GARRAMONE                       </t>
  </si>
  <si>
    <t xml:space="preserve">MARTIN            </t>
  </si>
  <si>
    <t>GRRMTN00L29Z601R</t>
  </si>
  <si>
    <t>DATO AL 31/10/2025</t>
  </si>
  <si>
    <t>- Marchesini</t>
  </si>
  <si>
    <t>MNTSRN82M71G337H</t>
  </si>
  <si>
    <t xml:space="preserve">serena.monteverdi@ilsole24ore.com                 </t>
  </si>
  <si>
    <t xml:space="preserve">D11 </t>
  </si>
  <si>
    <t>BAZZO ROBERTA</t>
  </si>
  <si>
    <t>210000   AMMINISTRAZIONE, FINANZA E CONT</t>
  </si>
  <si>
    <t xml:space="preserve">BAZZO                           </t>
  </si>
  <si>
    <t>BZZRRT85E46F205L</t>
  </si>
  <si>
    <t xml:space="preserve">roberta.bazzo@ilsole24ore.com                     </t>
  </si>
  <si>
    <t>M.CONGEDO STRAORD.</t>
  </si>
  <si>
    <t xml:space="preserve">G08 </t>
  </si>
  <si>
    <t>Q</t>
  </si>
  <si>
    <t>Q.ULTIMO CEDOLINO</t>
  </si>
  <si>
    <t xml:space="preserve">T           </t>
  </si>
  <si>
    <t>DIREZIONE PROCUREMENT E PROCESSI DI ACQU</t>
  </si>
  <si>
    <t xml:space="preserve">T01 </t>
  </si>
  <si>
    <t xml:space="preserve">ext.martin.garramone@radio24.it                   </t>
  </si>
  <si>
    <t xml:space="preserve">LUNGHI                          </t>
  </si>
  <si>
    <t>LNGCST98M46E202P</t>
  </si>
  <si>
    <t xml:space="preserve">ext.cristina.lunghi@radio24.it                    </t>
  </si>
  <si>
    <t xml:space="preserve">MARCHESINI                      </t>
  </si>
  <si>
    <t xml:space="preserve">EVELINA           </t>
  </si>
  <si>
    <t>MRCVLN64R63Z611D</t>
  </si>
  <si>
    <t xml:space="preserve">evelina.marchesini@gmail.com                      </t>
  </si>
  <si>
    <t xml:space="preserve">MARIA RITA        </t>
  </si>
  <si>
    <t>GRZMRT84C55A345I</t>
  </si>
  <si>
    <t>dir-vdir =&gt; 6</t>
  </si>
  <si>
    <t>DATO AL 30/11/2025</t>
  </si>
  <si>
    <t>-Barlaam -Cerati -Massarento</t>
  </si>
  <si>
    <t>(più elementi)</t>
  </si>
  <si>
    <t>DATO AL 31/12/2025</t>
  </si>
  <si>
    <t xml:space="preserve">011000      </t>
  </si>
  <si>
    <t>34</t>
  </si>
  <si>
    <t>06/10/2025</t>
  </si>
  <si>
    <t>21</t>
  </si>
  <si>
    <t>12/07/1980</t>
  </si>
  <si>
    <t/>
  </si>
  <si>
    <t>31/12/2025</t>
  </si>
  <si>
    <t>00</t>
  </si>
  <si>
    <t xml:space="preserve">1 </t>
  </si>
  <si>
    <t>09/10/2025</t>
  </si>
  <si>
    <t>31/05/2027</t>
  </si>
  <si>
    <t xml:space="preserve">0015003123                    </t>
  </si>
  <si>
    <t>20/11/2023</t>
  </si>
  <si>
    <t>27/12/1990</t>
  </si>
  <si>
    <t>01/07/2025</t>
  </si>
  <si>
    <t xml:space="preserve">0015002960                    </t>
  </si>
  <si>
    <t>01/04/2021</t>
  </si>
  <si>
    <t>01/11/2000</t>
  </si>
  <si>
    <t>18/08/1967</t>
  </si>
  <si>
    <t xml:space="preserve">016100      </t>
  </si>
  <si>
    <t>10/11/2025</t>
  </si>
  <si>
    <t>90</t>
  </si>
  <si>
    <t>31/08/1982</t>
  </si>
  <si>
    <t>01/12/2025</t>
  </si>
  <si>
    <t>31/05/2026</t>
  </si>
  <si>
    <t>02/04/2007</t>
  </si>
  <si>
    <t>15/06/2007</t>
  </si>
  <si>
    <t>03/12/1973</t>
  </si>
  <si>
    <t xml:space="preserve">4  </t>
  </si>
  <si>
    <t>01/01/2014</t>
  </si>
  <si>
    <t>22/08/2005</t>
  </si>
  <si>
    <t>24/09/1977</t>
  </si>
  <si>
    <t>28/12/2004</t>
  </si>
  <si>
    <t>28/04/1961</t>
  </si>
  <si>
    <t>01/05/1993</t>
  </si>
  <si>
    <t>07/03/1989</t>
  </si>
  <si>
    <t>06/01/1969</t>
  </si>
  <si>
    <t>01/01/2025</t>
  </si>
  <si>
    <t xml:space="preserve">5  </t>
  </si>
  <si>
    <t>01/06/2017</t>
  </si>
  <si>
    <t>25/03/1965</t>
  </si>
  <si>
    <t>30/06/1966</t>
  </si>
  <si>
    <t>06/11/2001</t>
  </si>
  <si>
    <t>12/01/1972</t>
  </si>
  <si>
    <t xml:space="preserve">0015002756                    </t>
  </si>
  <si>
    <t xml:space="preserve">3  </t>
  </si>
  <si>
    <t>22/10/1999</t>
  </si>
  <si>
    <t>18/07/1976</t>
  </si>
  <si>
    <t>31</t>
  </si>
  <si>
    <t>01/06/2009</t>
  </si>
  <si>
    <t>01/10/2001</t>
  </si>
  <si>
    <t>27/01/1975</t>
  </si>
  <si>
    <t>02/10/2009</t>
  </si>
  <si>
    <t>05/02/1974</t>
  </si>
  <si>
    <t>01/09/2022</t>
  </si>
  <si>
    <t>21/01/2013</t>
  </si>
  <si>
    <t>18/09/1987</t>
  </si>
  <si>
    <t>01/01/2008</t>
  </si>
  <si>
    <t>09/04/1963</t>
  </si>
  <si>
    <t>09/03/2015</t>
  </si>
  <si>
    <t>28/02/1986</t>
  </si>
  <si>
    <t>01/04/2006</t>
  </si>
  <si>
    <t>16/01/1978</t>
  </si>
  <si>
    <t>23/08/1999</t>
  </si>
  <si>
    <t>15/10/1974</t>
  </si>
  <si>
    <t>16/11/1999</t>
  </si>
  <si>
    <t>25/06/1975</t>
  </si>
  <si>
    <t>10/01/2022</t>
  </si>
  <si>
    <t>22/06/1994</t>
  </si>
  <si>
    <t>07/07/2022</t>
  </si>
  <si>
    <t>26/08/1999</t>
  </si>
  <si>
    <t>06/07/2023</t>
  </si>
  <si>
    <t>01/09/2008</t>
  </si>
  <si>
    <t>09/03/1976</t>
  </si>
  <si>
    <t>05</t>
  </si>
  <si>
    <t>01/10/2025</t>
  </si>
  <si>
    <t xml:space="preserve">2  </t>
  </si>
  <si>
    <t>05/09/1988</t>
  </si>
  <si>
    <t>08/03/1964</t>
  </si>
  <si>
    <t xml:space="preserve">0015002764                    </t>
  </si>
  <si>
    <t>01/09/2000</t>
  </si>
  <si>
    <t>19/02/1967</t>
  </si>
  <si>
    <t>04/04/2006</t>
  </si>
  <si>
    <t>25/03/1973</t>
  </si>
  <si>
    <t>02</t>
  </si>
  <si>
    <t>13/09/1999</t>
  </si>
  <si>
    <t>20/07/1972</t>
  </si>
  <si>
    <t>01/01/2016</t>
  </si>
  <si>
    <t>30/10/2010</t>
  </si>
  <si>
    <t>01/03/1983</t>
  </si>
  <si>
    <t>01/10/2019</t>
  </si>
  <si>
    <t>28/05/1996</t>
  </si>
  <si>
    <t>19/11/1978</t>
  </si>
  <si>
    <t>01/04/2020</t>
  </si>
  <si>
    <t>31/07/2026</t>
  </si>
  <si>
    <t>27/05/1974</t>
  </si>
  <si>
    <t>20/09/2023</t>
  </si>
  <si>
    <t>28/05/1998</t>
  </si>
  <si>
    <t>22/09/2011</t>
  </si>
  <si>
    <t>21/08/1985</t>
  </si>
  <si>
    <t>28/05/1974</t>
  </si>
  <si>
    <t>12/01/2015</t>
  </si>
  <si>
    <t>12/01/1984</t>
  </si>
  <si>
    <t>14/01/2008</t>
  </si>
  <si>
    <t>07/04/1972</t>
  </si>
  <si>
    <t>01/10/2014</t>
  </si>
  <si>
    <t>28/11/1985</t>
  </si>
  <si>
    <t>01/03/2015</t>
  </si>
  <si>
    <t xml:space="preserve">5 </t>
  </si>
  <si>
    <t>27/05/1977</t>
  </si>
  <si>
    <t>25/03/2010</t>
  </si>
  <si>
    <t>24/12/1982</t>
  </si>
  <si>
    <t>06/10/2020</t>
  </si>
  <si>
    <t>14/03/1993</t>
  </si>
  <si>
    <t>30/09/2022</t>
  </si>
  <si>
    <t>07/01/2015</t>
  </si>
  <si>
    <t>21/09/1989</t>
  </si>
  <si>
    <t>22/06/2020</t>
  </si>
  <si>
    <t>10/01/1989</t>
  </si>
  <si>
    <t>07/02/2005</t>
  </si>
  <si>
    <t>24/07/1974</t>
  </si>
  <si>
    <t>04/09/2006</t>
  </si>
  <si>
    <t>05/04/1976</t>
  </si>
  <si>
    <t>11/05/2015</t>
  </si>
  <si>
    <t>16/12/1982</t>
  </si>
  <si>
    <t>16/08/2022</t>
  </si>
  <si>
    <t>11/03/1979</t>
  </si>
  <si>
    <t>05/09/2019</t>
  </si>
  <si>
    <t>02/05/2007</t>
  </si>
  <si>
    <t>13/10/1975</t>
  </si>
  <si>
    <t xml:space="preserve">512000      </t>
  </si>
  <si>
    <t>15/10/2007</t>
  </si>
  <si>
    <t>22/02/1980</t>
  </si>
  <si>
    <t xml:space="preserve">0015002983                    </t>
  </si>
  <si>
    <t>01/07/2001</t>
  </si>
  <si>
    <t>03/07/2000</t>
  </si>
  <si>
    <t>28/01/1974</t>
  </si>
  <si>
    <t>01/03/2023</t>
  </si>
  <si>
    <t>17/03/1977</t>
  </si>
  <si>
    <t>02/09/2024</t>
  </si>
  <si>
    <t>24/06/1998</t>
  </si>
  <si>
    <t xml:space="preserve">0015003068                    </t>
  </si>
  <si>
    <t>02/07/2007</t>
  </si>
  <si>
    <t>22/02/1974</t>
  </si>
  <si>
    <t xml:space="preserve">51210010    </t>
  </si>
  <si>
    <t>01/11/2019</t>
  </si>
  <si>
    <t>06/02/1980</t>
  </si>
  <si>
    <t xml:space="preserve">412620      </t>
  </si>
  <si>
    <t>01/04/1994</t>
  </si>
  <si>
    <t>27/05/1971</t>
  </si>
  <si>
    <t xml:space="preserve">0015002229                    </t>
  </si>
  <si>
    <t>01/10/2007</t>
  </si>
  <si>
    <t>07/09/1975</t>
  </si>
  <si>
    <t xml:space="preserve">0015001806                    </t>
  </si>
  <si>
    <t>15/05/2002</t>
  </si>
  <si>
    <t>20/09/1963</t>
  </si>
  <si>
    <t xml:space="preserve">511200      </t>
  </si>
  <si>
    <t>01/02/2001</t>
  </si>
  <si>
    <t>05/05/1997</t>
  </si>
  <si>
    <t>25/07/1966</t>
  </si>
  <si>
    <t xml:space="preserve">0015003022                    </t>
  </si>
  <si>
    <t xml:space="preserve">51120001    </t>
  </si>
  <si>
    <t>02/01/2003</t>
  </si>
  <si>
    <t>04/04/1976</t>
  </si>
  <si>
    <t xml:space="preserve">7 </t>
  </si>
  <si>
    <t>25</t>
  </si>
  <si>
    <t xml:space="preserve">07 </t>
  </si>
  <si>
    <t>15/03/1995</t>
  </si>
  <si>
    <t>13/04/1970</t>
  </si>
  <si>
    <t>01/07/2021</t>
  </si>
  <si>
    <t xml:space="preserve">0015001929                    </t>
  </si>
  <si>
    <t xml:space="preserve">51130012    </t>
  </si>
  <si>
    <t xml:space="preserve">08 </t>
  </si>
  <si>
    <t>05/07/1989</t>
  </si>
  <si>
    <t>16/01/1970</t>
  </si>
  <si>
    <t xml:space="preserve">3 </t>
  </si>
  <si>
    <t xml:space="preserve">0015002125                    </t>
  </si>
  <si>
    <t xml:space="preserve">09 </t>
  </si>
  <si>
    <t>01/02/1997</t>
  </si>
  <si>
    <t>05/10/1988</t>
  </si>
  <si>
    <t>27/11/1966</t>
  </si>
  <si>
    <t>01/01/1995</t>
  </si>
  <si>
    <t>01/06/1992</t>
  </si>
  <si>
    <t>07/09/1960</t>
  </si>
  <si>
    <t>28/09/1971</t>
  </si>
  <si>
    <t>26/07/1962</t>
  </si>
  <si>
    <t>02/04/2024</t>
  </si>
  <si>
    <t xml:space="preserve">06 </t>
  </si>
  <si>
    <t>28/09/1999</t>
  </si>
  <si>
    <t>13/06/1990</t>
  </si>
  <si>
    <t>25/01/1968</t>
  </si>
  <si>
    <t>10/09/1992</t>
  </si>
  <si>
    <t>01/03/1970</t>
  </si>
  <si>
    <t xml:space="preserve">51130013    </t>
  </si>
  <si>
    <t>11/01/1993</t>
  </si>
  <si>
    <t>22/01/1971</t>
  </si>
  <si>
    <t>15/05/2000</t>
  </si>
  <si>
    <t>18/06/1976</t>
  </si>
  <si>
    <t>31/08/1990</t>
  </si>
  <si>
    <t>03/08/1966</t>
  </si>
  <si>
    <t>28/09/1981</t>
  </si>
  <si>
    <t>08/10/1977</t>
  </si>
  <si>
    <t>29/05/1976</t>
  </si>
  <si>
    <t>29/05/1989</t>
  </si>
  <si>
    <t>16/08/1968</t>
  </si>
  <si>
    <t>07/05/2002</t>
  </si>
  <si>
    <t>06/05/1973</t>
  </si>
  <si>
    <t>01/01/2003</t>
  </si>
  <si>
    <t>16/10/1974</t>
  </si>
  <si>
    <t xml:space="preserve">10 </t>
  </si>
  <si>
    <t>25/09/2006</t>
  </si>
  <si>
    <t>14/02/1973</t>
  </si>
  <si>
    <t>20/09/1999</t>
  </si>
  <si>
    <t>21/09/1974</t>
  </si>
  <si>
    <t>01/11/2007</t>
  </si>
  <si>
    <t>19/11/1974</t>
  </si>
  <si>
    <t>09/05/1977</t>
  </si>
  <si>
    <t>25/09/1973</t>
  </si>
  <si>
    <t>08/11/1999</t>
  </si>
  <si>
    <t>08/04/1973</t>
  </si>
  <si>
    <t>01/09/2025</t>
  </si>
  <si>
    <t xml:space="preserve">51130014    </t>
  </si>
  <si>
    <t>01/04/2014</t>
  </si>
  <si>
    <t>08/05/1986</t>
  </si>
  <si>
    <t>22/12/2008</t>
  </si>
  <si>
    <t>24/12/1974</t>
  </si>
  <si>
    <t>01/08/2013</t>
  </si>
  <si>
    <t>27/10/1981</t>
  </si>
  <si>
    <t>17/07/1971</t>
  </si>
  <si>
    <t xml:space="preserve">51130015    </t>
  </si>
  <si>
    <t>14/07/1973</t>
  </si>
  <si>
    <t>16/04/2024</t>
  </si>
  <si>
    <t>10/06/1979</t>
  </si>
  <si>
    <t>02/09/2013</t>
  </si>
  <si>
    <t>30/01/1982</t>
  </si>
  <si>
    <t>11/07/1972</t>
  </si>
  <si>
    <t>01/04/2009</t>
  </si>
  <si>
    <t>01/06/1982</t>
  </si>
  <si>
    <t>27/02/1974</t>
  </si>
  <si>
    <t>22/06/1976</t>
  </si>
  <si>
    <t>06/05/2024</t>
  </si>
  <si>
    <t>09/01/1998</t>
  </si>
  <si>
    <t>05/06/2000</t>
  </si>
  <si>
    <t>26/01/1974</t>
  </si>
  <si>
    <t>08/01/1992</t>
  </si>
  <si>
    <t>18/10/1967</t>
  </si>
  <si>
    <t>13/03/2001</t>
  </si>
  <si>
    <t>14/06/1967</t>
  </si>
  <si>
    <t>22/05/1995</t>
  </si>
  <si>
    <t>15/09/1973</t>
  </si>
  <si>
    <t>03/02/1997</t>
  </si>
  <si>
    <t>29/01/1965</t>
  </si>
  <si>
    <t xml:space="preserve">511600      </t>
  </si>
  <si>
    <t>03/10/1986</t>
  </si>
  <si>
    <t xml:space="preserve">0015001751                    </t>
  </si>
  <si>
    <t>02/11/2000</t>
  </si>
  <si>
    <t>25/06/1965</t>
  </si>
  <si>
    <t>02/05/1990</t>
  </si>
  <si>
    <t>01/01/1996</t>
  </si>
  <si>
    <t>20/01/1971</t>
  </si>
  <si>
    <t>01/09/2003</t>
  </si>
  <si>
    <t>07/06/1979</t>
  </si>
  <si>
    <t>01/03/2001</t>
  </si>
  <si>
    <t>10/02/1974</t>
  </si>
  <si>
    <t>01/09/1989</t>
  </si>
  <si>
    <t>24/05/1968</t>
  </si>
  <si>
    <t xml:space="preserve">513000      </t>
  </si>
  <si>
    <t>23/03/1969</t>
  </si>
  <si>
    <t xml:space="preserve">0015002158                    </t>
  </si>
  <si>
    <t>03/01/2007</t>
  </si>
  <si>
    <t>16/05/1979</t>
  </si>
  <si>
    <t>09/05/2000</t>
  </si>
  <si>
    <t>30/09/1970</t>
  </si>
  <si>
    <t xml:space="preserve">51320010    </t>
  </si>
  <si>
    <t>27/02/1972</t>
  </si>
  <si>
    <t>01/07/2022</t>
  </si>
  <si>
    <t>04/04/2022</t>
  </si>
  <si>
    <t>15/10/1999</t>
  </si>
  <si>
    <t>08/05/1972</t>
  </si>
  <si>
    <t>12/05/1989</t>
  </si>
  <si>
    <t>04/07/1969</t>
  </si>
  <si>
    <t xml:space="preserve">51320020    </t>
  </si>
  <si>
    <t>01/02/2016</t>
  </si>
  <si>
    <t>06/07/1987</t>
  </si>
  <si>
    <t xml:space="preserve">513400      </t>
  </si>
  <si>
    <t>01/03/1994</t>
  </si>
  <si>
    <t>05/10/1968</t>
  </si>
  <si>
    <t>03/10/1994</t>
  </si>
  <si>
    <t>17/08/1966</t>
  </si>
  <si>
    <t xml:space="preserve">513500      </t>
  </si>
  <si>
    <t>19/04/2002</t>
  </si>
  <si>
    <t>28/06/1975</t>
  </si>
  <si>
    <t xml:space="preserve">0015001695                    </t>
  </si>
  <si>
    <t>09/06/1967</t>
  </si>
  <si>
    <t>16/03/2023</t>
  </si>
  <si>
    <t>18/07/1995</t>
  </si>
  <si>
    <t>18/12/2000</t>
  </si>
  <si>
    <t>31/08/1968</t>
  </si>
  <si>
    <t>11/07/2012</t>
  </si>
  <si>
    <t>27/06/1985</t>
  </si>
  <si>
    <t>09</t>
  </si>
  <si>
    <t>01/03/2024</t>
  </si>
  <si>
    <t>31/03/2026</t>
  </si>
  <si>
    <t xml:space="preserve">0015002972                    </t>
  </si>
  <si>
    <t>01/10/2022</t>
  </si>
  <si>
    <t>31/01/1994</t>
  </si>
  <si>
    <t>08/04/2024</t>
  </si>
  <si>
    <t>08/08/1983</t>
  </si>
  <si>
    <t>15/01/2024</t>
  </si>
  <si>
    <t>12/02/1985</t>
  </si>
  <si>
    <t>17/07/2000</t>
  </si>
  <si>
    <t>18/12/1964</t>
  </si>
  <si>
    <t>14/07/2025</t>
  </si>
  <si>
    <t>18/10/2021</t>
  </si>
  <si>
    <t>29/11/1991</t>
  </si>
  <si>
    <t>02/03/2022</t>
  </si>
  <si>
    <t>26/07/1976</t>
  </si>
  <si>
    <t xml:space="preserve">61207020    </t>
  </si>
  <si>
    <t>01/06/2000</t>
  </si>
  <si>
    <t>22/02/1969</t>
  </si>
  <si>
    <t>01/07/2005</t>
  </si>
  <si>
    <t>05/06/2023</t>
  </si>
  <si>
    <t>27/11/1997</t>
  </si>
  <si>
    <t>02/05/2019</t>
  </si>
  <si>
    <t>16/07/1982</t>
  </si>
  <si>
    <t>01/03/2021</t>
  </si>
  <si>
    <t>27/04/1981</t>
  </si>
  <si>
    <t xml:space="preserve">215100      </t>
  </si>
  <si>
    <t>12/06/1974</t>
  </si>
  <si>
    <t xml:space="preserve">0015003076                    </t>
  </si>
  <si>
    <t>04/02/2000</t>
  </si>
  <si>
    <t>30/09/2026</t>
  </si>
  <si>
    <t>02/10/2025</t>
  </si>
  <si>
    <t>14/04/2008</t>
  </si>
  <si>
    <t>14/02/1975</t>
  </si>
  <si>
    <t xml:space="preserve">215500      </t>
  </si>
  <si>
    <t>17/04/2023</t>
  </si>
  <si>
    <t xml:space="preserve">0015003163                    </t>
  </si>
  <si>
    <t xml:space="preserve">21550001    </t>
  </si>
  <si>
    <t>11/07/2007</t>
  </si>
  <si>
    <t>27/01/1980</t>
  </si>
  <si>
    <t>23/01/1978</t>
  </si>
  <si>
    <t>15/07/1999</t>
  </si>
  <si>
    <t>27/07/1966</t>
  </si>
  <si>
    <t xml:space="preserve">214000      </t>
  </si>
  <si>
    <t>11/12/2000</t>
  </si>
  <si>
    <t>23/08/1974</t>
  </si>
  <si>
    <t xml:space="preserve">0015001284                    </t>
  </si>
  <si>
    <t>01/02/2013</t>
  </si>
  <si>
    <t>16/05/2012</t>
  </si>
  <si>
    <t>11/12/1971</t>
  </si>
  <si>
    <t>07/02/2024</t>
  </si>
  <si>
    <t>25/12/1993</t>
  </si>
  <si>
    <t>26/11/2007</t>
  </si>
  <si>
    <t>04/07/1979</t>
  </si>
  <si>
    <t>18/07/1981</t>
  </si>
  <si>
    <t>01/09/1999</t>
  </si>
  <si>
    <t>16/01/1976</t>
  </si>
  <si>
    <t xml:space="preserve">21000002    </t>
  </si>
  <si>
    <t>01/05/2008</t>
  </si>
  <si>
    <t>13/07/1972</t>
  </si>
  <si>
    <t xml:space="preserve">013000      </t>
  </si>
  <si>
    <t>07/01/1998</t>
  </si>
  <si>
    <t>24/08/1968</t>
  </si>
  <si>
    <t xml:space="preserve">210000      </t>
  </si>
  <si>
    <t>01/11/2025</t>
  </si>
  <si>
    <t>06/05/1985</t>
  </si>
  <si>
    <t>03/11/2025</t>
  </si>
  <si>
    <t xml:space="preserve">215000      </t>
  </si>
  <si>
    <t>08/01/2024</t>
  </si>
  <si>
    <t>25/11/1970</t>
  </si>
  <si>
    <t xml:space="preserve">0015002329                    </t>
  </si>
  <si>
    <t>01/10/2008</t>
  </si>
  <si>
    <t>24/03/1972</t>
  </si>
  <si>
    <t xml:space="preserve">21520011    </t>
  </si>
  <si>
    <t>10/11/2000</t>
  </si>
  <si>
    <t>25/04/1963</t>
  </si>
  <si>
    <t xml:space="preserve">0015003052                    </t>
  </si>
  <si>
    <t>16/01/1992</t>
  </si>
  <si>
    <t>16/10/1969</t>
  </si>
  <si>
    <t>01/08/2022</t>
  </si>
  <si>
    <t>27/11/1985</t>
  </si>
  <si>
    <t xml:space="preserve">21520012    </t>
  </si>
  <si>
    <t>01/06/2020</t>
  </si>
  <si>
    <t>16/04/1985</t>
  </si>
  <si>
    <t xml:space="preserve">0015003018                    </t>
  </si>
  <si>
    <t>03/02/2025</t>
  </si>
  <si>
    <t>18/02/1996</t>
  </si>
  <si>
    <t>02/05/2024</t>
  </si>
  <si>
    <t>31/12/2003</t>
  </si>
  <si>
    <t xml:space="preserve">21520013    </t>
  </si>
  <si>
    <t>12/07/2021</t>
  </si>
  <si>
    <t>03/05/1981</t>
  </si>
  <si>
    <t>18/02/1998</t>
  </si>
  <si>
    <t>08/07/1975</t>
  </si>
  <si>
    <t>23/02/1971</t>
  </si>
  <si>
    <t>16/11/1998</t>
  </si>
  <si>
    <t>23/11/1971</t>
  </si>
  <si>
    <t>23/05/1975</t>
  </si>
  <si>
    <t>01/04/2019</t>
  </si>
  <si>
    <t>30/06/2026</t>
  </si>
  <si>
    <t>01/10/2015</t>
  </si>
  <si>
    <t>28/07/1976</t>
  </si>
  <si>
    <t xml:space="preserve">21000001    </t>
  </si>
  <si>
    <t>01/09/1997</t>
  </si>
  <si>
    <t>21/03/1965</t>
  </si>
  <si>
    <t>01/02/2000</t>
  </si>
  <si>
    <t>23/11/2012</t>
  </si>
  <si>
    <t>08/11/1983</t>
  </si>
  <si>
    <t>01/03/2022</t>
  </si>
  <si>
    <t>31/08/2026</t>
  </si>
  <si>
    <t xml:space="preserve">0015001480                    </t>
  </si>
  <si>
    <t>01/02/2022</t>
  </si>
  <si>
    <t>24/05/1978</t>
  </si>
  <si>
    <t xml:space="preserve">0015002848                    </t>
  </si>
  <si>
    <t>29/11/1980</t>
  </si>
  <si>
    <t>11/10/1991</t>
  </si>
  <si>
    <t>23/10/1970</t>
  </si>
  <si>
    <t>12/06/1984</t>
  </si>
  <si>
    <t>27/10/2025</t>
  </si>
  <si>
    <t>13/10/1994</t>
  </si>
  <si>
    <t>08/09/1970</t>
  </si>
  <si>
    <t>01/04/2022</t>
  </si>
  <si>
    <t>24/07/1968</t>
  </si>
  <si>
    <t>16/12/1965</t>
  </si>
  <si>
    <t>31/10/1987</t>
  </si>
  <si>
    <t>03/04/1992</t>
  </si>
  <si>
    <t>04/02/1964</t>
  </si>
  <si>
    <t>18/11/1992</t>
  </si>
  <si>
    <t>30/11/1966</t>
  </si>
  <si>
    <t>01/06/2023</t>
  </si>
  <si>
    <t>01/10/1999</t>
  </si>
  <si>
    <t>18/01/1994</t>
  </si>
  <si>
    <t>27/10/1967</t>
  </si>
  <si>
    <t>22/02/1994</t>
  </si>
  <si>
    <t>30/11/1967</t>
  </si>
  <si>
    <t>18/11/2025</t>
  </si>
  <si>
    <t>31/01/2026</t>
  </si>
  <si>
    <t xml:space="preserve">310000      </t>
  </si>
  <si>
    <t>13/05/2024</t>
  </si>
  <si>
    <t>11/04/1976</t>
  </si>
  <si>
    <t xml:space="preserve">31000010    </t>
  </si>
  <si>
    <t>20/06/2007</t>
  </si>
  <si>
    <t>25/11/1982</t>
  </si>
  <si>
    <t xml:space="preserve">31000020    </t>
  </si>
  <si>
    <t>01/05/2025</t>
  </si>
  <si>
    <t>25/08/1985</t>
  </si>
  <si>
    <t xml:space="preserve">31000030    </t>
  </si>
  <si>
    <t>15/05/2024</t>
  </si>
  <si>
    <t>16/06/1991</t>
  </si>
  <si>
    <t xml:space="preserve">31000050    </t>
  </si>
  <si>
    <t>16/01/2025</t>
  </si>
  <si>
    <t>10/10/1987</t>
  </si>
  <si>
    <t xml:space="preserve">31000070    </t>
  </si>
  <si>
    <t>08/01/1997</t>
  </si>
  <si>
    <t>28/02/1964</t>
  </si>
  <si>
    <t xml:space="preserve">0015001041                    </t>
  </si>
  <si>
    <t xml:space="preserve">311000      </t>
  </si>
  <si>
    <t>01/11/2021</t>
  </si>
  <si>
    <t>07/09/1963</t>
  </si>
  <si>
    <t>01/07/2024</t>
  </si>
  <si>
    <t>30/06/2025</t>
  </si>
  <si>
    <t xml:space="preserve">312000      </t>
  </si>
  <si>
    <t>16/02/2015</t>
  </si>
  <si>
    <t>27/04/1976</t>
  </si>
  <si>
    <t>12/06/2006</t>
  </si>
  <si>
    <t>23/05/1976</t>
  </si>
  <si>
    <t>01/07/1994</t>
  </si>
  <si>
    <t>15/06/1966</t>
  </si>
  <si>
    <t xml:space="preserve">0015002815                    </t>
  </si>
  <si>
    <t>01/07/2006</t>
  </si>
  <si>
    <t>05/11/1971</t>
  </si>
  <si>
    <t>01/01/2007</t>
  </si>
  <si>
    <t>13/01/1967</t>
  </si>
  <si>
    <t xml:space="preserve">31200010    </t>
  </si>
  <si>
    <t>08/03/2021</t>
  </si>
  <si>
    <t>17/12/1973</t>
  </si>
  <si>
    <t xml:space="preserve">0015002112                    </t>
  </si>
  <si>
    <t xml:space="preserve">414000      </t>
  </si>
  <si>
    <t>01/06/2021</t>
  </si>
  <si>
    <t>16/06/1997</t>
  </si>
  <si>
    <t>12/08/1973</t>
  </si>
  <si>
    <t xml:space="preserve">41400001    </t>
  </si>
  <si>
    <t>08/08/1964</t>
  </si>
  <si>
    <t>08/01/2001</t>
  </si>
  <si>
    <t>19/07/1966</t>
  </si>
  <si>
    <t xml:space="preserve">414100      </t>
  </si>
  <si>
    <t>03/01/2024</t>
  </si>
  <si>
    <t>27/11/1978</t>
  </si>
  <si>
    <t xml:space="preserve">511305      </t>
  </si>
  <si>
    <t>14/09/1998</t>
  </si>
  <si>
    <t>25/07/1968</t>
  </si>
  <si>
    <t>01/09/2015</t>
  </si>
  <si>
    <t xml:space="preserve">51130501    </t>
  </si>
  <si>
    <t>01/02/2010</t>
  </si>
  <si>
    <t>03/04/1965</t>
  </si>
  <si>
    <t xml:space="preserve">0015001171                    </t>
  </si>
  <si>
    <t xml:space="preserve">51130502    </t>
  </si>
  <si>
    <t>25/05/2009</t>
  </si>
  <si>
    <t>27/01/1992</t>
  </si>
  <si>
    <t>29/10/1969</t>
  </si>
  <si>
    <t>31/12/1970</t>
  </si>
  <si>
    <t xml:space="preserve">51400001    </t>
  </si>
  <si>
    <t>23/02/1998</t>
  </si>
  <si>
    <t>28/07/1970</t>
  </si>
  <si>
    <t xml:space="preserve">514600      </t>
  </si>
  <si>
    <t>01/11/1999</t>
  </si>
  <si>
    <t>10/06/1963</t>
  </si>
  <si>
    <t>01/09/2013</t>
  </si>
  <si>
    <t xml:space="preserve">51511001    </t>
  </si>
  <si>
    <t>12/10/1998</t>
  </si>
  <si>
    <t>02/09/1965</t>
  </si>
  <si>
    <t xml:space="preserve">51820001    </t>
  </si>
  <si>
    <t>17/07/1977</t>
  </si>
  <si>
    <t>13/12/1971</t>
  </si>
  <si>
    <t xml:space="preserve">514800      </t>
  </si>
  <si>
    <t>36</t>
  </si>
  <si>
    <t>09/12/2024</t>
  </si>
  <si>
    <t>07/07/1997</t>
  </si>
  <si>
    <t>13/05/1976</t>
  </si>
  <si>
    <t>01/07/2003</t>
  </si>
  <si>
    <t>23/05/1969</t>
  </si>
  <si>
    <t xml:space="preserve">2 </t>
  </si>
  <si>
    <t xml:space="preserve">0015000295                    </t>
  </si>
  <si>
    <t xml:space="preserve">415300      </t>
  </si>
  <si>
    <t>12/11/1994</t>
  </si>
  <si>
    <t xml:space="preserve">41530010    </t>
  </si>
  <si>
    <t>01/07/2011</t>
  </si>
  <si>
    <t>23/06/1968</t>
  </si>
  <si>
    <t xml:space="preserve">0015001855                    </t>
  </si>
  <si>
    <t>01/05/2010</t>
  </si>
  <si>
    <t>17/06/1996</t>
  </si>
  <si>
    <t>26/06/1961</t>
  </si>
  <si>
    <t xml:space="preserve">415110      </t>
  </si>
  <si>
    <t>16/05/1994</t>
  </si>
  <si>
    <t>17/01/1967</t>
  </si>
  <si>
    <t xml:space="preserve">0015002865                    </t>
  </si>
  <si>
    <t>12/04/2023</t>
  </si>
  <si>
    <t>10/12/1988</t>
  </si>
  <si>
    <t>10/11/2014</t>
  </si>
  <si>
    <t>29/12/1969</t>
  </si>
  <si>
    <t>18/09/2024</t>
  </si>
  <si>
    <t>22/09/2008</t>
  </si>
  <si>
    <t>24/02/1968</t>
  </si>
  <si>
    <t>15/07/2025</t>
  </si>
  <si>
    <t>01/07/1998</t>
  </si>
  <si>
    <t>23/04/1970</t>
  </si>
  <si>
    <t>27/03/1985</t>
  </si>
  <si>
    <t>19/10/1987</t>
  </si>
  <si>
    <t>18/08/2000</t>
  </si>
  <si>
    <t>06/03/1969</t>
  </si>
  <si>
    <t>01/02/1993</t>
  </si>
  <si>
    <t>16/11/1969</t>
  </si>
  <si>
    <t xml:space="preserve">415120      </t>
  </si>
  <si>
    <t>12/06/1971</t>
  </si>
  <si>
    <t xml:space="preserve">0015003005                    </t>
  </si>
  <si>
    <t>05/09/2022</t>
  </si>
  <si>
    <t>17/11/1986</t>
  </si>
  <si>
    <t xml:space="preserve">0015002775                    </t>
  </si>
  <si>
    <t>24/05/1972</t>
  </si>
  <si>
    <t>01/09/1998</t>
  </si>
  <si>
    <t>01/06/1968</t>
  </si>
  <si>
    <t xml:space="preserve">0015003056                    </t>
  </si>
  <si>
    <t>14/07/2000</t>
  </si>
  <si>
    <t>26/03/1966</t>
  </si>
  <si>
    <t>01/10/2020</t>
  </si>
  <si>
    <t>28/07/1979</t>
  </si>
  <si>
    <t>12/06/2023</t>
  </si>
  <si>
    <t>20/07/2002</t>
  </si>
  <si>
    <t xml:space="preserve">0015001310                    </t>
  </si>
  <si>
    <t>01/03/2010</t>
  </si>
  <si>
    <t>02/10/2000</t>
  </si>
  <si>
    <t>11/04/1967</t>
  </si>
  <si>
    <t xml:space="preserve">511100      </t>
  </si>
  <si>
    <t>04/11/1996</t>
  </si>
  <si>
    <t>02/01/1968</t>
  </si>
  <si>
    <t xml:space="preserve">0015000884                    </t>
  </si>
  <si>
    <t>02/01/2013</t>
  </si>
  <si>
    <t>22/03/1982</t>
  </si>
  <si>
    <t>01/04/1996</t>
  </si>
  <si>
    <t>04/03/1964</t>
  </si>
  <si>
    <t>01/04/2025</t>
  </si>
  <si>
    <t>24/08/1965</t>
  </si>
  <si>
    <t>18/05/2009</t>
  </si>
  <si>
    <t>22/11/1975</t>
  </si>
  <si>
    <t>15/11/1971</t>
  </si>
  <si>
    <t>31/08/1988</t>
  </si>
  <si>
    <t xml:space="preserve">415200      </t>
  </si>
  <si>
    <t>24/06/2021</t>
  </si>
  <si>
    <t>20/01/1993</t>
  </si>
  <si>
    <t xml:space="preserve">0015000897                    </t>
  </si>
  <si>
    <t>13/05/1996</t>
  </si>
  <si>
    <t>02/10/1969</t>
  </si>
  <si>
    <t>16/05/1986</t>
  </si>
  <si>
    <t xml:space="preserve">415230      </t>
  </si>
  <si>
    <t>10/07/2000</t>
  </si>
  <si>
    <t>15/11/1970</t>
  </si>
  <si>
    <t>01/01/2010</t>
  </si>
  <si>
    <t xml:space="preserve">0015001841                    </t>
  </si>
  <si>
    <t>16/04/1999</t>
  </si>
  <si>
    <t>05/09/1969</t>
  </si>
  <si>
    <t>15/12/1999</t>
  </si>
  <si>
    <t>18/08/1966</t>
  </si>
  <si>
    <t>01/04/1999</t>
  </si>
  <si>
    <t>20/11/1969</t>
  </si>
  <si>
    <t xml:space="preserve">41530001    </t>
  </si>
  <si>
    <t>15/11/1995</t>
  </si>
  <si>
    <t>22/12/1965</t>
  </si>
  <si>
    <t xml:space="preserve">0015001592                    </t>
  </si>
  <si>
    <t>04/02/1974</t>
  </si>
  <si>
    <t>02/10/2023</t>
  </si>
  <si>
    <t>11/02/1988</t>
  </si>
  <si>
    <t>15/07/2022</t>
  </si>
  <si>
    <t>10/12/1974</t>
  </si>
  <si>
    <t xml:space="preserve">41530020    </t>
  </si>
  <si>
    <t>14/06/1975</t>
  </si>
  <si>
    <t>04/12/2000</t>
  </si>
  <si>
    <t>20/01/1967</t>
  </si>
  <si>
    <t xml:space="preserve">0015003041                    </t>
  </si>
  <si>
    <t>06/11/2023</t>
  </si>
  <si>
    <t>12/08/1985</t>
  </si>
  <si>
    <t>19/10/2020</t>
  </si>
  <si>
    <t>05/01/1978</t>
  </si>
  <si>
    <t>03/05/2022</t>
  </si>
  <si>
    <t>14/12/1972</t>
  </si>
  <si>
    <t xml:space="preserve">015000      </t>
  </si>
  <si>
    <t>03/11/1986</t>
  </si>
  <si>
    <t xml:space="preserve">0015002988                    </t>
  </si>
  <si>
    <t>01/01/2020</t>
  </si>
  <si>
    <t>04/01/1959</t>
  </si>
  <si>
    <t>07/01/2025</t>
  </si>
  <si>
    <t>18/08/1970</t>
  </si>
  <si>
    <t xml:space="preserve">0015002991                    </t>
  </si>
  <si>
    <t xml:space="preserve">412700      </t>
  </si>
  <si>
    <t>11/12/1996</t>
  </si>
  <si>
    <t>24/03/1976</t>
  </si>
  <si>
    <t xml:space="preserve">0015001321                    </t>
  </si>
  <si>
    <t>01/10/1996</t>
  </si>
  <si>
    <t>18/10/1976</t>
  </si>
  <si>
    <t>18/08/1997</t>
  </si>
  <si>
    <t>13/06/1974</t>
  </si>
  <si>
    <t>01/07/1997</t>
  </si>
  <si>
    <t>17/12/1975</t>
  </si>
  <si>
    <t>12/03/1965</t>
  </si>
  <si>
    <t xml:space="preserve">0015001220                    </t>
  </si>
  <si>
    <t>12/10/1991</t>
  </si>
  <si>
    <t>06/03/1972</t>
  </si>
  <si>
    <t>28/05/1969</t>
  </si>
  <si>
    <t>24/10/1971</t>
  </si>
  <si>
    <t>15/01/1999</t>
  </si>
  <si>
    <t>30/01/1974</t>
  </si>
  <si>
    <t>01/09/2012</t>
  </si>
  <si>
    <t>03/01/1989</t>
  </si>
  <si>
    <t>14/07/1966</t>
  </si>
  <si>
    <t xml:space="preserve">0015001223                    </t>
  </si>
  <si>
    <t>01/04/2003</t>
  </si>
  <si>
    <t>12/03/1970</t>
  </si>
  <si>
    <t>07/04/1977</t>
  </si>
  <si>
    <t>11</t>
  </si>
  <si>
    <t>20/01/1999</t>
  </si>
  <si>
    <t>02/11/1972</t>
  </si>
  <si>
    <t>01/04/2011</t>
  </si>
  <si>
    <t>01/01/2006</t>
  </si>
  <si>
    <t>08/12/1977</t>
  </si>
  <si>
    <t>02/01/2020</t>
  </si>
  <si>
    <t>24/03/1964</t>
  </si>
  <si>
    <t>01/12/2023</t>
  </si>
  <si>
    <t>10/11/1963</t>
  </si>
  <si>
    <t xml:space="preserve">0015002989                    </t>
  </si>
  <si>
    <t>09/12/1975</t>
  </si>
  <si>
    <t xml:space="preserve">0015002100                    </t>
  </si>
  <si>
    <t>21/05/2009</t>
  </si>
  <si>
    <t>01/12/1998</t>
  </si>
  <si>
    <t>10/12/1967</t>
  </si>
  <si>
    <t>03/06/1996</t>
  </si>
  <si>
    <t>01/06/1995</t>
  </si>
  <si>
    <t>22/04/1973</t>
  </si>
  <si>
    <t>24/10/1973</t>
  </si>
  <si>
    <t>09/02/1977</t>
  </si>
  <si>
    <t>04/09/2023</t>
  </si>
  <si>
    <t>02/04/2002</t>
  </si>
  <si>
    <t>06/05/1976</t>
  </si>
  <si>
    <t>10/02/1964</t>
  </si>
  <si>
    <t>04/04/1985</t>
  </si>
  <si>
    <t>15/04/2008</t>
  </si>
  <si>
    <t>18/08/1974</t>
  </si>
  <si>
    <t xml:space="preserve">815115      </t>
  </si>
  <si>
    <t>05/02/2019</t>
  </si>
  <si>
    <t>10/04/1965</t>
  </si>
  <si>
    <t>02/01/2023</t>
  </si>
  <si>
    <t>20/01/1992</t>
  </si>
  <si>
    <t xml:space="preserve">0015002990                    </t>
  </si>
  <si>
    <t>01/03/1982</t>
  </si>
  <si>
    <t>07/09/1967</t>
  </si>
  <si>
    <t xml:space="preserve">0015002968                    </t>
  </si>
  <si>
    <t xml:space="preserve">81511510    </t>
  </si>
  <si>
    <t>01/10/1992</t>
  </si>
  <si>
    <t>22/11/1964</t>
  </si>
  <si>
    <t>14</t>
  </si>
  <si>
    <t>30/11/2026</t>
  </si>
  <si>
    <t xml:space="preserve">0015001197                    </t>
  </si>
  <si>
    <t>11/07/1994</t>
  </si>
  <si>
    <t>29/12/1964</t>
  </si>
  <si>
    <t>10/04/1994</t>
  </si>
  <si>
    <t xml:space="preserve">0015001444                    </t>
  </si>
  <si>
    <t>19/05/2009</t>
  </si>
  <si>
    <t>01/12/2003</t>
  </si>
  <si>
    <t>11/06/1970</t>
  </si>
  <si>
    <t>08/07/2002</t>
  </si>
  <si>
    <t>30/03/1965</t>
  </si>
  <si>
    <t>15/07/2024</t>
  </si>
  <si>
    <t>24/10/1995</t>
  </si>
  <si>
    <t>30/12/1970</t>
  </si>
  <si>
    <t>20/05/2009</t>
  </si>
  <si>
    <t>20/12/1999</t>
  </si>
  <si>
    <t>24/06/1971</t>
  </si>
  <si>
    <t>04/01/1999</t>
  </si>
  <si>
    <t>22/03/1968</t>
  </si>
  <si>
    <t>22/09/1994</t>
  </si>
  <si>
    <t>12/01/1964</t>
  </si>
  <si>
    <t>01/09/2014</t>
  </si>
  <si>
    <t>11/11/1991</t>
  </si>
  <si>
    <t>20/07/1964</t>
  </si>
  <si>
    <t>01/07/2023</t>
  </si>
  <si>
    <t>08/06/1965</t>
  </si>
  <si>
    <t>24/09/1997</t>
  </si>
  <si>
    <t>07/05/1996</t>
  </si>
  <si>
    <t>22/04/1963</t>
  </si>
  <si>
    <t>24/07/1967</t>
  </si>
  <si>
    <t>01/06/2011</t>
  </si>
  <si>
    <t>23/06/2000</t>
  </si>
  <si>
    <t>01/11/1966</t>
  </si>
  <si>
    <t xml:space="preserve">815130      </t>
  </si>
  <si>
    <t>65</t>
  </si>
  <si>
    <t>30/05/2016</t>
  </si>
  <si>
    <t>10/04/2000</t>
  </si>
  <si>
    <t>27/12/1970</t>
  </si>
  <si>
    <t>15/04/1998</t>
  </si>
  <si>
    <t>08/06/1968</t>
  </si>
  <si>
    <t>04/07/2007</t>
  </si>
  <si>
    <t>02/11/1977</t>
  </si>
  <si>
    <t xml:space="preserve">815200      </t>
  </si>
  <si>
    <t>20/02/2007</t>
  </si>
  <si>
    <t>05/07/1973</t>
  </si>
  <si>
    <t xml:space="preserve">0015001330                    </t>
  </si>
  <si>
    <t>02/11/1999</t>
  </si>
  <si>
    <t>21/02/1969</t>
  </si>
  <si>
    <t>16/07/1997</t>
  </si>
  <si>
    <t>22/11/1966</t>
  </si>
  <si>
    <t>01/10/1998</t>
  </si>
  <si>
    <t>03/09/1973</t>
  </si>
  <si>
    <t>20/12/2004</t>
  </si>
  <si>
    <t>06/02/1974</t>
  </si>
  <si>
    <t>08</t>
  </si>
  <si>
    <t>01/04/2018</t>
  </si>
  <si>
    <t>10/06/1969</t>
  </si>
  <si>
    <t>29/08/1964</t>
  </si>
  <si>
    <t>02/01/2001</t>
  </si>
  <si>
    <t>06/01/1963</t>
  </si>
  <si>
    <t xml:space="preserve">0015000550                    </t>
  </si>
  <si>
    <t>02/09/1991</t>
  </si>
  <si>
    <t>24/06/1966</t>
  </si>
  <si>
    <t>26/11/1968</t>
  </si>
  <si>
    <t>06</t>
  </si>
  <si>
    <t>10/10/2002</t>
  </si>
  <si>
    <t>21/06/1969</t>
  </si>
  <si>
    <t xml:space="preserve">815420      </t>
  </si>
  <si>
    <t>01/02/2024</t>
  </si>
  <si>
    <t>03/06/1999</t>
  </si>
  <si>
    <t xml:space="preserve">0015002144                    </t>
  </si>
  <si>
    <t>25/08/2008</t>
  </si>
  <si>
    <t>04/08/1981</t>
  </si>
  <si>
    <t>08/10/2024</t>
  </si>
  <si>
    <t>02/08/1996</t>
  </si>
  <si>
    <t>12/05/2023</t>
  </si>
  <si>
    <t>10/02/1993</t>
  </si>
  <si>
    <t>15/01/1998</t>
  </si>
  <si>
    <t>17/03/1970</t>
  </si>
  <si>
    <t>22/02/2007</t>
  </si>
  <si>
    <t>09/12/1973</t>
  </si>
  <si>
    <t>03</t>
  </si>
  <si>
    <t xml:space="preserve">0015001103                    </t>
  </si>
  <si>
    <t>25/10/1973</t>
  </si>
  <si>
    <t>01/12/1999</t>
  </si>
  <si>
    <t>01/08/1975</t>
  </si>
  <si>
    <t>01/04/2015</t>
  </si>
  <si>
    <t>01/12/2006</t>
  </si>
  <si>
    <t>04/07/1976</t>
  </si>
  <si>
    <t>12/04/1972</t>
  </si>
  <si>
    <t>11/02/1977</t>
  </si>
  <si>
    <t>11/04/2023</t>
  </si>
  <si>
    <t>22/08/1995</t>
  </si>
  <si>
    <t>24/01/1998</t>
  </si>
  <si>
    <t>02/11/2006</t>
  </si>
  <si>
    <t>02/04/1968</t>
  </si>
  <si>
    <t>01/04/2008</t>
  </si>
  <si>
    <t>24/04/1980</t>
  </si>
  <si>
    <t>23/07/1971</t>
  </si>
  <si>
    <t>19/09/1993</t>
  </si>
  <si>
    <t>01/03/2006</t>
  </si>
  <si>
    <t>30/08/1975</t>
  </si>
  <si>
    <t>02/01/2024</t>
  </si>
  <si>
    <t>13/11/1989</t>
  </si>
  <si>
    <t>28/08/1970</t>
  </si>
  <si>
    <t xml:space="preserve">815100      </t>
  </si>
  <si>
    <t>26/04/1995</t>
  </si>
  <si>
    <t>14/11/1961</t>
  </si>
  <si>
    <t xml:space="preserve">815400      </t>
  </si>
  <si>
    <t>15/05/1971</t>
  </si>
  <si>
    <t xml:space="preserve">0015001006                    </t>
  </si>
  <si>
    <t>01/01/2017</t>
  </si>
  <si>
    <t>17/02/1997</t>
  </si>
  <si>
    <t>15/10/1968</t>
  </si>
  <si>
    <t xml:space="preserve">0015000841                    </t>
  </si>
  <si>
    <t>01/07/1995</t>
  </si>
  <si>
    <t>27/01/1961</t>
  </si>
  <si>
    <t>13/12/2004</t>
  </si>
  <si>
    <t>24/08/1966</t>
  </si>
  <si>
    <t>04/12/2023</t>
  </si>
  <si>
    <t>18/10/1993</t>
  </si>
  <si>
    <t>11/01/1999</t>
  </si>
  <si>
    <t>15/01/1967</t>
  </si>
  <si>
    <t>02/01/2007</t>
  </si>
  <si>
    <t>19/02/1974</t>
  </si>
  <si>
    <t>01/03/1995</t>
  </si>
  <si>
    <t>27/07/1963</t>
  </si>
  <si>
    <t>21/10/2025</t>
  </si>
  <si>
    <t>17/10/1965</t>
  </si>
  <si>
    <t>23/09/1966</t>
  </si>
  <si>
    <t>01/09/2018</t>
  </si>
  <si>
    <t>29/03/1972</t>
  </si>
  <si>
    <t>01/09/1996</t>
  </si>
  <si>
    <t>06/02/1973</t>
  </si>
  <si>
    <t>16/09/1971</t>
  </si>
  <si>
    <t xml:space="preserve">0015002154                    </t>
  </si>
  <si>
    <t>01/05/1972</t>
  </si>
  <si>
    <t>01/04/2013</t>
  </si>
  <si>
    <t>03/06/2024</t>
  </si>
  <si>
    <t>02/10/1986</t>
  </si>
  <si>
    <t>17/01/2000</t>
  </si>
  <si>
    <t>02/07/1971</t>
  </si>
  <si>
    <t>01/07/2018</t>
  </si>
  <si>
    <t>06/03/2000</t>
  </si>
  <si>
    <t>02/08/1970</t>
  </si>
  <si>
    <t>15/04/2024</t>
  </si>
  <si>
    <t>06/12/1991</t>
  </si>
  <si>
    <t xml:space="preserve">0015003060                    </t>
  </si>
  <si>
    <t>16/11/2022</t>
  </si>
  <si>
    <t>22/12/1987</t>
  </si>
  <si>
    <t>03/04/2000</t>
  </si>
  <si>
    <t>01/03/2000</t>
  </si>
  <si>
    <t>12/01/1974</t>
  </si>
  <si>
    <t>05/06/1977</t>
  </si>
  <si>
    <t xml:space="preserve">0015001809                    </t>
  </si>
  <si>
    <t>04/02/2002</t>
  </si>
  <si>
    <t>28/08/1974</t>
  </si>
  <si>
    <t>21/09/1967</t>
  </si>
  <si>
    <t>19/04/1999</t>
  </si>
  <si>
    <t>27/09/1962</t>
  </si>
  <si>
    <t>08/01/2007</t>
  </si>
  <si>
    <t>03/10/1961</t>
  </si>
  <si>
    <t xml:space="preserve">81800010    </t>
  </si>
  <si>
    <t>22/03/1993</t>
  </si>
  <si>
    <t>23/03/1979</t>
  </si>
  <si>
    <t>12/01/1970</t>
  </si>
  <si>
    <t xml:space="preserve">012000      </t>
  </si>
  <si>
    <t>18/03/2024</t>
  </si>
  <si>
    <t>17/10/1982</t>
  </si>
  <si>
    <t>23/11/1988</t>
  </si>
  <si>
    <t xml:space="preserve">0015003114                    </t>
  </si>
  <si>
    <t>16/09/2019</t>
  </si>
  <si>
    <t>05/09/1982</t>
  </si>
  <si>
    <t xml:space="preserve">016110      </t>
  </si>
  <si>
    <t>01/07/2004</t>
  </si>
  <si>
    <t>23/06/1973</t>
  </si>
  <si>
    <t xml:space="preserve">514000      </t>
  </si>
  <si>
    <t>03/10/2022</t>
  </si>
  <si>
    <t>26/10/1974</t>
  </si>
  <si>
    <t xml:space="preserve">0015003154                    </t>
  </si>
  <si>
    <t>01/06/2025</t>
  </si>
  <si>
    <t>23/06/1954</t>
  </si>
  <si>
    <t>31/05/2028</t>
  </si>
  <si>
    <t xml:space="preserve">514100      </t>
  </si>
  <si>
    <t>72</t>
  </si>
  <si>
    <t>01/01/2004</t>
  </si>
  <si>
    <t>24/11/2003</t>
  </si>
  <si>
    <t>02/09/1967</t>
  </si>
  <si>
    <t xml:space="preserve">0015001979                    </t>
  </si>
  <si>
    <t>80</t>
  </si>
  <si>
    <t>30/09/2013</t>
  </si>
  <si>
    <t>09/09/1966</t>
  </si>
  <si>
    <t>81</t>
  </si>
  <si>
    <t>01/08/2025</t>
  </si>
  <si>
    <t>28/10/2002</t>
  </si>
  <si>
    <t>09/11/1969</t>
  </si>
  <si>
    <t>52</t>
  </si>
  <si>
    <t>01/08/2023</t>
  </si>
  <si>
    <t>01/06/2003</t>
  </si>
  <si>
    <t>25/07/1973</t>
  </si>
  <si>
    <t>01/12/2024</t>
  </si>
  <si>
    <t>79</t>
  </si>
  <si>
    <t>21/09/2021</t>
  </si>
  <si>
    <t>03/11/2003</t>
  </si>
  <si>
    <t>20/03/1963</t>
  </si>
  <si>
    <t xml:space="preserve">514210      </t>
  </si>
  <si>
    <t>07/09/1998</t>
  </si>
  <si>
    <t>08/04/1967</t>
  </si>
  <si>
    <t xml:space="preserve">0015000700                    </t>
  </si>
  <si>
    <t xml:space="preserve">514300      </t>
  </si>
  <si>
    <t>01/06/2004</t>
  </si>
  <si>
    <t>24/03/1962</t>
  </si>
  <si>
    <t xml:space="preserve">0015002010                    </t>
  </si>
  <si>
    <t>13/04/2017</t>
  </si>
  <si>
    <t>21/08/1980</t>
  </si>
  <si>
    <t>21/09/1971</t>
  </si>
  <si>
    <t>02/04/1991</t>
  </si>
  <si>
    <t>28/04/1963</t>
  </si>
  <si>
    <t>02/09/1996</t>
  </si>
  <si>
    <t>13/03/1971</t>
  </si>
  <si>
    <t xml:space="preserve">0015000754                    </t>
  </si>
  <si>
    <t>25/05/2005</t>
  </si>
  <si>
    <t>15/07/1972</t>
  </si>
  <si>
    <t>01/05/2021</t>
  </si>
  <si>
    <t>16/05/2005</t>
  </si>
  <si>
    <t>20/04/1974</t>
  </si>
  <si>
    <t>01/03/2005</t>
  </si>
  <si>
    <t>01/01/1969</t>
  </si>
  <si>
    <t>01/07/2002</t>
  </si>
  <si>
    <t>14/05/1965</t>
  </si>
  <si>
    <t>04/05/1970</t>
  </si>
  <si>
    <t>01/12/1976</t>
  </si>
  <si>
    <t>01/05/2002</t>
  </si>
  <si>
    <t>11/05/1971</t>
  </si>
  <si>
    <t>20/04/1973</t>
  </si>
  <si>
    <t>01/06/1971</t>
  </si>
  <si>
    <t>27</t>
  </si>
  <si>
    <t>01/01/2012</t>
  </si>
  <si>
    <t>13/09/2001</t>
  </si>
  <si>
    <t>07/11/1976</t>
  </si>
  <si>
    <t>15/06/1994</t>
  </si>
  <si>
    <t>03/01/1963</t>
  </si>
  <si>
    <t xml:space="preserve">0015000739                    </t>
  </si>
  <si>
    <t>15/02/2001</t>
  </si>
  <si>
    <t>19/11/1975</t>
  </si>
  <si>
    <t>28/04/1968</t>
  </si>
  <si>
    <t>19/11/2007</t>
  </si>
  <si>
    <t>04/07/1968</t>
  </si>
  <si>
    <t>15/09/2005</t>
  </si>
  <si>
    <t>12/05/1976</t>
  </si>
  <si>
    <t>22/12/2017</t>
  </si>
  <si>
    <t>23/12/1983</t>
  </si>
  <si>
    <t>07/06/2010</t>
  </si>
  <si>
    <t>18/01/1979</t>
  </si>
  <si>
    <t>12/08/1974</t>
  </si>
  <si>
    <t>23/03/1970</t>
  </si>
  <si>
    <t>17/04/1962</t>
  </si>
  <si>
    <t>01/10/1991</t>
  </si>
  <si>
    <t>02/05/1988</t>
  </si>
  <si>
    <t>03/12/1960</t>
  </si>
  <si>
    <t>03/05/1999</t>
  </si>
  <si>
    <t>04/10/1972</t>
  </si>
  <si>
    <t>01/10/1994</t>
  </si>
  <si>
    <t>30/03/1964</t>
  </si>
  <si>
    <t>01/08/2000</t>
  </si>
  <si>
    <t>21/10/1969</t>
  </si>
  <si>
    <t>20/06/2022</t>
  </si>
  <si>
    <t>06/09/1992</t>
  </si>
  <si>
    <t>20/05/2002</t>
  </si>
  <si>
    <t>11/12/1968</t>
  </si>
  <si>
    <t>01/09/2005</t>
  </si>
  <si>
    <t>27/06/1967</t>
  </si>
  <si>
    <t>01/10/2003</t>
  </si>
  <si>
    <t>24/04/1971</t>
  </si>
  <si>
    <t>01/01/1990</t>
  </si>
  <si>
    <t>07/08/1960</t>
  </si>
  <si>
    <t>30/01/2012</t>
  </si>
  <si>
    <t>03/01/1981</t>
  </si>
  <si>
    <t>08/02/1994</t>
  </si>
  <si>
    <t>16/03/1962</t>
  </si>
  <si>
    <t>01/08/2008</t>
  </si>
  <si>
    <t>21/06/1981</t>
  </si>
  <si>
    <t>29/11/1996</t>
  </si>
  <si>
    <t>03/01/1966</t>
  </si>
  <si>
    <t>07/01/1991</t>
  </si>
  <si>
    <t>03/02/1967</t>
  </si>
  <si>
    <t>21/02/2000</t>
  </si>
  <si>
    <t>30/05/1972</t>
  </si>
  <si>
    <t>31/05/2020</t>
  </si>
  <si>
    <t>15/05/2001</t>
  </si>
  <si>
    <t>04/07/1972</t>
  </si>
  <si>
    <t>01/10/2023</t>
  </si>
  <si>
    <t>21/02/1968</t>
  </si>
  <si>
    <t>01/08/2005</t>
  </si>
  <si>
    <t>25/05/1962</t>
  </si>
  <si>
    <t>10/07/1966</t>
  </si>
  <si>
    <t>16/10/1995</t>
  </si>
  <si>
    <t>04/12/1966</t>
  </si>
  <si>
    <t>03/12/2007</t>
  </si>
  <si>
    <t>27/06/1966</t>
  </si>
  <si>
    <t>22/10/2007</t>
  </si>
  <si>
    <t>07/10/1975</t>
  </si>
  <si>
    <t>19/09/2002</t>
  </si>
  <si>
    <t>07/03/1968</t>
  </si>
  <si>
    <t>27/12/1999</t>
  </si>
  <si>
    <t>01/01/2000</t>
  </si>
  <si>
    <t>07/09/1969</t>
  </si>
  <si>
    <t>21/06/1973</t>
  </si>
  <si>
    <t>01/04/2007</t>
  </si>
  <si>
    <t>24/04/1974</t>
  </si>
  <si>
    <t>17/05/2004</t>
  </si>
  <si>
    <t>22/06/1970</t>
  </si>
  <si>
    <t>01/04/1993</t>
  </si>
  <si>
    <t>22/05/1969</t>
  </si>
  <si>
    <t>05/07/1999</t>
  </si>
  <si>
    <t>10/09/1964</t>
  </si>
  <si>
    <t>07/12/1964</t>
  </si>
  <si>
    <t>01/12/2019</t>
  </si>
  <si>
    <t>27/03/1962</t>
  </si>
  <si>
    <t>04/12/1997</t>
  </si>
  <si>
    <t>19/07/1969</t>
  </si>
  <si>
    <t>24/01/2018</t>
  </si>
  <si>
    <t>27/07/1981</t>
  </si>
  <si>
    <t>04/12/1975</t>
  </si>
  <si>
    <t>23/10/2006</t>
  </si>
  <si>
    <t>30/06/1978</t>
  </si>
  <si>
    <t>01/03/1999</t>
  </si>
  <si>
    <t>29/03/1960</t>
  </si>
  <si>
    <t>02/05/2008</t>
  </si>
  <si>
    <t>08/05/1978</t>
  </si>
  <si>
    <t>02/10/1975</t>
  </si>
  <si>
    <t>01/03/2020</t>
  </si>
  <si>
    <t>01/03/2019</t>
  </si>
  <si>
    <t>03/12/2012</t>
  </si>
  <si>
    <t>30/09/1973</t>
  </si>
  <si>
    <t>30/06/2024</t>
  </si>
  <si>
    <t>13/08/1976</t>
  </si>
  <si>
    <t>01/06/2005</t>
  </si>
  <si>
    <t>30/07/1968</t>
  </si>
  <si>
    <t>01/03/1993</t>
  </si>
  <si>
    <t>26/04/1967</t>
  </si>
  <si>
    <t>02/10/1989</t>
  </si>
  <si>
    <t>02/12/1964</t>
  </si>
  <si>
    <t>04/01/1993</t>
  </si>
  <si>
    <t>13/02/1968</t>
  </si>
  <si>
    <t>29/09/1977</t>
  </si>
  <si>
    <t>28/02/1962</t>
  </si>
  <si>
    <t>01/09/2019</t>
  </si>
  <si>
    <t>01/02/1990</t>
  </si>
  <si>
    <t>23/11/1963</t>
  </si>
  <si>
    <t>01/10/1993</t>
  </si>
  <si>
    <t>28/06/1966</t>
  </si>
  <si>
    <t>05/08/1967</t>
  </si>
  <si>
    <t>01/04/1992</t>
  </si>
  <si>
    <t>08/08/1965</t>
  </si>
  <si>
    <t>09/11/1959</t>
  </si>
  <si>
    <t>16/01/1989</t>
  </si>
  <si>
    <t>04/01/1960</t>
  </si>
  <si>
    <t>09/01/1966</t>
  </si>
  <si>
    <t>05/02/2004</t>
  </si>
  <si>
    <t>21/12/1969</t>
  </si>
  <si>
    <t>03/03/1970</t>
  </si>
  <si>
    <t>05/10/1963</t>
  </si>
  <si>
    <t>01/02/2019</t>
  </si>
  <si>
    <t>10/10/1963</t>
  </si>
  <si>
    <t>02/04/1971</t>
  </si>
  <si>
    <t>22/06/2017</t>
  </si>
  <si>
    <t>20/04/2000</t>
  </si>
  <si>
    <t>12/01/1966</t>
  </si>
  <si>
    <t>14/08/1976</t>
  </si>
  <si>
    <t>01/12/2020</t>
  </si>
  <si>
    <t>02/07/2001</t>
  </si>
  <si>
    <t>06/12/1970</t>
  </si>
  <si>
    <t>16/10/2000</t>
  </si>
  <si>
    <t>23/03/1973</t>
  </si>
  <si>
    <t>06/06/2022</t>
  </si>
  <si>
    <t>23/12/1980</t>
  </si>
  <si>
    <t>02/01/1992</t>
  </si>
  <si>
    <t>27/02/1964</t>
  </si>
  <si>
    <t>27/06/1995</t>
  </si>
  <si>
    <t>30/01/1968</t>
  </si>
  <si>
    <t>10/11/1961</t>
  </si>
  <si>
    <t>01/10/2002</t>
  </si>
  <si>
    <t>05/05/1971</t>
  </si>
  <si>
    <t xml:space="preserve">514400      </t>
  </si>
  <si>
    <t>10/06/1999</t>
  </si>
  <si>
    <t>29/08/1972</t>
  </si>
  <si>
    <t>01/11/2014</t>
  </si>
  <si>
    <t>05/02/1970</t>
  </si>
  <si>
    <t xml:space="preserve">514500      </t>
  </si>
  <si>
    <t>10/10/2005</t>
  </si>
  <si>
    <t>13/11/1974</t>
  </si>
  <si>
    <t>27/06/1998</t>
  </si>
  <si>
    <t>13/03/2023</t>
  </si>
  <si>
    <t>25/08/1989</t>
  </si>
  <si>
    <t>30/07/1977</t>
  </si>
  <si>
    <t>29/07/1968</t>
  </si>
  <si>
    <t>01/08/2011</t>
  </si>
  <si>
    <t>16/10/1982</t>
  </si>
  <si>
    <t>01/08/2020</t>
  </si>
  <si>
    <t>21/11/1963</t>
  </si>
  <si>
    <t>15/09/2025</t>
  </si>
  <si>
    <t>21/01/2008</t>
  </si>
  <si>
    <t>01/06/1977</t>
  </si>
  <si>
    <t>01/03/1997</t>
  </si>
  <si>
    <t>31/12/1966</t>
  </si>
  <si>
    <t>01/02/1975</t>
  </si>
  <si>
    <t>01/12/2022</t>
  </si>
  <si>
    <t>26/07/1988</t>
  </si>
  <si>
    <t>28/10/1972</t>
  </si>
  <si>
    <t>01/10/2018</t>
  </si>
  <si>
    <t xml:space="preserve">514700      </t>
  </si>
  <si>
    <t>01/06/2007</t>
  </si>
  <si>
    <t>11/04/1978</t>
  </si>
  <si>
    <t>21/03/1994</t>
  </si>
  <si>
    <t>24/07/1964</t>
  </si>
  <si>
    <t xml:space="preserve">0015003107                    </t>
  </si>
  <si>
    <t>10/02/2012</t>
  </si>
  <si>
    <t>17/02/1978</t>
  </si>
  <si>
    <t>23/10/2017</t>
  </si>
  <si>
    <t>12/08/1978</t>
  </si>
  <si>
    <t>30/09/1963</t>
  </si>
  <si>
    <t>30/04/2027</t>
  </si>
  <si>
    <t>24/07/1977</t>
  </si>
  <si>
    <t>17/11/2003</t>
  </si>
  <si>
    <t>25/07/1974</t>
  </si>
  <si>
    <t>06/11/2000</t>
  </si>
  <si>
    <t>19/09/1975</t>
  </si>
  <si>
    <t>18/09/2007</t>
  </si>
  <si>
    <t>22/12/1971</t>
  </si>
  <si>
    <t>12/02/2001</t>
  </si>
  <si>
    <t>22/09/1969</t>
  </si>
  <si>
    <t>17/09/2007</t>
  </si>
  <si>
    <t>03/06/1977</t>
  </si>
  <si>
    <t>01/06/1990</t>
  </si>
  <si>
    <t>21/08/1961</t>
  </si>
  <si>
    <t>07/10/1991</t>
  </si>
  <si>
    <t>01/05/1995</t>
  </si>
  <si>
    <t>20/06/1965</t>
  </si>
  <si>
    <t>17/06/2015</t>
  </si>
  <si>
    <t>23/12/2009</t>
  </si>
  <si>
    <t>12/06/1977</t>
  </si>
  <si>
    <t>14/01/2000</t>
  </si>
  <si>
    <t>09/02/1969</t>
  </si>
  <si>
    <t>07/04/2003</t>
  </si>
  <si>
    <t>02/02/1977</t>
  </si>
  <si>
    <t>06/06/1967</t>
  </si>
  <si>
    <t>20/01/1969</t>
  </si>
  <si>
    <t>13/01/2003</t>
  </si>
  <si>
    <t>09/11/1972</t>
  </si>
  <si>
    <t>24/11/1975</t>
  </si>
  <si>
    <t>26/06/1976</t>
  </si>
  <si>
    <t xml:space="preserve">516000      </t>
  </si>
  <si>
    <t>07/02/2000</t>
  </si>
  <si>
    <t>10/09/1974</t>
  </si>
  <si>
    <t>16/02/2004</t>
  </si>
  <si>
    <t>23/10/1972</t>
  </si>
  <si>
    <t>24/12/2002</t>
  </si>
  <si>
    <t>28/11/1967</t>
  </si>
  <si>
    <t>01/10/2017</t>
  </si>
  <si>
    <t>09/09/1964</t>
  </si>
  <si>
    <t>05/09/1997</t>
  </si>
  <si>
    <t>07/04/1959</t>
  </si>
  <si>
    <t>06/07/2005</t>
  </si>
  <si>
    <t>04/06/1977</t>
  </si>
  <si>
    <t>09/05/1973</t>
  </si>
  <si>
    <t>03/05/1966</t>
  </si>
  <si>
    <t>15/10/2008</t>
  </si>
  <si>
    <t>23/10/1979</t>
  </si>
  <si>
    <t>03/03/1976</t>
  </si>
  <si>
    <t>12/11/1963</t>
  </si>
  <si>
    <t>01/09/2023</t>
  </si>
  <si>
    <t>07/08/2017</t>
  </si>
  <si>
    <t>17/03/1990</t>
  </si>
  <si>
    <t>10/06/1977</t>
  </si>
  <si>
    <t>15/09/1967</t>
  </si>
  <si>
    <t>11/09/2023</t>
  </si>
  <si>
    <t>24/02/1997</t>
  </si>
  <si>
    <t>01/08/1999</t>
  </si>
  <si>
    <t>02/11/1971</t>
  </si>
  <si>
    <t>09/07/1993</t>
  </si>
  <si>
    <t>14/04/2003</t>
  </si>
  <si>
    <t>04/05/1968</t>
  </si>
  <si>
    <t>02/05/1996</t>
  </si>
  <si>
    <t>18/07/2017</t>
  </si>
  <si>
    <t>27/07/1976</t>
  </si>
  <si>
    <t>03/04/1966</t>
  </si>
  <si>
    <t>04/04/1981</t>
  </si>
  <si>
    <t>29/01/1964</t>
  </si>
  <si>
    <t>21/05/1971</t>
  </si>
  <si>
    <t>05/04/1968</t>
  </si>
  <si>
    <t>07/09/2025</t>
  </si>
  <si>
    <t xml:space="preserve">0015002689                    </t>
  </si>
  <si>
    <t>01/08/2001</t>
  </si>
  <si>
    <t>22/04/1969</t>
  </si>
  <si>
    <t>08/09/2000</t>
  </si>
  <si>
    <t>22/10/1973</t>
  </si>
  <si>
    <t>01/05/2000</t>
  </si>
  <si>
    <t>18/08/1973</t>
  </si>
  <si>
    <t>06/09/1999</t>
  </si>
  <si>
    <t>10/04/1971</t>
  </si>
  <si>
    <t>01/09/2020</t>
  </si>
  <si>
    <t>30/04/1968</t>
  </si>
  <si>
    <t>05/10/1973</t>
  </si>
  <si>
    <t>14/03/1965</t>
  </si>
  <si>
    <t>05/02/1964</t>
  </si>
  <si>
    <t>03/06/2002</t>
  </si>
  <si>
    <t>14/04/1972</t>
  </si>
  <si>
    <t>29/02/1968</t>
  </si>
  <si>
    <t>30/11/1965</t>
  </si>
  <si>
    <t>01/08/2004</t>
  </si>
  <si>
    <t>29/09/1970</t>
  </si>
  <si>
    <t>30/09/1964</t>
  </si>
  <si>
    <t>24/07/1971</t>
  </si>
  <si>
    <t>24/02/2000</t>
  </si>
  <si>
    <t>27/08/1975</t>
  </si>
  <si>
    <t>27/01/1972</t>
  </si>
  <si>
    <t>27/09/1999</t>
  </si>
  <si>
    <t>22/11/1967</t>
  </si>
  <si>
    <t>25/08/1999</t>
  </si>
  <si>
    <t>08/05/1970</t>
  </si>
  <si>
    <t>01/01/2021</t>
  </si>
  <si>
    <t>12/03/2002</t>
  </si>
  <si>
    <t>17/03/1973</t>
  </si>
  <si>
    <t>05/09/1970</t>
  </si>
  <si>
    <t>16/03/1976</t>
  </si>
  <si>
    <t>15/08/1969</t>
  </si>
  <si>
    <t>03/02/1970</t>
  </si>
  <si>
    <t>03/08/1998</t>
  </si>
  <si>
    <t>30/08/1962</t>
  </si>
  <si>
    <t>15/09/1999</t>
  </si>
  <si>
    <t>13/07/1969</t>
  </si>
  <si>
    <t>18/02/2008</t>
  </si>
  <si>
    <t>09/03/1979</t>
  </si>
  <si>
    <t>03/01/2000</t>
  </si>
  <si>
    <t>15/09/1966</t>
  </si>
  <si>
    <t>14/09/1999</t>
  </si>
  <si>
    <t>05/12/1970</t>
  </si>
  <si>
    <t>08/06/1969</t>
  </si>
  <si>
    <t>31/03/1965</t>
  </si>
  <si>
    <t xml:space="preserve">518200      </t>
  </si>
  <si>
    <t>02/05/2014</t>
  </si>
  <si>
    <t>05/04/1965</t>
  </si>
  <si>
    <t xml:space="preserve">515010      </t>
  </si>
  <si>
    <t xml:space="preserve">0015000759                    </t>
  </si>
  <si>
    <t>13/07/1996</t>
  </si>
  <si>
    <t>18/09/2023</t>
  </si>
  <si>
    <t>25/09/1981</t>
  </si>
  <si>
    <t>09/10/2006</t>
  </si>
  <si>
    <t>14/03/1972</t>
  </si>
  <si>
    <t>14/09/2023</t>
  </si>
  <si>
    <t>03/10/1998</t>
  </si>
  <si>
    <t>08/11/2006</t>
  </si>
  <si>
    <t>12/05/1977</t>
  </si>
  <si>
    <t>21/08/1975</t>
  </si>
  <si>
    <t>04/06/1979</t>
  </si>
  <si>
    <t>22/08/1978</t>
  </si>
  <si>
    <t>01/04/1987</t>
  </si>
  <si>
    <t>17/03/1962</t>
  </si>
  <si>
    <t>01/07/2019</t>
  </si>
  <si>
    <t>01/06/2026</t>
  </si>
  <si>
    <t>05/08/1971</t>
  </si>
  <si>
    <t>20/03/2000</t>
  </si>
  <si>
    <t>19/08/1971</t>
  </si>
  <si>
    <t>19/12/1980</t>
  </si>
  <si>
    <t>27/08/1972</t>
  </si>
  <si>
    <t>18/09/2000</t>
  </si>
  <si>
    <t>24/01/1963</t>
  </si>
  <si>
    <t>01/02/2007</t>
  </si>
  <si>
    <t>05/07/1979</t>
  </si>
  <si>
    <t>07/11/2006</t>
  </si>
  <si>
    <t>16/01/1968</t>
  </si>
  <si>
    <t>10/11/1993</t>
  </si>
  <si>
    <t>05/04/1994</t>
  </si>
  <si>
    <t>10/08/1967</t>
  </si>
  <si>
    <t>21/07/2025</t>
  </si>
  <si>
    <t>01/01/1994</t>
  </si>
  <si>
    <t xml:space="preserve">515020      </t>
  </si>
  <si>
    <t>03/12/2001</t>
  </si>
  <si>
    <t>21/07/1961</t>
  </si>
  <si>
    <t xml:space="preserve">0015001708                    </t>
  </si>
  <si>
    <t>20/06/2002</t>
  </si>
  <si>
    <t>16/03/1972</t>
  </si>
  <si>
    <t>01/02/2002</t>
  </si>
  <si>
    <t>27/09/1969</t>
  </si>
  <si>
    <t>16/10/2023</t>
  </si>
  <si>
    <t>10/02/1978</t>
  </si>
  <si>
    <t>01/01/2001</t>
  </si>
  <si>
    <t>24/06/1974</t>
  </si>
  <si>
    <t>01/12/2010</t>
  </si>
  <si>
    <t>01/10/1978</t>
  </si>
  <si>
    <t>20/12/1962</t>
  </si>
  <si>
    <t>25/04/1971</t>
  </si>
  <si>
    <t>01/07/1999</t>
  </si>
  <si>
    <t>30/07/1974</t>
  </si>
  <si>
    <t>26/10/1999</t>
  </si>
  <si>
    <t>25/04/1967</t>
  </si>
  <si>
    <t>24/04/1965</t>
  </si>
  <si>
    <t>10/07/2006</t>
  </si>
  <si>
    <t>11/01/1975</t>
  </si>
  <si>
    <t>22/05/1971</t>
  </si>
  <si>
    <t xml:space="preserve">815410      </t>
  </si>
  <si>
    <t>18/09/1968</t>
  </si>
  <si>
    <t>09/10/1962</t>
  </si>
  <si>
    <t>09/12/1968</t>
  </si>
  <si>
    <t>01/10/2011</t>
  </si>
  <si>
    <t>02/08/1966</t>
  </si>
  <si>
    <t>01/04/2002</t>
  </si>
  <si>
    <t>13/06/1972</t>
  </si>
  <si>
    <t>30/10/1995</t>
  </si>
  <si>
    <t>25/07/1964</t>
  </si>
  <si>
    <t>28/08/1969</t>
  </si>
  <si>
    <t>11/09/1967</t>
  </si>
  <si>
    <t>16/11/1964</t>
  </si>
  <si>
    <t>06/04/1970</t>
  </si>
  <si>
    <t>16/03/1998</t>
  </si>
  <si>
    <t>29/03/1970</t>
  </si>
  <si>
    <t>10/01/2000</t>
  </si>
  <si>
    <t>29/10/1970</t>
  </si>
  <si>
    <t>28/08/1973</t>
  </si>
  <si>
    <t>01/08/2019</t>
  </si>
  <si>
    <t>01/10/2005</t>
  </si>
  <si>
    <t>23/04/1975</t>
  </si>
  <si>
    <t>15/12/1998</t>
  </si>
  <si>
    <t>24/04/1972</t>
  </si>
  <si>
    <t xml:space="preserve">518300      </t>
  </si>
  <si>
    <t>03/12/1976</t>
  </si>
  <si>
    <t xml:space="preserve">610000      </t>
  </si>
  <si>
    <t>01/09/2004</t>
  </si>
  <si>
    <t>18/10/1962</t>
  </si>
  <si>
    <t>14/01/1971</t>
  </si>
  <si>
    <t xml:space="preserve">611330      </t>
  </si>
  <si>
    <t>01/01/2002</t>
  </si>
  <si>
    <t>15/10/1969</t>
  </si>
  <si>
    <t xml:space="preserve">0015002258                    </t>
  </si>
  <si>
    <t xml:space="preserve">61400010    </t>
  </si>
  <si>
    <t>03/12/1990</t>
  </si>
  <si>
    <t>03/10/1968</t>
  </si>
  <si>
    <t>06/03/1989</t>
  </si>
  <si>
    <t>20/07/1968</t>
  </si>
  <si>
    <t>14/01/1969</t>
  </si>
  <si>
    <t>20/05/1992</t>
  </si>
  <si>
    <t>02/02/1978</t>
  </si>
  <si>
    <t>16/03/1987</t>
  </si>
  <si>
    <t>15/10/1965</t>
  </si>
  <si>
    <t>01/01/1992</t>
  </si>
  <si>
    <t>21/06/1965</t>
  </si>
  <si>
    <t>16/10/1992</t>
  </si>
  <si>
    <t>07/02/1965</t>
  </si>
  <si>
    <t>20/10/2020</t>
  </si>
  <si>
    <t>08/11/1976</t>
  </si>
  <si>
    <t>06/05/1960</t>
  </si>
  <si>
    <t>20/12/2026</t>
  </si>
  <si>
    <t xml:space="preserve">612050      </t>
  </si>
  <si>
    <t>04/01/2007</t>
  </si>
  <si>
    <t>18/07/1977</t>
  </si>
  <si>
    <t xml:space="preserve">0015003047                    </t>
  </si>
  <si>
    <t>23/07/1998</t>
  </si>
  <si>
    <t>01/05/1967</t>
  </si>
  <si>
    <t>03/01/2001</t>
  </si>
  <si>
    <t>23/12/1973</t>
  </si>
  <si>
    <t>07/03/2001</t>
  </si>
  <si>
    <t>02/09/2019</t>
  </si>
  <si>
    <t>11/07/1989</t>
  </si>
  <si>
    <t>01/01/1997</t>
  </si>
  <si>
    <t>03/05/1993</t>
  </si>
  <si>
    <t>10/02/1972</t>
  </si>
  <si>
    <t>14/02/1990</t>
  </si>
  <si>
    <t>05/07/1965</t>
  </si>
  <si>
    <t xml:space="preserve">612300      </t>
  </si>
  <si>
    <t>05/06/1983</t>
  </si>
  <si>
    <t>09/09/1996</t>
  </si>
  <si>
    <t>06/10/1973</t>
  </si>
  <si>
    <t>12/12/1977</t>
  </si>
  <si>
    <t xml:space="preserve">611310      </t>
  </si>
  <si>
    <t>05/06/1992</t>
  </si>
  <si>
    <t>16/10/1968</t>
  </si>
  <si>
    <t xml:space="preserve">0015001586                    </t>
  </si>
  <si>
    <t>24/02/1976</t>
  </si>
  <si>
    <t>29/12/1970</t>
  </si>
  <si>
    <t>08/02/1999</t>
  </si>
  <si>
    <t>07/03/1975</t>
  </si>
  <si>
    <t>23/05/2022</t>
  </si>
  <si>
    <t>29/11/1975</t>
  </si>
  <si>
    <t xml:space="preserve">61131010    </t>
  </si>
  <si>
    <t>12/05/1968</t>
  </si>
  <si>
    <t>11/10/2025</t>
  </si>
  <si>
    <t xml:space="preserve">0015002964                    </t>
  </si>
  <si>
    <t xml:space="preserve">611320      </t>
  </si>
  <si>
    <t>01/02/1967</t>
  </si>
  <si>
    <t>22/02/1988</t>
  </si>
  <si>
    <t>06/02/1967</t>
  </si>
  <si>
    <t>16/03/1994</t>
  </si>
  <si>
    <t>10/03/1967</t>
  </si>
  <si>
    <t xml:space="preserve">612100      </t>
  </si>
  <si>
    <t>29/04/1976</t>
  </si>
  <si>
    <t xml:space="preserve">616000      </t>
  </si>
  <si>
    <t>01/12/2018</t>
  </si>
  <si>
    <t>19/02/1965</t>
  </si>
  <si>
    <t>04/11/2024</t>
  </si>
  <si>
    <t>02/09/1985</t>
  </si>
  <si>
    <t xml:space="preserve">61800010    </t>
  </si>
  <si>
    <t>10/04/1974</t>
  </si>
  <si>
    <t xml:space="preserve">613950      </t>
  </si>
  <si>
    <t>01/10/2024</t>
  </si>
  <si>
    <t>20/02/1970</t>
  </si>
  <si>
    <t>11/09/1984</t>
  </si>
  <si>
    <t xml:space="preserve">615000      </t>
  </si>
  <si>
    <t>07/09/2020</t>
  </si>
  <si>
    <t>05/09/1980</t>
  </si>
  <si>
    <t xml:space="preserve">0015002869                    </t>
  </si>
  <si>
    <t>04/05/2015</t>
  </si>
  <si>
    <t>08/11/1987</t>
  </si>
  <si>
    <t>19/05/2008</t>
  </si>
  <si>
    <t>07/08/1978</t>
  </si>
  <si>
    <t>11/01/1991</t>
  </si>
  <si>
    <t xml:space="preserve">61500010    </t>
  </si>
  <si>
    <t>06/12/1999</t>
  </si>
  <si>
    <t>17/06/1971</t>
  </si>
  <si>
    <t xml:space="preserve">61207010    </t>
  </si>
  <si>
    <t>13/03/2025</t>
  </si>
  <si>
    <t>02/02/1986</t>
  </si>
  <si>
    <t>12/03/2026</t>
  </si>
  <si>
    <t xml:space="preserve">0015002647                    </t>
  </si>
  <si>
    <t>07/01/2013</t>
  </si>
  <si>
    <t>10/01/1983</t>
  </si>
  <si>
    <t>16/12/2011</t>
  </si>
  <si>
    <t>05/09/1976</t>
  </si>
  <si>
    <t>04/04/2016</t>
  </si>
  <si>
    <t>24/07/1984</t>
  </si>
  <si>
    <t>05/02/2007</t>
  </si>
  <si>
    <t>06/01/1980</t>
  </si>
  <si>
    <t>11/12/1999</t>
  </si>
  <si>
    <t>01/08/2006</t>
  </si>
  <si>
    <t>17/05/1964</t>
  </si>
  <si>
    <t xml:space="preserve">0015001693                    </t>
  </si>
  <si>
    <t>15/12/2000</t>
  </si>
  <si>
    <t>18/11/1971</t>
  </si>
  <si>
    <t>17/02/1975</t>
  </si>
  <si>
    <t>17/05/2000</t>
  </si>
  <si>
    <t>31/07/1966</t>
  </si>
  <si>
    <t>02/03/1987</t>
  </si>
  <si>
    <t>01/02/2021</t>
  </si>
  <si>
    <t>03/03/2025</t>
  </si>
  <si>
    <t>03/07/2023</t>
  </si>
  <si>
    <t>29/10/1991</t>
  </si>
  <si>
    <t>01/12/2000</t>
  </si>
  <si>
    <t>22/11/1999</t>
  </si>
  <si>
    <t>31/03/1967</t>
  </si>
  <si>
    <t>01/12/2017</t>
  </si>
  <si>
    <t>18/07/1967</t>
  </si>
  <si>
    <t>10/09/1996</t>
  </si>
  <si>
    <t>19/06/2000</t>
  </si>
  <si>
    <t>12/06/1996</t>
  </si>
  <si>
    <t xml:space="preserve">413000      </t>
  </si>
  <si>
    <t>01/02/1995</t>
  </si>
  <si>
    <t>12/08/1969</t>
  </si>
  <si>
    <t>01</t>
  </si>
  <si>
    <t xml:space="preserve">0015002930                    </t>
  </si>
  <si>
    <t>30/05/1974</t>
  </si>
  <si>
    <t>01/01/2023</t>
  </si>
  <si>
    <t>06/11/2017</t>
  </si>
  <si>
    <t>22/09/1974</t>
  </si>
  <si>
    <t>23/02/1972</t>
  </si>
  <si>
    <t>04/12/1971</t>
  </si>
  <si>
    <t>09/06/1971</t>
  </si>
  <si>
    <t>23/11/1987</t>
  </si>
  <si>
    <t>08/07/1971</t>
  </si>
  <si>
    <t>31/05/1969</t>
  </si>
  <si>
    <t>13/08/1966</t>
  </si>
  <si>
    <t>19</t>
  </si>
  <si>
    <t>01/01/2019</t>
  </si>
  <si>
    <t>09/02/2015</t>
  </si>
  <si>
    <t>24/01/1967</t>
  </si>
  <si>
    <t xml:space="preserve">0028000051                    </t>
  </si>
  <si>
    <t>11/12/1985</t>
  </si>
  <si>
    <t>19/09/1979</t>
  </si>
  <si>
    <t>17/03/1965</t>
  </si>
  <si>
    <t xml:space="preserve">0028000056                    </t>
  </si>
  <si>
    <t>02/05/2006</t>
  </si>
  <si>
    <t>16/12/1977</t>
  </si>
  <si>
    <t>02/03/2020</t>
  </si>
  <si>
    <t>09/09/1987</t>
  </si>
  <si>
    <t xml:space="preserve">0028000042                    </t>
  </si>
  <si>
    <t>21/02/1984</t>
  </si>
  <si>
    <t>03/05/2021</t>
  </si>
  <si>
    <t>23/08/1972</t>
  </si>
  <si>
    <t>18/11/2021</t>
  </si>
  <si>
    <t>28/02/1988</t>
  </si>
  <si>
    <t>25/03/2013</t>
  </si>
  <si>
    <t>21/05/1974</t>
  </si>
  <si>
    <t>20/10/1969</t>
  </si>
  <si>
    <t>01/01/2005</t>
  </si>
  <si>
    <t>05/06/1974</t>
  </si>
  <si>
    <t>01/09/2021</t>
  </si>
  <si>
    <t>13/08/1979</t>
  </si>
  <si>
    <t>12/04/2017</t>
  </si>
  <si>
    <t>20/03/1969</t>
  </si>
  <si>
    <t>16/01/2023</t>
  </si>
  <si>
    <t>11/01/1984</t>
  </si>
  <si>
    <t>10/02/2020</t>
  </si>
  <si>
    <t>04/08/1992</t>
  </si>
  <si>
    <t>20/04/2022</t>
  </si>
  <si>
    <t>26/06/1991</t>
  </si>
  <si>
    <t>20/01/2021</t>
  </si>
  <si>
    <t>05/04/1984</t>
  </si>
  <si>
    <t>23/09/2025</t>
  </si>
  <si>
    <t>25/01/1978</t>
  </si>
  <si>
    <t>21/08/2023</t>
  </si>
  <si>
    <t>03/07/1994</t>
  </si>
  <si>
    <t>02/12/2019</t>
  </si>
  <si>
    <t>21/03/1991</t>
  </si>
  <si>
    <t>20/01/2020</t>
  </si>
  <si>
    <t>20/08/1994</t>
  </si>
  <si>
    <t>08/03/1965</t>
  </si>
  <si>
    <t>09/01/2023</t>
  </si>
  <si>
    <t>19/11/1990</t>
  </si>
  <si>
    <t xml:space="preserve">0035000010                    </t>
  </si>
  <si>
    <t>21/02/2024</t>
  </si>
  <si>
    <t>29/04/1981</t>
  </si>
  <si>
    <t>02/11/2022</t>
  </si>
  <si>
    <t>13/06/1988</t>
  </si>
  <si>
    <t>23/08/2021</t>
  </si>
  <si>
    <t>18/02/1989</t>
  </si>
  <si>
    <t>04/03/2024</t>
  </si>
  <si>
    <t>02/07/1992</t>
  </si>
  <si>
    <t>06/06/2023</t>
  </si>
  <si>
    <t>17/08/1992</t>
  </si>
  <si>
    <t>19/06/2023</t>
  </si>
  <si>
    <t>08/11/1996</t>
  </si>
  <si>
    <t>01/10/2021</t>
  </si>
  <si>
    <t>01/01/1975</t>
  </si>
  <si>
    <t>10/12/2019</t>
  </si>
  <si>
    <t>25/02/2013</t>
  </si>
  <si>
    <t>07/11/2022</t>
  </si>
  <si>
    <t>12/02/2024</t>
  </si>
  <si>
    <t>10/10/1994</t>
  </si>
  <si>
    <t>31/12/2019</t>
  </si>
  <si>
    <t>21/11/2007</t>
  </si>
  <si>
    <t>02/04/1978</t>
  </si>
  <si>
    <t>10/03/1971</t>
  </si>
  <si>
    <t>30/05/1975</t>
  </si>
  <si>
    <t>01/02/2020</t>
  </si>
  <si>
    <t>26/10/1970</t>
  </si>
  <si>
    <t>02/09/1999</t>
  </si>
  <si>
    <t>08/03/1963</t>
  </si>
  <si>
    <t>04/12/2025</t>
  </si>
  <si>
    <t>22/04/1971</t>
  </si>
  <si>
    <t>08/09/1966</t>
  </si>
  <si>
    <t>30/10/1961</t>
  </si>
  <si>
    <t>20/10/2025</t>
  </si>
  <si>
    <t xml:space="preserve">02 </t>
  </si>
  <si>
    <t>29/07/2000</t>
  </si>
  <si>
    <t>19/04/2026</t>
  </si>
  <si>
    <t>19/11/2025</t>
  </si>
  <si>
    <t>06/08/1998</t>
  </si>
  <si>
    <t>18/05/2026</t>
  </si>
  <si>
    <t>03/06/2025</t>
  </si>
  <si>
    <t xml:space="preserve">0   </t>
  </si>
  <si>
    <t>30/04/2025</t>
  </si>
  <si>
    <t>83</t>
  </si>
  <si>
    <t xml:space="preserve">01 </t>
  </si>
  <si>
    <t>66</t>
  </si>
  <si>
    <t>28/07/1965</t>
  </si>
  <si>
    <t>06/09/1957</t>
  </si>
  <si>
    <t>01/11/2024</t>
  </si>
  <si>
    <t>01/07/2017</t>
  </si>
  <si>
    <t>17/05/2021</t>
  </si>
  <si>
    <t>17/07/1958</t>
  </si>
  <si>
    <t xml:space="preserve">816000      </t>
  </si>
  <si>
    <t>02/01/2022</t>
  </si>
  <si>
    <t>12/08/1949</t>
  </si>
  <si>
    <t>31/12/2022</t>
  </si>
  <si>
    <t>03/11/1960</t>
  </si>
  <si>
    <t>02/01/2021</t>
  </si>
  <si>
    <t>27/08/2020</t>
  </si>
  <si>
    <t>20/10/1961</t>
  </si>
  <si>
    <t>10/09/2024</t>
  </si>
  <si>
    <t>17/11/1961</t>
  </si>
  <si>
    <t>01/11/1990</t>
  </si>
  <si>
    <t>27/05/1948</t>
  </si>
  <si>
    <t>01/08/2018</t>
  </si>
  <si>
    <t>02/01/2025</t>
  </si>
  <si>
    <t>22/10/1962</t>
  </si>
  <si>
    <t>23/10/1964</t>
  </si>
  <si>
    <t>13/11/1962</t>
  </si>
  <si>
    <t>01/03/2014</t>
  </si>
  <si>
    <t>04/09/1967</t>
  </si>
  <si>
    <t>28/02/2026</t>
  </si>
  <si>
    <t>09/05/2022</t>
  </si>
  <si>
    <t>24/01/1962</t>
  </si>
  <si>
    <t>05/05/2015</t>
  </si>
  <si>
    <t>22/10/1953</t>
  </si>
  <si>
    <t>28/07/1951</t>
  </si>
  <si>
    <t>21/10/1958</t>
  </si>
  <si>
    <t>08/09/2019</t>
  </si>
  <si>
    <t>03/11/2017</t>
  </si>
  <si>
    <t>14/11/1971</t>
  </si>
  <si>
    <t>26/07/2026</t>
  </si>
  <si>
    <t>17/06/1960</t>
  </si>
  <si>
    <t>11/10/2010</t>
  </si>
  <si>
    <t>19/05/1951</t>
  </si>
  <si>
    <t>17/08/1954</t>
  </si>
  <si>
    <t>05/02/2025</t>
  </si>
  <si>
    <t>11/04/1950</t>
  </si>
  <si>
    <t>03/01/2022</t>
  </si>
  <si>
    <t>19/08/2014</t>
  </si>
  <si>
    <t>26/02/1961</t>
  </si>
  <si>
    <t>31/12/2026</t>
  </si>
  <si>
    <t>09/10/2017</t>
  </si>
  <si>
    <t>01/04/1957</t>
  </si>
  <si>
    <t>01/11/2022</t>
  </si>
  <si>
    <t>07/11/1971</t>
  </si>
  <si>
    <t>25/02/1979</t>
  </si>
  <si>
    <t>82</t>
  </si>
  <si>
    <t>15/05/1980</t>
  </si>
  <si>
    <t>20/09/2021</t>
  </si>
  <si>
    <t>18/10/1981</t>
  </si>
  <si>
    <t>02/08/1982</t>
  </si>
  <si>
    <t>07/04/2025</t>
  </si>
  <si>
    <t>06/07/1988</t>
  </si>
  <si>
    <t>26/07/2019</t>
  </si>
  <si>
    <t>14/06/1988</t>
  </si>
  <si>
    <t>07/10/2025</t>
  </si>
  <si>
    <t>15/03/1984</t>
  </si>
  <si>
    <t>01/06/1993</t>
  </si>
  <si>
    <t>17/12/2022</t>
  </si>
  <si>
    <t>22/05/1988</t>
  </si>
  <si>
    <t>26/06/2025</t>
  </si>
  <si>
    <t>15/11/1981</t>
  </si>
  <si>
    <t>07/03/2022</t>
  </si>
  <si>
    <t>15/11/1991</t>
  </si>
  <si>
    <t>26/01/1987</t>
  </si>
  <si>
    <t>- Uggeri</t>
  </si>
  <si>
    <t>14/01/2026</t>
  </si>
  <si>
    <t>22/01/2026</t>
  </si>
  <si>
    <t>01/01/2026</t>
  </si>
  <si>
    <t>07/01/2026</t>
  </si>
  <si>
    <t>P</t>
  </si>
  <si>
    <t>P.POST PARTUM</t>
  </si>
  <si>
    <t>12/01/2026</t>
  </si>
  <si>
    <t>11/04/2026</t>
  </si>
  <si>
    <t>01/02/2026</t>
  </si>
  <si>
    <t xml:space="preserve">PACE                            </t>
  </si>
  <si>
    <t>PCALNZ02P24G273A</t>
  </si>
  <si>
    <t>PRATICANTE     T</t>
  </si>
  <si>
    <t>PM2</t>
  </si>
  <si>
    <t xml:space="preserve">PM2 PRATICANTE MAGG. 12 MM    </t>
  </si>
  <si>
    <t>24/09/2002</t>
  </si>
  <si>
    <t xml:space="preserve">lorenzo.pace@ilsole24ore.com                      </t>
  </si>
  <si>
    <t xml:space="preserve">0015003059                    </t>
  </si>
  <si>
    <t>BELLASIO DANIELE</t>
  </si>
  <si>
    <t xml:space="preserve">DE LAURENTIIS                   </t>
  </si>
  <si>
    <t>DLRMSM01R08F205K</t>
  </si>
  <si>
    <t>08/10/2001</t>
  </si>
  <si>
    <t xml:space="preserve">massimo.delaurentiis@ilsole24ore.com              </t>
  </si>
  <si>
    <t>RVIGLI91B48F704M</t>
  </si>
  <si>
    <t>08/02/1991</t>
  </si>
  <si>
    <t xml:space="preserve">giulia.riva@ilsole24ore.com                       </t>
  </si>
  <si>
    <t>20/01/2026</t>
  </si>
  <si>
    <t>05/02/2027</t>
  </si>
  <si>
    <t>CSR</t>
  </si>
  <si>
    <t xml:space="preserve">CSR REDATTORE SENIOR          </t>
  </si>
  <si>
    <t xml:space="preserve">LEMMA                           </t>
  </si>
  <si>
    <t xml:space="preserve">JESSICA TINA      </t>
  </si>
  <si>
    <t>LMMJSC84T46F205G</t>
  </si>
  <si>
    <t>06/12/1984</t>
  </si>
  <si>
    <t xml:space="preserve">jessicatina.lemma@ilsole24ore.com                 </t>
  </si>
  <si>
    <t>06/02/2026</t>
  </si>
  <si>
    <t xml:space="preserve">DE CUPPIS                       </t>
  </si>
  <si>
    <t>DCPSRA82D69A794Y</t>
  </si>
  <si>
    <t>19/01/2026</t>
  </si>
  <si>
    <t>29/04/1982</t>
  </si>
  <si>
    <t xml:space="preserve">sara.decuppis@ilsole24ore.com                     </t>
  </si>
  <si>
    <t xml:space="preserve">VALENTINO                       </t>
  </si>
  <si>
    <t>VLNPLA01L28G482L</t>
  </si>
  <si>
    <t>28/07/2001</t>
  </si>
  <si>
    <t>06/07/2026</t>
  </si>
  <si>
    <t xml:space="preserve">ext.paolo.valentino@radio24.it                    </t>
  </si>
  <si>
    <t>DIREZIONE GENERALE CORPORATE E CFO</t>
  </si>
  <si>
    <t>C11000   AMMINISTRAZIONE VENDITE CENTRAL</t>
  </si>
  <si>
    <t xml:space="preserve">ROBOTTI                         </t>
  </si>
  <si>
    <t xml:space="preserve">VIVIAN VANESSA    </t>
  </si>
  <si>
    <t>RBTVNV00B41Z604J</t>
  </si>
  <si>
    <t>10/07/2026</t>
  </si>
  <si>
    <t xml:space="preserve">ext.vivianvanessa.robotti@ilsole24ore.com         </t>
  </si>
  <si>
    <t xml:space="preserve">CERATI                          </t>
  </si>
  <si>
    <t>CRTFNC62B54E507Y</t>
  </si>
  <si>
    <t>14/02/1962</t>
  </si>
  <si>
    <t>31/12/2027</t>
  </si>
  <si>
    <t xml:space="preserve">BARLAAM                         </t>
  </si>
  <si>
    <t>BRLRCR65E03G438D</t>
  </si>
  <si>
    <t>03/05/1965</t>
  </si>
  <si>
    <t>- Chiellino - Galullo -Libelli - Uva - Fiammeri - Rogari - Alfieri + Riva + De Laurentiis + Pace</t>
  </si>
  <si>
    <t>+ Ferro</t>
  </si>
  <si>
    <t>DATO AL 31/01/2026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</si>
</sst>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&quot;$&quot;* #,##0_);_(&quot;$&quot;* \(#,##0\);_(&quot;$&quot;* &quot;-&quot;_);_(@_)"/>
    <numFmt numFmtId="166" formatCode="#0"/>
  </numFmts>
  <fonts count="19">
    <font>
      <sz val="10"/>
      <name val="Arial"/>
    </font>
    <font>
      <sz val="10"/>
      <color indexed="8"/>
      <name val="MS Sans Serif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8"/>
      <color indexed="8"/>
      <name val="SansSerif"/>
    </font>
    <font>
      <sz val="7"/>
      <color indexed="8"/>
      <name val="SansSerif"/>
    </font>
    <font>
      <sz val="10"/>
      <color indexed="10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SansSerif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medium">
        <color indexed="64"/>
      </left>
      <right style="thin">
        <color rgb="FFABABAB"/>
      </right>
      <top style="medium">
        <color indexed="64"/>
      </top>
      <bottom style="thin">
        <color rgb="FFABABAB"/>
      </bottom>
      <diagonal/>
    </border>
    <border>
      <left style="medium">
        <color indexed="64"/>
      </left>
      <right/>
      <top style="thin">
        <color rgb="FFABABAB"/>
      </top>
      <bottom/>
      <diagonal/>
    </border>
    <border>
      <left/>
      <right style="medium">
        <color indexed="64"/>
      </right>
      <top style="thin">
        <color rgb="FFABABAB"/>
      </top>
      <bottom/>
      <diagonal/>
    </border>
    <border>
      <left style="thin">
        <color rgb="FFABABAB"/>
      </left>
      <right style="medium">
        <color indexed="64"/>
      </right>
      <top style="thin">
        <color rgb="FFABABAB"/>
      </top>
      <bottom/>
      <diagonal/>
    </border>
    <border>
      <left style="medium">
        <color indexed="64"/>
      </left>
      <right/>
      <top style="thin">
        <color rgb="FFABABAB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 style="medium">
        <color indexed="64"/>
      </bottom>
      <diagonal/>
    </border>
    <border>
      <left/>
      <right/>
      <top style="thin">
        <color rgb="FFABABAB"/>
      </top>
      <bottom style="medium">
        <color indexed="64"/>
      </bottom>
      <diagonal/>
    </border>
    <border>
      <left style="thin">
        <color rgb="FFABABAB"/>
      </left>
      <right style="medium">
        <color indexed="64"/>
      </right>
      <top style="thin">
        <color rgb="FFABABAB"/>
      </top>
      <bottom style="medium">
        <color indexed="64"/>
      </bottom>
      <diagonal/>
    </border>
    <border>
      <left style="thin">
        <color rgb="FFABABAB"/>
      </left>
      <right/>
      <top/>
      <bottom style="medium">
        <color indexed="64"/>
      </bottom>
      <diagonal/>
    </border>
    <border>
      <left style="thin">
        <color rgb="FFABABAB"/>
      </left>
      <right style="medium">
        <color indexed="64"/>
      </right>
      <top/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5" fontId="1" fillId="0" borderId="0" applyFont="0" applyFill="0" applyBorder="0" applyAlignment="0" applyProtection="0"/>
  </cellStyleXfs>
  <cellXfs count="131">
    <xf numFmtId="0" fontId="0" fillId="0" borderId="0" xfId="0"/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10" fillId="0" borderId="0" xfId="0" applyFont="1"/>
    <xf numFmtId="0" fontId="5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4" fillId="0" borderId="8" xfId="0" applyFont="1" applyBorder="1"/>
    <xf numFmtId="0" fontId="4" fillId="0" borderId="1" xfId="0" applyFont="1" applyBorder="1"/>
    <xf numFmtId="0" fontId="0" fillId="0" borderId="9" xfId="0" applyBorder="1" applyAlignment="1">
      <alignment horizontal="center"/>
    </xf>
    <xf numFmtId="0" fontId="3" fillId="2" borderId="1" xfId="0" applyFont="1" applyFill="1" applyBorder="1"/>
    <xf numFmtId="0" fontId="0" fillId="0" borderId="0" xfId="0" quotePrefix="1"/>
    <xf numFmtId="0" fontId="2" fillId="3" borderId="10" xfId="0" applyFont="1" applyFill="1" applyBorder="1"/>
    <xf numFmtId="0" fontId="2" fillId="3" borderId="11" xfId="0" applyFont="1" applyFill="1" applyBorder="1"/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4" fillId="0" borderId="14" xfId="0" applyFont="1" applyBorder="1"/>
    <xf numFmtId="0" fontId="4" fillId="0" borderId="1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7" xfId="0" applyFont="1" applyFill="1" applyBorder="1"/>
    <xf numFmtId="0" fontId="2" fillId="3" borderId="12" xfId="0" applyFont="1" applyFill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/>
    <xf numFmtId="0" fontId="0" fillId="0" borderId="28" xfId="0" applyBorder="1"/>
    <xf numFmtId="0" fontId="12" fillId="0" borderId="0" xfId="0" applyFont="1"/>
    <xf numFmtId="0" fontId="13" fillId="0" borderId="0" xfId="0" applyFont="1"/>
    <xf numFmtId="0" fontId="13" fillId="4" borderId="1" xfId="0" applyFont="1" applyFill="1" applyBorder="1"/>
    <xf numFmtId="0" fontId="13" fillId="4" borderId="1" xfId="0" applyFont="1" applyFill="1" applyBorder="1" applyAlignment="1">
      <alignment wrapText="1"/>
    </xf>
    <xf numFmtId="0" fontId="0" fillId="5" borderId="0" xfId="0" applyFill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2" fillId="5" borderId="1" xfId="0" applyFont="1" applyFill="1" applyBorder="1"/>
    <xf numFmtId="0" fontId="12" fillId="5" borderId="1" xfId="0" applyFont="1" applyFill="1" applyBorder="1" applyAlignment="1">
      <alignment wrapText="1"/>
    </xf>
    <xf numFmtId="0" fontId="0" fillId="4" borderId="24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2" fillId="6" borderId="0" xfId="0" applyFont="1" applyFill="1"/>
    <xf numFmtId="0" fontId="0" fillId="3" borderId="29" xfId="0" applyFill="1" applyBorder="1"/>
    <xf numFmtId="0" fontId="0" fillId="0" borderId="18" xfId="0" applyBorder="1"/>
    <xf numFmtId="0" fontId="0" fillId="0" borderId="19" xfId="0" applyBorder="1"/>
    <xf numFmtId="0" fontId="0" fillId="0" borderId="30" xfId="0" applyBorder="1"/>
    <xf numFmtId="0" fontId="0" fillId="4" borderId="31" xfId="0" applyFill="1" applyBorder="1" applyAlignment="1">
      <alignment horizontal="center" wrapText="1"/>
    </xf>
    <xf numFmtId="0" fontId="12" fillId="0" borderId="30" xfId="0" applyFont="1" applyBorder="1"/>
    <xf numFmtId="0" fontId="0" fillId="0" borderId="32" xfId="0" applyBorder="1" applyAlignment="1">
      <alignment horizontal="center"/>
    </xf>
    <xf numFmtId="0" fontId="12" fillId="0" borderId="20" xfId="0" applyFont="1" applyBorder="1"/>
    <xf numFmtId="0" fontId="2" fillId="4" borderId="33" xfId="0" applyFont="1" applyFill="1" applyBorder="1"/>
    <xf numFmtId="0" fontId="2" fillId="4" borderId="34" xfId="0" applyFont="1" applyFill="1" applyBorder="1" applyAlignment="1">
      <alignment horizontal="center"/>
    </xf>
    <xf numFmtId="0" fontId="2" fillId="4" borderId="35" xfId="0" applyFont="1" applyFill="1" applyBorder="1" applyAlignment="1">
      <alignment horizontal="center"/>
    </xf>
    <xf numFmtId="0" fontId="0" fillId="4" borderId="32" xfId="0" applyFill="1" applyBorder="1" applyAlignment="1">
      <alignment horizontal="center" wrapText="1"/>
    </xf>
    <xf numFmtId="0" fontId="2" fillId="4" borderId="36" xfId="0" applyFont="1" applyFill="1" applyBorder="1" applyAlignment="1">
      <alignment horizontal="center"/>
    </xf>
    <xf numFmtId="0" fontId="0" fillId="4" borderId="21" xfId="0" applyFill="1" applyBorder="1"/>
    <xf numFmtId="0" fontId="0" fillId="0" borderId="22" xfId="0" applyBorder="1" applyAlignment="1">
      <alignment horizontal="center"/>
    </xf>
    <xf numFmtId="0" fontId="2" fillId="4" borderId="37" xfId="0" applyFont="1" applyFill="1" applyBorder="1" applyAlignment="1">
      <alignment horizontal="center"/>
    </xf>
    <xf numFmtId="0" fontId="2" fillId="4" borderId="38" xfId="0" applyFont="1" applyFill="1" applyBorder="1" applyAlignment="1">
      <alignment horizontal="center"/>
    </xf>
    <xf numFmtId="0" fontId="3" fillId="3" borderId="29" xfId="0" applyFont="1" applyFill="1" applyBorder="1"/>
    <xf numFmtId="0" fontId="12" fillId="0" borderId="39" xfId="0" applyFont="1" applyBorder="1"/>
    <xf numFmtId="0" fontId="4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" fillId="5" borderId="10" xfId="0" applyFont="1" applyFill="1" applyBorder="1"/>
    <xf numFmtId="0" fontId="2" fillId="5" borderId="11" xfId="0" applyFont="1" applyFill="1" applyBorder="1"/>
    <xf numFmtId="0" fontId="2" fillId="5" borderId="1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4" borderId="23" xfId="0" applyFont="1" applyFill="1" applyBorder="1"/>
    <xf numFmtId="0" fontId="2" fillId="7" borderId="23" xfId="0" applyFont="1" applyFill="1" applyBorder="1"/>
    <xf numFmtId="0" fontId="3" fillId="0" borderId="0" xfId="0" quotePrefix="1" applyFont="1"/>
    <xf numFmtId="0" fontId="2" fillId="8" borderId="23" xfId="0" applyFont="1" applyFill="1" applyBorder="1"/>
    <xf numFmtId="0" fontId="2" fillId="5" borderId="0" xfId="0" applyFont="1" applyFill="1" applyAlignment="1">
      <alignment horizontal="center"/>
    </xf>
    <xf numFmtId="0" fontId="3" fillId="3" borderId="0" xfId="0" applyFont="1" applyFill="1"/>
    <xf numFmtId="0" fontId="0" fillId="3" borderId="0" xfId="0" applyFill="1"/>
    <xf numFmtId="0" fontId="0" fillId="3" borderId="6" xfId="0" applyFill="1" applyBorder="1" applyAlignment="1">
      <alignment horizontal="center"/>
    </xf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9" fillId="0" borderId="0" xfId="0" quotePrefix="1" applyFont="1"/>
    <xf numFmtId="0" fontId="7" fillId="0" borderId="0" xfId="0" applyFont="1" applyAlignment="1">
      <alignment horizontal="left" vertical="center" wrapText="1"/>
    </xf>
    <xf numFmtId="0" fontId="0" fillId="0" borderId="24" xfId="0" pivotButton="1" applyBorder="1"/>
    <xf numFmtId="0" fontId="0" fillId="0" borderId="48" xfId="0" applyBorder="1"/>
    <xf numFmtId="0" fontId="0" fillId="0" borderId="49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39" xfId="0" applyBorder="1"/>
    <xf numFmtId="0" fontId="0" fillId="0" borderId="27" xfId="0" pivotButton="1" applyBorder="1"/>
    <xf numFmtId="0" fontId="15" fillId="0" borderId="27" xfId="0" pivotButton="1" applyFont="1" applyBorder="1"/>
    <xf numFmtId="0" fontId="15" fillId="0" borderId="27" xfId="0" applyFont="1" applyBorder="1"/>
    <xf numFmtId="0" fontId="15" fillId="0" borderId="24" xfId="0" pivotButton="1" applyFont="1" applyBorder="1"/>
    <xf numFmtId="0" fontId="15" fillId="0" borderId="48" xfId="0" applyFont="1" applyBorder="1"/>
    <xf numFmtId="0" fontId="15" fillId="0" borderId="49" xfId="0" applyFont="1" applyBorder="1"/>
    <xf numFmtId="0" fontId="15" fillId="0" borderId="24" xfId="0" applyFont="1" applyBorder="1"/>
    <xf numFmtId="0" fontId="15" fillId="0" borderId="25" xfId="0" applyFont="1" applyBorder="1"/>
    <xf numFmtId="0" fontId="15" fillId="0" borderId="28" xfId="0" applyFont="1" applyBorder="1"/>
    <xf numFmtId="0" fontId="15" fillId="0" borderId="26" xfId="0" applyFont="1" applyBorder="1"/>
    <xf numFmtId="0" fontId="15" fillId="0" borderId="39" xfId="0" applyFont="1" applyBorder="1"/>
    <xf numFmtId="0" fontId="15" fillId="9" borderId="27" xfId="0" applyFont="1" applyFill="1" applyBorder="1"/>
    <xf numFmtId="0" fontId="15" fillId="0" borderId="24" xfId="0" applyFont="1" applyBorder="1" applyAlignment="1">
      <alignment horizontal="center" wrapText="1"/>
    </xf>
    <xf numFmtId="0" fontId="15" fillId="0" borderId="25" xfId="0" applyFont="1" applyBorder="1" applyAlignment="1">
      <alignment horizontal="center" wrapText="1"/>
    </xf>
    <xf numFmtId="0" fontId="15" fillId="0" borderId="28" xfId="0" applyFont="1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166" fontId="7" fillId="0" borderId="0" xfId="0" applyNumberFormat="1" applyFont="1" applyAlignment="1">
      <alignment horizontal="right" vertical="center" wrapText="1"/>
    </xf>
    <xf numFmtId="4" fontId="7" fillId="0" borderId="0" xfId="0" applyNumberFormat="1" applyFont="1" applyAlignment="1">
      <alignment horizontal="right" vertical="center" wrapText="1"/>
    </xf>
    <xf numFmtId="0" fontId="0" fillId="0" borderId="50" xfId="0" applyBorder="1"/>
    <xf numFmtId="0" fontId="0" fillId="0" borderId="51" xfId="0" applyBorder="1"/>
    <xf numFmtId="0" fontId="15" fillId="0" borderId="0" xfId="0" applyFont="1"/>
    <xf numFmtId="0" fontId="15" fillId="0" borderId="50" xfId="0" applyFont="1" applyBorder="1"/>
    <xf numFmtId="0" fontId="15" fillId="0" borderId="51" xfId="0" applyFont="1" applyBorder="1"/>
  </cellXfs>
  <cellStyles count="4">
    <cellStyle name="Migliaia (0)_2002" xfId="1" xr:uid="{4AD883AF-15CC-404C-B89A-B28A21E80A95}"/>
    <cellStyle name="Normal" xfId="0" builtinId="0"/>
    <cellStyle name="Normale 2" xfId="2" xr:uid="{8AC92A95-E26B-438C-9E91-89FBFA0352E4}"/>
    <cellStyle name="Valuta (0)_2002" xfId="3" xr:uid="{CA4D1469-B2EB-4827-A159-47C32F37A0E1}"/>
  </cellStyles>
  <dxfs count="30">
    <dxf>
      <font>
        <color rgb="FF9C0006"/>
      </font>
      <fill>
        <patternFill>
          <bgColor rgb="FFFFC7CE"/>
        </patternFill>
      </fill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fill>
        <patternFill patternType="solid">
          <bgColor rgb="FF92D050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ill>
        <patternFill patternType="solid">
          <bgColor rgb="FF92D050"/>
        </patternFill>
      </fill>
    </dxf>
    <dxf>
      <font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ill>
        <patternFill patternType="solid">
          <bgColor rgb="FF92D050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olo Cinzia" refreshedDate="46052.718348958333" createdVersion="8" refreshedVersion="8" minRefreshableVersion="3" recordCount="776" xr:uid="{7F16A30F-FE43-4573-95DC-7DE2A10C4D7A}">
  <cacheSource type="worksheet">
    <worksheetSource ref="A1:BD1048576" sheet="DB"/>
  </cacheSource>
  <cacheFields count="57">
    <cacheField name="Codice azienda" numFmtId="0">
      <sharedItems containsString="0" containsBlank="1" containsNumber="1" containsInteger="1" minValue="15" maxValue="4015" count="8">
        <n v="15"/>
        <n v="28"/>
        <n v="35"/>
        <n v="1010"/>
        <n v="2015"/>
        <n v="2028"/>
        <n v="4015"/>
        <m/>
      </sharedItems>
    </cacheField>
    <cacheField name="Codice dipendente" numFmtId="0">
      <sharedItems containsString="0" containsBlank="1" containsNumber="1" containsInteger="1" minValue="1" maxValue="3169"/>
    </cacheField>
    <cacheField name="Azienda" numFmtId="0">
      <sharedItems containsBlank="1" count="7">
        <s v="IL SOLE 24 ORE S.P.A.                   "/>
        <s v="24 ORE CULTURA S.R.L.                   "/>
        <s v="IL SOLE 24 ORE EVENTI S.R.L.            "/>
        <s v="STAGE SOLE                              "/>
        <s v="IL SOLE 24 ORE SPA                      "/>
        <s v="COLLABORATORI 24ORE CULTURA             "/>
        <m/>
      </sharedItems>
    </cacheField>
    <cacheField name="Codice struttura - livello 1" numFmtId="0">
      <sharedItems containsBlank="1"/>
    </cacheField>
    <cacheField name="Descrizione struttura - livello 1" numFmtId="0">
      <sharedItems containsBlank="1"/>
    </cacheField>
    <cacheField name="Codice struttura - livello 2" numFmtId="0">
      <sharedItems containsBlank="1" count="58">
        <s v="A01 "/>
        <s v="A04 "/>
        <s v="B03 "/>
        <s v="B04 "/>
        <s v="B05 "/>
        <s v="B06 "/>
        <s v="D02 "/>
        <s v="D03 "/>
        <s v="D06 "/>
        <s v="D07 "/>
        <s v="D09 "/>
        <s v="D10 "/>
        <s v="D11 "/>
        <s v="E03 "/>
        <s v="E04 "/>
        <s v="E05 "/>
        <s v="E06 "/>
        <s v="E07 "/>
        <s v="E08 "/>
        <s v="E11 "/>
        <s v="F02 "/>
        <s v="F09 "/>
        <s v="F11 "/>
        <s v="G01 "/>
        <s v="G02 "/>
        <s v="G03 "/>
        <s v="G05 "/>
        <s v="G08 "/>
        <s v="H01 "/>
        <s v="H02 "/>
        <s v="H03 "/>
        <s v="H04 "/>
        <s v="H05 "/>
        <s v="H06 "/>
        <s v="H09 "/>
        <s v="H10 "/>
        <s v="I01 "/>
        <s v="K03 "/>
        <s v="K04 "/>
        <s v="K08 "/>
        <s v="K09 "/>
        <s v="K10 "/>
        <s v="L01 "/>
        <s v="L02 "/>
        <s v="L03 "/>
        <s v="L04 "/>
        <s v="L05 "/>
        <s v="L06 "/>
        <s v="L07 "/>
        <s v="L09 "/>
        <s v="Q01 "/>
        <s v="R01 "/>
        <s v="T01 "/>
        <s v="W01 "/>
        <s v="U01 "/>
        <s v="    "/>
        <s v="K07 "/>
        <m/>
      </sharedItems>
    </cacheField>
    <cacheField name="Descrizione struttura - livello 2" numFmtId="0">
      <sharedItems containsBlank="1" count="54">
        <s v="CORPORATE"/>
        <s v="INTERNAL AUDITING"/>
        <s v="MARKETING RADI0 24"/>
        <s v="AREA TECNICI E REGIA"/>
        <s v="PRODUZIONE"/>
        <s v="EVENTI RADIO 24"/>
        <s v="SVILUPPO DIGITALE E MARKETING EDITORIALE"/>
        <s v="OPERATIONS DG P&amp;D"/>
        <s v="POLITICHE COMMERCIALI, DIFF. E LOGISTICA"/>
        <s v="VENDITE ABBONAMENTI E RINNOVI"/>
        <s v="E-COMMERCE"/>
        <s v="DIGITAL MARKETING ADVERTISING"/>
        <s v="FINANZA E TESORERIA"/>
        <s v="PIANIFICAZIONE E CONTROLLO"/>
        <s v="NORME,PROCESSI E SISTEMI AMMINISTRATIVI"/>
        <s v="INVESTOR RELATIONS"/>
        <s v="AMMINISTRAZIONE E BILANCIO"/>
        <s v="FISCALITA'"/>
        <s v="AMMINISTRAZIONE VENDITE"/>
        <s v="DIREZIONE PERSONALE"/>
        <s v="SERVIZI GENERALI SICUREZZA E AMBIENTE"/>
        <s v="PERSONALE GIORNALISTI, RADIO E CULTURA"/>
        <s v="DIR INFORMATION TECHNOLOGY"/>
        <s v="SISTEMI INFORMATICI GESTIONALI"/>
        <s v="IT OPERATIONS &amp; INFRASTRUCTURE"/>
        <s v="TECNOLOGIE DI PRODOTTO"/>
        <s v="BUSINESS DATA MANAGEMENT"/>
        <s v="DG SERVIZI PROFESSIONALI E FORMAZIONE"/>
        <s v="OPERATIONS E CUSTOMER ENGAGEMENT"/>
        <s v="DIR.COM. SERVIZI PROF. E FORMAZIONE"/>
        <s v="AREA FISCO LAVORO"/>
        <s v="MARKETING SERVIZI PROF. E FORMAZIONE"/>
        <s v="AREA LEGALE E MERCATI DI SVILUPPO"/>
        <s v="AREA FINANCIAL SERVICES &amp; PATNERSHIP B2B"/>
        <s v="AREA PARTNER 24 ORE E COMMUNITY DEVELOP."/>
        <s v="AFFARI LEGALI E SOCIETARI"/>
        <s v="QUOTIDIANO"/>
        <s v="RADIO 24"/>
        <s v="HOW TO SPEND IT"/>
        <s v="RCO+"/>
        <s v="24 ORE NEXT MED"/>
        <s v="DG SYSTEM 24"/>
        <s v="SALES SUPPORT &amp; OPERATIONS"/>
        <s v="MARKETING E BRAND CONNECT"/>
        <s v="DIREZIONE COMMERCIALE STAMPA E PA"/>
        <s v="DIREZIONE COMMERCIALE CENTRI MEDIA"/>
        <s v="COMUNICAZIONE E RELAZIONI ESTERNE"/>
        <s v="BUSINESS DEVELOPMENT - RADIOCOR"/>
        <s v="PROCUREMENT"/>
        <s v="24 ORE CULTURA"/>
        <s v="24 ORE EVENTI"/>
        <s v=""/>
        <s v="ALTRE TESTATE"/>
        <m/>
      </sharedItems>
    </cacheField>
    <cacheField name="Codice centro di costo" numFmtId="0">
      <sharedItems containsBlank="1"/>
    </cacheField>
    <cacheField name="Descrizione centro di costo" numFmtId="0">
      <sharedItems containsBlank="1"/>
    </cacheField>
    <cacheField name="Cognome" numFmtId="0">
      <sharedItems containsBlank="1"/>
    </cacheField>
    <cacheField name="Nome" numFmtId="0">
      <sharedItems containsBlank="1"/>
    </cacheField>
    <cacheField name="Codice Fiscale" numFmtId="0">
      <sharedItems containsBlank="1"/>
    </cacheField>
    <cacheField name="Sesso" numFmtId="0">
      <sharedItems containsBlank="1" count="3">
        <s v="F"/>
        <s v="M"/>
        <m/>
      </sharedItems>
    </cacheField>
    <cacheField name="Codice sede" numFmtId="0">
      <sharedItems containsBlank="1"/>
    </cacheField>
    <cacheField name="Descrizione sede" numFmtId="0">
      <sharedItems containsBlank="1" count="13">
        <s v="VIALE SARCA 223 - MILANO (MI)"/>
        <s v="PIAZZA INDIPENDENZA 23 B/C - ROMA (RM)"/>
        <s v="VIA LUIGI BOCCHERINI 15 - ROMA (RM)"/>
        <s v="VIA SOLTERI 38 - TRENTO (TN)"/>
        <s v="VIA ALESSANDRO VOLTA 44 - PALERMO (PA)"/>
        <s v="VIALE IV NOVEMBRE 6 - GENOVA (GE)"/>
        <s v="VIA ALESSANDRO POERIO 24 - VENEZIA (VE)"/>
        <s v="VIA GIUSEPPE GIACOSA 38 - TORINO (TO)"/>
        <s v="PIAZZA DEI MARTIRI 58 - NAPOLI (NA)"/>
        <s v="VIA TORTONA 56 - MILANO (MI)"/>
        <s v="DOMICILIO COLLABORATORE  -  ()"/>
        <s v="DOMICILIO DEL LAVORATORE  -  ()"/>
        <m/>
      </sharedItems>
    </cacheField>
    <cacheField name="Decorrenza sede" numFmtId="0">
      <sharedItems containsBlank="1"/>
    </cacheField>
    <cacheField name="Comune sede" numFmtId="0">
      <sharedItems containsBlank="1"/>
    </cacheField>
    <cacheField name="Codice contratto" numFmtId="0">
      <sharedItems containsBlank="1" count="9">
        <s v="21"/>
        <s v="90"/>
        <s v="RR"/>
        <s v="25"/>
        <s v="85"/>
        <s v="81"/>
        <s v="83"/>
        <s v="82"/>
        <m/>
      </sharedItems>
    </cacheField>
    <cacheField name="Descrizione contratto" numFmtId="0">
      <sharedItems containsBlank="1" count="9">
        <s v="21_IND.GRAFICI EDIT.090 G011"/>
        <s v="90_DIR.INDUSTRIA    063 V012"/>
        <s v="RR_RADIOTV P.(RADIO)072 G091"/>
        <s v="25_POLIGRAFICI      085 G041"/>
        <s v="85_GIORNALISTI      086 G031"/>
        <s v="81_BORSISTI/STAGE   CD"/>
        <s v="83_COLLABORAT./SOCI CD"/>
        <s v="82_NON DIPENDENTI"/>
        <m/>
      </sharedItems>
    </cacheField>
    <cacheField name="Codice Qualifica" numFmtId="0">
      <sharedItems containsBlank="1"/>
    </cacheField>
    <cacheField name="Descrizione qualifica" numFmtId="0">
      <sharedItems containsBlank="1" count="10">
        <s v="IMPIEGATO      I"/>
        <s v="DIRIGENTE      D"/>
        <s v="QUADRO         F"/>
        <s v="GIORNALISTA    G"/>
        <s v="PRATICANTE     T"/>
        <s v="BORSISTA/STAGE B"/>
        <s v="COLLABORATORE  C"/>
        <s v="AUTONOMO       S"/>
        <s v="NON DIPENDENTE Z"/>
        <m/>
      </sharedItems>
    </cacheField>
    <cacheField name="Codice livello" numFmtId="0">
      <sharedItems containsBlank="1"/>
    </cacheField>
    <cacheField name="Descrizione livello" numFmtId="0">
      <sharedItems containsBlank="1" count="36">
        <s v="A LIV. IMPIEGATO              "/>
        <s v="DIRIGENTE INDUSTRIA           "/>
        <s v="6Q LIV. QUADRO                "/>
        <s v="4^  LIV. IMPIEGATO            "/>
        <s v="5^  LIV. IMPIEGATO            "/>
        <s v="3^  LIV. IMPIEGATO            "/>
        <s v="2^  LIV. IMPIEGATO            "/>
        <s v="AS LIV. IMPIEGATO             "/>
        <s v="Q LIV. QUADRI                 "/>
        <s v="B3 LIV. IMPIEGATO             "/>
        <s v="B1 LIV. IMPIEGATO             "/>
        <s v="B1S LIV. IMPIEGATO            "/>
        <s v="7 LIV. IMPIEGATO              "/>
        <s v="8 LIV. IMPIEGATO              "/>
        <s v="9 LIV. IMPIEGATO              "/>
        <s v="6 LIV. IMPIEGATO              "/>
        <s v="10 LIV. QUADRO                "/>
        <s v="B2 LIV. IMPIEGATO             "/>
        <s v="CS CAPO SERVIZIO              "/>
        <s v="AV VICE DIRETTORE             "/>
        <s v="A DIRETTORE                   "/>
        <s v="RM2 REDATTORE MAGG. 30 MM     "/>
        <s v="CSV VICE CAPO SERVIZIO        "/>
        <s v="CRV VICE CAPO REDATTORE       "/>
        <s v="CR CAPO REDATTORE             "/>
        <s v="RE REDATTORE ESPERTO          "/>
        <s v="T1 COLLABORATORE FISSO 8      "/>
        <s v="RP2 REDATTORE MINORE 30 MM    "/>
        <s v="PM2 PRATICANTE MAGG. 12 MM    "/>
        <s v="CSR REDATTORE SENIOR          "/>
        <s v="C1 LIV. IMPIEGATO             "/>
        <s v="STAGE                         "/>
        <s v="COLLABORATORE                 "/>
        <s v="AUTONOMO                      "/>
        <s v="INTERINALE                    "/>
        <m/>
      </sharedItems>
    </cacheField>
    <cacheField name="Data assunzione" numFmtId="0">
      <sharedItems containsBlank="1"/>
    </cacheField>
    <cacheField name="Data di assunzione nel gruppo" numFmtId="0">
      <sharedItems containsBlank="1"/>
    </cacheField>
    <cacheField name="Data di nascita" numFmtId="0">
      <sharedItems containsBlank="1"/>
    </cacheField>
    <cacheField name="Codice posizione lavorativa" numFmtId="0">
      <sharedItems containsBlank="1"/>
    </cacheField>
    <cacheField name="Descrizione posizione lavorativa" numFmtId="0">
      <sharedItems containsBlank="1"/>
    </cacheField>
    <cacheField name="Descrizione causale assunzione" numFmtId="0">
      <sharedItems containsBlank="1"/>
    </cacheField>
    <cacheField name="Data scadenza posizione lavorativa" numFmtId="0">
      <sharedItems containsBlank="1"/>
    </cacheField>
    <cacheField name="Tipologia Contratto a Termine" numFmtId="0">
      <sharedItems containsBlank="1"/>
    </cacheField>
    <cacheField name="Data Scadenza Contratto a Termine" numFmtId="0">
      <sharedItems containsBlank="1"/>
    </cacheField>
    <cacheField name="Data cessazione" numFmtId="0">
      <sharedItems containsBlank="1"/>
    </cacheField>
    <cacheField name="Matricola" numFmtId="0">
      <sharedItems containsString="0" containsBlank="1" containsNumber="1" containsInteger="1" minValue="0" maxValue="3169"/>
    </cacheField>
    <cacheField name="Codice part-time" numFmtId="0">
      <sharedItems containsBlank="1"/>
    </cacheField>
    <cacheField name="300 - % Ptime" numFmtId="0">
      <sharedItems containsString="0" containsBlank="1" containsNumber="1" minValue="50" maxValue="100"/>
    </cacheField>
    <cacheField name="Descrizione part-time" numFmtId="0">
      <sharedItems containsBlank="1"/>
    </cacheField>
    <cacheField name="Data decorrenza part-time" numFmtId="0">
      <sharedItems containsBlank="1"/>
    </cacheField>
    <cacheField name="Data scadenza part-time" numFmtId="0">
      <sharedItems containsBlank="1"/>
    </cacheField>
    <cacheField name="Codice categoria protetta" numFmtId="0">
      <sharedItems containsBlank="1"/>
    </cacheField>
    <cacheField name="Descrizione Categoria Protetta" numFmtId="0">
      <sharedItems containsBlank="1"/>
    </cacheField>
    <cacheField name="Azienda di provenienza" numFmtId="0">
      <sharedItems containsBlank="1"/>
    </cacheField>
    <cacheField name="Codice struttura - livello 3" numFmtId="0">
      <sharedItems containsBlank="1"/>
    </cacheField>
    <cacheField name="Descrizione struttura - livello 3" numFmtId="0">
      <sharedItems containsBlank="1" count="24">
        <s v=""/>
        <s v="VICE DIRETTORI"/>
        <s v="DIRETTORE"/>
        <s v="REDAZIONI ITALIA"/>
        <s v="REDAZIONI ESTERE"/>
        <s v="FINANZA E MERCATI"/>
        <s v="LUNEDI"/>
        <s v="GRAFICI"/>
        <s v="DOMENICA"/>
        <s v="REDAZIONE ROMA"/>
        <s v="ECONOMIA E IMPRESE"/>
        <s v="IMPRESA E TERRITORI"/>
        <s v="INVIATI"/>
        <s v="RAPPORTI24"/>
        <s v="NORME E TRIBUTI"/>
        <s v="ESTERI EUROPA-MONDO"/>
        <s v="PLUS24"/>
        <s v="CAPOREDAZIONE"/>
        <s v="MODA24"/>
        <s v="COMMENTI E INCHIESTE"/>
        <s v="CASA24 PLUS"/>
        <s v="NOVA24"/>
        <s v="ONLINE"/>
        <m/>
      </sharedItems>
    </cacheField>
    <cacheField name="Sindacato" numFmtId="0">
      <sharedItems containsBlank="1"/>
    </cacheField>
    <cacheField name="INDIRIZZO EMAIL" numFmtId="0">
      <sharedItems containsBlank="1"/>
    </cacheField>
    <cacheField name="0005-Timbra/Firma" numFmtId="0">
      <sharedItems containsBlank="1"/>
    </cacheField>
    <cacheField name="Descrizione 0005-Timbra/Firma" numFmtId="0">
      <sharedItems containsBlank="1"/>
    </cacheField>
    <cacheField name="0015-Tipo orario" numFmtId="0">
      <sharedItems containsBlank="1"/>
    </cacheField>
    <cacheField name="Descrizione 0015-Tipo orario" numFmtId="0">
      <sharedItems containsBlank="1"/>
    </cacheField>
    <cacheField name="Data decorrenza smart working" numFmtId="0">
      <sharedItems containsBlank="1"/>
    </cacheField>
    <cacheField name="Descrizione tipologia smart working" numFmtId="0">
      <sharedItems containsBlank="1"/>
    </cacheField>
    <cacheField name="Data scadenza smart working" numFmtId="0">
      <sharedItems containsBlank="1"/>
    </cacheField>
    <cacheField name="Primo responsabile" numFmtId="0">
      <sharedItems containsBlank="1"/>
    </cacheField>
    <cacheField name="Descrizione primo responsabile" numFmtId="0">
      <sharedItems containsBlank="1"/>
    </cacheField>
    <cacheField name="v.439-Età" numFmtId="0">
      <sharedItems containsString="0" containsBlank="1" containsNumber="1" containsInteger="1" minValue="22" maxValue="77"/>
    </cacheField>
    <cacheField name="Cittadinanz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olo Cinzia" refreshedDate="46052.718509837963" createdVersion="8" refreshedVersion="8" recordCount="776" xr:uid="{D52B7064-8947-4785-85A0-F7A5871922AA}">
  <cacheSource type="worksheet">
    <worksheetSource ref="A1:BC65530" sheet="DB"/>
  </cacheSource>
  <cacheFields count="56">
    <cacheField name="Codice azienda" numFmtId="0">
      <sharedItems containsString="0" containsBlank="1" containsNumber="1" containsInteger="1" minValue="15" maxValue="4015" count="9">
        <n v="15"/>
        <n v="28"/>
        <n v="35"/>
        <n v="1010"/>
        <n v="2015"/>
        <n v="2028"/>
        <n v="4015"/>
        <m/>
        <n v="2035" u="1"/>
      </sharedItems>
    </cacheField>
    <cacheField name="Codice dipendente" numFmtId="0">
      <sharedItems containsString="0" containsBlank="1" containsNumber="1" containsInteger="1" minValue="1" maxValue="3169"/>
    </cacheField>
    <cacheField name="Azienda" numFmtId="0">
      <sharedItems containsBlank="1"/>
    </cacheField>
    <cacheField name="Codice struttura - livello 1" numFmtId="0">
      <sharedItems containsBlank="1"/>
    </cacheField>
    <cacheField name="Descrizione struttura - livello 1" numFmtId="0">
      <sharedItems containsBlank="1"/>
    </cacheField>
    <cacheField name="Codice struttura - livello 2" numFmtId="0">
      <sharedItems containsBlank="1"/>
    </cacheField>
    <cacheField name="Descrizione struttura - livello 2" numFmtId="0">
      <sharedItems containsBlank="1" count="55">
        <s v="CORPORATE"/>
        <s v="INTERNAL AUDITING"/>
        <s v="MARKETING RADI0 24"/>
        <s v="AREA TECNICI E REGIA"/>
        <s v="PRODUZIONE"/>
        <s v="EVENTI RADIO 24"/>
        <s v="SVILUPPO DIGITALE E MARKETING EDITORIALE"/>
        <s v="OPERATIONS DG P&amp;D"/>
        <s v="POLITICHE COMMERCIALI, DIFF. E LOGISTICA"/>
        <s v="VENDITE ABBONAMENTI E RINNOVI"/>
        <s v="E-COMMERCE"/>
        <s v="DIGITAL MARKETING ADVERTISING"/>
        <s v="FINANZA E TESORERIA"/>
        <s v="PIANIFICAZIONE E CONTROLLO"/>
        <s v="NORME,PROCESSI E SISTEMI AMMINISTRATIVI"/>
        <s v="INVESTOR RELATIONS"/>
        <s v="AMMINISTRAZIONE E BILANCIO"/>
        <s v="FISCALITA'"/>
        <s v="AMMINISTRAZIONE VENDITE"/>
        <s v="DIREZIONE PERSONALE"/>
        <s v="SERVIZI GENERALI SICUREZZA E AMBIENTE"/>
        <s v="PERSONALE GIORNALISTI, RADIO E CULTURA"/>
        <s v="DIR INFORMATION TECHNOLOGY"/>
        <s v="SISTEMI INFORMATICI GESTIONALI"/>
        <s v="IT OPERATIONS &amp; INFRASTRUCTURE"/>
        <s v="TECNOLOGIE DI PRODOTTO"/>
        <s v="BUSINESS DATA MANAGEMENT"/>
        <s v="DG SERVIZI PROFESSIONALI E FORMAZIONE"/>
        <s v="OPERATIONS E CUSTOMER ENGAGEMENT"/>
        <s v="DIR.COM. SERVIZI PROF. E FORMAZIONE"/>
        <s v="AREA FISCO LAVORO"/>
        <s v="MARKETING SERVIZI PROF. E FORMAZIONE"/>
        <s v="AREA LEGALE E MERCATI DI SVILUPPO"/>
        <s v="AREA FINANCIAL SERVICES &amp; PATNERSHIP B2B"/>
        <s v="AREA PARTNER 24 ORE E COMMUNITY DEVELOP."/>
        <s v="AFFARI LEGALI E SOCIETARI"/>
        <s v="QUOTIDIANO"/>
        <s v="RADIO 24"/>
        <s v="HOW TO SPEND IT"/>
        <s v="RCO+"/>
        <s v="24 ORE NEXT MED"/>
        <s v="DG SYSTEM 24"/>
        <s v="SALES SUPPORT &amp; OPERATIONS"/>
        <s v="MARKETING E BRAND CONNECT"/>
        <s v="DIREZIONE COMMERCIALE STAMPA E PA"/>
        <s v="DIREZIONE COMMERCIALE CENTRI MEDIA"/>
        <s v="COMUNICAZIONE E RELAZIONI ESTERNE"/>
        <s v="BUSINESS DEVELOPMENT - RADIOCOR"/>
        <s v="PROCUREMENT"/>
        <s v="24 ORE CULTURA"/>
        <s v="24 ORE EVENTI"/>
        <s v=""/>
        <s v="ALTRE TESTATE"/>
        <m/>
        <s v="DIR CENTRALE PERSONALE, ORGANIZZA E SOST" u="1"/>
      </sharedItems>
    </cacheField>
    <cacheField name="Codice centro di costo" numFmtId="0">
      <sharedItems containsBlank="1"/>
    </cacheField>
    <cacheField name="Descrizione centro di costo" numFmtId="0">
      <sharedItems containsBlank="1"/>
    </cacheField>
    <cacheField name="Cognome" numFmtId="0">
      <sharedItems containsBlank="1"/>
    </cacheField>
    <cacheField name="Nome" numFmtId="0">
      <sharedItems containsBlank="1"/>
    </cacheField>
    <cacheField name="Codice Fiscale" numFmtId="0">
      <sharedItems containsBlank="1"/>
    </cacheField>
    <cacheField name="Sesso" numFmtId="0">
      <sharedItems containsBlank="1" count="3">
        <s v="F"/>
        <s v="M"/>
        <m/>
      </sharedItems>
    </cacheField>
    <cacheField name="Codice sede" numFmtId="0">
      <sharedItems containsBlank="1"/>
    </cacheField>
    <cacheField name="Descrizione sede" numFmtId="0">
      <sharedItems containsBlank="1" count="14">
        <s v="VIALE SARCA 223 - MILANO (MI)"/>
        <s v="PIAZZA INDIPENDENZA 23 B/C - ROMA (RM)"/>
        <s v="VIA LUIGI BOCCHERINI 15 - ROMA (RM)"/>
        <s v="VIA SOLTERI 38 - TRENTO (TN)"/>
        <s v="VIA ALESSANDRO VOLTA 44 - PALERMO (PA)"/>
        <s v="VIALE IV NOVEMBRE 6 - GENOVA (GE)"/>
        <s v="VIA ALESSANDRO POERIO 24 - VENEZIA (VE)"/>
        <s v="VIA GIUSEPPE GIACOSA 38 - TORINO (TO)"/>
        <s v="PIAZZA DEI MARTIRI 58 - NAPOLI (NA)"/>
        <s v="VIA TORTONA 56 - MILANO (MI)"/>
        <s v="DOMICILIO COLLABORATORE  -  ()"/>
        <s v="DOMICILIO DEL LAVORATORE  -  ()"/>
        <m/>
        <s v="VIA NIZZA 142 - ROMA (RM)" u="1"/>
      </sharedItems>
    </cacheField>
    <cacheField name="Decorrenza sede" numFmtId="0">
      <sharedItems containsBlank="1"/>
    </cacheField>
    <cacheField name="Comune sede" numFmtId="0">
      <sharedItems containsBlank="1"/>
    </cacheField>
    <cacheField name="Codice contratto" numFmtId="0">
      <sharedItems containsBlank="1"/>
    </cacheField>
    <cacheField name="Descrizione contratto" numFmtId="0">
      <sharedItems containsBlank="1" count="9">
        <s v="21_IND.GRAFICI EDIT.090 G011"/>
        <s v="90_DIR.INDUSTRIA    063 V012"/>
        <s v="RR_RADIOTV P.(RADIO)072 G091"/>
        <s v="25_POLIGRAFICI      085 G041"/>
        <s v="85_GIORNALISTI      086 G031"/>
        <s v="81_BORSISTI/STAGE   CD"/>
        <s v="83_COLLABORAT./SOCI CD"/>
        <s v="82_NON DIPENDENTI"/>
        <m/>
      </sharedItems>
    </cacheField>
    <cacheField name="Codice Qualifica" numFmtId="0">
      <sharedItems containsBlank="1"/>
    </cacheField>
    <cacheField name="Descrizione qualifica" numFmtId="0">
      <sharedItems containsBlank="1" count="10">
        <s v="IMPIEGATO      I"/>
        <s v="DIRIGENTE      D"/>
        <s v="QUADRO         F"/>
        <s v="GIORNALISTA    G"/>
        <s v="PRATICANTE     T"/>
        <s v="BORSISTA/STAGE B"/>
        <s v="COLLABORATORE  C"/>
        <s v="AUTONOMO       S"/>
        <s v="NON DIPENDENTE Z"/>
        <m/>
      </sharedItems>
    </cacheField>
    <cacheField name="Codice livello" numFmtId="0">
      <sharedItems containsBlank="1"/>
    </cacheField>
    <cacheField name="Descrizione livello" numFmtId="0">
      <sharedItems containsBlank="1"/>
    </cacheField>
    <cacheField name="Data assunzione" numFmtId="0">
      <sharedItems containsBlank="1"/>
    </cacheField>
    <cacheField name="Data di assunzione nel gruppo" numFmtId="0">
      <sharedItems containsBlank="1"/>
    </cacheField>
    <cacheField name="Data di nascita" numFmtId="0">
      <sharedItems containsBlank="1"/>
    </cacheField>
    <cacheField name="Codice posizione lavorativa" numFmtId="0">
      <sharedItems containsBlank="1"/>
    </cacheField>
    <cacheField name="Descrizione posizione lavorativa" numFmtId="0">
      <sharedItems containsBlank="1"/>
    </cacheField>
    <cacheField name="Descrizione causale assunzione" numFmtId="0">
      <sharedItems containsBlank="1"/>
    </cacheField>
    <cacheField name="Data scadenza posizione lavorativa" numFmtId="0">
      <sharedItems containsBlank="1"/>
    </cacheField>
    <cacheField name="Tipologia Contratto a Termine" numFmtId="0">
      <sharedItems containsBlank="1"/>
    </cacheField>
    <cacheField name="Data Scadenza Contratto a Termine" numFmtId="0">
      <sharedItems containsBlank="1"/>
    </cacheField>
    <cacheField name="Data cessazione" numFmtId="0">
      <sharedItems containsBlank="1"/>
    </cacheField>
    <cacheField name="Matricola" numFmtId="0">
      <sharedItems containsString="0" containsBlank="1" containsNumber="1" containsInteger="1" minValue="0" maxValue="3169"/>
    </cacheField>
    <cacheField name="Codice part-time" numFmtId="0">
      <sharedItems containsBlank="1"/>
    </cacheField>
    <cacheField name="300 - % Ptime" numFmtId="0">
      <sharedItems containsString="0" containsBlank="1" containsNumber="1" minValue="50" maxValue="100"/>
    </cacheField>
    <cacheField name="Descrizione part-time" numFmtId="0">
      <sharedItems containsBlank="1"/>
    </cacheField>
    <cacheField name="Data decorrenza part-time" numFmtId="0">
      <sharedItems containsBlank="1"/>
    </cacheField>
    <cacheField name="Data scadenza part-time" numFmtId="0">
      <sharedItems containsBlank="1"/>
    </cacheField>
    <cacheField name="Codice categoria protetta" numFmtId="0">
      <sharedItems containsBlank="1"/>
    </cacheField>
    <cacheField name="Descrizione Categoria Protetta" numFmtId="0">
      <sharedItems containsBlank="1"/>
    </cacheField>
    <cacheField name="Azienda di provenienza" numFmtId="0">
      <sharedItems containsBlank="1"/>
    </cacheField>
    <cacheField name="Codice struttura - livello 3" numFmtId="0">
      <sharedItems containsBlank="1"/>
    </cacheField>
    <cacheField name="Descrizione struttura - livello 3" numFmtId="0">
      <sharedItems containsBlank="1"/>
    </cacheField>
    <cacheField name="Sindacato" numFmtId="0">
      <sharedItems containsBlank="1"/>
    </cacheField>
    <cacheField name="INDIRIZZO EMAIL" numFmtId="0">
      <sharedItems containsBlank="1"/>
    </cacheField>
    <cacheField name="0005-Timbra/Firma" numFmtId="0">
      <sharedItems containsBlank="1"/>
    </cacheField>
    <cacheField name="Descrizione 0005-Timbra/Firma" numFmtId="0">
      <sharedItems containsBlank="1"/>
    </cacheField>
    <cacheField name="0015-Tipo orario" numFmtId="0">
      <sharedItems containsBlank="1"/>
    </cacheField>
    <cacheField name="Descrizione 0015-Tipo orario" numFmtId="0">
      <sharedItems containsBlank="1"/>
    </cacheField>
    <cacheField name="Data decorrenza smart working" numFmtId="0">
      <sharedItems containsBlank="1"/>
    </cacheField>
    <cacheField name="Descrizione tipologia smart working" numFmtId="0">
      <sharedItems containsBlank="1"/>
    </cacheField>
    <cacheField name="Data scadenza smart working" numFmtId="0">
      <sharedItems containsBlank="1"/>
    </cacheField>
    <cacheField name="Primo responsabile" numFmtId="0">
      <sharedItems containsBlank="1"/>
    </cacheField>
    <cacheField name="Descrizione primo responsabile" numFmtId="0">
      <sharedItems containsBlank="1"/>
    </cacheField>
    <cacheField name="v.439-Età" numFmtId="0">
      <sharedItems containsString="0" containsBlank="1" containsNumber="1" containsInteger="1" minValue="22" maxValue="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6">
  <r>
    <x v="0"/>
    <n v="3161"/>
    <x v="0"/>
    <s v="A           "/>
    <s v="CORPORATE"/>
    <x v="0"/>
    <x v="0"/>
    <s v="011000      "/>
    <s v="011000   CORPORATE"/>
    <s v="MANGANO                         "/>
    <s v="CINZIA            "/>
    <s v="MNGCNZ80L52G273V"/>
    <x v="0"/>
    <s v="34"/>
    <x v="0"/>
    <s v="06/10/2025"/>
    <s v="MILANO                 "/>
    <x v="0"/>
    <x v="0"/>
    <s v="I"/>
    <x v="0"/>
    <s v="A  "/>
    <x v="0"/>
    <s v="06/10/2025"/>
    <s v="06/10/2025"/>
    <s v="12/07/1980"/>
    <s v="A"/>
    <s v="A.IN FORZA"/>
    <s v="1S-ASSUNZIONE STABILIZZAZIONE 1S"/>
    <s v=""/>
    <s v=" "/>
    <s v=""/>
    <s v=""/>
    <n v="3161"/>
    <s v="00"/>
    <n v="100"/>
    <s v="FULL TIME      100000000FF100-FULL TIME"/>
    <s v="06/10/2025"/>
    <s v=""/>
    <s v="  "/>
    <s v=""/>
    <s v="EN  "/>
    <s v="    "/>
    <x v="0"/>
    <s v=""/>
    <s v="cinzia.mangano@ilsole24ore.com                    "/>
    <s v="F"/>
    <s v="F-FIRMA"/>
    <s v="1 "/>
    <s v="1=5 X 8"/>
    <s v="09/10/2025"/>
    <s v="TEMPO DETERMINATO"/>
    <s v="31/05/2027"/>
    <s v="0015003123                    "/>
    <s v="BOROMEI PAOLA"/>
    <n v="45"/>
    <s v="I  "/>
  </r>
  <r>
    <x v="0"/>
    <n v="3100"/>
    <x v="0"/>
    <s v="A           "/>
    <s v="CORPORATE"/>
    <x v="0"/>
    <x v="0"/>
    <s v="011000      "/>
    <s v="011000   CORPORATE"/>
    <s v="MUSELLA                         "/>
    <s v="SERENA            "/>
    <s v="MSLSRN90T67F205E"/>
    <x v="0"/>
    <s v="34"/>
    <x v="0"/>
    <s v="20/11/2023"/>
    <s v="MILANO                 "/>
    <x v="0"/>
    <x v="0"/>
    <s v="I"/>
    <x v="0"/>
    <s v="A  "/>
    <x v="0"/>
    <s v="20/11/2023"/>
    <s v="20/11/2023"/>
    <s v="27/12/1990"/>
    <s v="A"/>
    <s v="A.IN FORZA"/>
    <s v="1  -ASSUNZIONE                1"/>
    <s v=""/>
    <s v=" "/>
    <s v=""/>
    <s v=""/>
    <n v="3100"/>
    <s v="00"/>
    <n v="100"/>
    <s v="FULL TIME      100000000FF100-FULL TIME"/>
    <s v="20/11/2023"/>
    <s v=""/>
    <s v="  "/>
    <s v=""/>
    <s v="EN  "/>
    <s v="    "/>
    <x v="0"/>
    <s v=""/>
    <s v="serena.musella@ilsole24ore.com                    "/>
    <s v="F"/>
    <s v="F-FIRMA"/>
    <s v="1 "/>
    <s v="1=5 X 8"/>
    <s v="01/07/2025"/>
    <s v="TEMPO DETERMINATO"/>
    <s v="31/05/2027"/>
    <s v="0015002960                    "/>
    <s v="SILVESTRI FEDERICO"/>
    <n v="35"/>
    <s v="I  "/>
  </r>
  <r>
    <x v="0"/>
    <n v="1663"/>
    <x v="0"/>
    <s v="A           "/>
    <s v="CORPORATE"/>
    <x v="0"/>
    <x v="0"/>
    <s v="011000      "/>
    <s v="011000   CORPORATE"/>
    <s v="POZZATO                         "/>
    <s v="CRISTINA          "/>
    <s v="PZZCST67M58F205P"/>
    <x v="0"/>
    <s v="34"/>
    <x v="0"/>
    <s v="01/04/2021"/>
    <s v="MILANO                 "/>
    <x v="0"/>
    <x v="0"/>
    <s v="I"/>
    <x v="0"/>
    <s v="A  "/>
    <x v="0"/>
    <s v="01/11/2000"/>
    <s v="01/11/2000"/>
    <s v="18/08/1967"/>
    <s v="A"/>
    <s v="A.IN FORZA"/>
    <s v="1  -ASSUNZIONE                1"/>
    <s v=""/>
    <s v=" "/>
    <s v=""/>
    <s v=""/>
    <n v="1324"/>
    <s v="00"/>
    <n v="100"/>
    <s v="FULL TIME      100000000FF100-FULL TIME"/>
    <s v="01/11/2000"/>
    <s v=""/>
    <s v="  "/>
    <s v=""/>
    <s v="EV  "/>
    <s v="    "/>
    <x v="0"/>
    <s v=""/>
    <s v="cristina.pozzato@ilsole24ore.com                  "/>
    <s v="F"/>
    <s v="F-FIRMA"/>
    <s v="1 "/>
    <s v="1=5 X 8"/>
    <s v="01/07/2025"/>
    <s v="TEMPO DETERMINATO"/>
    <s v="31/05/2027"/>
    <s v="0015002960                    "/>
    <s v="SILVESTRI FEDERICO"/>
    <n v="58"/>
    <s v="I  "/>
  </r>
  <r>
    <x v="0"/>
    <n v="3164"/>
    <x v="0"/>
    <s v="A           "/>
    <s v="CORPORATE"/>
    <x v="1"/>
    <x v="1"/>
    <s v="016100      "/>
    <s v="016100   INTERNAL AUDITING"/>
    <s v="MONTEVERDI                      "/>
    <s v="SERENA            "/>
    <s v="MNTSRN82M71G337H"/>
    <x v="0"/>
    <s v="34"/>
    <x v="0"/>
    <s v="10/11/2025"/>
    <s v="MILANO                 "/>
    <x v="1"/>
    <x v="1"/>
    <s v="D"/>
    <x v="1"/>
    <s v="D  "/>
    <x v="1"/>
    <s v="10/11/2025"/>
    <s v="10/11/2025"/>
    <s v="31/08/1982"/>
    <s v="A"/>
    <s v="A.IN FORZA"/>
    <s v="1  -ASSUNZIONE                1"/>
    <s v=""/>
    <s v=" "/>
    <s v=""/>
    <s v=""/>
    <n v="3164"/>
    <s v="00"/>
    <n v="100"/>
    <s v="FULL TIME      100000000FF100-FULL TIME"/>
    <s v="10/11/2025"/>
    <s v=""/>
    <s v="  "/>
    <s v=""/>
    <s v="DD  "/>
    <s v="    "/>
    <x v="0"/>
    <s v=""/>
    <s v="serena.monteverdi@ilsole24ore.com                 "/>
    <s v="E"/>
    <s v="E-ESENTE"/>
    <s v="1 "/>
    <s v="1=5 X 8"/>
    <s v="01/12/2025"/>
    <s v="TEMPO DETERMINATO"/>
    <s v="31/05/2026"/>
    <s v="                              "/>
    <s v=""/>
    <n v="43"/>
    <s v="I  "/>
  </r>
  <r>
    <x v="0"/>
    <n v="2199"/>
    <x v="0"/>
    <s v="B           "/>
    <s v="DG M&amp;B - DG RADIO 24"/>
    <x v="2"/>
    <x v="2"/>
    <s v="Q11000      "/>
    <s v="Q11000   MARKETING RADI0 24"/>
    <s v="CASA                            "/>
    <s v="ROBERTA           "/>
    <s v="CSARRT73T43A662J"/>
    <x v="0"/>
    <s v="34"/>
    <x v="0"/>
    <s v="01/04/2021"/>
    <s v="MILANO                 "/>
    <x v="2"/>
    <x v="2"/>
    <s v="F"/>
    <x v="2"/>
    <s v="6Q "/>
    <x v="2"/>
    <s v="15/06/2007"/>
    <s v="15/06/2007"/>
    <s v="03/12/1973"/>
    <s v="A"/>
    <s v="A.IN FORZA"/>
    <s v="1  -ASSUNZIONE                1"/>
    <s v=""/>
    <s v=" "/>
    <s v=""/>
    <s v=""/>
    <n v="1651"/>
    <s v="00"/>
    <n v="100"/>
    <s v="FULL TIME      100000000FF100-FULL TIME"/>
    <s v="15/06/2007"/>
    <s v=""/>
    <s v="  "/>
    <s v=""/>
    <s v="RN  "/>
    <s v="    "/>
    <x v="0"/>
    <s v=""/>
    <s v="roberta.casa@ilsole24ore.com                      "/>
    <s v="F"/>
    <s v="F-FIRMA"/>
    <s v="1 "/>
    <s v="1=5 X 8"/>
    <s v="01/07/2025"/>
    <s v="TEMPO DETERMINATO"/>
    <s v="31/05/2027"/>
    <s v="0015003123                    "/>
    <s v="BOROMEI PAOLA"/>
    <n v="52"/>
    <s v="I  "/>
  </r>
  <r>
    <x v="0"/>
    <n v="2685"/>
    <x v="0"/>
    <s v="B           "/>
    <s v="DG M&amp;B - DG RADIO 24"/>
    <x v="3"/>
    <x v="3"/>
    <s v="Q12000      "/>
    <s v="Q12000   ALTA FREQUENZA"/>
    <s v="AGNELLI                         "/>
    <s v="ROBERTA           "/>
    <s v="GNLRRT77P64M102F"/>
    <x v="0"/>
    <s v="34"/>
    <x v="0"/>
    <s v="01/04/2021"/>
    <s v="MILANO                 "/>
    <x v="2"/>
    <x v="2"/>
    <s v="I"/>
    <x v="0"/>
    <s v="4  "/>
    <x v="3"/>
    <s v="01/01/2014"/>
    <s v="22/08/2005"/>
    <s v="24/09/1977"/>
    <s v="A"/>
    <s v="A.IN FORZA"/>
    <s v="1  -ASSUNZIONE                1"/>
    <s v=""/>
    <s v=" "/>
    <s v=""/>
    <s v=""/>
    <n v="2685"/>
    <s v="00"/>
    <n v="100"/>
    <s v="FULL TIME      100000000FF100-FULL TIME"/>
    <s v="22/08/2005"/>
    <s v=""/>
    <s v="  "/>
    <s v=""/>
    <s v="RN  "/>
    <s v="    "/>
    <x v="0"/>
    <s v=""/>
    <s v="roberta.agnelli@radio24.it                        "/>
    <s v="F"/>
    <s v="F-FIRMA"/>
    <s v="1 "/>
    <s v="1=5 X 8"/>
    <s v="01/07/2025"/>
    <s v="TEMPO DETERMINATO"/>
    <s v="31/05/2027"/>
    <s v="0015002960                    "/>
    <s v="SILVESTRI FEDERICO"/>
    <n v="48"/>
    <s v="I  "/>
  </r>
  <r>
    <x v="0"/>
    <n v="2687"/>
    <x v="0"/>
    <s v="B           "/>
    <s v="DG M&amp;B - DG RADIO 24"/>
    <x v="3"/>
    <x v="3"/>
    <s v="Q12000      "/>
    <s v="Q12000   ALTA FREQUENZA"/>
    <s v="ARBULLA                         "/>
    <s v="DARIO             "/>
    <s v="RBLDRA61D28F205N"/>
    <x v="1"/>
    <s v="34"/>
    <x v="0"/>
    <s v="01/04/2021"/>
    <s v="MILANO                 "/>
    <x v="2"/>
    <x v="2"/>
    <s v="F"/>
    <x v="2"/>
    <s v="6Q "/>
    <x v="2"/>
    <s v="01/01/2014"/>
    <s v="28/12/2004"/>
    <s v="28/04/1961"/>
    <s v="A"/>
    <s v="A.IN FORZA"/>
    <s v="1  -ASSUNZIONE                1"/>
    <s v=""/>
    <s v=" "/>
    <s v=""/>
    <s v=""/>
    <n v="2687"/>
    <s v="00"/>
    <n v="100"/>
    <s v="FULL TIME      100000000FF100-FULL TIME"/>
    <s v=""/>
    <s v=""/>
    <s v="  "/>
    <s v=""/>
    <s v="RN  "/>
    <s v="    "/>
    <x v="0"/>
    <s v="NON ISCRITTO       NON ISCRITTO"/>
    <s v="dario.arbulla@radio24.it                          "/>
    <s v="F"/>
    <s v="F-FIRMA"/>
    <s v="1 "/>
    <s v="1=5 X 8"/>
    <s v="01/07/2025"/>
    <s v="TEMPO DETERMINATO"/>
    <s v="31/05/2027"/>
    <s v="0015002960                    "/>
    <s v="SILVESTRI FEDERICO"/>
    <n v="64"/>
    <s v="I  "/>
  </r>
  <r>
    <x v="0"/>
    <n v="687"/>
    <x v="0"/>
    <s v="B           "/>
    <s v="DG M&amp;B - DG RADIO 24"/>
    <x v="3"/>
    <x v="3"/>
    <s v="Q12000      "/>
    <s v="Q12000   ALTA FREQUENZA"/>
    <s v="ZELLINO                         "/>
    <s v="SIMONA            "/>
    <s v="ZLLSMN69A46F205Y"/>
    <x v="0"/>
    <s v="34"/>
    <x v="0"/>
    <s v="01/04/2021"/>
    <s v="MILANO                 "/>
    <x v="2"/>
    <x v="2"/>
    <s v="I"/>
    <x v="0"/>
    <s v="4  "/>
    <x v="3"/>
    <s v="01/05/1993"/>
    <s v="07/03/1989"/>
    <s v="06/01/1969"/>
    <s v="A"/>
    <s v="A.IN FORZA"/>
    <s v="1  -ASSUNZIONE                1"/>
    <s v=""/>
    <s v=" "/>
    <s v=""/>
    <s v=""/>
    <n v="505"/>
    <s v="00"/>
    <n v="100"/>
    <s v="FULL TIME      100000000FF100-FULL TIME"/>
    <s v="01/01/2025"/>
    <s v=""/>
    <s v="  "/>
    <s v=""/>
    <s v="RN  "/>
    <s v="    "/>
    <x v="0"/>
    <s v=""/>
    <s v="simona.zellino@radio24.it                         "/>
    <s v="F"/>
    <s v="F-FIRMA"/>
    <s v="1 "/>
    <s v="1=5 X 8"/>
    <s v="01/07/2025"/>
    <s v="TEMPO DETERMINATO"/>
    <s v="31/05/2027"/>
    <s v="0015002960                    "/>
    <s v="SILVESTRI FEDERICO"/>
    <n v="57"/>
    <s v="I  "/>
  </r>
  <r>
    <x v="0"/>
    <n v="2916"/>
    <x v="0"/>
    <s v="B           "/>
    <s v="DG M&amp;B - DG RADIO 24"/>
    <x v="3"/>
    <x v="3"/>
    <s v="Q13000      "/>
    <s v="Q13000   BASSA FREQUENZA"/>
    <s v="ALICINO                         "/>
    <s v="DANILO            "/>
    <s v="LCNDNL65C25F205T"/>
    <x v="1"/>
    <s v="34"/>
    <x v="0"/>
    <s v="01/04/2021"/>
    <s v="MILANO                 "/>
    <x v="2"/>
    <x v="2"/>
    <s v="I"/>
    <x v="0"/>
    <s v="5  "/>
    <x v="4"/>
    <s v="01/06/2017"/>
    <s v="01/06/2017"/>
    <s v="25/03/1965"/>
    <s v="A"/>
    <s v="A.IN FORZA"/>
    <s v="1  -ASSUNZIONE                1"/>
    <s v=""/>
    <s v=" "/>
    <s v=""/>
    <s v=""/>
    <n v="2916"/>
    <s v="00"/>
    <n v="100"/>
    <s v="FULL TIME      100000000FF100-FULL TIME"/>
    <s v="01/06/2017"/>
    <s v=""/>
    <s v="  "/>
    <s v=""/>
    <s v="RN  "/>
    <s v="    "/>
    <x v="0"/>
    <s v=""/>
    <s v="danilo.alicino@radio24.it                         "/>
    <s v="F"/>
    <s v="F-FIRMA"/>
    <s v="1 "/>
    <s v="1=5 X 8"/>
    <s v="01/07/2025"/>
    <s v="TEMPO DETERMINATO"/>
    <s v="31/05/2027"/>
    <s v="0015002960                    "/>
    <s v="SILVESTRI FEDERICO"/>
    <n v="60"/>
    <s v="I  "/>
  </r>
  <r>
    <x v="0"/>
    <n v="2917"/>
    <x v="0"/>
    <s v="B           "/>
    <s v="DG M&amp;B - DG RADIO 24"/>
    <x v="3"/>
    <x v="3"/>
    <s v="Q13000      "/>
    <s v="Q13000   BASSA FREQUENZA"/>
    <s v="FORTUNATI                       "/>
    <s v="SANDRO            "/>
    <s v="FRTSDR66H30F205V"/>
    <x v="1"/>
    <s v="34"/>
    <x v="0"/>
    <s v="01/04/2021"/>
    <s v="MILANO                 "/>
    <x v="2"/>
    <x v="2"/>
    <s v="I"/>
    <x v="0"/>
    <s v="5  "/>
    <x v="4"/>
    <s v="01/06/2017"/>
    <s v="01/06/2017"/>
    <s v="30/06/1966"/>
    <s v="A"/>
    <s v="A.IN FORZA"/>
    <s v="1  -ASSUNZIONE                1"/>
    <s v=""/>
    <s v=" "/>
    <s v=""/>
    <s v=""/>
    <n v="2917"/>
    <s v="00"/>
    <n v="100"/>
    <s v="FULL TIME      100000000FF100-FULL TIME"/>
    <s v="01/06/2017"/>
    <s v=""/>
    <s v="  "/>
    <s v=""/>
    <s v="RN  "/>
    <s v="    "/>
    <x v="0"/>
    <s v=""/>
    <s v="sandro.fortunati@radio24.it                       "/>
    <s v="F"/>
    <s v="F-FIRMA"/>
    <s v="1 "/>
    <s v="1=5 X 8"/>
    <s v="01/07/2025"/>
    <s v="TEMPO DETERMINATO"/>
    <s v="31/05/2027"/>
    <s v="0015002960                    "/>
    <s v="SILVESTRI FEDERICO"/>
    <n v="59"/>
    <s v="I  "/>
  </r>
  <r>
    <x v="0"/>
    <n v="2688"/>
    <x v="0"/>
    <s v="B           "/>
    <s v="DG M&amp;B - DG RADIO 24"/>
    <x v="3"/>
    <x v="3"/>
    <s v="Q18000      "/>
    <s v="Q18000   TECNICI DI REGIA"/>
    <s v="AUREGGI                         "/>
    <s v="FILIPPO           "/>
    <s v="RGGFPP72A12F205X"/>
    <x v="1"/>
    <s v="34"/>
    <x v="0"/>
    <s v="01/04/2021"/>
    <s v="MILANO                 "/>
    <x v="2"/>
    <x v="2"/>
    <s v="I"/>
    <x v="0"/>
    <s v="4  "/>
    <x v="3"/>
    <s v="01/01/2014"/>
    <s v="06/11/2001"/>
    <s v="12/01/1972"/>
    <s v="A"/>
    <s v="A.IN FORZA"/>
    <s v="1  -ASSUNZIONE                1"/>
    <s v=""/>
    <s v=" "/>
    <s v=""/>
    <s v=""/>
    <n v="2688"/>
    <s v="00"/>
    <n v="100"/>
    <s v="FULL TIME      100000000FF100-FULL TIME"/>
    <s v="06/11/2001"/>
    <s v=""/>
    <s v="  "/>
    <s v=""/>
    <s v="RN  "/>
    <s v="    "/>
    <x v="0"/>
    <s v=""/>
    <s v="filippo.aureggi@radio24.it                        "/>
    <s v="T"/>
    <s v="T-TIMBRA"/>
    <s v="1 "/>
    <s v="1=5 X 8"/>
    <s v=""/>
    <s v=""/>
    <s v=""/>
    <s v="0015002756                    "/>
    <s v="PREVIATO MICHELE"/>
    <n v="54"/>
    <s v="I  "/>
  </r>
  <r>
    <x v="0"/>
    <n v="2690"/>
    <x v="0"/>
    <s v="B           "/>
    <s v="DG M&amp;B - DG RADIO 24"/>
    <x v="3"/>
    <x v="3"/>
    <s v="Q18000      "/>
    <s v="Q18000   TECNICI DI REGIA"/>
    <s v="BERNARDI                        "/>
    <s v="VALERIA           "/>
    <s v="BRNVLR76L58H501U"/>
    <x v="0"/>
    <s v="34"/>
    <x v="0"/>
    <s v="01/04/2021"/>
    <s v="MILANO                 "/>
    <x v="2"/>
    <x v="2"/>
    <s v="I"/>
    <x v="0"/>
    <s v="3  "/>
    <x v="5"/>
    <s v="01/01/2014"/>
    <s v="22/10/1999"/>
    <s v="18/07/1976"/>
    <s v="A"/>
    <s v="A.IN FORZA"/>
    <s v="1  -ASSUNZIONE                1"/>
    <s v=""/>
    <s v=" "/>
    <s v=""/>
    <s v=""/>
    <n v="2690"/>
    <s v="00"/>
    <n v="100"/>
    <s v="FULL TIME      100000000FF100-FULL TIME"/>
    <s v="22/10/1999"/>
    <s v=""/>
    <s v="  "/>
    <s v=""/>
    <s v="RN  "/>
    <s v="    "/>
    <x v="0"/>
    <s v=""/>
    <s v="valeria.bernardi@radio24.it                       "/>
    <s v="T"/>
    <s v="T-TIMBRA"/>
    <s v="1 "/>
    <s v="1=5 X 8"/>
    <s v=""/>
    <s v=""/>
    <s v=""/>
    <s v="0015002756                    "/>
    <s v="PREVIATO MICHELE"/>
    <n v="49"/>
    <s v="I  "/>
  </r>
  <r>
    <x v="0"/>
    <n v="2705"/>
    <x v="0"/>
    <s v="B           "/>
    <s v="DG M&amp;B - DG RADIO 24"/>
    <x v="3"/>
    <x v="3"/>
    <s v="Q18000      "/>
    <s v="Q18000   TECNICI DI REGIA"/>
    <s v="CHIAPPINI                       "/>
    <s v="ALESSANDRO        "/>
    <s v="CHPLSN75A27A132X"/>
    <x v="1"/>
    <s v="31"/>
    <x v="1"/>
    <s v="01/06/2009"/>
    <s v="ROMA                   "/>
    <x v="2"/>
    <x v="2"/>
    <s v="I"/>
    <x v="0"/>
    <s v="3  "/>
    <x v="5"/>
    <s v="01/01/2014"/>
    <s v="01/10/2001"/>
    <s v="27/01/1975"/>
    <s v="A"/>
    <s v="A.IN FORZA"/>
    <s v="1  -ASSUNZIONE                1"/>
    <s v=""/>
    <s v=" "/>
    <s v=""/>
    <s v=""/>
    <n v="2705"/>
    <s v="00"/>
    <n v="100"/>
    <s v="FULL TIME      100000000FF100-FULL TIME"/>
    <s v="01/10/2001"/>
    <s v=""/>
    <s v="  "/>
    <s v=""/>
    <s v="RN  "/>
    <s v="    "/>
    <x v="0"/>
    <s v=""/>
    <s v="alessandro.chiappini@radio24.it                   "/>
    <s v="T"/>
    <s v="T-TIMBRA"/>
    <s v="1 "/>
    <s v="1=5 X 8"/>
    <s v=""/>
    <s v=""/>
    <s v=""/>
    <s v="0015002756                    "/>
    <s v="PREVIATO MICHELE"/>
    <n v="51"/>
    <s v="I  "/>
  </r>
  <r>
    <x v="0"/>
    <n v="2707"/>
    <x v="0"/>
    <s v="B           "/>
    <s v="DG M&amp;B - DG RADIO 24"/>
    <x v="3"/>
    <x v="3"/>
    <s v="Q18000      "/>
    <s v="Q18000   TECNICI DI REGIA"/>
    <s v="CORLEONI                        "/>
    <s v="PAOLO             "/>
    <s v="CRLPLA74B05I608R"/>
    <x v="1"/>
    <s v="34"/>
    <x v="0"/>
    <s v="01/04/2021"/>
    <s v="MILANO                 "/>
    <x v="2"/>
    <x v="2"/>
    <s v="I"/>
    <x v="0"/>
    <s v="3  "/>
    <x v="5"/>
    <s v="01/01/2014"/>
    <s v="02/10/2009"/>
    <s v="05/02/1974"/>
    <s v="A"/>
    <s v="A.IN FORZA"/>
    <s v="1  -ASSUNZIONE                1"/>
    <s v=""/>
    <s v=" "/>
    <s v=""/>
    <s v=""/>
    <n v="2707"/>
    <s v="00"/>
    <n v="100"/>
    <s v="FULL TIME      100000000FF100-FULL TIME"/>
    <s v="02/10/2009"/>
    <s v=""/>
    <s v="  "/>
    <s v=""/>
    <s v="RN  "/>
    <s v="    "/>
    <x v="0"/>
    <s v=""/>
    <s v="paolo.corleoni@radio24.it                         "/>
    <s v="T"/>
    <s v="T-TIMBRA"/>
    <s v="1 "/>
    <s v="1=5 X 8"/>
    <s v="01/09/2022"/>
    <s v=""/>
    <s v=""/>
    <s v="0015002756                    "/>
    <s v="PREVIATO MICHELE"/>
    <n v="51"/>
    <s v="I  "/>
  </r>
  <r>
    <x v="0"/>
    <n v="2717"/>
    <x v="0"/>
    <s v="B           "/>
    <s v="DG M&amp;B - DG RADIO 24"/>
    <x v="3"/>
    <x v="3"/>
    <s v="Q18000      "/>
    <s v="Q18000   TECNICI DI REGIA"/>
    <s v="FERRONATO                       "/>
    <s v="GIAN MARCO        "/>
    <s v="FRRGMR87P18F205V"/>
    <x v="1"/>
    <s v="34"/>
    <x v="0"/>
    <s v="01/04/2021"/>
    <s v="MILANO                 "/>
    <x v="2"/>
    <x v="2"/>
    <s v="I"/>
    <x v="0"/>
    <s v="3  "/>
    <x v="5"/>
    <s v="01/01/2014"/>
    <s v="21/01/2013"/>
    <s v="18/09/1987"/>
    <s v="A"/>
    <s v="A.IN FORZA"/>
    <s v="1  -ASSUNZIONE                1"/>
    <s v=""/>
    <s v=" "/>
    <s v=""/>
    <s v=""/>
    <n v="2717"/>
    <s v="00"/>
    <n v="100"/>
    <s v="FULL TIME      100000000FF100-FULL TIME"/>
    <s v="21/01/2013"/>
    <s v=""/>
    <s v="  "/>
    <s v=""/>
    <s v="RN  "/>
    <s v="    "/>
    <x v="0"/>
    <s v=""/>
    <s v="gianmarco.ferronato@radio24.it                    "/>
    <s v="T"/>
    <s v="T-TIMBRA"/>
    <s v="1 "/>
    <s v="1=5 X 8"/>
    <s v=""/>
    <s v=""/>
    <s v=""/>
    <s v="0015002756                    "/>
    <s v="PREVIATO MICHELE"/>
    <n v="38"/>
    <s v="I  "/>
  </r>
  <r>
    <x v="0"/>
    <n v="2718"/>
    <x v="0"/>
    <s v="B           "/>
    <s v="DG M&amp;B - DG RADIO 24"/>
    <x v="3"/>
    <x v="3"/>
    <s v="Q18000      "/>
    <s v="Q18000   TECNICI DI REGIA"/>
    <s v="FESTORAZZI                      "/>
    <s v="LORENZO FRANCESCO "/>
    <s v="FSTLNZ63D09C623R"/>
    <x v="1"/>
    <s v="34"/>
    <x v="0"/>
    <s v="01/04/2021"/>
    <s v="MILANO                 "/>
    <x v="2"/>
    <x v="2"/>
    <s v="I"/>
    <x v="0"/>
    <s v="4  "/>
    <x v="3"/>
    <s v="01/01/2014"/>
    <s v="01/01/2008"/>
    <s v="09/04/1963"/>
    <s v="A"/>
    <s v="A.IN FORZA"/>
    <s v="1  -ASSUNZIONE                1"/>
    <s v=""/>
    <s v=" "/>
    <s v=""/>
    <s v=""/>
    <n v="2718"/>
    <s v="00"/>
    <n v="100"/>
    <s v="FULL TIME      100000000FF100-FULL TIME"/>
    <s v="01/01/2008"/>
    <s v=""/>
    <s v="  "/>
    <s v=""/>
    <s v="RN  "/>
    <s v="    "/>
    <x v="0"/>
    <s v="U.I.L.             U.I.L"/>
    <s v="lorenzo.festorazzi@radio24.it                     "/>
    <s v="T"/>
    <s v="T-TIMBRA"/>
    <s v="1 "/>
    <s v="1=5 X 8"/>
    <s v="01/07/2025"/>
    <s v="TEMPO DETERMINATO"/>
    <s v="31/05/2027"/>
    <s v="0015002756                    "/>
    <s v="PREVIATO MICHELE"/>
    <n v="62"/>
    <s v="I  "/>
  </r>
  <r>
    <x v="0"/>
    <n v="2819"/>
    <x v="0"/>
    <s v="B           "/>
    <s v="DG M&amp;B - DG RADIO 24"/>
    <x v="3"/>
    <x v="3"/>
    <s v="Q18000      "/>
    <s v="Q18000   TECNICI DI REGIA"/>
    <s v="FRISANI                         "/>
    <s v="ROBERTA           "/>
    <s v="FRSRRT86B68L049R"/>
    <x v="0"/>
    <s v="34"/>
    <x v="0"/>
    <s v="01/04/2021"/>
    <s v="MILANO                 "/>
    <x v="2"/>
    <x v="2"/>
    <s v="I"/>
    <x v="0"/>
    <s v="3  "/>
    <x v="5"/>
    <s v="09/03/2015"/>
    <s v="09/03/2015"/>
    <s v="28/02/1986"/>
    <s v="A"/>
    <s v="A.IN FORZA"/>
    <s v="1  -ASSUNZIONE                1"/>
    <s v=""/>
    <s v=" "/>
    <s v=""/>
    <s v=""/>
    <n v="2819"/>
    <s v="00"/>
    <n v="100"/>
    <s v="FULL TIME      100000000FF100-FULL TIME"/>
    <s v="09/03/2015"/>
    <s v=""/>
    <s v="  "/>
    <s v=""/>
    <s v="RN  "/>
    <s v="    "/>
    <x v="0"/>
    <s v=""/>
    <s v="roberta.frisani@radio24.it                        "/>
    <s v="T"/>
    <s v="T-TIMBRA"/>
    <s v="1 "/>
    <s v="1=5 X 8"/>
    <s v=""/>
    <s v=""/>
    <s v=""/>
    <s v="0015002756                    "/>
    <s v="PREVIATO MICHELE"/>
    <n v="39"/>
    <s v="I  "/>
  </r>
  <r>
    <x v="0"/>
    <n v="2728"/>
    <x v="0"/>
    <s v="B           "/>
    <s v="DG M&amp;B - DG RADIO 24"/>
    <x v="3"/>
    <x v="3"/>
    <s v="Q18000      "/>
    <s v="Q18000   TECNICI DI REGIA"/>
    <s v="LA CORTE                        "/>
    <s v="PIETRO            "/>
    <s v="LCRPTR78A16G273X"/>
    <x v="1"/>
    <s v="34"/>
    <x v="0"/>
    <s v="01/04/2021"/>
    <s v="MILANO                 "/>
    <x v="2"/>
    <x v="2"/>
    <s v="I"/>
    <x v="0"/>
    <s v="3  "/>
    <x v="5"/>
    <s v="01/01/2014"/>
    <s v="01/04/2006"/>
    <s v="16/01/1978"/>
    <s v="A"/>
    <s v="A.IN FORZA"/>
    <s v="1  -ASSUNZIONE                1"/>
    <s v=""/>
    <s v=" "/>
    <s v=""/>
    <s v=""/>
    <n v="2728"/>
    <s v="00"/>
    <n v="100"/>
    <s v="FULL TIME      100000000FF100-FULL TIME"/>
    <s v="01/04/2006"/>
    <s v=""/>
    <s v="  "/>
    <s v=""/>
    <s v="RN  "/>
    <s v="    "/>
    <x v="0"/>
    <s v=""/>
    <s v="pietro.lacorte@radio24.it                         "/>
    <s v="T"/>
    <s v="T-TIMBRA"/>
    <s v="1 "/>
    <s v="1=5 X 8"/>
    <s v=""/>
    <s v=""/>
    <s v=""/>
    <s v="0015002756                    "/>
    <s v="PREVIATO MICHELE"/>
    <n v="48"/>
    <s v="I  "/>
  </r>
  <r>
    <x v="0"/>
    <n v="2729"/>
    <x v="0"/>
    <s v="B           "/>
    <s v="DG M&amp;B - DG RADIO 24"/>
    <x v="3"/>
    <x v="3"/>
    <s v="Q18000      "/>
    <s v="Q18000   TECNICI DI REGIA"/>
    <s v="LAURICELLA                      "/>
    <s v="CARMELO           "/>
    <s v="LRCCML74R15F704B"/>
    <x v="1"/>
    <s v="34"/>
    <x v="0"/>
    <s v="01/04/2021"/>
    <s v="MILANO                 "/>
    <x v="2"/>
    <x v="2"/>
    <s v="I"/>
    <x v="0"/>
    <s v="3  "/>
    <x v="5"/>
    <s v="01/01/2014"/>
    <s v="23/08/1999"/>
    <s v="15/10/1974"/>
    <s v="A"/>
    <s v="A.IN FORZA"/>
    <s v="1  -ASSUNZIONE                1"/>
    <s v=""/>
    <s v=" "/>
    <s v=""/>
    <s v=""/>
    <n v="2729"/>
    <s v="00"/>
    <n v="100"/>
    <s v="FULL TIME      100000000FF100-FULL TIME"/>
    <s v="23/08/1999"/>
    <s v=""/>
    <s v="  "/>
    <s v=""/>
    <s v="RN  "/>
    <s v="    "/>
    <x v="0"/>
    <s v="U.I.L.             U.I.L"/>
    <s v="carmelo.lauricella@radio24.it                     "/>
    <s v="T"/>
    <s v="T-TIMBRA"/>
    <s v="1 "/>
    <s v="1=5 X 8"/>
    <s v=""/>
    <s v=""/>
    <s v=""/>
    <s v="0015002756                    "/>
    <s v="PREVIATO MICHELE"/>
    <n v="51"/>
    <s v="I  "/>
  </r>
  <r>
    <x v="0"/>
    <n v="2756"/>
    <x v="0"/>
    <s v="B           "/>
    <s v="DG M&amp;B - DG RADIO 24"/>
    <x v="3"/>
    <x v="3"/>
    <s v="Q18000      "/>
    <s v="Q18000   TECNICI DI REGIA"/>
    <s v="PREVIATO                        "/>
    <s v="MICHELE           "/>
    <s v="PRVMHL75H25F205R"/>
    <x v="1"/>
    <s v="34"/>
    <x v="0"/>
    <s v="01/04/2021"/>
    <s v="MILANO                 "/>
    <x v="2"/>
    <x v="2"/>
    <s v="F"/>
    <x v="2"/>
    <s v="6Q "/>
    <x v="2"/>
    <s v="01/01/2014"/>
    <s v="16/11/1999"/>
    <s v="25/06/1975"/>
    <s v="A"/>
    <s v="A.IN FORZA"/>
    <s v="1  -ASSUNZIONE                1"/>
    <s v=""/>
    <s v=" "/>
    <s v=""/>
    <s v=""/>
    <n v="2756"/>
    <s v="00"/>
    <n v="100"/>
    <s v="FULL TIME      100000000FF100-FULL TIME"/>
    <s v="16/11/1999"/>
    <s v=""/>
    <s v="  "/>
    <s v=""/>
    <s v="RN  "/>
    <s v="    "/>
    <x v="0"/>
    <s v=""/>
    <s v="michele.previato@radio24.it                       "/>
    <s v="F"/>
    <s v="F-FIRMA"/>
    <s v="1 "/>
    <s v="1=5 X 8"/>
    <s v=""/>
    <s v=""/>
    <s v=""/>
    <s v="0015002960                    "/>
    <s v="SILVESTRI FEDERICO"/>
    <n v="50"/>
    <s v="I  "/>
  </r>
  <r>
    <x v="0"/>
    <n v="3025"/>
    <x v="0"/>
    <s v="B           "/>
    <s v="DG M&amp;B - DG RADIO 24"/>
    <x v="3"/>
    <x v="3"/>
    <s v="Q18000      "/>
    <s v="Q18000   TECNICI DI REGIA"/>
    <s v="RIVA                            "/>
    <s v="ANNA ELENA        "/>
    <s v="RVINLN94H62D286G"/>
    <x v="0"/>
    <s v="34"/>
    <x v="0"/>
    <s v="10/01/2022"/>
    <s v="MILANO                 "/>
    <x v="2"/>
    <x v="2"/>
    <s v="I"/>
    <x v="0"/>
    <s v="3  "/>
    <x v="5"/>
    <s v="10/01/2022"/>
    <s v="10/01/2022"/>
    <s v="22/06/1994"/>
    <s v="A"/>
    <s v="A.IN FORZA"/>
    <s v="1S-ASSUNZIONE STABILIZZAZIONE 1S"/>
    <s v=""/>
    <s v=" "/>
    <s v=""/>
    <s v=""/>
    <n v="3025"/>
    <s v="00"/>
    <n v="100"/>
    <s v="FULL TIME      100000000FF100-FULL TIME"/>
    <s v="10/01/2022"/>
    <s v=""/>
    <s v="  "/>
    <s v=""/>
    <s v="RN  "/>
    <s v="    "/>
    <x v="0"/>
    <s v=""/>
    <s v="annaelena.riva@radio24.it                         "/>
    <s v="T"/>
    <s v="T-TIMBRA"/>
    <s v="1 "/>
    <s v="1=5 X 8"/>
    <s v=""/>
    <s v=""/>
    <s v=""/>
    <s v="0015002756                    "/>
    <s v="PREVIATO MICHELE"/>
    <n v="31"/>
    <s v="I  "/>
  </r>
  <r>
    <x v="0"/>
    <n v="3048"/>
    <x v="0"/>
    <s v="B           "/>
    <s v="DG M&amp;B - DG RADIO 24"/>
    <x v="3"/>
    <x v="3"/>
    <s v="Q18000      "/>
    <s v="Q18000   TECNICI DI REGIA"/>
    <s v="SALVATORE                       "/>
    <s v="CARLO             "/>
    <s v="SLVCRL99M26H501J"/>
    <x v="1"/>
    <s v="34"/>
    <x v="0"/>
    <s v="07/07/2022"/>
    <s v="MILANO                 "/>
    <x v="2"/>
    <x v="2"/>
    <s v="I"/>
    <x v="0"/>
    <s v="3  "/>
    <x v="5"/>
    <s v="07/07/2022"/>
    <s v="07/07/2022"/>
    <s v="26/08/1999"/>
    <s v="A"/>
    <s v="A.IN FORZA"/>
    <s v="1S-ASSUNZIONE STABILIZZAZIONE 1S"/>
    <s v="06/07/2023"/>
    <s v=" "/>
    <s v=""/>
    <s v=""/>
    <n v="3048"/>
    <s v="00"/>
    <n v="100"/>
    <s v="FULL TIME      100000000FF100-FULL TIME"/>
    <s v="07/07/2022"/>
    <s v=""/>
    <s v="  "/>
    <s v=""/>
    <s v="RN  "/>
    <s v="    "/>
    <x v="0"/>
    <s v=""/>
    <s v="carlo.salvatore@radio24.it                        "/>
    <s v="T"/>
    <s v="T-TIMBRA"/>
    <s v="1 "/>
    <s v="1=5 X 8"/>
    <s v=""/>
    <s v=""/>
    <s v=""/>
    <s v="0015002756                    "/>
    <s v="PREVIATO MICHELE"/>
    <n v="26"/>
    <s v="I  "/>
  </r>
  <r>
    <x v="0"/>
    <n v="2768"/>
    <x v="0"/>
    <s v="B           "/>
    <s v="DG M&amp;B - DG RADIO 24"/>
    <x v="3"/>
    <x v="3"/>
    <s v="Q18000      "/>
    <s v="Q18000   TECNICI DI REGIA"/>
    <s v="TERUZZI                         "/>
    <s v="DANIELE           "/>
    <s v="TRZDNL76C09F704M"/>
    <x v="1"/>
    <s v="34"/>
    <x v="0"/>
    <s v="01/04/2021"/>
    <s v="MILANO                 "/>
    <x v="2"/>
    <x v="2"/>
    <s v="I"/>
    <x v="0"/>
    <s v="3  "/>
    <x v="5"/>
    <s v="01/01/2014"/>
    <s v="01/09/2008"/>
    <s v="09/03/1976"/>
    <s v="A"/>
    <s v="A.IN FORZA"/>
    <s v="1  -ASSUNZIONE                1"/>
    <s v=""/>
    <s v=" "/>
    <s v=""/>
    <s v=""/>
    <n v="2768"/>
    <s v="00"/>
    <n v="100"/>
    <s v="FULL TIME      100000000FF100-FULL TIME"/>
    <s v=""/>
    <s v=""/>
    <s v="05"/>
    <s v="INVALIDI CIVILI"/>
    <s v="RN  "/>
    <s v="    "/>
    <x v="0"/>
    <s v="C.G.I.L.           C.G.I.L"/>
    <s v="daniele.teruzzi@radio24.it                        "/>
    <s v="T"/>
    <s v="T-TIMBRA"/>
    <s v="1 "/>
    <s v="1=5 X 8"/>
    <s v="01/10/2025"/>
    <s v="TEMPO DETERMINATO"/>
    <s v="30/06/2026"/>
    <s v="0015002756                    "/>
    <s v="PREVIATO MICHELE"/>
    <n v="49"/>
    <s v="I  "/>
  </r>
  <r>
    <x v="0"/>
    <n v="364"/>
    <x v="0"/>
    <s v="B           "/>
    <s v="DG M&amp;B - DG RADIO 24"/>
    <x v="4"/>
    <x v="4"/>
    <s v="Q1400001    "/>
    <s v="Q1400001   SERVIZI RADIOFONICI"/>
    <s v="FABIO                           "/>
    <s v="GIUSEPPE          "/>
    <s v="FBAGPP64C08F205B"/>
    <x v="1"/>
    <s v="34"/>
    <x v="0"/>
    <s v="01/04/2021"/>
    <s v="MILANO                 "/>
    <x v="2"/>
    <x v="2"/>
    <s v="I"/>
    <x v="0"/>
    <s v="2  "/>
    <x v="6"/>
    <s v="05/09/1988"/>
    <s v="05/09/1988"/>
    <s v="08/03/1964"/>
    <s v="A"/>
    <s v="A.IN FORZA"/>
    <s v="1  -ASSUNZIONE                1"/>
    <s v=""/>
    <s v=" "/>
    <s v=""/>
    <s v=""/>
    <n v="264"/>
    <s v="00"/>
    <n v="100"/>
    <s v="FULL TIME      100000000FF100-FULL TIME"/>
    <s v="05/09/1988"/>
    <s v=""/>
    <s v="05"/>
    <s v="INVALIDI CIVILI"/>
    <s v="RN  "/>
    <s v="    "/>
    <x v="0"/>
    <s v="C.G.I.L.           C.G.I.L"/>
    <s v="giuseppe.fabio@radio24.it                         "/>
    <s v="T"/>
    <s v="T-TIMBRA"/>
    <s v="1 "/>
    <s v="1=5 X 8"/>
    <s v="01/07/2025"/>
    <s v="TEMPO DETERMINATO"/>
    <s v="31/05/2027"/>
    <s v="0015002764                    "/>
    <s v="SCOTTI GUIDO"/>
    <n v="61"/>
    <s v="I  "/>
  </r>
  <r>
    <x v="0"/>
    <n v="2735"/>
    <x v="0"/>
    <s v="B           "/>
    <s v="DG M&amp;B - DG RADIO 24"/>
    <x v="4"/>
    <x v="4"/>
    <s v="Q1400001    "/>
    <s v="Q1400001   SERVIZI RADIOFONICI"/>
    <s v="MADINI                          "/>
    <s v="DONATELLA         "/>
    <s v="MDNDTL67B59F205K"/>
    <x v="0"/>
    <s v="34"/>
    <x v="0"/>
    <s v="01/04/2021"/>
    <s v="MILANO                 "/>
    <x v="2"/>
    <x v="2"/>
    <s v="I"/>
    <x v="0"/>
    <s v="3  "/>
    <x v="5"/>
    <s v="01/01/2014"/>
    <s v="01/09/2000"/>
    <s v="19/02/1967"/>
    <s v="A"/>
    <s v="A.IN FORZA"/>
    <s v="1  -ASSUNZIONE                1"/>
    <s v=""/>
    <s v=" "/>
    <s v=""/>
    <s v=""/>
    <n v="2735"/>
    <s v="00"/>
    <n v="100"/>
    <s v="FULL TIME      100000000FF100-FULL TIME"/>
    <s v="01/09/2000"/>
    <s v=""/>
    <s v="  "/>
    <s v=""/>
    <s v="RN  "/>
    <s v="    "/>
    <x v="0"/>
    <s v="U.I.L.             U.I.L"/>
    <s v="donatella.madini@radio24.it                       "/>
    <s v="T"/>
    <s v="T-TIMBRA"/>
    <s v="1 "/>
    <s v="1=5 X 8"/>
    <s v="01/07/2025"/>
    <s v="TEMPO DETERMINATO"/>
    <s v="31/05/2027"/>
    <s v="0015002764                    "/>
    <s v="SCOTTI GUIDO"/>
    <n v="58"/>
    <s v="I  "/>
  </r>
  <r>
    <x v="0"/>
    <n v="2740"/>
    <x v="0"/>
    <s v="B           "/>
    <s v="DG M&amp;B - DG RADIO 24"/>
    <x v="4"/>
    <x v="4"/>
    <s v="Q1400001    "/>
    <s v="Q1400001   SERVIZI RADIOFONICI"/>
    <s v="MAZZA                           "/>
    <s v="EMANUELA          "/>
    <s v="MZZMNL73C65H501R"/>
    <x v="0"/>
    <s v="31"/>
    <x v="1"/>
    <s v="01/06/2009"/>
    <s v="ROMA                   "/>
    <x v="2"/>
    <x v="2"/>
    <s v="I"/>
    <x v="0"/>
    <s v="3  "/>
    <x v="5"/>
    <s v="01/01/2014"/>
    <s v="04/04/2006"/>
    <s v="25/03/1973"/>
    <s v="A"/>
    <s v="A.IN FORZA"/>
    <s v="1  -ASSUNZIONE                1"/>
    <s v=""/>
    <s v=" "/>
    <s v=""/>
    <s v=""/>
    <n v="2740"/>
    <s v="02"/>
    <n v="75"/>
    <s v="30 H O GRA/RADI075000000PP30.0/40- PT 75.00-P"/>
    <s v="04/04/2006"/>
    <s v="31/12/2026"/>
    <s v="  "/>
    <s v=""/>
    <s v="RN  "/>
    <s v="    "/>
    <x v="0"/>
    <s v=""/>
    <s v="emanuela.mazza@radio24.it                         "/>
    <s v="T"/>
    <s v="T-TIMBRA"/>
    <s v="1 "/>
    <s v="1=5 X 8"/>
    <s v="01/07/2025"/>
    <s v="TEMPO DETERMINATO"/>
    <s v="31/05/2027"/>
    <s v="0015002764                    "/>
    <s v="SCOTTI GUIDO"/>
    <n v="52"/>
    <s v="I  "/>
  </r>
  <r>
    <x v="0"/>
    <n v="2741"/>
    <x v="0"/>
    <s v="B           "/>
    <s v="DG M&amp;B - DG RADIO 24"/>
    <x v="4"/>
    <x v="4"/>
    <s v="Q1400001    "/>
    <s v="Q1400001   SERVIZI RADIOFONICI"/>
    <s v="MERATI                          "/>
    <s v="EMANUELA          "/>
    <s v="MRTMNL72L60A940S"/>
    <x v="0"/>
    <s v="34"/>
    <x v="0"/>
    <s v="01/04/2021"/>
    <s v="MILANO                 "/>
    <x v="2"/>
    <x v="2"/>
    <s v="I"/>
    <x v="0"/>
    <s v="4  "/>
    <x v="3"/>
    <s v="01/01/2014"/>
    <s v="13/09/1999"/>
    <s v="20/07/1972"/>
    <s v="A"/>
    <s v="A.IN FORZA"/>
    <s v="1  -ASSUNZIONE                1"/>
    <s v=""/>
    <s v=" "/>
    <s v=""/>
    <s v=""/>
    <n v="2741"/>
    <s v="00"/>
    <n v="100"/>
    <s v="FULL TIME      100000000FF100-FULL TIME"/>
    <s v="01/01/2016"/>
    <s v=""/>
    <s v="  "/>
    <s v=""/>
    <s v="RN  "/>
    <s v="    "/>
    <x v="0"/>
    <s v=""/>
    <s v="emanuela.merati@radio24.it                        "/>
    <s v="T"/>
    <s v="T-TIMBRA"/>
    <s v="1 "/>
    <s v="1=5 X 8"/>
    <s v="01/07/2025"/>
    <s v="TEMPO DETERMINATO"/>
    <s v="31/05/2027"/>
    <s v="0015002764                    "/>
    <s v="SCOTTI GUIDO"/>
    <n v="53"/>
    <s v="I  "/>
  </r>
  <r>
    <x v="0"/>
    <n v="2711"/>
    <x v="0"/>
    <s v="B           "/>
    <s v="DG M&amp;B - DG RADIO 24"/>
    <x v="4"/>
    <x v="4"/>
    <s v="Q16000      "/>
    <s v="Q16000   PRODUZIONE PROGRAMMI RADIO"/>
    <s v="DE LUCA                         "/>
    <s v="GIORGIO           "/>
    <s v="DLCGRG83C01F839O"/>
    <x v="1"/>
    <s v="34"/>
    <x v="0"/>
    <s v="01/04/2021"/>
    <s v="MILANO                 "/>
    <x v="2"/>
    <x v="2"/>
    <s v="I"/>
    <x v="0"/>
    <s v="3  "/>
    <x v="5"/>
    <s v="01/01/2014"/>
    <s v="30/10/2010"/>
    <s v="01/03/1983"/>
    <s v="A"/>
    <s v="A.IN FORZA"/>
    <s v="1  -ASSUNZIONE                1"/>
    <s v=""/>
    <s v=" "/>
    <s v=""/>
    <s v=""/>
    <n v="2711"/>
    <s v="00"/>
    <n v="100"/>
    <s v="FULL TIME      100000000FF100-FULL TIME"/>
    <s v="30/10/2010"/>
    <s v=""/>
    <s v="  "/>
    <s v=""/>
    <s v="RN  "/>
    <s v="    "/>
    <x v="0"/>
    <s v=""/>
    <s v="giorgio.deluca@radio24.it                         "/>
    <s v="F"/>
    <s v="F-FIRMA"/>
    <s v="1 "/>
    <s v="1=5 X 8"/>
    <s v="01/07/2025"/>
    <s v="TEMPO DETERMINATO"/>
    <s v="31/05/2027"/>
    <s v="0015002764                    "/>
    <s v="SCOTTI GUIDO"/>
    <n v="42"/>
    <s v="I  "/>
  </r>
  <r>
    <x v="0"/>
    <n v="2982"/>
    <x v="0"/>
    <s v="B           "/>
    <s v="DG M&amp;B - DG RADIO 24"/>
    <x v="4"/>
    <x v="4"/>
    <s v="Q16000      "/>
    <s v="Q16000   PRODUZIONE PROGRAMMI RADIO"/>
    <s v="DEFRANCHI                       "/>
    <s v="JACOPO            "/>
    <s v="DFRJCP96E28E463C"/>
    <x v="1"/>
    <s v="34"/>
    <x v="0"/>
    <s v="01/04/2021"/>
    <s v="MILANO                 "/>
    <x v="2"/>
    <x v="2"/>
    <s v="I"/>
    <x v="0"/>
    <s v="3  "/>
    <x v="5"/>
    <s v="01/10/2019"/>
    <s v="01/10/2019"/>
    <s v="28/05/1996"/>
    <s v="A"/>
    <s v="A.IN FORZA"/>
    <s v="1S-ASSUNZIONE STABILIZZAZIONE 1S"/>
    <s v=""/>
    <s v=" "/>
    <s v=""/>
    <s v=""/>
    <n v="2982"/>
    <s v="00"/>
    <n v="100"/>
    <s v="FULL TIME      100000000FF100-FULL TIME"/>
    <s v="01/10/2019"/>
    <s v=""/>
    <s v="  "/>
    <s v=""/>
    <s v="RN  "/>
    <s v="    "/>
    <x v="0"/>
    <s v=""/>
    <s v="jacopo.defranchi@radio24.it                       "/>
    <s v="T"/>
    <s v="T-TIMBRA"/>
    <s v="1 "/>
    <s v="1=5 X 8"/>
    <s v="01/07/2025"/>
    <s v="TEMPO DETERMINATO"/>
    <s v="31/05/2027"/>
    <s v="0015002764                    "/>
    <s v="SCOTTI GUIDO"/>
    <n v="29"/>
    <s v="I  "/>
  </r>
  <r>
    <x v="0"/>
    <n v="2716"/>
    <x v="0"/>
    <s v="B           "/>
    <s v="DG M&amp;B - DG RADIO 24"/>
    <x v="4"/>
    <x v="4"/>
    <s v="Q16000      "/>
    <s v="Q16000   PRODUZIONE PROGRAMMI RADIO"/>
    <s v="FAGGIN                          "/>
    <s v="LAURA             "/>
    <s v="FGGLRA78S59D325L"/>
    <x v="0"/>
    <s v="34"/>
    <x v="0"/>
    <s v="01/04/2021"/>
    <s v="MILANO                 "/>
    <x v="2"/>
    <x v="2"/>
    <s v="I"/>
    <x v="0"/>
    <s v="3  "/>
    <x v="5"/>
    <s v="01/01/2014"/>
    <s v="02/04/2007"/>
    <s v="19/11/1978"/>
    <s v="A"/>
    <s v="A.IN FORZA"/>
    <s v="1  -ASSUNZIONE                1"/>
    <s v=""/>
    <s v=" "/>
    <s v=""/>
    <s v=""/>
    <n v="2716"/>
    <s v="02"/>
    <n v="75"/>
    <s v="30 H O GRA/RADI075000000PP30.0/40- PT 75.00-P"/>
    <s v="01/04/2020"/>
    <s v="31/07/2026"/>
    <s v="  "/>
    <s v=""/>
    <s v="RN  "/>
    <s v="    "/>
    <x v="0"/>
    <s v=""/>
    <s v="laura.faggin@radio24.it                           "/>
    <s v="T"/>
    <s v="T-TIMBRA"/>
    <s v="1 "/>
    <s v="1=5 X 8"/>
    <s v="01/07/2025"/>
    <s v="TEMPO DETERMINATO"/>
    <s v="31/05/2027"/>
    <s v="0015002764                    "/>
    <s v="SCOTTI GUIDO"/>
    <n v="47"/>
    <s v="I  "/>
  </r>
  <r>
    <x v="0"/>
    <n v="2722"/>
    <x v="0"/>
    <s v="B           "/>
    <s v="DG M&amp;B - DG RADIO 24"/>
    <x v="4"/>
    <x v="4"/>
    <s v="Q16000      "/>
    <s v="Q16000   PRODUZIONE PROGRAMMI RADIO"/>
    <s v="FUSCONI                         "/>
    <s v="ELISABETTA        "/>
    <s v="FSCLBT74E67F205M"/>
    <x v="0"/>
    <s v="34"/>
    <x v="0"/>
    <s v="01/04/2021"/>
    <s v="MILANO                 "/>
    <x v="2"/>
    <x v="2"/>
    <s v="I"/>
    <x v="0"/>
    <s v="4  "/>
    <x v="3"/>
    <s v="01/01/2014"/>
    <s v="01/04/2006"/>
    <s v="27/05/1974"/>
    <s v="A"/>
    <s v="A.IN FORZA"/>
    <s v="1  -ASSUNZIONE                1"/>
    <s v=""/>
    <s v=" "/>
    <s v=""/>
    <s v=""/>
    <n v="2722"/>
    <s v="00"/>
    <n v="100"/>
    <s v="FULL TIME      100000000FF100-FULL TIME"/>
    <s v="01/04/2006"/>
    <s v=""/>
    <s v="  "/>
    <s v=""/>
    <s v="RN  "/>
    <s v="    "/>
    <x v="0"/>
    <s v=""/>
    <s v="elisabetta.fusconi@radio24.it                     "/>
    <s v="T"/>
    <s v="T-TIMBRA"/>
    <s v="1 "/>
    <s v="1=5 X 8"/>
    <s v="01/07/2025"/>
    <s v="TEMPO DETERMINATO"/>
    <s v="31/05/2027"/>
    <s v="0015002764                    "/>
    <s v="SCOTTI GUIDO"/>
    <n v="51"/>
    <s v="I  "/>
  </r>
  <r>
    <x v="0"/>
    <n v="3094"/>
    <x v="0"/>
    <s v="B           "/>
    <s v="DG M&amp;B - DG RADIO 24"/>
    <x v="4"/>
    <x v="4"/>
    <s v="Q16000      "/>
    <s v="Q16000   PRODUZIONE PROGRAMMI RADIO"/>
    <s v="GIARDINO                        "/>
    <s v="GIORGIO           "/>
    <s v="GRDGRG98E28D086P"/>
    <x v="1"/>
    <s v="34"/>
    <x v="0"/>
    <s v="20/09/2023"/>
    <s v="MILANO                 "/>
    <x v="2"/>
    <x v="2"/>
    <s v="I"/>
    <x v="0"/>
    <s v="3  "/>
    <x v="5"/>
    <s v="20/09/2023"/>
    <s v="20/09/2023"/>
    <s v="28/05/1998"/>
    <s v="A"/>
    <s v="A.IN FORZA"/>
    <s v="1S-ASSUNZIONE STABILIZZAZIONE 1S"/>
    <s v=""/>
    <s v=" "/>
    <s v=""/>
    <s v=""/>
    <n v="3094"/>
    <s v="00"/>
    <n v="100"/>
    <s v="FULL TIME      100000000FF100-FULL TIME"/>
    <s v="20/09/2023"/>
    <s v=""/>
    <s v="  "/>
    <s v=""/>
    <s v="RN  "/>
    <s v="    "/>
    <x v="0"/>
    <s v=""/>
    <s v="giorgio.giardino@radio24.it                       "/>
    <s v="T"/>
    <s v="T-TIMBRA"/>
    <s v="1 "/>
    <s v="1=5 X 8"/>
    <s v="01/07/2025"/>
    <s v="TEMPO DETERMINATO"/>
    <s v="31/05/2027"/>
    <s v="0015002764                    "/>
    <s v="SCOTTI GUIDO"/>
    <n v="27"/>
    <s v="I  "/>
  </r>
  <r>
    <x v="0"/>
    <n v="2731"/>
    <x v="0"/>
    <s v="B           "/>
    <s v="DG M&amp;B - DG RADIO 24"/>
    <x v="4"/>
    <x v="4"/>
    <s v="Q16000      "/>
    <s v="Q16000   PRODUZIONE PROGRAMMI RADIO"/>
    <s v="LOMBARDO                        "/>
    <s v="MARCO             "/>
    <s v="LMBMRC85M21F335G"/>
    <x v="1"/>
    <s v="34"/>
    <x v="0"/>
    <s v="01/04/2021"/>
    <s v="MILANO                 "/>
    <x v="2"/>
    <x v="2"/>
    <s v="I"/>
    <x v="0"/>
    <s v="3  "/>
    <x v="5"/>
    <s v="01/01/2014"/>
    <s v="22/09/2011"/>
    <s v="21/08/1985"/>
    <s v="A"/>
    <s v="A.IN FORZA"/>
    <s v="1  -ASSUNZIONE                1"/>
    <s v=""/>
    <s v=" "/>
    <s v=""/>
    <s v=""/>
    <n v="2731"/>
    <s v="00"/>
    <n v="100"/>
    <s v="FULL TIME      100000000FF100-FULL TIME"/>
    <s v="22/09/2011"/>
    <s v=""/>
    <s v="  "/>
    <s v=""/>
    <s v="RN  "/>
    <s v="    "/>
    <x v="0"/>
    <s v="U.I.L.             U.I.L"/>
    <s v="marco.lombardo@radio24.it                         "/>
    <s v="T"/>
    <s v="T-TIMBRA"/>
    <s v="1 "/>
    <s v="1=5 X 8"/>
    <s v="01/07/2025"/>
    <s v="TEMPO DETERMINATO"/>
    <s v="31/05/2027"/>
    <s v="0015002764                    "/>
    <s v="SCOTTI GUIDO"/>
    <n v="40"/>
    <s v="I  "/>
  </r>
  <r>
    <x v="0"/>
    <n v="2733"/>
    <x v="0"/>
    <s v="B           "/>
    <s v="DG M&amp;B - DG RADIO 24"/>
    <x v="4"/>
    <x v="4"/>
    <s v="Q16000      "/>
    <s v="Q16000   PRODUZIONE PROGRAMMI RADIO"/>
    <s v="LORENZI                         "/>
    <s v="SILVIO            "/>
    <s v="LRNSLV74E28F205C"/>
    <x v="1"/>
    <s v="34"/>
    <x v="0"/>
    <s v="01/04/2021"/>
    <s v="MILANO                 "/>
    <x v="2"/>
    <x v="2"/>
    <s v="I"/>
    <x v="0"/>
    <s v="5  "/>
    <x v="4"/>
    <s v="01/01/2014"/>
    <s v="23/08/1999"/>
    <s v="28/05/1974"/>
    <s v="A"/>
    <s v="A.IN FORZA"/>
    <s v="1  -ASSUNZIONE                1"/>
    <s v=""/>
    <s v=" "/>
    <s v=""/>
    <s v=""/>
    <n v="2733"/>
    <s v="00"/>
    <n v="100"/>
    <s v="FULL TIME      100000000FF100-FULL TIME"/>
    <s v="23/08/1999"/>
    <s v=""/>
    <s v="  "/>
    <s v=""/>
    <s v="RN  "/>
    <s v="    "/>
    <x v="0"/>
    <s v="U.I.L.             U.I.L"/>
    <s v="silvio.lorenzi@radio24.it                         "/>
    <s v="F"/>
    <s v="F-FIRMA"/>
    <s v="1 "/>
    <s v="1=5 X 8"/>
    <s v="01/07/2025"/>
    <s v="TEMPO DETERMINATO"/>
    <s v="31/05/2027"/>
    <s v="0015002764                    "/>
    <s v="SCOTTI GUIDO"/>
    <n v="51"/>
    <s v="I  "/>
  </r>
  <r>
    <x v="0"/>
    <n v="2812"/>
    <x v="0"/>
    <s v="B           "/>
    <s v="DG M&amp;B - DG RADIO 24"/>
    <x v="4"/>
    <x v="4"/>
    <s v="Q16000      "/>
    <s v="Q16000   PRODUZIONE PROGRAMMI RADIO"/>
    <s v="LUCHETTI                        "/>
    <s v="MIRIAM            "/>
    <s v="LCHMRM84A52B639Z"/>
    <x v="0"/>
    <s v="34"/>
    <x v="0"/>
    <s v="01/04/2021"/>
    <s v="MILANO                 "/>
    <x v="2"/>
    <x v="2"/>
    <s v="I"/>
    <x v="0"/>
    <s v="3  "/>
    <x v="5"/>
    <s v="12/01/2015"/>
    <s v="12/01/2015"/>
    <s v="12/01/1984"/>
    <s v="A"/>
    <s v="A.IN FORZA"/>
    <s v="1  -ASSUNZIONE                1"/>
    <s v=""/>
    <s v=" "/>
    <s v=""/>
    <s v=""/>
    <n v="2812"/>
    <s v="00"/>
    <n v="100"/>
    <s v="FULL TIME      100000000FF100-FULL TIME"/>
    <s v="12/01/2015"/>
    <s v=""/>
    <s v="  "/>
    <s v=""/>
    <s v="RN  "/>
    <s v="    "/>
    <x v="0"/>
    <s v=""/>
    <s v="miriam.luchetti@radio24.it                        "/>
    <s v="T"/>
    <s v="T-TIMBRA"/>
    <s v="1 "/>
    <s v="1=5 X 8"/>
    <s v="01/07/2025"/>
    <s v="TEMPO DETERMINATO"/>
    <s v="31/05/2027"/>
    <s v="0015002764                    "/>
    <s v="SCOTTI GUIDO"/>
    <n v="42"/>
    <s v="I  "/>
  </r>
  <r>
    <x v="0"/>
    <n v="2737"/>
    <x v="0"/>
    <s v="B           "/>
    <s v="DG M&amp;B - DG RADIO 24"/>
    <x v="4"/>
    <x v="4"/>
    <s v="Q16000      "/>
    <s v="Q16000   PRODUZIONE PROGRAMMI RADIO"/>
    <s v="MARCOTULLI                      "/>
    <s v="ALESSANDRO        "/>
    <s v="MRCLSN72D07H501J"/>
    <x v="1"/>
    <s v="34"/>
    <x v="0"/>
    <s v="01/04/2021"/>
    <s v="MILANO                 "/>
    <x v="2"/>
    <x v="2"/>
    <s v="I"/>
    <x v="0"/>
    <s v="4  "/>
    <x v="3"/>
    <s v="01/01/2014"/>
    <s v="14/01/2008"/>
    <s v="07/04/1972"/>
    <s v="A"/>
    <s v="A.IN FORZA"/>
    <s v="1  -ASSUNZIONE                1"/>
    <s v=""/>
    <s v=" "/>
    <s v=""/>
    <s v=""/>
    <n v="2737"/>
    <s v="00"/>
    <n v="100"/>
    <s v="FULL TIME      100000000FF100-FULL TIME"/>
    <s v="14/01/2008"/>
    <s v=""/>
    <s v="  "/>
    <s v=""/>
    <s v="RN  "/>
    <s v="    "/>
    <x v="0"/>
    <s v=""/>
    <s v="alessandro.marcotulli@radio24.it                  "/>
    <s v="T"/>
    <s v="T-TIMBRA"/>
    <s v="1 "/>
    <s v="1=5 X 8"/>
    <s v="01/07/2025"/>
    <s v="TEMPO DETERMINATO"/>
    <s v="31/05/2027"/>
    <s v="0015002764                    "/>
    <s v="SCOTTI GUIDO"/>
    <n v="53"/>
    <s v="I  "/>
  </r>
  <r>
    <x v="0"/>
    <n v="2806"/>
    <x v="0"/>
    <s v="B           "/>
    <s v="DG M&amp;B - DG RADIO 24"/>
    <x v="4"/>
    <x v="4"/>
    <s v="Q16000      "/>
    <s v="Q16000   PRODUZIONE PROGRAMMI RADIO"/>
    <s v="NESPOLI                         "/>
    <s v="LORENZO           "/>
    <s v="NSPLNZ85S28B639M"/>
    <x v="1"/>
    <s v="34"/>
    <x v="0"/>
    <s v="01/04/2021"/>
    <s v="MILANO                 "/>
    <x v="2"/>
    <x v="2"/>
    <s v="I"/>
    <x v="0"/>
    <s v="3  "/>
    <x v="5"/>
    <s v="01/10/2014"/>
    <s v="01/10/2014"/>
    <s v="28/11/1985"/>
    <s v="A"/>
    <s v="A.IN FORZA"/>
    <s v="1  -ASSUNZIONE                1"/>
    <s v=""/>
    <s v=" "/>
    <s v=""/>
    <s v=""/>
    <n v="2806"/>
    <s v="00"/>
    <n v="100"/>
    <s v="FULL TIME      100000000FF100-FULL TIME"/>
    <s v="01/03/2015"/>
    <s v=""/>
    <s v="  "/>
    <s v=""/>
    <s v="RN  "/>
    <s v="    "/>
    <x v="0"/>
    <s v=""/>
    <s v="lorenzo.nespoli@radio24.it                        "/>
    <s v="T"/>
    <s v="T-TIMBRA"/>
    <s v="5 "/>
    <s v="5=6 X 6,66"/>
    <s v="01/07/2025"/>
    <s v="TEMPO DETERMINATO"/>
    <s v="31/05/2027"/>
    <s v="0015002764                    "/>
    <s v="SCOTTI GUIDO"/>
    <n v="40"/>
    <s v="I  "/>
  </r>
  <r>
    <x v="0"/>
    <n v="2750"/>
    <x v="0"/>
    <s v="B           "/>
    <s v="DG M&amp;B - DG RADIO 24"/>
    <x v="4"/>
    <x v="4"/>
    <s v="Q16000      "/>
    <s v="Q16000   PRODUZIONE PROGRAMMI RADIO"/>
    <s v="PANIZZA ARIOTTI                 "/>
    <s v="ANITA AURELIA     "/>
    <s v="PNZNRL77E67L219J"/>
    <x v="0"/>
    <s v="34"/>
    <x v="0"/>
    <s v="01/04/2021"/>
    <s v="MILANO                 "/>
    <x v="2"/>
    <x v="2"/>
    <s v="I"/>
    <x v="0"/>
    <s v="4  "/>
    <x v="3"/>
    <s v="01/01/2014"/>
    <s v="01/04/2006"/>
    <s v="27/05/1977"/>
    <s v="A"/>
    <s v="A.IN FORZA"/>
    <s v="1  -ASSUNZIONE                1"/>
    <s v=""/>
    <s v=" "/>
    <s v=""/>
    <s v=""/>
    <n v="2750"/>
    <s v="00"/>
    <n v="100"/>
    <s v="FULL TIME      100000000FF100-FULL TIME"/>
    <s v="01/04/2006"/>
    <s v=""/>
    <s v="  "/>
    <s v=""/>
    <s v="RN  "/>
    <s v="    "/>
    <x v="0"/>
    <s v="U.I.L.             U.I.L"/>
    <s v="anita.panizza@radio24.it                          "/>
    <s v="T"/>
    <s v="T-TIMBRA"/>
    <s v="1 "/>
    <s v="1=5 X 8"/>
    <s v="01/07/2025"/>
    <s v="TEMPO DETERMINATO"/>
    <s v="31/05/2027"/>
    <s v="0015002764                    "/>
    <s v="SCOTTI GUIDO"/>
    <n v="48"/>
    <s v="I  "/>
  </r>
  <r>
    <x v="0"/>
    <n v="2755"/>
    <x v="0"/>
    <s v="B           "/>
    <s v="DG M&amp;B - DG RADIO 24"/>
    <x v="4"/>
    <x v="4"/>
    <s v="Q16000      "/>
    <s v="Q16000   PRODUZIONE PROGRAMMI RADIO"/>
    <s v="POLI                            "/>
    <s v="RICCARDO          "/>
    <s v="PLORCR82T24L949L"/>
    <x v="1"/>
    <s v="34"/>
    <x v="0"/>
    <s v="01/04/2021"/>
    <s v="MILANO                 "/>
    <x v="2"/>
    <x v="2"/>
    <s v="I"/>
    <x v="0"/>
    <s v="3  "/>
    <x v="5"/>
    <s v="01/01/2014"/>
    <s v="25/03/2010"/>
    <s v="24/12/1982"/>
    <s v="A"/>
    <s v="A.IN FORZA"/>
    <s v="1  -ASSUNZIONE                1"/>
    <s v=""/>
    <s v=" "/>
    <s v=""/>
    <s v=""/>
    <n v="2755"/>
    <s v="00"/>
    <n v="100"/>
    <s v="FULL TIME      100000000FF100-FULL TIME"/>
    <s v="25/03/2010"/>
    <s v=""/>
    <s v="  "/>
    <s v=""/>
    <s v="RN  "/>
    <s v="    "/>
    <x v="0"/>
    <s v=""/>
    <s v="riccardo.poli@radio24.it                          "/>
    <s v="T"/>
    <s v="T-TIMBRA"/>
    <s v="1 "/>
    <s v="1=5 X 8"/>
    <s v="01/07/2025"/>
    <s v="TEMPO DETERMINATO"/>
    <s v="31/05/2027"/>
    <s v="0015002764                    "/>
    <s v="SCOTTI GUIDO"/>
    <n v="43"/>
    <s v="I  "/>
  </r>
  <r>
    <x v="0"/>
    <n v="3006"/>
    <x v="0"/>
    <s v="B           "/>
    <s v="DG M&amp;B - DG RADIO 24"/>
    <x v="4"/>
    <x v="4"/>
    <s v="Q16000      "/>
    <s v="Q16000   PRODUZIONE PROGRAMMI RADIO"/>
    <s v="SANTORO                         "/>
    <s v="MARCO             "/>
    <s v="SNTMRC93C14A489I"/>
    <x v="1"/>
    <s v="34"/>
    <x v="0"/>
    <s v="01/04/2021"/>
    <s v="MILANO                 "/>
    <x v="2"/>
    <x v="2"/>
    <s v="I"/>
    <x v="0"/>
    <s v="3  "/>
    <x v="5"/>
    <s v="06/10/2020"/>
    <s v="06/10/2020"/>
    <s v="14/03/1993"/>
    <s v="A"/>
    <s v="A.IN FORZA"/>
    <s v="1S-ASSUNZIONE STABILIZZAZIONE 1S"/>
    <s v="30/09/2022"/>
    <s v=" "/>
    <s v=""/>
    <s v=""/>
    <n v="3006"/>
    <s v="00"/>
    <n v="100"/>
    <s v="FULL TIME      100000000FF100-FULL TIME"/>
    <s v="06/10/2020"/>
    <s v=""/>
    <s v="  "/>
    <s v=""/>
    <s v="RN  "/>
    <s v="    "/>
    <x v="0"/>
    <s v=""/>
    <s v="marco.santoro@radio24.it                          "/>
    <s v="T"/>
    <s v="T-TIMBRA"/>
    <s v="1 "/>
    <s v="1=5 X 8"/>
    <s v="01/07/2025"/>
    <s v="TEMPO DETERMINATO"/>
    <s v="31/05/2027"/>
    <s v="0015002764                    "/>
    <s v="SCOTTI GUIDO"/>
    <n v="32"/>
    <s v="I  "/>
  </r>
  <r>
    <x v="0"/>
    <n v="2811"/>
    <x v="0"/>
    <s v="B           "/>
    <s v="DG M&amp;B - DG RADIO 24"/>
    <x v="4"/>
    <x v="4"/>
    <s v="Q16000      "/>
    <s v="Q16000   PRODUZIONE PROGRAMMI RADIO"/>
    <s v="SCHIATTONE                      "/>
    <s v="CLAUDIA           "/>
    <s v="SCHCLD89P61C136T"/>
    <x v="0"/>
    <s v="34"/>
    <x v="0"/>
    <s v="01/04/2021"/>
    <s v="MILANO                 "/>
    <x v="2"/>
    <x v="2"/>
    <s v="I"/>
    <x v="0"/>
    <s v="3  "/>
    <x v="5"/>
    <s v="07/01/2015"/>
    <s v="07/01/2015"/>
    <s v="21/09/1989"/>
    <s v="A"/>
    <s v="A.IN FORZA"/>
    <s v="1  -ASSUNZIONE                1"/>
    <s v=""/>
    <s v=" "/>
    <s v=""/>
    <s v=""/>
    <n v="2811"/>
    <s v="00"/>
    <n v="100"/>
    <s v="FULL TIME      100000000FF100-FULL TIME"/>
    <s v="07/01/2015"/>
    <s v=""/>
    <s v="  "/>
    <s v=""/>
    <s v="RN  "/>
    <s v="    "/>
    <x v="0"/>
    <s v=""/>
    <s v="claudia.schiattone@radio24.it                     "/>
    <s v="T"/>
    <s v="T-TIMBRA"/>
    <s v="1 "/>
    <s v="1=5 X 8"/>
    <s v="01/07/2025"/>
    <s v="TEMPO DETERMINATO"/>
    <s v="31/05/2027"/>
    <s v="0015002764                    "/>
    <s v="SCOTTI GUIDO"/>
    <n v="36"/>
    <s v="I  "/>
  </r>
  <r>
    <x v="0"/>
    <n v="2998"/>
    <x v="0"/>
    <s v="B           "/>
    <s v="DG M&amp;B - DG RADIO 24"/>
    <x v="4"/>
    <x v="4"/>
    <s v="Q16000      "/>
    <s v="Q16000   PRODUZIONE PROGRAMMI RADIO"/>
    <s v="SCHIRANO                        "/>
    <s v="ALESSANDRO        "/>
    <s v="SCHLSN89A10L049F"/>
    <x v="1"/>
    <s v="34"/>
    <x v="0"/>
    <s v="01/04/2021"/>
    <s v="MILANO                 "/>
    <x v="2"/>
    <x v="2"/>
    <s v="I"/>
    <x v="0"/>
    <s v="3  "/>
    <x v="5"/>
    <s v="22/06/2020"/>
    <s v="22/06/2020"/>
    <s v="10/01/1989"/>
    <s v="A"/>
    <s v="A.IN FORZA"/>
    <s v="1S-ASSUNZIONE STABILIZZAZIONE 1S"/>
    <s v=""/>
    <s v=" "/>
    <s v=""/>
    <s v=""/>
    <n v="2998"/>
    <s v="00"/>
    <n v="100"/>
    <s v="FULL TIME      100000000FF100-FULL TIME"/>
    <s v="22/06/2020"/>
    <s v=""/>
    <s v="05"/>
    <s v="INVALIDI CIVILI"/>
    <s v="RN  "/>
    <s v="    "/>
    <x v="0"/>
    <s v=""/>
    <s v="alessandro.schirano@radio24.it                    "/>
    <s v="T"/>
    <s v="T-TIMBRA"/>
    <s v="5 "/>
    <s v="5=6 X 6,66"/>
    <s v="01/07/2025"/>
    <s v="TEMPO DETERMINATO"/>
    <s v="31/05/2027"/>
    <s v="0015002764                    "/>
    <s v="SCOTTI GUIDO"/>
    <n v="37"/>
    <s v="I  "/>
  </r>
  <r>
    <x v="0"/>
    <n v="2764"/>
    <x v="0"/>
    <s v="B           "/>
    <s v="DG M&amp;B - DG RADIO 24"/>
    <x v="4"/>
    <x v="4"/>
    <s v="Q16000      "/>
    <s v="Q16000   PRODUZIONE PROGRAMMI RADIO"/>
    <s v="SCOTTI                          "/>
    <s v="GUIDO             "/>
    <s v="SCTGDU74L24F704Y"/>
    <x v="1"/>
    <s v="34"/>
    <x v="0"/>
    <s v="01/04/2021"/>
    <s v="MILANO                 "/>
    <x v="2"/>
    <x v="2"/>
    <s v="F"/>
    <x v="2"/>
    <s v="6Q "/>
    <x v="2"/>
    <s v="01/01/2014"/>
    <s v="07/02/2005"/>
    <s v="24/07/1974"/>
    <s v="A"/>
    <s v="A.IN FORZA"/>
    <s v="1  -ASSUNZIONE                1"/>
    <s v=""/>
    <s v=" "/>
    <s v=""/>
    <s v=""/>
    <n v="2764"/>
    <s v="00"/>
    <n v="100"/>
    <s v="FULL TIME      100000000FF100-FULL TIME"/>
    <s v="07/02/2005"/>
    <s v=""/>
    <s v="  "/>
    <s v=""/>
    <s v="RN  "/>
    <s v="    "/>
    <x v="0"/>
    <s v=""/>
    <s v="guido.scotti@radio24.it                           "/>
    <s v="F"/>
    <s v="F-FIRMA"/>
    <s v="1 "/>
    <s v="1=5 X 8"/>
    <s v="01/07/2025"/>
    <s v="TEMPO DETERMINATO"/>
    <s v="31/05/2027"/>
    <s v="0015002960                    "/>
    <s v="SILVESTRI FEDERICO"/>
    <n v="51"/>
    <s v="I  "/>
  </r>
  <r>
    <x v="0"/>
    <n v="2765"/>
    <x v="0"/>
    <s v="B           "/>
    <s v="DG M&amp;B - DG RADIO 24"/>
    <x v="4"/>
    <x v="4"/>
    <s v="Q16000      "/>
    <s v="Q16000   PRODUZIONE PROGRAMMI RADIO"/>
    <s v="SPECIALE                        "/>
    <s v="LUIGI             "/>
    <s v="SPCLGU76D05G273Q"/>
    <x v="1"/>
    <s v="34"/>
    <x v="0"/>
    <s v="01/04/2021"/>
    <s v="MILANO                 "/>
    <x v="2"/>
    <x v="2"/>
    <s v="I"/>
    <x v="0"/>
    <s v="5  "/>
    <x v="4"/>
    <s v="01/01/2014"/>
    <s v="04/09/2006"/>
    <s v="05/04/1976"/>
    <s v="A"/>
    <s v="A.IN FORZA"/>
    <s v="1  -ASSUNZIONE                1"/>
    <s v=""/>
    <s v=" "/>
    <s v=""/>
    <s v=""/>
    <n v="2765"/>
    <s v="00"/>
    <n v="100"/>
    <s v="FULL TIME      100000000FF100-FULL TIME"/>
    <s v="04/09/2006"/>
    <s v=""/>
    <s v="  "/>
    <s v=""/>
    <s v="RN  "/>
    <s v="    "/>
    <x v="0"/>
    <s v=""/>
    <s v="luigi.speciale@radio24.it                         "/>
    <s v="F"/>
    <s v="F-FIRMA"/>
    <s v="1 "/>
    <s v="1=5 X 8"/>
    <s v="01/07/2025"/>
    <s v="TEMPO DETERMINATO"/>
    <s v="31/05/2027"/>
    <s v="0015002764                    "/>
    <s v="SCOTTI GUIDO"/>
    <n v="49"/>
    <s v="I  "/>
  </r>
  <r>
    <x v="0"/>
    <n v="2827"/>
    <x v="0"/>
    <s v="B           "/>
    <s v="DG M&amp;B - DG RADIO 24"/>
    <x v="4"/>
    <x v="4"/>
    <s v="Q16000      "/>
    <s v="Q16000   PRODUZIONE PROGRAMMI RADIO"/>
    <s v="TERNULLO                        "/>
    <s v="VALENTINA         "/>
    <s v="TRNVNT82T56E281B"/>
    <x v="0"/>
    <s v="34"/>
    <x v="0"/>
    <s v="01/04/2021"/>
    <s v="MILANO                 "/>
    <x v="2"/>
    <x v="2"/>
    <s v="I"/>
    <x v="0"/>
    <s v="3  "/>
    <x v="5"/>
    <s v="11/05/2015"/>
    <s v="11/05/2015"/>
    <s v="16/12/1982"/>
    <s v="A"/>
    <s v="A.IN FORZA"/>
    <s v="1  -ASSUNZIONE                1"/>
    <s v="16/08/2022"/>
    <s v=" "/>
    <s v=""/>
    <s v=""/>
    <n v="2827"/>
    <s v="00"/>
    <n v="100"/>
    <s v="FULL TIME      100000000FF100-FULL TIME"/>
    <s v="11/05/2015"/>
    <s v=""/>
    <s v="  "/>
    <s v=""/>
    <s v="RN  "/>
    <s v="    "/>
    <x v="0"/>
    <s v=""/>
    <s v="valentina.ternullo@radio24.it                     "/>
    <s v="F"/>
    <s v="F-FIRMA"/>
    <s v="1 "/>
    <s v="1=5 X 8"/>
    <s v="01/07/2025"/>
    <s v="TEMPO DETERMINATO"/>
    <s v="31/05/2027"/>
    <s v="0015002764                    "/>
    <s v="SCOTTI GUIDO"/>
    <n v="43"/>
    <s v="I  "/>
  </r>
  <r>
    <x v="0"/>
    <n v="2771"/>
    <x v="0"/>
    <s v="B           "/>
    <s v="DG M&amp;B - DG RADIO 24"/>
    <x v="4"/>
    <x v="4"/>
    <s v="Q16000      "/>
    <s v="Q16000   PRODUZIONE PROGRAMMI RADIO"/>
    <s v="VANOSSI                         "/>
    <s v="LAURA             "/>
    <s v="VNSLRA79C51B639A"/>
    <x v="0"/>
    <s v="34"/>
    <x v="0"/>
    <s v="01/04/2021"/>
    <s v="MILANO                 "/>
    <x v="2"/>
    <x v="2"/>
    <s v="I"/>
    <x v="0"/>
    <s v="3  "/>
    <x v="5"/>
    <s v="01/01/2014"/>
    <s v="04/04/2006"/>
    <s v="11/03/1979"/>
    <s v="A"/>
    <s v="A.IN FORZA"/>
    <s v="1  -ASSUNZIONE                1"/>
    <s v=""/>
    <s v=" "/>
    <s v=""/>
    <s v=""/>
    <n v="2771"/>
    <s v="00"/>
    <n v="100"/>
    <s v="FULL TIME      100000000FF100-FULL TIME"/>
    <s v="05/09/2019"/>
    <s v=""/>
    <s v="  "/>
    <s v=""/>
    <s v="RN  "/>
    <s v="    "/>
    <x v="0"/>
    <s v=""/>
    <s v="laura.vanossi@radio24.it                          "/>
    <s v="T"/>
    <s v="T-TIMBRA"/>
    <s v="1 "/>
    <s v="1=5 X 8"/>
    <s v="01/07/2025"/>
    <s v="TEMPO DETERMINATO"/>
    <s v="31/05/2027"/>
    <s v="0015002764                    "/>
    <s v="SCOTTI GUIDO"/>
    <n v="46"/>
    <s v="I  "/>
  </r>
  <r>
    <x v="0"/>
    <n v="2730"/>
    <x v="0"/>
    <s v="B           "/>
    <s v="DG M&amp;B - DG RADIO 24"/>
    <x v="5"/>
    <x v="5"/>
    <s v="Q19300      "/>
    <s v="Q19300  EVENTI RADIO24"/>
    <s v="LIGIOS                          "/>
    <s v="ELENA             "/>
    <s v="LGSLNE75R53I452W"/>
    <x v="0"/>
    <s v="34"/>
    <x v="0"/>
    <s v="01/04/2021"/>
    <s v="MILANO                 "/>
    <x v="2"/>
    <x v="2"/>
    <s v="I"/>
    <x v="0"/>
    <s v="5  "/>
    <x v="4"/>
    <s v="01/01/2014"/>
    <s v="02/05/2007"/>
    <s v="13/10/1975"/>
    <s v="A"/>
    <s v="A.IN FORZA"/>
    <s v="1  -ASSUNZIONE                1"/>
    <s v=""/>
    <s v=" "/>
    <s v=""/>
    <s v=""/>
    <n v="2730"/>
    <s v="00"/>
    <n v="100"/>
    <s v="FULL TIME      100000000FF100-FULL TIME"/>
    <s v="02/05/2007"/>
    <s v=""/>
    <s v="  "/>
    <s v=""/>
    <s v="RN  "/>
    <s v="    "/>
    <x v="0"/>
    <s v=""/>
    <s v="elena.ligios@radio24.it                           "/>
    <s v="F"/>
    <s v="F-FIRMA"/>
    <s v="1 "/>
    <s v="1=5 X 8"/>
    <s v="01/07/2025"/>
    <s v="TEMPO DETERMINATO"/>
    <s v="31/05/2027"/>
    <s v="0015002960                    "/>
    <s v="SILVESTRI FEDERICO"/>
    <n v="50"/>
    <s v="I  "/>
  </r>
  <r>
    <x v="0"/>
    <n v="2237"/>
    <x v="0"/>
    <s v="D           "/>
    <s v="DG M&amp;B - DG PUBLISHING &amp; DIGITAL"/>
    <x v="6"/>
    <x v="6"/>
    <s v="512000      "/>
    <s v="512000   MARKETING EDITORIALE"/>
    <s v="FLORIO                          "/>
    <s v="FRANCESCA         "/>
    <s v="FLRFNC80B62D086M"/>
    <x v="0"/>
    <s v="34"/>
    <x v="0"/>
    <s v="01/04/2021"/>
    <s v="MILANO                 "/>
    <x v="0"/>
    <x v="0"/>
    <s v="I"/>
    <x v="0"/>
    <s v="AS "/>
    <x v="7"/>
    <s v="15/10/2007"/>
    <s v="15/10/2007"/>
    <s v="22/02/1980"/>
    <s v="A"/>
    <s v="A.IN FORZA"/>
    <s v="1  -ASSUNZIONE                1"/>
    <s v=""/>
    <s v=" "/>
    <s v=""/>
    <s v=""/>
    <n v="1678"/>
    <s v="00"/>
    <n v="100"/>
    <s v="FULL TIME      100000000FF100-FULL TIME"/>
    <s v="15/10/2007"/>
    <s v=""/>
    <s v="  "/>
    <s v=""/>
    <s v="EV  "/>
    <s v="    "/>
    <x v="0"/>
    <s v=""/>
    <s v="francesca.florio@ilsole24ore.com                  "/>
    <s v="F"/>
    <s v="F-FIRMA"/>
    <s v="1 "/>
    <s v="1=5 X 8"/>
    <s v="01/07/2025"/>
    <s v="TEMPO DETERMINATO"/>
    <s v="31/05/2027"/>
    <s v="0015002983                    "/>
    <s v="MUZZA MANUELA"/>
    <n v="45"/>
    <s v="I  "/>
  </r>
  <r>
    <x v="0"/>
    <n v="1778"/>
    <x v="0"/>
    <s v="D           "/>
    <s v="DG M&amp;B - DG PUBLISHING &amp; DIGITAL"/>
    <x v="6"/>
    <x v="6"/>
    <s v="512000      "/>
    <s v="512000   MARKETING EDITORIALE"/>
    <s v="GORINI                          "/>
    <s v="FEDERICO          "/>
    <s v="GRNFRC74A28F205D"/>
    <x v="1"/>
    <s v="34"/>
    <x v="0"/>
    <s v="01/04/2021"/>
    <s v="MILANO                 "/>
    <x v="0"/>
    <x v="0"/>
    <s v="I"/>
    <x v="0"/>
    <s v="AS "/>
    <x v="7"/>
    <s v="01/07/2001"/>
    <s v="03/07/2000"/>
    <s v="28/01/1974"/>
    <s v="A"/>
    <s v="A.IN FORZA"/>
    <s v="2  -VARIAZIONE SOCIETARIA     2"/>
    <s v=""/>
    <s v=" "/>
    <s v=""/>
    <s v=""/>
    <n v="1405"/>
    <s v="00"/>
    <n v="100"/>
    <s v="FULL TIME      100000000FF100-FULL TIME"/>
    <s v="01/07/2001"/>
    <s v=""/>
    <s v="  "/>
    <s v=""/>
    <s v="EV  "/>
    <s v="    "/>
    <x v="0"/>
    <s v=""/>
    <s v="federico.gorini@ilsole24ore.com                   "/>
    <s v="F"/>
    <s v="F-FIRMA"/>
    <s v="1 "/>
    <s v="1=5 X 8"/>
    <s v="01/07/2025"/>
    <s v="TEMPO DETERMINATO"/>
    <s v="31/05/2027"/>
    <s v="0015002983                    "/>
    <s v="MUZZA MANUELA"/>
    <n v="52"/>
    <s v="I  "/>
  </r>
  <r>
    <x v="0"/>
    <n v="3068"/>
    <x v="0"/>
    <s v="D           "/>
    <s v="DG M&amp;B - DG PUBLISHING &amp; DIGITAL"/>
    <x v="6"/>
    <x v="6"/>
    <s v="512000      "/>
    <s v="512000   MARKETING EDITORIALE"/>
    <s v="LA GALA                         "/>
    <s v="ANTONIO           "/>
    <s v="LGLNTN77C17F924I"/>
    <x v="1"/>
    <s v="34"/>
    <x v="0"/>
    <s v="01/03/2023"/>
    <s v="MILANO                 "/>
    <x v="0"/>
    <x v="0"/>
    <s v="F"/>
    <x v="2"/>
    <s v="Q  "/>
    <x v="8"/>
    <s v="01/03/2023"/>
    <s v="01/03/2023"/>
    <s v="17/03/1977"/>
    <s v="A"/>
    <s v="A.IN FORZA"/>
    <s v="1  -ASSUNZIONE                1"/>
    <s v=""/>
    <s v=" "/>
    <s v=""/>
    <s v=""/>
    <n v="3068"/>
    <s v="00"/>
    <n v="100"/>
    <s v="FULL TIME      100000000FF100-FULL TIME"/>
    <s v="01/03/2023"/>
    <s v=""/>
    <s v="  "/>
    <s v=""/>
    <s v="EN  "/>
    <s v="    "/>
    <x v="0"/>
    <s v=""/>
    <s v="antonio.lagala@ilsole24ore.com                    "/>
    <s v="F"/>
    <s v="F-FIRMA"/>
    <s v="1 "/>
    <s v="1=5 X 8"/>
    <s v="01/07/2025"/>
    <s v="TEMPO DETERMINATO"/>
    <s v="31/05/2027"/>
    <s v="0015002983                    "/>
    <s v="MUZZA MANUELA"/>
    <n v="48"/>
    <s v="I  "/>
  </r>
  <r>
    <x v="0"/>
    <n v="3132"/>
    <x v="0"/>
    <s v="D           "/>
    <s v="DG M&amp;B - DG PUBLISHING &amp; DIGITAL"/>
    <x v="6"/>
    <x v="6"/>
    <s v="512000      "/>
    <s v="512000   MARKETING EDITORIALE"/>
    <s v="PISSENATI                       "/>
    <s v="SARA              "/>
    <s v="PSSSRA98H64F205N"/>
    <x v="0"/>
    <s v="34"/>
    <x v="0"/>
    <s v="02/09/2024"/>
    <s v="MILANO                 "/>
    <x v="0"/>
    <x v="0"/>
    <s v="I"/>
    <x v="0"/>
    <s v="B3 "/>
    <x v="9"/>
    <s v="02/09/2024"/>
    <s v="02/09/2024"/>
    <s v="24/06/1998"/>
    <s v="A"/>
    <s v="A.IN FORZA"/>
    <s v="1  -ASSUNZIONE                1"/>
    <s v=""/>
    <s v=" "/>
    <s v=""/>
    <s v=""/>
    <n v="3132"/>
    <s v="00"/>
    <n v="100"/>
    <s v="FULL TIME      100000000FF100-FULL TIME"/>
    <s v="02/09/2024"/>
    <s v=""/>
    <s v="  "/>
    <s v=""/>
    <s v="EN  "/>
    <s v="    "/>
    <x v="0"/>
    <s v=""/>
    <s v="sara.pissenati@ilsole24ore.com                    "/>
    <s v=" "/>
    <s v=""/>
    <s v="  "/>
    <s v=""/>
    <s v="01/07/2025"/>
    <s v="TEMPO DETERMINATO"/>
    <s v="31/05/2027"/>
    <s v="0015003068                    "/>
    <s v="LA GALA ANTONIO"/>
    <n v="27"/>
    <s v="I  "/>
  </r>
  <r>
    <x v="0"/>
    <n v="2210"/>
    <x v="0"/>
    <s v="D           "/>
    <s v="DG M&amp;B - DG PUBLISHING &amp; DIGITAL"/>
    <x v="6"/>
    <x v="6"/>
    <s v="512000      "/>
    <s v="512000   MARKETING EDITORIALE"/>
    <s v="SCABBIA                         "/>
    <s v="STEFANO           "/>
    <s v="SCBSFN74B22F205F"/>
    <x v="1"/>
    <s v="34"/>
    <x v="0"/>
    <s v="01/04/2021"/>
    <s v="MILANO                 "/>
    <x v="0"/>
    <x v="0"/>
    <s v="I"/>
    <x v="0"/>
    <s v="B1 "/>
    <x v="10"/>
    <s v="02/07/2007"/>
    <s v="02/07/2007"/>
    <s v="22/02/1974"/>
    <s v="A"/>
    <s v="A.IN FORZA"/>
    <s v="1  -ASSUNZIONE                1"/>
    <s v=""/>
    <s v=" "/>
    <s v=""/>
    <s v=""/>
    <n v="1662"/>
    <s v="00"/>
    <n v="100"/>
    <s v="FULL TIME      100000000FF100-FULL TIME"/>
    <s v="02/07/2007"/>
    <s v=""/>
    <s v="  "/>
    <s v=""/>
    <s v="EV  "/>
    <s v="    "/>
    <x v="0"/>
    <s v="U.I.L.             U.I.L"/>
    <s v="stefano.scabbia@ilsole24ore.com                   "/>
    <s v="F"/>
    <s v="F-FIRMA"/>
    <s v="1 "/>
    <s v="1=5 X 8"/>
    <s v="01/07/2025"/>
    <s v="TEMPO DETERMINATO"/>
    <s v="31/05/2027"/>
    <s v="0015002983                    "/>
    <s v="MUZZA MANUELA"/>
    <n v="51"/>
    <s v="I  "/>
  </r>
  <r>
    <x v="0"/>
    <n v="2983"/>
    <x v="0"/>
    <s v="D           "/>
    <s v="DG M&amp;B - DG PUBLISHING &amp; DIGITAL"/>
    <x v="6"/>
    <x v="6"/>
    <s v="51210010    "/>
    <s v="51210010 SVILUPPO DIGITALE MKTG EDITORIA"/>
    <s v="MUZZA                           "/>
    <s v="MANUELA           "/>
    <s v="MZZMNL80B46F205O"/>
    <x v="0"/>
    <s v="34"/>
    <x v="0"/>
    <s v="01/04/2021"/>
    <s v="MILANO                 "/>
    <x v="1"/>
    <x v="1"/>
    <s v="D"/>
    <x v="1"/>
    <s v="D  "/>
    <x v="1"/>
    <s v="01/11/2019"/>
    <s v="01/11/2019"/>
    <s v="06/02/1980"/>
    <s v="A"/>
    <s v="A.IN FORZA"/>
    <s v="1  -ASSUNZIONE                1"/>
    <s v=""/>
    <s v=" "/>
    <s v=""/>
    <s v=""/>
    <n v="2983"/>
    <s v="00"/>
    <n v="100"/>
    <s v="FULL TIME      100000000FF100-FULL TIME"/>
    <s v="01/11/2019"/>
    <s v=""/>
    <s v="  "/>
    <s v=""/>
    <s v="DD  "/>
    <s v="    "/>
    <x v="0"/>
    <s v=""/>
    <s v="manuela.muzza@ilsole24ore.com                     "/>
    <s v="E"/>
    <s v="E-ESENTE"/>
    <s v="1 "/>
    <s v="1=5 X 8"/>
    <s v="01/07/2025"/>
    <s v="TEMPO DETERMINATO"/>
    <s v="31/05/2026"/>
    <s v="0015002960                    "/>
    <s v="SILVESTRI FEDERICO"/>
    <n v="45"/>
    <s v="I  "/>
  </r>
  <r>
    <x v="0"/>
    <n v="2454"/>
    <x v="0"/>
    <s v="D           "/>
    <s v="DG M&amp;B - DG PUBLISHING &amp; DIGITAL"/>
    <x v="7"/>
    <x v="7"/>
    <s v="412620      "/>
    <s v="412620   COORDINAMENTO TECNICO PRODUTTIV"/>
    <s v="CROCETTI                        "/>
    <s v="GIANCARLO         "/>
    <s v="CRCGCR71E27Z133G"/>
    <x v="1"/>
    <s v="34"/>
    <x v="0"/>
    <s v="01/04/2021"/>
    <s v="MILANO                 "/>
    <x v="0"/>
    <x v="0"/>
    <s v="I"/>
    <x v="0"/>
    <s v="B1S"/>
    <x v="11"/>
    <s v="01/04/1994"/>
    <s v="01/04/1994"/>
    <s v="27/05/1971"/>
    <s v="A"/>
    <s v="A.IN FORZA"/>
    <s v="1  -ASSUNZIONE                1"/>
    <s v=""/>
    <s v=" "/>
    <s v=""/>
    <s v=""/>
    <n v="2454"/>
    <s v="00"/>
    <n v="100"/>
    <s v="FULL TIME      100000000FF100-FULL TIME"/>
    <s v="01/04/1994"/>
    <s v=""/>
    <s v="  "/>
    <s v=""/>
    <s v="EP  "/>
    <s v="    "/>
    <x v="0"/>
    <s v="U.I.L.             U.I.L"/>
    <s v="gianni.crocetti@ilsole24ore.com                   "/>
    <s v="F"/>
    <s v="F-FIRMA"/>
    <s v="1 "/>
    <s v="1=5 X 8"/>
    <s v="01/07/2025"/>
    <s v="TEMPO DETERMINATO"/>
    <s v="31/05/2027"/>
    <s v="0015002229                    "/>
    <s v="ROCCHETTI WALTER"/>
    <n v="54"/>
    <s v="I  "/>
  </r>
  <r>
    <x v="0"/>
    <n v="2229"/>
    <x v="0"/>
    <s v="D           "/>
    <s v="DG M&amp;B - DG PUBLISHING &amp; DIGITAL"/>
    <x v="7"/>
    <x v="7"/>
    <s v="412620      "/>
    <s v="412620   COORDINAMENTO TECNICO PRODUTTIV"/>
    <s v="ROCCHETTI                       "/>
    <s v="WALTER            "/>
    <s v="RCCWTR75P07F205D"/>
    <x v="1"/>
    <s v="34"/>
    <x v="0"/>
    <s v="01/04/2021"/>
    <s v="MILANO                 "/>
    <x v="0"/>
    <x v="0"/>
    <s v="I"/>
    <x v="0"/>
    <s v="A  "/>
    <x v="0"/>
    <s v="01/10/2007"/>
    <s v="01/10/2007"/>
    <s v="07/09/1975"/>
    <s v="A"/>
    <s v="A.IN FORZA"/>
    <s v="1  -ASSUNZIONE                1"/>
    <s v=""/>
    <s v=" "/>
    <s v=""/>
    <s v=""/>
    <n v="1675"/>
    <s v="00"/>
    <n v="100"/>
    <s v="FULL TIME      100000000FF100-FULL TIME"/>
    <s v="01/10/2007"/>
    <s v=""/>
    <s v="  "/>
    <s v=""/>
    <s v="EP  "/>
    <s v="    "/>
    <x v="0"/>
    <s v="U.I.L.             U.I.L"/>
    <s v="walter.rocchetti@ilsole24ore.com                  "/>
    <s v="F"/>
    <s v="F-FIRMA"/>
    <s v="1 "/>
    <s v="1=5 X 8"/>
    <s v="01/07/2025"/>
    <s v="TEMPO DETERMINATO"/>
    <s v="31/05/2027"/>
    <s v="0015001806                    "/>
    <s v="GRAZIANI MARCO"/>
    <n v="50"/>
    <s v="I  "/>
  </r>
  <r>
    <x v="0"/>
    <n v="1892"/>
    <x v="0"/>
    <s v="D           "/>
    <s v="DG M&amp;B - DG PUBLISHING &amp; DIGITAL"/>
    <x v="7"/>
    <x v="7"/>
    <s v="412620      "/>
    <s v="412620   COORDINAMENTO TECNICO PRODUTTIV"/>
    <s v="VERGERIO                        "/>
    <s v="ALESSANDRA        "/>
    <s v="VRGLSN63P60F205Z"/>
    <x v="0"/>
    <s v="34"/>
    <x v="0"/>
    <s v="01/04/2021"/>
    <s v="MILANO                 "/>
    <x v="0"/>
    <x v="0"/>
    <s v="I"/>
    <x v="0"/>
    <s v="B1S"/>
    <x v="11"/>
    <s v="15/05/2002"/>
    <s v="15/05/2002"/>
    <s v="20/09/1963"/>
    <s v="A"/>
    <s v="A.IN FORZA"/>
    <s v="1  -ASSUNZIONE                1"/>
    <s v=""/>
    <s v=" "/>
    <s v=""/>
    <s v=""/>
    <n v="1499"/>
    <s v="00"/>
    <n v="100"/>
    <s v="FULL TIME      100000000FF100-FULL TIME"/>
    <s v="15/05/2002"/>
    <s v=""/>
    <s v="  "/>
    <s v=""/>
    <s v="EV  "/>
    <s v="    "/>
    <x v="0"/>
    <s v=""/>
    <s v="alessandra.vergerio@ilsole24ore.com               "/>
    <s v="F"/>
    <s v="F-FIRMA"/>
    <s v="1 "/>
    <s v="1=5 X 8"/>
    <s v="01/07/2025"/>
    <s v="TEMPO DETERMINATO"/>
    <s v="31/05/2027"/>
    <s v="0015002229                    "/>
    <s v="ROCCHETTI WALTER"/>
    <n v="62"/>
    <s v="I  "/>
  </r>
  <r>
    <x v="0"/>
    <n v="1806"/>
    <x v="0"/>
    <s v="D           "/>
    <s v="DG M&amp;B - DG PUBLISHING &amp; DIGITAL"/>
    <x v="7"/>
    <x v="7"/>
    <s v="511200      "/>
    <s v="511200   OPERATIONS P&amp;D"/>
    <s v="GRAZIANI                        "/>
    <s v="MARCO             "/>
    <s v="GRZMRC66L25A345L"/>
    <x v="1"/>
    <s v="34"/>
    <x v="0"/>
    <s v="01/04/2021"/>
    <s v="MILANO                 "/>
    <x v="1"/>
    <x v="1"/>
    <s v="D"/>
    <x v="1"/>
    <s v="D  "/>
    <x v="1"/>
    <s v="01/02/2001"/>
    <s v="05/05/1997"/>
    <s v="25/07/1966"/>
    <s v="A"/>
    <s v="A.IN FORZA"/>
    <s v="2  -VARIAZIONE SOCIETARIA     2"/>
    <s v=""/>
    <s v=" "/>
    <s v=""/>
    <s v=""/>
    <n v="1426"/>
    <s v="00"/>
    <n v="100"/>
    <s v="FULL TIME      100000000FF100-FULL TIME"/>
    <s v="01/02/2001"/>
    <s v=""/>
    <s v="  "/>
    <s v=""/>
    <s v="DD  "/>
    <s v="    "/>
    <x v="0"/>
    <s v=""/>
    <s v="marco.graziani@ilsole24ore.com                    "/>
    <s v="E"/>
    <s v="E-ESENTE"/>
    <s v="1 "/>
    <s v="1=5 X 8"/>
    <s v="01/07/2025"/>
    <s v="TEMPO DETERMINATO"/>
    <s v="31/05/2026"/>
    <s v="0015003022                    "/>
    <s v="BOTTARI VITO"/>
    <n v="59"/>
    <s v="I  "/>
  </r>
  <r>
    <x v="0"/>
    <n v="1929"/>
    <x v="0"/>
    <s v="D           "/>
    <s v="DG M&amp;B - DG PUBLISHING &amp; DIGITAL"/>
    <x v="7"/>
    <x v="7"/>
    <s v="51120001    "/>
    <s v="51120001 PROGR. PROD. E GEST. CARTA"/>
    <s v="GUARINI                         "/>
    <s v="ANGELO            "/>
    <s v="GRNNGL76D04C619N"/>
    <x v="1"/>
    <s v="34"/>
    <x v="0"/>
    <s v="01/04/2021"/>
    <s v="MILANO                 "/>
    <x v="0"/>
    <x v="0"/>
    <s v="I"/>
    <x v="0"/>
    <s v="AS "/>
    <x v="7"/>
    <s v="02/01/2003"/>
    <s v="02/01/2003"/>
    <s v="04/04/1976"/>
    <s v="A"/>
    <s v="A.IN FORZA"/>
    <s v="1  -ASSUNZIONE                1"/>
    <s v=""/>
    <s v=" "/>
    <s v=""/>
    <s v=""/>
    <n v="1518"/>
    <s v="00"/>
    <n v="100"/>
    <s v="FULL TIME      100000000FF100-FULL TIME"/>
    <s v="02/01/2003"/>
    <s v=""/>
    <s v="  "/>
    <s v=""/>
    <s v="EN  "/>
    <s v="    "/>
    <x v="0"/>
    <s v="U.I.L.             U.I.L"/>
    <s v="angelo.guarini@ilsole24ore.com                    "/>
    <s v="F"/>
    <s v="F-FIRMA"/>
    <s v="7 "/>
    <s v="7=5 X 7.20"/>
    <s v="01/07/2025"/>
    <s v="TEMPO DETERMINATO"/>
    <s v="31/05/2027"/>
    <s v="0015001806                    "/>
    <s v="GRAZIANI MARCO"/>
    <n v="49"/>
    <s v="I  "/>
  </r>
  <r>
    <x v="0"/>
    <n v="834"/>
    <x v="0"/>
    <s v="D           "/>
    <s v="DG M&amp;B - DG PUBLISHING &amp; DIGITAL"/>
    <x v="7"/>
    <x v="7"/>
    <s v="51120001    "/>
    <s v="51120001 PROGR. PROD. E GEST. CARTA"/>
    <s v="RICCABONI                       "/>
    <s v="SIMONA            "/>
    <s v="RCCSMN70D53F205T"/>
    <x v="0"/>
    <s v="34"/>
    <x v="0"/>
    <s v="01/04/2021"/>
    <s v="MILANO                 "/>
    <x v="3"/>
    <x v="3"/>
    <s v="I"/>
    <x v="0"/>
    <s v="07 "/>
    <x v="12"/>
    <s v="15/03/1995"/>
    <s v="15/03/1995"/>
    <s v="13/04/1970"/>
    <s v="A"/>
    <s v="A.IN FORZA"/>
    <s v="1  -ASSUNZIONE                1"/>
    <s v=""/>
    <s v=" "/>
    <s v=""/>
    <s v=""/>
    <n v="633"/>
    <s v="00"/>
    <n v="100"/>
    <s v="FULL TIME      100000000FF100-FULL TIME"/>
    <s v="01/07/2021"/>
    <s v=""/>
    <s v="  "/>
    <s v=""/>
    <s v="PSO "/>
    <s v="    "/>
    <x v="0"/>
    <s v="U.I.L.             U.I.L"/>
    <s v="simona.riccaboni@ilsole24ore.com                  "/>
    <s v="F"/>
    <s v="F-FIRMA"/>
    <s v="7 "/>
    <s v="7=5 X 7.20"/>
    <s v="01/07/2025"/>
    <s v="TEMPO DETERMINATO"/>
    <s v="31/05/2027"/>
    <s v="0015001929                    "/>
    <s v="GUARINI ANGELO"/>
    <n v="55"/>
    <s v="I  "/>
  </r>
  <r>
    <x v="0"/>
    <n v="427"/>
    <x v="0"/>
    <s v="D           "/>
    <s v="DG M&amp;B - DG PUBLISHING &amp; DIGITAL"/>
    <x v="7"/>
    <x v="7"/>
    <s v="51130012    "/>
    <s v="51130012 ASSISTENTI EDITORIALI"/>
    <s v="ARGENTIERO                      "/>
    <s v="TOMMASO           "/>
    <s v="RGNTMS70A16B180D"/>
    <x v="1"/>
    <s v="34"/>
    <x v="0"/>
    <s v="01/04/2021"/>
    <s v="MILANO                 "/>
    <x v="3"/>
    <x v="3"/>
    <s v="I"/>
    <x v="0"/>
    <s v="08 "/>
    <x v="13"/>
    <s v="05/07/1989"/>
    <s v="05/07/1989"/>
    <s v="16/01/1970"/>
    <s v="A"/>
    <s v="A.IN FORZA"/>
    <s v="1  -ASSUNZIONE                1"/>
    <s v=""/>
    <s v=" "/>
    <s v=""/>
    <s v=""/>
    <n v="307"/>
    <s v="00"/>
    <n v="100"/>
    <s v="FULL TIME      100000000FF100-FULL TIME"/>
    <s v="05/07/1989"/>
    <s v=""/>
    <s v="  "/>
    <s v=""/>
    <s v="PSO "/>
    <s v="    "/>
    <x v="0"/>
    <s v="U.I.L.             U.I.L"/>
    <s v="tommaso.argentiero@ilsole24ore.com                "/>
    <s v="F"/>
    <s v="F-FIRMA"/>
    <s v="3 "/>
    <s v="3=5 X 7"/>
    <s v="01/07/2025"/>
    <s v="TEMPO DETERMINATO"/>
    <s v="31/05/2027"/>
    <s v="0015002125                    "/>
    <s v="PALENA LIBORIO BRUNO"/>
    <n v="56"/>
    <s v="I  "/>
  </r>
  <r>
    <x v="0"/>
    <n v="990"/>
    <x v="0"/>
    <s v="D           "/>
    <s v="DG M&amp;B - DG PUBLISHING &amp; DIGITAL"/>
    <x v="7"/>
    <x v="7"/>
    <s v="51130012    "/>
    <s v="51130012 ASSISTENTI EDITORIALI"/>
    <s v="BACCALINI                       "/>
    <s v="FABIO             "/>
    <s v="BCCFBA66S27G535V"/>
    <x v="1"/>
    <s v="34"/>
    <x v="0"/>
    <s v="01/04/2021"/>
    <s v="MILANO                 "/>
    <x v="3"/>
    <x v="3"/>
    <s v="I"/>
    <x v="0"/>
    <s v="09 "/>
    <x v="14"/>
    <s v="01/02/1997"/>
    <s v="05/10/1988"/>
    <s v="27/11/1966"/>
    <s v="A"/>
    <s v="A.IN FORZA"/>
    <s v="1  -ASSUNZIONE                1"/>
    <s v=""/>
    <s v=" "/>
    <s v=""/>
    <s v=""/>
    <n v="766"/>
    <s v="00"/>
    <n v="100"/>
    <s v="FULL TIME      100000000FF100-FULL TIME"/>
    <s v="01/02/1997"/>
    <s v=""/>
    <s v="05"/>
    <s v="INVALIDI CIVILI"/>
    <s v="PSO "/>
    <s v="    "/>
    <x v="0"/>
    <s v=""/>
    <s v="fabio.baccalini@ilsole24ore.com                   "/>
    <s v="F"/>
    <s v="F-FIRMA"/>
    <s v="3 "/>
    <s v="3=5 X 7"/>
    <s v="01/07/2025"/>
    <s v="TEMPO DETERMINATO"/>
    <s v="31/05/2027"/>
    <s v="0015002125                    "/>
    <s v="PALENA LIBORIO BRUNO"/>
    <n v="59"/>
    <s v="I  "/>
  </r>
  <r>
    <x v="0"/>
    <n v="819"/>
    <x v="0"/>
    <s v="D           "/>
    <s v="DG M&amp;B - DG PUBLISHING &amp; DIGITAL"/>
    <x v="7"/>
    <x v="7"/>
    <s v="51130012    "/>
    <s v="51130012 ASSISTENTI EDITORIALI"/>
    <s v="BASILE                          "/>
    <s v="CARLA             "/>
    <s v="BSLCRL60P47D969D"/>
    <x v="0"/>
    <s v="34"/>
    <x v="0"/>
    <s v="01/04/2021"/>
    <s v="MILANO                 "/>
    <x v="3"/>
    <x v="3"/>
    <s v="I"/>
    <x v="0"/>
    <s v="08 "/>
    <x v="13"/>
    <s v="01/01/1995"/>
    <s v="01/06/1992"/>
    <s v="07/09/1960"/>
    <s v="A"/>
    <s v="A.IN FORZA"/>
    <s v="1  -ASSUNZIONE                1"/>
    <s v=""/>
    <s v=" "/>
    <s v=""/>
    <s v=""/>
    <n v="620"/>
    <s v="00"/>
    <n v="100"/>
    <s v="FULL TIME      100000000FF100-FULL TIME"/>
    <s v="01/01/1995"/>
    <s v=""/>
    <s v="  "/>
    <s v=""/>
    <s v="PSO "/>
    <s v="    "/>
    <x v="0"/>
    <s v="U.I.L.             U.I.L"/>
    <s v="carla.basile@ilsole24ore.com                      "/>
    <s v="F"/>
    <s v="F-FIRMA"/>
    <s v="3 "/>
    <s v="3=5 X 7"/>
    <s v="01/07/2025"/>
    <s v="TEMPO DETERMINATO"/>
    <s v="31/05/2027"/>
    <s v="0015002125                    "/>
    <s v="PALENA LIBORIO BRUNO"/>
    <n v="65"/>
    <s v="I  "/>
  </r>
  <r>
    <x v="0"/>
    <n v="2105"/>
    <x v="0"/>
    <s v="D           "/>
    <s v="DG M&amp;B - DG PUBLISHING &amp; DIGITAL"/>
    <x v="7"/>
    <x v="7"/>
    <s v="51130012    "/>
    <s v="51130012 ASSISTENTI EDITORIALI"/>
    <s v="GARIMOLDI                       "/>
    <s v="MANUELA           "/>
    <s v="GRMMNL71P68F205G"/>
    <x v="0"/>
    <s v="34"/>
    <x v="0"/>
    <s v="01/04/2021"/>
    <s v="MILANO                 "/>
    <x v="3"/>
    <x v="3"/>
    <s v="I"/>
    <x v="0"/>
    <s v="08 "/>
    <x v="13"/>
    <s v="01/04/2006"/>
    <s v="01/04/2006"/>
    <s v="28/09/1971"/>
    <s v="A"/>
    <s v="A.IN FORZA"/>
    <s v="1  -ASSUNZIONE                1"/>
    <s v=""/>
    <s v=" "/>
    <s v=""/>
    <s v=""/>
    <n v="1593"/>
    <s v="00"/>
    <n v="100"/>
    <s v="FULL TIME      100000000FF100-FULL TIME"/>
    <s v="01/04/2006"/>
    <s v=""/>
    <s v="  "/>
    <s v=""/>
    <s v="PSO "/>
    <s v="    "/>
    <x v="0"/>
    <s v="U.I.L.             U.I.L"/>
    <s v="manuela.garimoldi@ilsole24ore.com                 "/>
    <s v="F"/>
    <s v="F-FIRMA"/>
    <s v="3 "/>
    <s v="3=5 X 7"/>
    <s v="01/07/2025"/>
    <s v="TEMPO DETERMINATO"/>
    <s v="31/05/2027"/>
    <s v="0015002125                    "/>
    <s v="PALENA LIBORIO BRUNO"/>
    <n v="54"/>
    <s v="I  "/>
  </r>
  <r>
    <x v="0"/>
    <n v="2106"/>
    <x v="0"/>
    <s v="D           "/>
    <s v="DG M&amp;B - DG PUBLISHING &amp; DIGITAL"/>
    <x v="7"/>
    <x v="7"/>
    <s v="51130012    "/>
    <s v="51130012 ASSISTENTI EDITORIALI"/>
    <s v="LONGARI                         "/>
    <s v="LAURA             "/>
    <s v="LNGLRA62L66F205M"/>
    <x v="0"/>
    <s v="34"/>
    <x v="0"/>
    <s v="01/04/2021"/>
    <s v="MILANO                 "/>
    <x v="3"/>
    <x v="3"/>
    <s v="I"/>
    <x v="0"/>
    <s v="08 "/>
    <x v="13"/>
    <s v="01/04/2006"/>
    <s v="01/04/2006"/>
    <s v="26/07/1962"/>
    <s v="A"/>
    <s v="A.IN FORZA"/>
    <s v="1  -ASSUNZIONE                1"/>
    <s v=""/>
    <s v=" "/>
    <s v=""/>
    <s v=""/>
    <n v="1594"/>
    <s v="00"/>
    <n v="100"/>
    <s v="FULL TIME      100000000FF100-FULL TIME"/>
    <s v="01/04/2006"/>
    <s v=""/>
    <s v="  "/>
    <s v=""/>
    <s v="PSO "/>
    <s v="    "/>
    <x v="0"/>
    <s v="U.I.L.             U.I.L"/>
    <s v="laura.longari@ilsole24ore.com                     "/>
    <s v="F"/>
    <s v="F-FIRMA"/>
    <s v="3 "/>
    <s v="3=5 X 7"/>
    <s v="01/07/2025"/>
    <s v="TEMPO DETERMINATO"/>
    <s v="31/05/2027"/>
    <s v="0015002125                    "/>
    <s v="PALENA LIBORIO BRUNO"/>
    <n v="63"/>
    <s v="I  "/>
  </r>
  <r>
    <x v="0"/>
    <n v="3116"/>
    <x v="0"/>
    <s v="D           "/>
    <s v="DG M&amp;B - DG PUBLISHING &amp; DIGITAL"/>
    <x v="7"/>
    <x v="7"/>
    <s v="51130012    "/>
    <s v="51130012 ASSISTENTI EDITORIALI"/>
    <s v="SALA                            "/>
    <s v="CLAUDIA           "/>
    <s v="SLACLD99P68B729C"/>
    <x v="0"/>
    <s v="34"/>
    <x v="0"/>
    <s v="02/04/2024"/>
    <s v="MILANO                 "/>
    <x v="3"/>
    <x v="3"/>
    <s v="I"/>
    <x v="0"/>
    <s v="06 "/>
    <x v="15"/>
    <s v="02/04/2024"/>
    <s v="02/04/2024"/>
    <s v="28/09/1999"/>
    <s v="A"/>
    <s v="A.IN FORZA"/>
    <s v="1  -ASSUNZIONE                1"/>
    <s v=""/>
    <s v=" "/>
    <s v=""/>
    <s v=""/>
    <n v="3116"/>
    <s v="00"/>
    <n v="100"/>
    <s v="FULL TIME      100000000FF100-FULL TIME"/>
    <s v="02/04/2024"/>
    <s v=""/>
    <s v="  "/>
    <s v=""/>
    <s v="PSO "/>
    <s v="    "/>
    <x v="0"/>
    <s v="U.I.L.             U.I.L"/>
    <s v="claudia.sala@ilsole24ore.com                      "/>
    <s v="F"/>
    <s v="F-FIRMA"/>
    <s v="3 "/>
    <s v="3=5 X 7"/>
    <s v="01/07/2025"/>
    <s v="TEMPO DETERMINATO"/>
    <s v="31/05/2027"/>
    <s v="0015002125                    "/>
    <s v="PALENA LIBORIO BRUNO"/>
    <n v="26"/>
    <s v="I  "/>
  </r>
  <r>
    <x v="0"/>
    <n v="485"/>
    <x v="0"/>
    <s v="D           "/>
    <s v="DG M&amp;B - DG PUBLISHING &amp; DIGITAL"/>
    <x v="7"/>
    <x v="7"/>
    <s v="51130012    "/>
    <s v="51130012 ASSISTENTI EDITORIALI"/>
    <s v="SIRTORI                         "/>
    <s v="LORENZO           "/>
    <s v="SRTLNZ68A25F205F"/>
    <x v="1"/>
    <s v="34"/>
    <x v="0"/>
    <s v="01/04/2021"/>
    <s v="MILANO                 "/>
    <x v="3"/>
    <x v="3"/>
    <s v="I"/>
    <x v="0"/>
    <s v="08 "/>
    <x v="13"/>
    <s v="13/06/1990"/>
    <s v="13/06/1990"/>
    <s v="25/01/1968"/>
    <s v="A"/>
    <s v="A.IN FORZA"/>
    <s v="1  -ASSUNZIONE                1"/>
    <s v=""/>
    <s v=" "/>
    <s v=""/>
    <s v=""/>
    <n v="344"/>
    <s v="00"/>
    <n v="100"/>
    <s v="FULL TIME      100000000FF100-FULL TIME"/>
    <s v="13/06/1990"/>
    <s v=""/>
    <s v="  "/>
    <s v=""/>
    <s v="PSO "/>
    <s v="    "/>
    <x v="0"/>
    <s v=""/>
    <s v="lorenzo.sirtori@ilsole24ore.com                   "/>
    <s v="F"/>
    <s v="F-FIRMA"/>
    <s v="3 "/>
    <s v="3=5 X 7"/>
    <s v=""/>
    <s v=""/>
    <s v=""/>
    <s v="0015002125                    "/>
    <s v="PALENA LIBORIO BRUNO"/>
    <n v="58"/>
    <s v="I  "/>
  </r>
  <r>
    <x v="0"/>
    <n v="634"/>
    <x v="0"/>
    <s v="D           "/>
    <s v="DG M&amp;B - DG PUBLISHING &amp; DIGITAL"/>
    <x v="7"/>
    <x v="7"/>
    <s v="51130012    "/>
    <s v="51130012 ASSISTENTI EDITORIALI"/>
    <s v="ZIMBARDI                        "/>
    <s v="MICHELE           "/>
    <s v="ZMBMHL70C01F205Q"/>
    <x v="1"/>
    <s v="34"/>
    <x v="0"/>
    <s v="01/04/2021"/>
    <s v="MILANO                 "/>
    <x v="3"/>
    <x v="3"/>
    <s v="I"/>
    <x v="0"/>
    <s v="08 "/>
    <x v="13"/>
    <s v="10/09/1992"/>
    <s v="10/09/1992"/>
    <s v="01/03/1970"/>
    <s v="A"/>
    <s v="A.IN FORZA"/>
    <s v="1  -ASSUNZIONE                1"/>
    <s v=""/>
    <s v=" "/>
    <s v=""/>
    <s v=""/>
    <n v="458"/>
    <s v="00"/>
    <n v="100"/>
    <s v="FULL TIME      100000000FF100-FULL TIME"/>
    <s v="10/09/1992"/>
    <s v=""/>
    <s v="05"/>
    <s v="INVALIDI CIVILI"/>
    <s v="PSO "/>
    <s v="    "/>
    <x v="0"/>
    <s v="U.I.L.             U.I.L"/>
    <s v="michele.zimbardi@ilsole24ore.com                  "/>
    <s v="F"/>
    <s v="F-FIRMA"/>
    <s v="3 "/>
    <s v="3=5 X 7"/>
    <s v="01/07/2025"/>
    <s v="TEMPO DETERMINATO"/>
    <s v="31/05/2027"/>
    <s v="0015002125                    "/>
    <s v="PALENA LIBORIO BRUNO"/>
    <n v="55"/>
    <s v="I  "/>
  </r>
  <r>
    <x v="0"/>
    <n v="650"/>
    <x v="0"/>
    <s v="D           "/>
    <s v="DG M&amp;B - DG PUBLISHING &amp; DIGITAL"/>
    <x v="7"/>
    <x v="7"/>
    <s v="51130013    "/>
    <s v="51130013 GRAFICI DI REDAZIONE"/>
    <s v="BALDO                           "/>
    <s v="SIMONE FELICE     "/>
    <s v="BLDSNF71A22F704O"/>
    <x v="1"/>
    <s v="34"/>
    <x v="0"/>
    <s v="01/04/2021"/>
    <s v="MILANO                 "/>
    <x v="3"/>
    <x v="3"/>
    <s v="I"/>
    <x v="0"/>
    <s v="09 "/>
    <x v="14"/>
    <s v="11/01/1993"/>
    <s v="11/01/1993"/>
    <s v="22/01/1971"/>
    <s v="A"/>
    <s v="A.IN FORZA"/>
    <s v="1  -ASSUNZIONE                1"/>
    <s v=""/>
    <s v=" "/>
    <s v=""/>
    <s v=""/>
    <n v="473"/>
    <s v="00"/>
    <n v="100"/>
    <s v="FULL TIME      100000000FF100-FULL TIME"/>
    <s v="11/01/1993"/>
    <s v=""/>
    <s v="  "/>
    <s v=""/>
    <s v="PSO "/>
    <s v="    "/>
    <x v="0"/>
    <s v="U.I.L.             U.I.L"/>
    <s v="simone.baldo@ilsole24ore.com                      "/>
    <s v="F"/>
    <s v="F-FIRMA"/>
    <s v="3 "/>
    <s v="3=5 X 7"/>
    <s v="01/07/2025"/>
    <s v="TEMPO DETERMINATO"/>
    <s v="31/05/2027"/>
    <s v="0015002125                    "/>
    <s v="PALENA LIBORIO BRUNO"/>
    <n v="55"/>
    <s v="I  "/>
  </r>
  <r>
    <x v="0"/>
    <n v="1555"/>
    <x v="0"/>
    <s v="D           "/>
    <s v="DG M&amp;B - DG PUBLISHING &amp; DIGITAL"/>
    <x v="7"/>
    <x v="7"/>
    <s v="51130013    "/>
    <s v="51130013 GRAFICI DI REDAZIONE"/>
    <s v="CASTELLI                        "/>
    <s v="IVAN              "/>
    <s v="CSTVNI76H18F205N"/>
    <x v="1"/>
    <s v="34"/>
    <x v="0"/>
    <s v="01/04/2021"/>
    <s v="MILANO                 "/>
    <x v="3"/>
    <x v="3"/>
    <s v="I"/>
    <x v="0"/>
    <s v="08 "/>
    <x v="13"/>
    <s v="15/05/2000"/>
    <s v="15/05/2000"/>
    <s v="18/06/1976"/>
    <s v="A"/>
    <s v="A.IN FORZA"/>
    <s v="1  -ASSUNZIONE                1"/>
    <s v=""/>
    <s v=" "/>
    <s v=""/>
    <s v=""/>
    <n v="1226"/>
    <s v="00"/>
    <n v="100"/>
    <s v="FULL TIME      100000000FF100-FULL TIME"/>
    <s v="15/05/2000"/>
    <s v=""/>
    <s v="  "/>
    <s v=""/>
    <s v="PSO "/>
    <s v="    "/>
    <x v="0"/>
    <s v="U.I.L.             U.I.L"/>
    <s v="ivan.castelli@ilsole24ore.com                     "/>
    <s v="F"/>
    <s v="F-FIRMA"/>
    <s v="3 "/>
    <s v="3=5 X 7"/>
    <s v="01/07/2025"/>
    <s v="TEMPO DETERMINATO"/>
    <s v="31/05/2027"/>
    <s v="0015002125                    "/>
    <s v="PALENA LIBORIO BRUNO"/>
    <n v="49"/>
    <s v="I  "/>
  </r>
  <r>
    <x v="0"/>
    <n v="490"/>
    <x v="0"/>
    <s v="D           "/>
    <s v="DG M&amp;B - DG PUBLISHING &amp; DIGITAL"/>
    <x v="7"/>
    <x v="7"/>
    <s v="51130013    "/>
    <s v="51130013 GRAFICI DI REDAZIONE"/>
    <s v="CITTERIO                        "/>
    <s v="STEFANO           "/>
    <s v="CTTSFN66M03F205V"/>
    <x v="1"/>
    <s v="34"/>
    <x v="0"/>
    <s v="01/04/2021"/>
    <s v="MILANO                 "/>
    <x v="3"/>
    <x v="3"/>
    <s v="I"/>
    <x v="0"/>
    <s v="08 "/>
    <x v="13"/>
    <s v="31/08/1990"/>
    <s v="31/08/1990"/>
    <s v="03/08/1966"/>
    <s v="A"/>
    <s v="A.IN FORZA"/>
    <s v="1  -ASSUNZIONE                1"/>
    <s v=""/>
    <s v=" "/>
    <s v=""/>
    <s v=""/>
    <n v="347"/>
    <s v="00"/>
    <n v="100"/>
    <s v="FULL TIME      100000000FF100-FULL TIME"/>
    <s v="31/08/1990"/>
    <s v=""/>
    <s v="  "/>
    <s v=""/>
    <s v="PSO "/>
    <s v="    "/>
    <x v="0"/>
    <s v="U.I.L.             U.I.L"/>
    <s v="stefano.citterio@ilsole24ore.com                  "/>
    <s v="F"/>
    <s v="F-FIRMA"/>
    <s v="3 "/>
    <s v="3=5 X 7"/>
    <s v="01/07/2025"/>
    <s v="TEMPO DETERMINATO"/>
    <s v="31/05/2027"/>
    <s v="0015002125                    "/>
    <s v="PALENA LIBORIO BRUNO"/>
    <n v="59"/>
    <s v="I  "/>
  </r>
  <r>
    <x v="0"/>
    <n v="2207"/>
    <x v="0"/>
    <s v="D           "/>
    <s v="DG M&amp;B - DG PUBLISHING &amp; DIGITAL"/>
    <x v="7"/>
    <x v="7"/>
    <s v="51130013    "/>
    <s v="51130013 GRAFICI DI REDAZIONE"/>
    <s v="DEL PIN                         "/>
    <s v="SOFIA             "/>
    <s v="DLPSFO81P68D286P"/>
    <x v="0"/>
    <s v="34"/>
    <x v="0"/>
    <s v="01/04/2021"/>
    <s v="MILANO                 "/>
    <x v="3"/>
    <x v="3"/>
    <s v="I"/>
    <x v="0"/>
    <s v="08 "/>
    <x v="13"/>
    <s v="02/07/2007"/>
    <s v="02/07/2007"/>
    <s v="28/09/1981"/>
    <s v="A"/>
    <s v="A.IN FORZA"/>
    <s v="1  -ASSUNZIONE                1"/>
    <s v=""/>
    <s v=" "/>
    <s v=""/>
    <s v=""/>
    <n v="1659"/>
    <s v="00"/>
    <n v="100"/>
    <s v="FULL TIME      100000000FF100-FULL TIME"/>
    <s v="02/07/2007"/>
    <s v=""/>
    <s v="  "/>
    <s v=""/>
    <s v="PSO "/>
    <s v="    "/>
    <x v="0"/>
    <s v="U.I.L.             U.I.L"/>
    <s v="sofia.delpin@ilsole24ore.com                      "/>
    <s v="F"/>
    <s v="F-FIRMA"/>
    <s v="3 "/>
    <s v="3=5 X 7"/>
    <s v="01/07/2025"/>
    <s v="TEMPO DETERMINATO"/>
    <s v="31/05/2027"/>
    <s v="0015002125                    "/>
    <s v="PALENA LIBORIO BRUNO"/>
    <n v="44"/>
    <s v="I  "/>
  </r>
  <r>
    <x v="0"/>
    <n v="1660"/>
    <x v="0"/>
    <s v="D           "/>
    <s v="DG M&amp;B - DG PUBLISHING &amp; DIGITAL"/>
    <x v="7"/>
    <x v="7"/>
    <s v="51130013    "/>
    <s v="51130013 GRAFICI DI REDAZIONE"/>
    <s v="DI PAOLA                        "/>
    <s v="ALESSANDRO        "/>
    <s v="DPLLSN77R08F205G"/>
    <x v="1"/>
    <s v="34"/>
    <x v="0"/>
    <s v="01/04/2021"/>
    <s v="MILANO                 "/>
    <x v="3"/>
    <x v="3"/>
    <s v="I"/>
    <x v="0"/>
    <s v="08 "/>
    <x v="13"/>
    <s v="01/11/2000"/>
    <s v="01/11/2000"/>
    <s v="08/10/1977"/>
    <s v="A"/>
    <s v="A.IN FORZA"/>
    <s v="1  -ASSUNZIONE                1"/>
    <s v=""/>
    <s v=" "/>
    <s v=""/>
    <s v=""/>
    <n v="1321"/>
    <s v="00"/>
    <n v="100"/>
    <s v="FULL TIME      100000000FF100-FULL TIME"/>
    <s v="01/11/2000"/>
    <s v=""/>
    <s v="  "/>
    <s v=""/>
    <s v="PSO "/>
    <s v="    "/>
    <x v="0"/>
    <s v="U.I.L.             U.I.L"/>
    <s v="alessandro.dipaola@ilsole24ore.com                "/>
    <s v="F"/>
    <s v="F-FIRMA"/>
    <s v="3 "/>
    <s v="3=5 X 7"/>
    <s v="01/07/2025"/>
    <s v="TEMPO DETERMINATO"/>
    <s v="31/05/2027"/>
    <s v="0015002125                    "/>
    <s v="PALENA LIBORIO BRUNO"/>
    <n v="48"/>
    <s v="I  "/>
  </r>
  <r>
    <x v="0"/>
    <n v="2271"/>
    <x v="0"/>
    <s v="D           "/>
    <s v="DG M&amp;B - DG PUBLISHING &amp; DIGITAL"/>
    <x v="7"/>
    <x v="7"/>
    <s v="51130013    "/>
    <s v="51130013 GRAFICI DI REDAZIONE"/>
    <s v="GALLI                           "/>
    <s v="ALESSANDRO        "/>
    <s v="GLLLSN76E29F205O"/>
    <x v="1"/>
    <s v="34"/>
    <x v="0"/>
    <s v="01/04/2021"/>
    <s v="MILANO                 "/>
    <x v="3"/>
    <x v="3"/>
    <s v="I"/>
    <x v="0"/>
    <s v="09 "/>
    <x v="14"/>
    <s v="14/01/2008"/>
    <s v="14/01/2008"/>
    <s v="29/05/1976"/>
    <s v="A"/>
    <s v="A.IN FORZA"/>
    <s v="1  -ASSUNZIONE                1"/>
    <s v=""/>
    <s v=" "/>
    <s v=""/>
    <s v=""/>
    <n v="1702"/>
    <s v="00"/>
    <n v="100"/>
    <s v="FULL TIME      100000000FF100-FULL TIME"/>
    <s v="14/01/2008"/>
    <s v=""/>
    <s v="  "/>
    <s v=""/>
    <s v="PSO "/>
    <s v="    "/>
    <x v="0"/>
    <s v="U.I.L.             U.I.L"/>
    <s v="alessandro.galli@ilsole24ore.com                  "/>
    <s v="F"/>
    <s v="F-FIRMA"/>
    <s v="3 "/>
    <s v="3=5 X 7"/>
    <s v="01/07/2025"/>
    <s v="TEMPO DETERMINATO"/>
    <s v="31/05/2027"/>
    <s v="0015002125                    "/>
    <s v="PALENA LIBORIO BRUNO"/>
    <n v="49"/>
    <s v="I  "/>
  </r>
  <r>
    <x v="0"/>
    <n v="418"/>
    <x v="0"/>
    <s v="D           "/>
    <s v="DG M&amp;B - DG PUBLISHING &amp; DIGITAL"/>
    <x v="7"/>
    <x v="7"/>
    <s v="51130013    "/>
    <s v="51130013 GRAFICI DI REDAZIONE"/>
    <s v="LONGO                           "/>
    <s v="GIUSEPPE          "/>
    <s v="LNGGPP68M16F205G"/>
    <x v="1"/>
    <s v="34"/>
    <x v="0"/>
    <s v="01/04/2021"/>
    <s v="MILANO                 "/>
    <x v="3"/>
    <x v="3"/>
    <s v="I"/>
    <x v="0"/>
    <s v="08 "/>
    <x v="13"/>
    <s v="29/05/1989"/>
    <s v="29/05/1989"/>
    <s v="16/08/1968"/>
    <s v="A"/>
    <s v="A.IN FORZA"/>
    <s v="1  -ASSUNZIONE                1"/>
    <s v=""/>
    <s v=" "/>
    <s v=""/>
    <s v=""/>
    <n v="300"/>
    <s v="00"/>
    <n v="100"/>
    <s v="FULL TIME      100000000FF100-FULL TIME"/>
    <s v="29/05/1989"/>
    <s v=""/>
    <s v="  "/>
    <s v=""/>
    <s v="PSO "/>
    <s v="    "/>
    <x v="0"/>
    <s v="U.I.L.             U.I.L"/>
    <s v="giuseppe.longo@ilsole24ore.com                    "/>
    <s v="F"/>
    <s v="F-FIRMA"/>
    <s v="3 "/>
    <s v="3=5 X 7"/>
    <s v="01/07/2025"/>
    <s v="TEMPO DETERMINATO"/>
    <s v="31/05/2027"/>
    <s v="0015002125                    "/>
    <s v="PALENA LIBORIO BRUNO"/>
    <n v="57"/>
    <s v="I  "/>
  </r>
  <r>
    <x v="0"/>
    <n v="1889"/>
    <x v="0"/>
    <s v="D           "/>
    <s v="DG M&amp;B - DG PUBLISHING &amp; DIGITAL"/>
    <x v="7"/>
    <x v="7"/>
    <s v="51130013    "/>
    <s v="51130013 GRAFICI DI REDAZIONE"/>
    <s v="MONETTI                         "/>
    <s v="FEDERICO          "/>
    <s v="MNTFRC73E06I726Q"/>
    <x v="1"/>
    <s v="34"/>
    <x v="0"/>
    <s v="01/04/2021"/>
    <s v="MILANO                 "/>
    <x v="3"/>
    <x v="3"/>
    <s v="I"/>
    <x v="0"/>
    <s v="08 "/>
    <x v="13"/>
    <s v="07/05/2002"/>
    <s v="07/05/2002"/>
    <s v="06/05/1973"/>
    <s v="A"/>
    <s v="A.IN FORZA"/>
    <s v="1  -ASSUNZIONE                1"/>
    <s v=""/>
    <s v=" "/>
    <s v=""/>
    <s v=""/>
    <n v="1496"/>
    <s v="00"/>
    <n v="100"/>
    <s v="FULL TIME      100000000FF100-FULL TIME"/>
    <s v="07/05/2002"/>
    <s v=""/>
    <s v="05"/>
    <s v="INVALIDI CIVILI"/>
    <s v="PSO "/>
    <s v="    "/>
    <x v="0"/>
    <s v="U.I.L.             U.I.L"/>
    <s v="federico.monetti@ilsole24ore.com                  "/>
    <s v="F"/>
    <s v="F-FIRMA"/>
    <s v="3 "/>
    <s v="3=5 X 7"/>
    <s v="01/07/2025"/>
    <s v="TEMPO DETERMINATO"/>
    <s v="31/05/2027"/>
    <s v="0015002125                    "/>
    <s v="PALENA LIBORIO BRUNO"/>
    <n v="52"/>
    <s v="I  "/>
  </r>
  <r>
    <x v="0"/>
    <n v="1924"/>
    <x v="0"/>
    <s v="D           "/>
    <s v="DG M&amp;B - DG PUBLISHING &amp; DIGITAL"/>
    <x v="7"/>
    <x v="7"/>
    <s v="51130013    "/>
    <s v="51130013 GRAFICI DI REDAZIONE"/>
    <s v="MONTECCHI                       "/>
    <s v="CATERINA          "/>
    <s v="MNTCRN74R56Z133W"/>
    <x v="0"/>
    <s v="34"/>
    <x v="0"/>
    <s v="01/04/2021"/>
    <s v="MILANO                 "/>
    <x v="3"/>
    <x v="3"/>
    <s v="I"/>
    <x v="0"/>
    <s v="08 "/>
    <x v="13"/>
    <s v="01/01/2003"/>
    <s v="01/01/2003"/>
    <s v="16/10/1974"/>
    <s v="A"/>
    <s v="A.IN FORZA"/>
    <s v="1  -ASSUNZIONE                1"/>
    <s v=""/>
    <s v=" "/>
    <s v=""/>
    <s v=""/>
    <n v="1513"/>
    <s v="00"/>
    <n v="100"/>
    <s v="FULL TIME      100000000FF100-FULL TIME"/>
    <s v="01/01/2003"/>
    <s v=""/>
    <s v="  "/>
    <s v=""/>
    <s v="PSO "/>
    <s v="    "/>
    <x v="0"/>
    <s v="U.I.L.             U.I.L"/>
    <s v="caterina.montecchi@ilsole24ore.com                "/>
    <s v="F"/>
    <s v="F-FIRMA"/>
    <s v="3 "/>
    <s v="3=5 X 7"/>
    <s v="01/07/2025"/>
    <s v="TEMPO DETERMINATO"/>
    <s v="31/05/2027"/>
    <s v="0015002125                    "/>
    <s v="PALENA LIBORIO BRUNO"/>
    <n v="51"/>
    <s v="I  "/>
  </r>
  <r>
    <x v="0"/>
    <n v="2125"/>
    <x v="0"/>
    <s v="D           "/>
    <s v="DG M&amp;B - DG PUBLISHING &amp; DIGITAL"/>
    <x v="7"/>
    <x v="7"/>
    <s v="51130013    "/>
    <s v="51130013 GRAFICI DI REDAZIONE"/>
    <s v="PALENA                          "/>
    <s v="LIBORIO BRUNO     "/>
    <s v="PLNLRB73B14F205D"/>
    <x v="1"/>
    <s v="34"/>
    <x v="0"/>
    <s v="01/04/2021"/>
    <s v="MILANO                 "/>
    <x v="3"/>
    <x v="3"/>
    <s v="F"/>
    <x v="2"/>
    <s v="10 "/>
    <x v="16"/>
    <s v="25/09/2006"/>
    <s v="25/09/2006"/>
    <s v="14/02/1973"/>
    <s v="A"/>
    <s v="A.IN FORZA"/>
    <s v="1  -ASSUNZIONE                1"/>
    <s v=""/>
    <s v=" "/>
    <s v=""/>
    <s v=""/>
    <n v="1609"/>
    <s v="00"/>
    <n v="100"/>
    <s v="FULL TIME      100000000FF100-FULL TIME"/>
    <s v="25/09/2006"/>
    <s v=""/>
    <s v="  "/>
    <s v=""/>
    <s v="PSO "/>
    <s v="    "/>
    <x v="0"/>
    <s v="U.I.L.             U.I.L"/>
    <s v="bruno.palena@ilsole24ore.com                      "/>
    <s v="F"/>
    <s v="F-FIRMA"/>
    <s v="3 "/>
    <s v="3=5 X 7"/>
    <s v="01/07/2025"/>
    <s v="TEMPO DETERMINATO"/>
    <s v="31/05/2027"/>
    <s v="0015001806                    "/>
    <s v="GRAZIANI MARCO"/>
    <n v="52"/>
    <s v="I  "/>
  </r>
  <r>
    <x v="0"/>
    <n v="1293"/>
    <x v="0"/>
    <s v="D           "/>
    <s v="DG M&amp;B - DG PUBLISHING &amp; DIGITAL"/>
    <x v="7"/>
    <x v="7"/>
    <s v="51130013    "/>
    <s v="51130013 GRAFICI DI REDAZIONE"/>
    <s v="PASTORE                         "/>
    <s v="FABIO WLADIMIRO   "/>
    <s v="PSTFWL74P21F205S"/>
    <x v="1"/>
    <s v="34"/>
    <x v="0"/>
    <s v="01/04/2021"/>
    <s v="MILANO                 "/>
    <x v="3"/>
    <x v="3"/>
    <s v="I"/>
    <x v="0"/>
    <s v="08 "/>
    <x v="13"/>
    <s v="20/09/1999"/>
    <s v="20/09/1999"/>
    <s v="21/09/1974"/>
    <s v="A"/>
    <s v="A.IN FORZA"/>
    <s v="1  -ASSUNZIONE                1"/>
    <s v=""/>
    <s v=" "/>
    <s v=""/>
    <s v=""/>
    <n v="1022"/>
    <s v="00"/>
    <n v="100"/>
    <s v="FULL TIME      100000000FF100-FULL TIME"/>
    <s v="20/09/1999"/>
    <s v=""/>
    <s v="  "/>
    <s v=""/>
    <s v="PSO "/>
    <s v="    "/>
    <x v="0"/>
    <s v="U.I.L.             U.I.L"/>
    <s v="fabio.pastore@ilsole24ore.com                     "/>
    <s v="F"/>
    <s v="F-FIRMA"/>
    <s v="3 "/>
    <s v="3=5 X 7"/>
    <s v="01/07/2025"/>
    <s v="TEMPO DETERMINATO"/>
    <s v="31/05/2027"/>
    <s v="0015002125                    "/>
    <s v="PALENA LIBORIO BRUNO"/>
    <n v="51"/>
    <s v="I  "/>
  </r>
  <r>
    <x v="0"/>
    <n v="2248"/>
    <x v="0"/>
    <s v="D           "/>
    <s v="DG M&amp;B - DG PUBLISHING &amp; DIGITAL"/>
    <x v="7"/>
    <x v="7"/>
    <s v="51130013    "/>
    <s v="51130013 GRAFICI DI REDAZIONE"/>
    <s v="PERUGGIA                        "/>
    <s v="PAOLO             "/>
    <s v="PRGPLA74S19E514G"/>
    <x v="1"/>
    <s v="34"/>
    <x v="0"/>
    <s v="01/04/2021"/>
    <s v="MILANO                 "/>
    <x v="3"/>
    <x v="3"/>
    <s v="I"/>
    <x v="0"/>
    <s v="09 "/>
    <x v="14"/>
    <s v="01/11/2007"/>
    <s v="01/11/2007"/>
    <s v="19/11/1974"/>
    <s v="A"/>
    <s v="A.IN FORZA"/>
    <s v="1  -ASSUNZIONE                1"/>
    <s v=""/>
    <s v=" "/>
    <s v=""/>
    <s v=""/>
    <n v="1684"/>
    <s v="00"/>
    <n v="100"/>
    <s v="FULL TIME      100000000FF100-FULL TIME"/>
    <s v="01/11/2007"/>
    <s v=""/>
    <s v="  "/>
    <s v=""/>
    <s v="PSO "/>
    <s v="    "/>
    <x v="0"/>
    <s v="U.I.L.             U.I.L"/>
    <s v="paolo.peruggia@ilsole24ore.com                    "/>
    <s v="F"/>
    <s v="F-FIRMA"/>
    <s v="3 "/>
    <s v="3=5 X 7"/>
    <s v="01/07/2025"/>
    <s v="TEMPO DETERMINATO"/>
    <s v="31/05/2027"/>
    <s v="0015002125                    "/>
    <s v="PALENA LIBORIO BRUNO"/>
    <n v="51"/>
    <s v="I  "/>
  </r>
  <r>
    <x v="0"/>
    <n v="1552"/>
    <x v="0"/>
    <s v="D           "/>
    <s v="DG M&amp;B - DG PUBLISHING &amp; DIGITAL"/>
    <x v="7"/>
    <x v="7"/>
    <s v="51130013    "/>
    <s v="51130013 GRAFICI DI REDAZIONE"/>
    <s v="POLONI                          "/>
    <s v="IVAN              "/>
    <s v="PLNVNI77E09F205E"/>
    <x v="1"/>
    <s v="34"/>
    <x v="0"/>
    <s v="01/04/2021"/>
    <s v="MILANO                 "/>
    <x v="3"/>
    <x v="3"/>
    <s v="I"/>
    <x v="0"/>
    <s v="08 "/>
    <x v="13"/>
    <s v="15/05/2000"/>
    <s v="15/05/2000"/>
    <s v="09/05/1977"/>
    <s v="A"/>
    <s v="A.IN FORZA"/>
    <s v="1  -ASSUNZIONE                1"/>
    <s v=""/>
    <s v=" "/>
    <s v=""/>
    <s v=""/>
    <n v="1223"/>
    <s v="00"/>
    <n v="100"/>
    <s v="FULL TIME      100000000FF100-FULL TIME"/>
    <s v="15/05/2000"/>
    <s v=""/>
    <s v="  "/>
    <s v=""/>
    <s v="PSO "/>
    <s v="    "/>
    <x v="0"/>
    <s v="U.I.L.             U.I.L"/>
    <s v="ivan.poloni@ilsole24ore.com                       "/>
    <s v="F"/>
    <s v="F-FIRMA"/>
    <s v="3 "/>
    <s v="3=5 X 7"/>
    <s v="01/07/2025"/>
    <s v="TEMPO DETERMINATO"/>
    <s v="31/05/2027"/>
    <s v="0015002125                    "/>
    <s v="PALENA LIBORIO BRUNO"/>
    <n v="48"/>
    <s v="I  "/>
  </r>
  <r>
    <x v="0"/>
    <n v="1659"/>
    <x v="0"/>
    <s v="D           "/>
    <s v="DG M&amp;B - DG PUBLISHING &amp; DIGITAL"/>
    <x v="7"/>
    <x v="7"/>
    <s v="51130013    "/>
    <s v="51130013 GRAFICI DI REDAZIONE"/>
    <s v="RENDINA                         "/>
    <s v="ALESSANDRO        "/>
    <s v="RNDLSN73P25F205V"/>
    <x v="1"/>
    <s v="34"/>
    <x v="0"/>
    <s v="01/04/2021"/>
    <s v="MILANO                 "/>
    <x v="3"/>
    <x v="3"/>
    <s v="I"/>
    <x v="0"/>
    <s v="09 "/>
    <x v="14"/>
    <s v="01/11/2000"/>
    <s v="01/11/2000"/>
    <s v="25/09/1973"/>
    <s v="A"/>
    <s v="A.IN FORZA"/>
    <s v="1  -ASSUNZIONE                1"/>
    <s v=""/>
    <s v=" "/>
    <s v=""/>
    <s v=""/>
    <n v="1320"/>
    <s v="00"/>
    <n v="100"/>
    <s v="FULL TIME      100000000FF100-FULL TIME"/>
    <s v="01/11/2000"/>
    <s v=""/>
    <s v="  "/>
    <s v=""/>
    <s v="PSO "/>
    <s v="    "/>
    <x v="0"/>
    <s v="U.I.L.             U.I.L"/>
    <s v="alessandro.rendina@ilsole24ore.com                "/>
    <s v="F"/>
    <s v="F-FIRMA"/>
    <s v="3 "/>
    <s v="3=5 X 7"/>
    <s v="01/07/2025"/>
    <s v="TEMPO DETERMINATO"/>
    <s v="31/05/2027"/>
    <s v="0015002125                    "/>
    <s v="PALENA LIBORIO BRUNO"/>
    <n v="52"/>
    <s v="I  "/>
  </r>
  <r>
    <x v="0"/>
    <n v="1335"/>
    <x v="0"/>
    <s v="D           "/>
    <s v="DG M&amp;B - DG PUBLISHING &amp; DIGITAL"/>
    <x v="7"/>
    <x v="7"/>
    <s v="51130013    "/>
    <s v="51130013 GRAFICI DI REDAZIONE"/>
    <s v="VERGARI                         "/>
    <s v="SIMONE            "/>
    <s v="VRGSMN73D08F205E"/>
    <x v="1"/>
    <s v="34"/>
    <x v="0"/>
    <s v="01/04/2021"/>
    <s v="MILANO                 "/>
    <x v="3"/>
    <x v="3"/>
    <s v="I"/>
    <x v="0"/>
    <s v="08 "/>
    <x v="13"/>
    <s v="08/11/1999"/>
    <s v="08/11/1999"/>
    <s v="08/04/1973"/>
    <s v="A"/>
    <s v="A.IN FORZA"/>
    <s v="1  -ASSUNZIONE                1"/>
    <s v=""/>
    <s v=" "/>
    <s v=""/>
    <s v=""/>
    <n v="1058"/>
    <s v="00"/>
    <n v="100"/>
    <s v="FULL TIME      100000000FF100-FULL TIME"/>
    <s v="08/11/1999"/>
    <s v=""/>
    <s v="  "/>
    <s v=""/>
    <s v="PSO "/>
    <s v="    "/>
    <x v="0"/>
    <s v="U.I.L.             U.I.L"/>
    <s v="simone.vergari@ilsole24ore.com                    "/>
    <s v="F"/>
    <s v="F-FIRMA"/>
    <s v="3 "/>
    <s v="3=5 X 7"/>
    <s v="01/09/2025"/>
    <s v="TEMPO DETERMINATO"/>
    <s v="31/05/2027"/>
    <s v="0015002125                    "/>
    <s v="PALENA LIBORIO BRUNO"/>
    <n v="52"/>
    <s v="I  "/>
  </r>
  <r>
    <x v="0"/>
    <n v="2783"/>
    <x v="0"/>
    <s v="D           "/>
    <s v="DG M&amp;B - DG PUBLISHING &amp; DIGITAL"/>
    <x v="7"/>
    <x v="7"/>
    <s v="51130014    "/>
    <s v="51130014 LAB24"/>
    <s v="CALVI                           "/>
    <s v="ALICE             "/>
    <s v="CLVLCA86E48F205S"/>
    <x v="0"/>
    <s v="34"/>
    <x v="0"/>
    <s v="01/04/2021"/>
    <s v="MILANO                 "/>
    <x v="3"/>
    <x v="3"/>
    <s v="I"/>
    <x v="0"/>
    <s v="08 "/>
    <x v="13"/>
    <s v="01/04/2014"/>
    <s v="01/04/2014"/>
    <s v="08/05/1986"/>
    <s v="A"/>
    <s v="A.IN FORZA"/>
    <s v="1  -ASSUNZIONE                1"/>
    <s v=""/>
    <s v=" "/>
    <s v=""/>
    <s v=""/>
    <n v="2783"/>
    <s v="00"/>
    <n v="100"/>
    <s v="FULL TIME      100000000FF100-FULL TIME"/>
    <s v="01/04/2014"/>
    <s v=""/>
    <s v="  "/>
    <s v=""/>
    <s v="EV  "/>
    <s v="    "/>
    <x v="0"/>
    <s v="U.I.L.             U.I.L"/>
    <s v="alice.calvi@ilsole24ore.com                       "/>
    <s v="F"/>
    <s v="F-FIRMA"/>
    <s v="1 "/>
    <s v="1=5 X 8"/>
    <s v="01/07/2025"/>
    <s v="TEMPO DETERMINATO"/>
    <s v="31/05/2027"/>
    <s v="0015002125                    "/>
    <s v="PALENA LIBORIO BRUNO"/>
    <n v="39"/>
    <s v="I  "/>
  </r>
  <r>
    <x v="0"/>
    <n v="2345"/>
    <x v="0"/>
    <s v="D           "/>
    <s v="DG M&amp;B - DG PUBLISHING &amp; DIGITAL"/>
    <x v="7"/>
    <x v="7"/>
    <s v="51130014    "/>
    <s v="51130014 LAB24"/>
    <s v="CAPORLINGUA                     "/>
    <s v="MARINA            "/>
    <s v="CPRMRN74T64E730G"/>
    <x v="0"/>
    <s v="34"/>
    <x v="0"/>
    <s v="01/04/2021"/>
    <s v="MILANO                 "/>
    <x v="3"/>
    <x v="3"/>
    <s v="I"/>
    <x v="0"/>
    <s v="08 "/>
    <x v="13"/>
    <s v="22/12/2008"/>
    <s v="22/12/2008"/>
    <s v="24/12/1974"/>
    <s v="A"/>
    <s v="A.IN FORZA"/>
    <s v="1  -ASSUNZIONE                1"/>
    <s v=""/>
    <s v=" "/>
    <s v=""/>
    <s v=""/>
    <n v="1744"/>
    <s v="00"/>
    <n v="100"/>
    <s v="FULL TIME      100000000FF100-FULL TIME"/>
    <s v="22/12/2008"/>
    <s v=""/>
    <s v="  "/>
    <s v=""/>
    <s v="PSO "/>
    <s v="    "/>
    <x v="0"/>
    <s v=""/>
    <s v="marina.caporlingua@ilsole24ore.com                "/>
    <s v="F"/>
    <s v="F-FIRMA"/>
    <s v="3 "/>
    <s v="3=5 X 7"/>
    <s v="01/07/2025"/>
    <s v="TEMPO DETERMINATO"/>
    <s v="31/05/2027"/>
    <s v="0015002125                    "/>
    <s v="PALENA LIBORIO BRUNO"/>
    <n v="51"/>
    <s v="I  "/>
  </r>
  <r>
    <x v="0"/>
    <n v="2668"/>
    <x v="0"/>
    <s v="D           "/>
    <s v="DG M&amp;B - DG PUBLISHING &amp; DIGITAL"/>
    <x v="7"/>
    <x v="7"/>
    <s v="51130014    "/>
    <s v="51130014 LAB24"/>
    <s v="GALIMBERTI                      "/>
    <s v="LUCA              "/>
    <s v="GLMLCU81R27B729M"/>
    <x v="1"/>
    <s v="34"/>
    <x v="0"/>
    <s v="01/04/2021"/>
    <s v="MILANO                 "/>
    <x v="3"/>
    <x v="3"/>
    <s v="I"/>
    <x v="0"/>
    <s v="08 "/>
    <x v="13"/>
    <s v="01/08/2013"/>
    <s v="01/08/2013"/>
    <s v="27/10/1981"/>
    <s v="A"/>
    <s v="A.IN FORZA"/>
    <s v="1  -ASSUNZIONE                1"/>
    <s v=""/>
    <s v=" "/>
    <s v=""/>
    <s v=""/>
    <n v="2668"/>
    <s v="00"/>
    <n v="100"/>
    <s v="FULL TIME      100000000FF100-FULL TIME"/>
    <s v="01/08/2013"/>
    <s v=""/>
    <s v="  "/>
    <s v=""/>
    <s v="EV  "/>
    <s v="    "/>
    <x v="0"/>
    <s v="U.I.L.             U.I.L"/>
    <s v="luca.galimberti@ilsole24ore.com                   "/>
    <s v="F"/>
    <s v="F-FIRMA"/>
    <s v="1 "/>
    <s v="1=5 X 8"/>
    <s v="01/07/2025"/>
    <s v="TEMPO DETERMINATO"/>
    <s v="31/05/2027"/>
    <s v="0015002125                    "/>
    <s v="PALENA LIBORIO BRUNO"/>
    <n v="44"/>
    <s v="I  "/>
  </r>
  <r>
    <x v="0"/>
    <n v="2209"/>
    <x v="0"/>
    <s v="D           "/>
    <s v="DG M&amp;B - DG PUBLISHING &amp; DIGITAL"/>
    <x v="7"/>
    <x v="7"/>
    <s v="51130014    "/>
    <s v="51130014 LAB24"/>
    <s v="ZITTI POZZI                     "/>
    <s v="RENATO            "/>
    <s v="ZTTRNT71L17F205T"/>
    <x v="1"/>
    <s v="34"/>
    <x v="0"/>
    <s v="01/04/2021"/>
    <s v="MILANO                 "/>
    <x v="3"/>
    <x v="3"/>
    <s v="I"/>
    <x v="0"/>
    <s v="08 "/>
    <x v="13"/>
    <s v="02/07/2007"/>
    <s v="02/07/2007"/>
    <s v="17/07/1971"/>
    <s v="A"/>
    <s v="A.IN FORZA"/>
    <s v="1  -ASSUNZIONE                1"/>
    <s v=""/>
    <s v=" "/>
    <s v=""/>
    <s v=""/>
    <n v="1661"/>
    <s v="00"/>
    <n v="100"/>
    <s v="FULL TIME      100000000FF100-FULL TIME"/>
    <s v="02/07/2007"/>
    <s v=""/>
    <s v="  "/>
    <s v=""/>
    <s v="PSO "/>
    <s v="    "/>
    <x v="0"/>
    <s v="U.I.L.             U.I.L"/>
    <s v="renato.zittipozzi@ilsole24ore.com                 "/>
    <s v="F"/>
    <s v="F-FIRMA"/>
    <s v="3 "/>
    <s v="3=5 X 7"/>
    <s v="01/07/2025"/>
    <s v="TEMPO DETERMINATO"/>
    <s v="31/05/2027"/>
    <s v="0015002125                    "/>
    <s v="PALENA LIBORIO BRUNO"/>
    <n v="54"/>
    <s v="I  "/>
  </r>
  <r>
    <x v="0"/>
    <n v="1925"/>
    <x v="0"/>
    <s v="D           "/>
    <s v="DG M&amp;B - DG PUBLISHING &amp; DIGITAL"/>
    <x v="7"/>
    <x v="7"/>
    <s v="51130015    "/>
    <s v="51130015 GRAFICI INFOGRAFICI"/>
    <s v="ALBANO                          "/>
    <s v="CLAUDIA           "/>
    <s v="LBNCLD73L54H703Z"/>
    <x v="0"/>
    <s v="34"/>
    <x v="0"/>
    <s v="01/04/2021"/>
    <s v="MILANO                 "/>
    <x v="3"/>
    <x v="3"/>
    <s v="I"/>
    <x v="0"/>
    <s v="08 "/>
    <x v="13"/>
    <s v="02/01/2003"/>
    <s v="02/01/2003"/>
    <s v="14/07/1973"/>
    <s v="A"/>
    <s v="A.IN FORZA"/>
    <s v="1  -ASSUNZIONE                1"/>
    <s v=""/>
    <s v=" "/>
    <s v=""/>
    <s v=""/>
    <n v="1514"/>
    <s v="00"/>
    <n v="100"/>
    <s v="FULL TIME      100000000FF100-FULL TIME"/>
    <s v="02/01/2003"/>
    <s v=""/>
    <s v="  "/>
    <s v=""/>
    <s v="PSO "/>
    <s v="    "/>
    <x v="0"/>
    <s v="U.I.L.             U.I.L"/>
    <s v="claudia.albano@ilsole24ore.com                    "/>
    <s v="F"/>
    <s v="F-FIRMA"/>
    <s v="3 "/>
    <s v="3=5 X 7"/>
    <s v="01/07/2025"/>
    <s v="TEMPO DETERMINATO"/>
    <s v="31/05/2027"/>
    <s v="0015002125                    "/>
    <s v="PALENA LIBORIO BRUNO"/>
    <n v="52"/>
    <s v="I  "/>
  </r>
  <r>
    <x v="0"/>
    <n v="3119"/>
    <x v="0"/>
    <s v="D           "/>
    <s v="DG M&amp;B - DG PUBLISHING &amp; DIGITAL"/>
    <x v="7"/>
    <x v="7"/>
    <s v="51130015    "/>
    <s v="51130015 GRAFICI INFOGRAFICI"/>
    <s v="AVANCINI                        "/>
    <s v="MARCO             "/>
    <s v="VNCMRC79H10F205O"/>
    <x v="1"/>
    <s v="34"/>
    <x v="0"/>
    <s v="16/04/2024"/>
    <s v="MILANO                 "/>
    <x v="3"/>
    <x v="3"/>
    <s v="I"/>
    <x v="0"/>
    <s v="07 "/>
    <x v="12"/>
    <s v="16/04/2024"/>
    <s v="16/04/2024"/>
    <s v="10/06/1979"/>
    <s v="A"/>
    <s v="A.IN FORZA"/>
    <s v="1  -ASSUNZIONE                1"/>
    <s v=""/>
    <s v=" "/>
    <s v=""/>
    <s v=""/>
    <n v="3119"/>
    <s v="00"/>
    <n v="100"/>
    <s v="FULL TIME      100000000FF100-FULL TIME"/>
    <s v="16/04/2024"/>
    <s v=""/>
    <s v="  "/>
    <s v=""/>
    <s v="PSO "/>
    <s v="    "/>
    <x v="0"/>
    <s v="U.I.L.             U.I.L"/>
    <s v="marco.avancini@ilsole24ore.com                    "/>
    <s v="F"/>
    <s v="F-FIRMA"/>
    <s v="3 "/>
    <s v="3=5 X 7"/>
    <s v="01/07/2025"/>
    <s v="TEMPO DETERMINATO"/>
    <s v="31/05/2027"/>
    <s v="0015002125                    "/>
    <s v="PALENA LIBORIO BRUNO"/>
    <n v="46"/>
    <s v="I  "/>
  </r>
  <r>
    <x v="0"/>
    <n v="2669"/>
    <x v="0"/>
    <s v="D           "/>
    <s v="DG M&amp;B - DG PUBLISHING &amp; DIGITAL"/>
    <x v="7"/>
    <x v="7"/>
    <s v="51130015    "/>
    <s v="51130015 GRAFICI INFOGRAFICI"/>
    <s v="BARBARA                         "/>
    <s v="FEDERICO          "/>
    <s v="BRBFRC82A30F205D"/>
    <x v="1"/>
    <s v="34"/>
    <x v="0"/>
    <s v="01/04/2021"/>
    <s v="MILANO                 "/>
    <x v="3"/>
    <x v="3"/>
    <s v="I"/>
    <x v="0"/>
    <s v="09 "/>
    <x v="14"/>
    <s v="02/09/2013"/>
    <s v="02/09/2013"/>
    <s v="30/01/1982"/>
    <s v="A"/>
    <s v="A.IN FORZA"/>
    <s v="1  -ASSUNZIONE                1"/>
    <s v=""/>
    <s v=" "/>
    <s v=""/>
    <s v=""/>
    <n v="2669"/>
    <s v="00"/>
    <n v="100"/>
    <s v="FULL TIME      100000000FF100-FULL TIME"/>
    <s v="02/09/2013"/>
    <s v=""/>
    <s v="  "/>
    <s v=""/>
    <s v="EV  "/>
    <s v="    "/>
    <x v="0"/>
    <s v="U.I.L.             U.I.L"/>
    <s v="federico.barbara@ilsole24ore.com                  "/>
    <s v="F"/>
    <s v="F-FIRMA"/>
    <s v="1 "/>
    <s v="1=5 X 8"/>
    <s v="01/07/2025"/>
    <s v="TEMPO DETERMINATO"/>
    <s v="31/05/2027"/>
    <s v="0015002125                    "/>
    <s v="PALENA LIBORIO BRUNO"/>
    <n v="44"/>
    <s v="I  "/>
  </r>
  <r>
    <x v="0"/>
    <n v="2250"/>
    <x v="0"/>
    <s v="D           "/>
    <s v="DG M&amp;B - DG PUBLISHING &amp; DIGITAL"/>
    <x v="7"/>
    <x v="7"/>
    <s v="51130015    "/>
    <s v="51130015 GRAFICI INFOGRAFICI"/>
    <s v="BOLDURA                         "/>
    <s v="ARIANNA           "/>
    <s v="BLDRNN72L51F205P"/>
    <x v="0"/>
    <s v="34"/>
    <x v="0"/>
    <s v="01/04/2021"/>
    <s v="MILANO                 "/>
    <x v="3"/>
    <x v="3"/>
    <s v="I"/>
    <x v="0"/>
    <s v="08 "/>
    <x v="13"/>
    <s v="01/11/2007"/>
    <s v="01/11/2007"/>
    <s v="11/07/1972"/>
    <s v="A"/>
    <s v="A.IN FORZA"/>
    <s v="1  -ASSUNZIONE                1"/>
    <s v=""/>
    <s v=" "/>
    <s v=""/>
    <s v=""/>
    <n v="1686"/>
    <s v="00"/>
    <n v="100"/>
    <s v="FULL TIME      100000000FF100-FULL TIME"/>
    <s v="01/11/2007"/>
    <s v=""/>
    <s v="  "/>
    <s v=""/>
    <s v="PSO "/>
    <s v="    "/>
    <x v="0"/>
    <s v="U.I.L.             U.I.L"/>
    <s v="arianna.boldura@ilsole24ore.com                   "/>
    <s v="F"/>
    <s v="F-FIRMA"/>
    <s v="3 "/>
    <s v="3=5 X 7"/>
    <s v="01/07/2025"/>
    <s v="TEMPO DETERMINATO"/>
    <s v="31/05/2027"/>
    <s v="0015002125                    "/>
    <s v="PALENA LIBORIO BRUNO"/>
    <n v="53"/>
    <s v="I  "/>
  </r>
  <r>
    <x v="0"/>
    <n v="2363"/>
    <x v="0"/>
    <s v="D           "/>
    <s v="DG M&amp;B - DG PUBLISHING &amp; DIGITAL"/>
    <x v="7"/>
    <x v="7"/>
    <s v="51130015    "/>
    <s v="51130015 GRAFICI INFOGRAFICI"/>
    <s v="CAPPUCCINO                      "/>
    <s v="NOEMI             "/>
    <s v="CPPNMO82H41C003Q"/>
    <x v="0"/>
    <s v="34"/>
    <x v="0"/>
    <s v="01/04/2021"/>
    <s v="MILANO                 "/>
    <x v="3"/>
    <x v="3"/>
    <s v="I"/>
    <x v="0"/>
    <s v="08 "/>
    <x v="13"/>
    <s v="01/04/2009"/>
    <s v="01/04/2009"/>
    <s v="01/06/1982"/>
    <s v="A"/>
    <s v="A.IN FORZA"/>
    <s v="1  -ASSUNZIONE                1"/>
    <s v=""/>
    <s v=" "/>
    <s v=""/>
    <s v=""/>
    <n v="1760"/>
    <s v="00"/>
    <n v="100"/>
    <s v="FULL TIME      100000000FF100-FULL TIME"/>
    <s v="01/04/2009"/>
    <s v=""/>
    <s v="  "/>
    <s v=""/>
    <s v="PSO "/>
    <s v="    "/>
    <x v="0"/>
    <s v="U.I.L.             U.I.L"/>
    <s v="noemi.cappuccino@ilsole24ore.com                  "/>
    <s v="F"/>
    <s v="F-FIRMA"/>
    <s v="3 "/>
    <s v="3=5 X 7"/>
    <s v="01/07/2025"/>
    <s v="TEMPO DETERMINATO"/>
    <s v="31/05/2027"/>
    <s v="0015002125                    "/>
    <s v="PALENA LIBORIO BRUNO"/>
    <n v="43"/>
    <s v="I  "/>
  </r>
  <r>
    <x v="0"/>
    <n v="1333"/>
    <x v="0"/>
    <s v="D           "/>
    <s v="DG M&amp;B - DG PUBLISHING &amp; DIGITAL"/>
    <x v="7"/>
    <x v="7"/>
    <s v="51130015    "/>
    <s v="51130015 GRAFICI INFOGRAFICI"/>
    <s v="COMPI                           "/>
    <s v="MAURIZIO          "/>
    <s v="CMPMRZ74B27F205Y"/>
    <x v="1"/>
    <s v="34"/>
    <x v="0"/>
    <s v="01/04/2021"/>
    <s v="MILANO                 "/>
    <x v="3"/>
    <x v="3"/>
    <s v="I"/>
    <x v="0"/>
    <s v="09 "/>
    <x v="14"/>
    <s v="08/11/1999"/>
    <s v="08/11/1999"/>
    <s v="27/02/1974"/>
    <s v="A"/>
    <s v="A.IN FORZA"/>
    <s v="1  -ASSUNZIONE                1"/>
    <s v=""/>
    <s v=" "/>
    <s v=""/>
    <s v=""/>
    <n v="1056"/>
    <s v="00"/>
    <n v="100"/>
    <s v="FULL TIME      100000000FF100-FULL TIME"/>
    <s v="08/11/1999"/>
    <s v=""/>
    <s v="  "/>
    <s v=""/>
    <s v="PSO "/>
    <s v="    "/>
    <x v="0"/>
    <s v="U.I.L.             U.I.L"/>
    <s v="maurizio.compi@ilsole24ore.com                    "/>
    <s v="F"/>
    <s v="F-FIRMA"/>
    <s v="3 "/>
    <s v="3=5 X 7"/>
    <s v="01/07/2025"/>
    <s v="TEMPO DETERMINATO"/>
    <s v="31/05/2027"/>
    <s v="0015002125                    "/>
    <s v="PALENA LIBORIO BRUNO"/>
    <n v="51"/>
    <s v="I  "/>
  </r>
  <r>
    <x v="0"/>
    <n v="2670"/>
    <x v="0"/>
    <s v="D           "/>
    <s v="DG M&amp;B - DG PUBLISHING &amp; DIGITAL"/>
    <x v="7"/>
    <x v="7"/>
    <s v="51130015    "/>
    <s v="51130015 GRAFICI INFOGRAFICI"/>
    <s v="D'ANGELO                        "/>
    <s v="FULVIO            "/>
    <s v="DNGFLV76H22L872Y"/>
    <x v="1"/>
    <s v="34"/>
    <x v="0"/>
    <s v="01/04/2021"/>
    <s v="MILANO                 "/>
    <x v="3"/>
    <x v="3"/>
    <s v="I"/>
    <x v="0"/>
    <s v="08 "/>
    <x v="13"/>
    <s v="02/09/2013"/>
    <s v="02/09/2013"/>
    <s v="22/06/1976"/>
    <s v="A"/>
    <s v="A.IN FORZA"/>
    <s v="1  -ASSUNZIONE                1"/>
    <s v=""/>
    <s v=" "/>
    <s v=""/>
    <s v=""/>
    <n v="2670"/>
    <s v="00"/>
    <n v="100"/>
    <s v="FULL TIME      100000000FF100-FULL TIME"/>
    <s v="02/09/2013"/>
    <s v=""/>
    <s v="  "/>
    <s v=""/>
    <s v="EV  "/>
    <s v="    "/>
    <x v="0"/>
    <s v="U.I.L.             U.I.L"/>
    <s v="fulvio.dangelo@ilsole24ore.com                    "/>
    <s v="F"/>
    <s v="F-FIRMA"/>
    <s v="1 "/>
    <s v="1=5 X 8"/>
    <s v="01/07/2025"/>
    <s v="TEMPO DETERMINATO"/>
    <s v="31/05/2027"/>
    <s v="0015002125                    "/>
    <s v="PALENA LIBORIO BRUNO"/>
    <n v="49"/>
    <s v="I  "/>
  </r>
  <r>
    <x v="0"/>
    <n v="3122"/>
    <x v="0"/>
    <s v="D           "/>
    <s v="DG M&amp;B - DG PUBLISHING &amp; DIGITAL"/>
    <x v="7"/>
    <x v="7"/>
    <s v="51130015    "/>
    <s v="51130015 GRAFICI INFOGRAFICI"/>
    <s v="DI STEFANO                      "/>
    <s v="GIORGIA           "/>
    <s v="DSTGRG98A49G914V"/>
    <x v="0"/>
    <s v="34"/>
    <x v="0"/>
    <s v="06/05/2024"/>
    <s v="MILANO                 "/>
    <x v="3"/>
    <x v="3"/>
    <s v="I"/>
    <x v="0"/>
    <s v="06 "/>
    <x v="15"/>
    <s v="06/05/2024"/>
    <s v="06/05/2024"/>
    <s v="09/01/1998"/>
    <s v="A"/>
    <s v="A.IN FORZA"/>
    <s v="1  -ASSUNZIONE                1"/>
    <s v=""/>
    <s v=" "/>
    <s v=""/>
    <s v=""/>
    <n v="3122"/>
    <s v="00"/>
    <n v="100"/>
    <s v="FULL TIME      100000000FF100-FULL TIME"/>
    <s v="06/05/2024"/>
    <s v=""/>
    <s v="  "/>
    <s v=""/>
    <s v="PSO "/>
    <s v="    "/>
    <x v="0"/>
    <s v="U.I.L.             U.I.L"/>
    <s v="giorgia.distefano@ilsole24ore.com                 "/>
    <s v="F"/>
    <s v="F-FIRMA"/>
    <s v="3 "/>
    <s v="3=5 X 7"/>
    <s v="01/07/2025"/>
    <s v="TEMPO DETERMINATO"/>
    <s v="31/05/2027"/>
    <s v="0015002125                    "/>
    <s v="PALENA LIBORIO BRUNO"/>
    <n v="28"/>
    <s v="I  "/>
  </r>
  <r>
    <x v="0"/>
    <n v="1566"/>
    <x v="0"/>
    <s v="D           "/>
    <s v="DG M&amp;B - DG PUBLISHING &amp; DIGITAL"/>
    <x v="7"/>
    <x v="7"/>
    <s v="51130015    "/>
    <s v="51130015 GRAFICI INFOGRAFICI"/>
    <s v="FORTAREZZA                      "/>
    <s v="ANTONIO           "/>
    <s v="FRTNTN74A26F205Q"/>
    <x v="1"/>
    <s v="34"/>
    <x v="0"/>
    <s v="01/04/2021"/>
    <s v="MILANO                 "/>
    <x v="3"/>
    <x v="3"/>
    <s v="I"/>
    <x v="0"/>
    <s v="08 "/>
    <x v="13"/>
    <s v="05/06/2000"/>
    <s v="05/06/2000"/>
    <s v="26/01/1974"/>
    <s v="A"/>
    <s v="A.IN FORZA"/>
    <s v="1  -ASSUNZIONE                1"/>
    <s v=""/>
    <s v=" "/>
    <s v=""/>
    <s v=""/>
    <n v="1236"/>
    <s v="00"/>
    <n v="100"/>
    <s v="FULL TIME      100000000FF100-FULL TIME"/>
    <s v="05/06/2000"/>
    <s v=""/>
    <s v="  "/>
    <s v=""/>
    <s v="PSO "/>
    <s v="    "/>
    <x v="0"/>
    <s v="U.I.L.             U.I.L"/>
    <s v="antonio.fortarezza@ilsole24ore.com                "/>
    <s v="F"/>
    <s v="F-FIRMA"/>
    <s v="3 "/>
    <s v="3=5 X 7"/>
    <s v="01/07/2025"/>
    <s v="TEMPO DETERMINATO"/>
    <s v="31/05/2027"/>
    <s v="0015002125                    "/>
    <s v="PALENA LIBORIO BRUNO"/>
    <n v="52"/>
    <s v="I  "/>
  </r>
  <r>
    <x v="0"/>
    <n v="599"/>
    <x v="0"/>
    <s v="D           "/>
    <s v="DG M&amp;B - DG PUBLISHING &amp; DIGITAL"/>
    <x v="7"/>
    <x v="7"/>
    <s v="51130015    "/>
    <s v="51130015 GRAFICI INFOGRAFICI"/>
    <s v="MALLAMACI                       "/>
    <s v="ANDREA            "/>
    <s v="MLLNDR67R18F205N"/>
    <x v="1"/>
    <s v="34"/>
    <x v="0"/>
    <s v="01/04/2021"/>
    <s v="MILANO                 "/>
    <x v="3"/>
    <x v="3"/>
    <s v="I"/>
    <x v="0"/>
    <s v="08 "/>
    <x v="13"/>
    <s v="08/01/1992"/>
    <s v="08/01/1992"/>
    <s v="18/10/1967"/>
    <s v="A"/>
    <s v="A.IN FORZA"/>
    <s v="1  -ASSUNZIONE                1"/>
    <s v=""/>
    <s v=" "/>
    <s v=""/>
    <s v=""/>
    <n v="428"/>
    <s v="00"/>
    <n v="100"/>
    <s v="FULL TIME      100000000FF100-FULL TIME"/>
    <s v="08/01/1992"/>
    <s v=""/>
    <s v="  "/>
    <s v=""/>
    <s v="PSO "/>
    <s v="    "/>
    <x v="0"/>
    <s v="C.G.I.L.           C.G.I.L"/>
    <s v="andrea.mallamaci@ilsole24ore.com                  "/>
    <s v="F"/>
    <s v="F-FIRMA"/>
    <s v="3 "/>
    <s v="3=5 X 7"/>
    <s v="01/07/2025"/>
    <s v="TEMPO DETERMINATO"/>
    <s v="31/05/2027"/>
    <s v="0015002125                    "/>
    <s v="PALENA LIBORIO BRUNO"/>
    <n v="58"/>
    <s v="I  "/>
  </r>
  <r>
    <x v="0"/>
    <n v="1760"/>
    <x v="0"/>
    <s v="D           "/>
    <s v="DG M&amp;B - DG PUBLISHING &amp; DIGITAL"/>
    <x v="7"/>
    <x v="7"/>
    <s v="51130015    "/>
    <s v="51130015 GRAFICI INFOGRAFICI"/>
    <s v="NONNO                           "/>
    <s v="RENATO MARIA      "/>
    <s v="NNNRTM67H14H501J"/>
    <x v="1"/>
    <s v="34"/>
    <x v="0"/>
    <s v="01/04/2021"/>
    <s v="MILANO                 "/>
    <x v="3"/>
    <x v="3"/>
    <s v="I"/>
    <x v="0"/>
    <s v="08 "/>
    <x v="13"/>
    <s v="13/03/2001"/>
    <s v="13/03/2001"/>
    <s v="14/06/1967"/>
    <s v="A"/>
    <s v="A.IN FORZA"/>
    <s v="1  -ASSUNZIONE                1"/>
    <s v=""/>
    <s v=" "/>
    <s v=""/>
    <s v=""/>
    <n v="1391"/>
    <s v="00"/>
    <n v="100"/>
    <s v="FULL TIME      100000000FF100-FULL TIME"/>
    <s v="13/03/2001"/>
    <s v=""/>
    <s v="  "/>
    <s v=""/>
    <s v="PSO "/>
    <s v="    "/>
    <x v="0"/>
    <s v="U.I.L.             U.I.L"/>
    <s v="renato.nonno@ilsole24ore.com                      "/>
    <s v="F"/>
    <s v="F-FIRMA"/>
    <s v="3 "/>
    <s v="3=5 X 7"/>
    <s v="01/07/2025"/>
    <s v="TEMPO DETERMINATO"/>
    <s v="31/05/2027"/>
    <s v="0015002125                    "/>
    <s v="PALENA LIBORIO BRUNO"/>
    <n v="58"/>
    <s v="I  "/>
  </r>
  <r>
    <x v="0"/>
    <n v="845"/>
    <x v="0"/>
    <s v="D           "/>
    <s v="DG M&amp;B - DG PUBLISHING &amp; DIGITAL"/>
    <x v="7"/>
    <x v="7"/>
    <s v="51130015    "/>
    <s v="51130015 GRAFICI INFOGRAFICI"/>
    <s v="TAVAGLIONE                      "/>
    <s v="LUCA              "/>
    <s v="TVGLCU73P15F205Q"/>
    <x v="1"/>
    <s v="34"/>
    <x v="0"/>
    <s v="01/04/2021"/>
    <s v="MILANO                 "/>
    <x v="3"/>
    <x v="3"/>
    <s v="I"/>
    <x v="0"/>
    <s v="08 "/>
    <x v="13"/>
    <s v="22/05/1995"/>
    <s v="22/05/1995"/>
    <s v="15/09/1973"/>
    <s v="A"/>
    <s v="A.IN FORZA"/>
    <s v="1  -ASSUNZIONE                1"/>
    <s v=""/>
    <s v=" "/>
    <s v=""/>
    <s v=""/>
    <n v="642"/>
    <s v="00"/>
    <n v="100"/>
    <s v="FULL TIME      100000000FF100-FULL TIME"/>
    <s v="22/05/1995"/>
    <s v=""/>
    <s v="  "/>
    <s v=""/>
    <s v="PSO "/>
    <s v="    "/>
    <x v="0"/>
    <s v="U.I.L.             U.I.L"/>
    <s v="luca.tavaglione@ilsole24ore.com                   "/>
    <s v="F"/>
    <s v="F-FIRMA"/>
    <s v="3 "/>
    <s v="3=5 X 7"/>
    <s v="01/07/2025"/>
    <s v="TEMPO DETERMINATO"/>
    <s v="31/05/2027"/>
    <s v="0015002125                    "/>
    <s v="PALENA LIBORIO BRUNO"/>
    <n v="52"/>
    <s v="I  "/>
  </r>
  <r>
    <x v="0"/>
    <n v="1004"/>
    <x v="0"/>
    <s v="D           "/>
    <s v="DG M&amp;B - DG PUBLISHING &amp; DIGITAL"/>
    <x v="7"/>
    <x v="7"/>
    <s v="51130015    "/>
    <s v="51130015 GRAFICI INFOGRAFICI"/>
    <s v="ZOCCHI                          "/>
    <s v="LUCA PIETRO       "/>
    <s v="ZCCLPT65A29H736T"/>
    <x v="1"/>
    <s v="34"/>
    <x v="0"/>
    <s v="01/04/2021"/>
    <s v="MILANO                 "/>
    <x v="3"/>
    <x v="3"/>
    <s v="I"/>
    <x v="0"/>
    <s v="08 "/>
    <x v="13"/>
    <s v="03/02/1997"/>
    <s v="03/02/1997"/>
    <s v="29/01/1965"/>
    <s v="A"/>
    <s v="A.IN FORZA"/>
    <s v="1  -ASSUNZIONE                1"/>
    <s v=""/>
    <s v=" "/>
    <s v=""/>
    <s v=""/>
    <n v="776"/>
    <s v="00"/>
    <n v="100"/>
    <s v="FULL TIME      100000000FF100-FULL TIME"/>
    <s v="03/02/1997"/>
    <s v=""/>
    <s v="  "/>
    <s v=""/>
    <s v="PSO "/>
    <s v="    "/>
    <x v="0"/>
    <s v="C.G.I.L.           C.G.I.L"/>
    <s v="lucapietro.zocchi@ilsole24ore.com                 "/>
    <s v="F"/>
    <s v="F-FIRMA"/>
    <s v="3 "/>
    <s v="3=5 X 7"/>
    <s v="01/07/2025"/>
    <s v="TEMPO DETERMINATO"/>
    <s v="31/05/2027"/>
    <s v="0015002125                    "/>
    <s v="PALENA LIBORIO BRUNO"/>
    <n v="61"/>
    <s v="I  "/>
  </r>
  <r>
    <x v="0"/>
    <n v="2247"/>
    <x v="0"/>
    <s v="D           "/>
    <s v="DG M&amp;B - DG PUBLISHING &amp; DIGITAL"/>
    <x v="7"/>
    <x v="7"/>
    <s v="511600      "/>
    <s v="511600   DATI BORSE E MERCATI"/>
    <s v="ABBIATI                         "/>
    <s v="MATTIA            "/>
    <s v="BBTMTT86R03F205T"/>
    <x v="1"/>
    <s v="34"/>
    <x v="0"/>
    <s v="01/04/2021"/>
    <s v="MILANO                 "/>
    <x v="3"/>
    <x v="3"/>
    <s v="I"/>
    <x v="0"/>
    <s v="08 "/>
    <x v="13"/>
    <s v="01/11/2007"/>
    <s v="01/11/2007"/>
    <s v="03/10/1986"/>
    <s v="A"/>
    <s v="A.IN FORZA"/>
    <s v="1  -ASSUNZIONE                1"/>
    <s v=""/>
    <s v=" "/>
    <s v=""/>
    <s v=""/>
    <n v="1683"/>
    <s v="00"/>
    <n v="100"/>
    <s v="FULL TIME      100000000FF100-FULL TIME"/>
    <s v="01/11/2007"/>
    <s v=""/>
    <s v="  "/>
    <s v=""/>
    <s v="EV  "/>
    <s v="    "/>
    <x v="0"/>
    <s v="U.I.L.             U.I.L"/>
    <s v="mattia.abbiati@ilsole24ore.com                    "/>
    <s v="F"/>
    <s v="F-FIRMA"/>
    <s v="3 "/>
    <s v="3=5 X 7"/>
    <s v="01/07/2025"/>
    <s v="TEMPO DETERMINATO"/>
    <s v="31/05/2027"/>
    <s v="0015001751                    "/>
    <s v="ROCCHETTI MUNARI ENRICO AGOSTINO"/>
    <n v="39"/>
    <s v="I  "/>
  </r>
  <r>
    <x v="0"/>
    <n v="1670"/>
    <x v="0"/>
    <s v="D           "/>
    <s v="DG M&amp;B - DG PUBLISHING &amp; DIGITAL"/>
    <x v="7"/>
    <x v="7"/>
    <s v="511600      "/>
    <s v="511600   DATI BORSE E MERCATI"/>
    <s v="BONGIORNO                       "/>
    <s v="GIUSEPPE          "/>
    <s v="BNGGPP65H25B300J"/>
    <x v="1"/>
    <s v="34"/>
    <x v="0"/>
    <s v="01/04/2021"/>
    <s v="MILANO                 "/>
    <x v="3"/>
    <x v="3"/>
    <s v="I"/>
    <x v="0"/>
    <s v="08 "/>
    <x v="13"/>
    <s v="02/11/2000"/>
    <s v="02/11/2000"/>
    <s v="25/06/1965"/>
    <s v="A"/>
    <s v="A.IN FORZA"/>
    <s v="1  -ASSUNZIONE                1"/>
    <s v=""/>
    <s v=" "/>
    <s v=""/>
    <s v=""/>
    <n v="1330"/>
    <s v="00"/>
    <n v="100"/>
    <s v="FULL TIME      100000000FF100-FULL TIME"/>
    <s v="02/11/2000"/>
    <s v=""/>
    <s v="  "/>
    <s v=""/>
    <s v="EV  "/>
    <s v="    "/>
    <x v="0"/>
    <s v="U.I.L.             U.I.L"/>
    <s v="giuseppe.bongiorno@ilsole24ore.com                "/>
    <s v="F"/>
    <s v="F-FIRMA"/>
    <s v="3 "/>
    <s v="3=5 X 7"/>
    <s v="01/07/2025"/>
    <s v="TEMPO DETERMINATO"/>
    <s v="31/05/2027"/>
    <s v="0015001751                    "/>
    <s v="ROCCHETTI MUNARI ENRICO AGOSTINO"/>
    <n v="60"/>
    <s v="I  "/>
  </r>
  <r>
    <x v="0"/>
    <n v="480"/>
    <x v="0"/>
    <s v="D           "/>
    <s v="DG M&amp;B - DG PUBLISHING &amp; DIGITAL"/>
    <x v="7"/>
    <x v="7"/>
    <s v="511600      "/>
    <s v="511600   DATI BORSE E MERCATI"/>
    <s v="DI TOMASO                       "/>
    <s v="SILVIA            "/>
    <s v="DTMSLV71A60F205G"/>
    <x v="0"/>
    <s v="34"/>
    <x v="0"/>
    <s v="01/04/2021"/>
    <s v="MILANO                 "/>
    <x v="3"/>
    <x v="3"/>
    <s v="I"/>
    <x v="0"/>
    <s v="08 "/>
    <x v="13"/>
    <s v="02/05/1990"/>
    <s v="01/01/1996"/>
    <s v="20/01/1971"/>
    <s v="A"/>
    <s v="A.IN FORZA"/>
    <s v="1  -ASSUNZIONE                1"/>
    <s v=""/>
    <s v=" "/>
    <s v=""/>
    <s v=""/>
    <n v="342"/>
    <s v="00"/>
    <n v="100"/>
    <s v="FULL TIME      100000000FF100-FULL TIME"/>
    <s v="02/05/1990"/>
    <s v=""/>
    <s v="  "/>
    <s v=""/>
    <s v="PSO "/>
    <s v="    "/>
    <x v="0"/>
    <s v="U.I.L.             U.I.L"/>
    <s v="silvia.ditomaso@ilsole24ore.com                   "/>
    <s v="F"/>
    <s v="F-FIRMA"/>
    <s v="3 "/>
    <s v="3=5 X 7"/>
    <s v="01/07/2025"/>
    <s v="TEMPO DETERMINATO"/>
    <s v="31/05/2027"/>
    <s v="0015001751                    "/>
    <s v="ROCCHETTI MUNARI ENRICO AGOSTINO"/>
    <n v="55"/>
    <s v="I  "/>
  </r>
  <r>
    <x v="0"/>
    <n v="1970"/>
    <x v="0"/>
    <s v="D           "/>
    <s v="DG M&amp;B - DG PUBLISHING &amp; DIGITAL"/>
    <x v="7"/>
    <x v="7"/>
    <s v="511600      "/>
    <s v="511600   DATI BORSE E MERCATI"/>
    <s v="GIANNONE                        "/>
    <s v="CLAUDIO           "/>
    <s v="GNNCLD79H07F205K"/>
    <x v="1"/>
    <s v="34"/>
    <x v="0"/>
    <s v="01/04/2021"/>
    <s v="MILANO                 "/>
    <x v="3"/>
    <x v="3"/>
    <s v="I"/>
    <x v="0"/>
    <s v="08 "/>
    <x v="13"/>
    <s v="01/09/2003"/>
    <s v="01/09/2003"/>
    <s v="07/06/1979"/>
    <s v="A"/>
    <s v="A.IN FORZA"/>
    <s v="1  -ASSUNZIONE                1"/>
    <s v=""/>
    <s v=" "/>
    <s v=""/>
    <s v=""/>
    <n v="1536"/>
    <s v="00"/>
    <n v="100"/>
    <s v="FULL TIME      100000000FF100-FULL TIME"/>
    <s v="01/09/2003"/>
    <s v=""/>
    <s v="  "/>
    <s v=""/>
    <s v="EV  "/>
    <s v="    "/>
    <x v="0"/>
    <s v="U.I.L.             U.I.L"/>
    <s v="claudio.giannone@ilsole24ore.com                  "/>
    <s v="F"/>
    <s v="F-FIRMA"/>
    <s v="3 "/>
    <s v="3=5 X 7"/>
    <s v="01/07/2025"/>
    <s v="TEMPO DETERMINATO"/>
    <s v="31/05/2027"/>
    <s v="0015001751                    "/>
    <s v="ROCCHETTI MUNARI ENRICO AGOSTINO"/>
    <n v="46"/>
    <s v="I  "/>
  </r>
  <r>
    <x v="0"/>
    <n v="1751"/>
    <x v="0"/>
    <s v="D           "/>
    <s v="DG M&amp;B - DG PUBLISHING &amp; DIGITAL"/>
    <x v="7"/>
    <x v="7"/>
    <s v="511600      "/>
    <s v="511600   DATI BORSE E MERCATI"/>
    <s v="ROCCHETTI MUNARI                "/>
    <s v="ENRICO AGOSTINO   "/>
    <s v="RCCNCG74B10F205H"/>
    <x v="1"/>
    <s v="34"/>
    <x v="0"/>
    <s v="01/04/2021"/>
    <s v="MILANO                 "/>
    <x v="3"/>
    <x v="3"/>
    <s v="I"/>
    <x v="0"/>
    <s v="09 "/>
    <x v="14"/>
    <s v="01/03/2001"/>
    <s v="01/03/2001"/>
    <s v="10/02/1974"/>
    <s v="A"/>
    <s v="A.IN FORZA"/>
    <s v="1  -ASSUNZIONE                1"/>
    <s v=""/>
    <s v=" "/>
    <s v=""/>
    <s v=""/>
    <n v="1382"/>
    <s v="00"/>
    <n v="100"/>
    <s v="FULL TIME      100000000FF100-FULL TIME"/>
    <s v="01/03/2001"/>
    <s v=""/>
    <s v="  "/>
    <s v=""/>
    <s v="PSO "/>
    <s v="    "/>
    <x v="0"/>
    <s v=""/>
    <s v="enrico.munari@ilsole24ore.com                     "/>
    <s v="F"/>
    <s v="F-FIRMA"/>
    <s v="3 "/>
    <s v="3=5 X 7"/>
    <s v="01/07/2025"/>
    <s v="TEMPO DETERMINATO"/>
    <s v="31/05/2027"/>
    <s v="0015001806                    "/>
    <s v="GRAZIANI MARCO"/>
    <n v="51"/>
    <s v="I  "/>
  </r>
  <r>
    <x v="0"/>
    <n v="436"/>
    <x v="0"/>
    <s v="D           "/>
    <s v="DG M&amp;B - DG PUBLISHING &amp; DIGITAL"/>
    <x v="7"/>
    <x v="7"/>
    <s v="511600      "/>
    <s v="511600   DATI BORSE E MERCATI"/>
    <s v="ROVERSI                         "/>
    <s v="ELENA             "/>
    <s v="RVRLNE68E64F205M"/>
    <x v="0"/>
    <s v="34"/>
    <x v="0"/>
    <s v="01/04/2021"/>
    <s v="MILANO                 "/>
    <x v="3"/>
    <x v="3"/>
    <s v="I"/>
    <x v="0"/>
    <s v="08 "/>
    <x v="13"/>
    <s v="01/09/1989"/>
    <s v="01/09/1989"/>
    <s v="24/05/1968"/>
    <s v="A"/>
    <s v="A.IN FORZA"/>
    <s v="1  -ASSUNZIONE                1"/>
    <s v=""/>
    <s v=" "/>
    <s v=""/>
    <s v=""/>
    <n v="316"/>
    <s v="00"/>
    <n v="100"/>
    <s v="FULL TIME      100000000FF100-FULL TIME"/>
    <s v="01/09/1989"/>
    <s v=""/>
    <s v="  "/>
    <s v=""/>
    <s v="PSO "/>
    <s v="    "/>
    <x v="0"/>
    <s v="U.I.L.             U.I.L"/>
    <s v="elena.roversi@ilsole24ore.com                     "/>
    <s v="F"/>
    <s v="F-FIRMA"/>
    <s v="3 "/>
    <s v="3=5 X 7"/>
    <s v="01/07/2025"/>
    <s v="TEMPO DETERMINATO"/>
    <s v="31/05/2027"/>
    <s v="0015001751                    "/>
    <s v="ROCCHETTI MUNARI ENRICO AGOSTINO"/>
    <n v="57"/>
    <s v="I  "/>
  </r>
  <r>
    <x v="0"/>
    <n v="1669"/>
    <x v="0"/>
    <s v="D           "/>
    <s v="DG M&amp;B - DG PUBLISHING &amp; DIGITAL"/>
    <x v="8"/>
    <x v="8"/>
    <s v="513000      "/>
    <s v="513000  POLITICHE COMMERCIALI DIFF.LOG."/>
    <s v="BOZETICKY                       "/>
    <s v="DANILO            "/>
    <s v="BZTDNL69C23F119I"/>
    <x v="1"/>
    <s v="34"/>
    <x v="0"/>
    <s v="01/04/2021"/>
    <s v="MILANO                 "/>
    <x v="0"/>
    <x v="0"/>
    <s v="I"/>
    <x v="0"/>
    <s v="B1 "/>
    <x v="10"/>
    <s v="02/11/2000"/>
    <s v="02/11/2000"/>
    <s v="23/03/1969"/>
    <s v="A"/>
    <s v="A.IN FORZA"/>
    <s v="1  -ASSUNZIONE                1"/>
    <s v=""/>
    <s v=" "/>
    <s v=""/>
    <s v=""/>
    <n v="1329"/>
    <s v="00"/>
    <n v="100"/>
    <s v="FULL TIME      100000000FF100-FULL TIME"/>
    <s v="02/11/2000"/>
    <s v=""/>
    <s v="  "/>
    <s v=""/>
    <s v="EN  "/>
    <s v="    "/>
    <x v="0"/>
    <s v="U.I.L.             U.I.L"/>
    <s v="danilo.bozeticky@ilsole24ore.com                  "/>
    <s v="F"/>
    <s v="F-FIRMA"/>
    <s v="1 "/>
    <s v="1=5 X 8"/>
    <s v="01/07/2025"/>
    <s v="TEMPO DETERMINATO"/>
    <s v="31/05/2027"/>
    <s v="0015002158                    "/>
    <s v="CARRASSI ALESSANDRO"/>
    <n v="56"/>
    <s v="I  "/>
  </r>
  <r>
    <x v="0"/>
    <n v="2158"/>
    <x v="0"/>
    <s v="D           "/>
    <s v="DG M&amp;B - DG PUBLISHING &amp; DIGITAL"/>
    <x v="8"/>
    <x v="8"/>
    <s v="513000      "/>
    <s v="513000  POLITICHE COMMERCIALI DIFF.LOG."/>
    <s v="CARRASSI                        "/>
    <s v="ALESSANDRO        "/>
    <s v="CRRLSN79E16C424J"/>
    <x v="1"/>
    <s v="34"/>
    <x v="0"/>
    <s v="01/04/2021"/>
    <s v="MILANO                 "/>
    <x v="0"/>
    <x v="0"/>
    <s v="F"/>
    <x v="2"/>
    <s v="Q  "/>
    <x v="8"/>
    <s v="03/01/2007"/>
    <s v="03/01/2007"/>
    <s v="16/05/1979"/>
    <s v="A"/>
    <s v="A.IN FORZA"/>
    <s v="1  -ASSUNZIONE                1"/>
    <s v=""/>
    <s v=" "/>
    <s v=""/>
    <s v=""/>
    <n v="1627"/>
    <s v="00"/>
    <n v="100"/>
    <s v="FULL TIME      100000000FF100-FULL TIME"/>
    <s v="03/01/2007"/>
    <s v=""/>
    <s v="05"/>
    <s v="INVALIDI CIVILI"/>
    <s v="EV  "/>
    <s v="    "/>
    <x v="0"/>
    <s v=""/>
    <s v="alessandro.carrassi@ilsole24ore.com               "/>
    <s v="F"/>
    <s v="F-FIRMA"/>
    <s v="1 "/>
    <s v="1=5 X 8"/>
    <s v="01/07/2025"/>
    <s v="TEMPO DETERMINATO"/>
    <s v="31/05/2027"/>
    <s v="0015002983                    "/>
    <s v="MUZZA MANUELA"/>
    <n v="46"/>
    <s v="I  "/>
  </r>
  <r>
    <x v="0"/>
    <n v="1812"/>
    <x v="0"/>
    <s v="D           "/>
    <s v="DG M&amp;B - DG PUBLISHING &amp; DIGITAL"/>
    <x v="8"/>
    <x v="8"/>
    <s v="513000      "/>
    <s v="513000  POLITICHE COMMERCIALI DIFF.LOG."/>
    <s v="MUNDO                           "/>
    <s v="CLAUDIA           "/>
    <s v="MNDCLD70P70A942B"/>
    <x v="0"/>
    <s v="34"/>
    <x v="0"/>
    <s v="01/04/2021"/>
    <s v="MILANO                 "/>
    <x v="0"/>
    <x v="0"/>
    <s v="F"/>
    <x v="2"/>
    <s v="Q  "/>
    <x v="8"/>
    <s v="09/05/2000"/>
    <s v="09/05/2000"/>
    <s v="30/09/1970"/>
    <s v="A"/>
    <s v="A.IN FORZA"/>
    <s v="1  -ASSUNZIONE                1"/>
    <s v=""/>
    <s v=" "/>
    <s v=""/>
    <s v=""/>
    <n v="1432"/>
    <s v="00"/>
    <n v="100"/>
    <s v="FULL TIME      100000000FF100-FULL TIME"/>
    <s v="09/05/2000"/>
    <s v=""/>
    <s v="  "/>
    <s v=""/>
    <s v="EV  "/>
    <s v="    "/>
    <x v="0"/>
    <s v=""/>
    <s v="claudia.mundo@ilsole24ore.com                     "/>
    <s v="F"/>
    <s v="F-FIRMA"/>
    <s v="1 "/>
    <s v="1=5 X 8"/>
    <s v="01/07/2025"/>
    <s v="TEMPO DETERMINATO"/>
    <s v="31/05/2027"/>
    <s v="0015002158                    "/>
    <s v="CARRASSI ALESSANDRO"/>
    <n v="55"/>
    <s v="I  "/>
  </r>
  <r>
    <x v="0"/>
    <n v="2103"/>
    <x v="0"/>
    <s v="D           "/>
    <s v="DG M&amp;B - DG PUBLISHING &amp; DIGITAL"/>
    <x v="8"/>
    <x v="8"/>
    <s v="51320010    "/>
    <s v="51320010 LOGISTICA"/>
    <s v="BASSANO                         "/>
    <s v="LAURA MARINA      "/>
    <s v="BSSLMR72B67F205L"/>
    <x v="0"/>
    <s v="34"/>
    <x v="0"/>
    <s v="01/04/2021"/>
    <s v="MILANO                 "/>
    <x v="0"/>
    <x v="0"/>
    <s v="I"/>
    <x v="0"/>
    <s v="B1 "/>
    <x v="10"/>
    <s v="01/04/2006"/>
    <s v="01/04/2006"/>
    <s v="27/02/1972"/>
    <s v="A"/>
    <s v="A.IN FORZA"/>
    <s v="1  -ASSUNZIONE                1"/>
    <s v=""/>
    <s v=" "/>
    <s v=""/>
    <s v=""/>
    <n v="1591"/>
    <s v="00"/>
    <n v="100"/>
    <s v="FULL TIME      100000000FF100-FULL TIME"/>
    <s v="01/07/2022"/>
    <s v=""/>
    <s v="  "/>
    <s v=""/>
    <s v="EV  "/>
    <s v="    "/>
    <x v="0"/>
    <s v="U.I.L.             U.I.L"/>
    <s v="laura.bassano@ilsole24ore.com                     "/>
    <s v="F"/>
    <s v="F-FIRMA"/>
    <s v="1 "/>
    <s v="1=5 X 8"/>
    <s v="01/07/2025"/>
    <s v="TEMPO DETERMINATO"/>
    <s v="31/05/2027"/>
    <s v="0015002158                    "/>
    <s v="CARRASSI ALESSANDRO"/>
    <n v="53"/>
    <s v="I  "/>
  </r>
  <r>
    <x v="0"/>
    <n v="1313"/>
    <x v="0"/>
    <s v="D           "/>
    <s v="DG M&amp;B - DG PUBLISHING &amp; DIGITAL"/>
    <x v="8"/>
    <x v="8"/>
    <s v="51320010    "/>
    <s v="51320010 LOGISTICA"/>
    <s v="CAPONE                          "/>
    <s v="LEONARDO          "/>
    <s v="CPNLRD72E08H501Z"/>
    <x v="1"/>
    <s v="34"/>
    <x v="0"/>
    <s v="04/04/2022"/>
    <s v="MILANO                 "/>
    <x v="0"/>
    <x v="0"/>
    <s v="I"/>
    <x v="0"/>
    <s v="A  "/>
    <x v="0"/>
    <s v="15/10/1999"/>
    <s v="15/10/1999"/>
    <s v="08/05/1972"/>
    <s v="A"/>
    <s v="A.IN FORZA"/>
    <s v="1  -ASSUNZIONE                1"/>
    <s v=""/>
    <s v=" "/>
    <s v=""/>
    <s v=""/>
    <n v="1040"/>
    <s v="00"/>
    <n v="100"/>
    <s v="FULL TIME      100000000FF100-FULL TIME"/>
    <s v="15/10/1999"/>
    <s v=""/>
    <s v="  "/>
    <s v=""/>
    <s v="EP  "/>
    <s v="    "/>
    <x v="0"/>
    <s v=""/>
    <s v="leonardo.capone@ilsole24ore.com                   "/>
    <s v="F"/>
    <s v="F-FIRMA"/>
    <s v="1 "/>
    <s v="1=5 X 8"/>
    <s v="01/07/2025"/>
    <s v="TEMPO DETERMINATO"/>
    <s v="31/05/2027"/>
    <s v="0015002158                    "/>
    <s v="CARRASSI ALESSANDRO"/>
    <n v="53"/>
    <s v="I  "/>
  </r>
  <r>
    <x v="0"/>
    <n v="414"/>
    <x v="0"/>
    <s v="D           "/>
    <s v="DG M&amp;B - DG PUBLISHING &amp; DIGITAL"/>
    <x v="8"/>
    <x v="8"/>
    <s v="51320010    "/>
    <s v="51320010 LOGISTICA"/>
    <s v="TURATI                          "/>
    <s v="SONIA GINA        "/>
    <s v="TRTSGN69L44F205Z"/>
    <x v="0"/>
    <s v="34"/>
    <x v="0"/>
    <s v="01/04/2021"/>
    <s v="MILANO                 "/>
    <x v="0"/>
    <x v="0"/>
    <s v="I"/>
    <x v="0"/>
    <s v="B2 "/>
    <x v="17"/>
    <s v="12/05/1989"/>
    <s v="12/05/1989"/>
    <s v="04/07/1969"/>
    <s v="A"/>
    <s v="A.IN FORZA"/>
    <s v="1  -ASSUNZIONE                1"/>
    <s v=""/>
    <s v=" "/>
    <s v=""/>
    <s v=""/>
    <n v="297"/>
    <s v="00"/>
    <n v="100"/>
    <s v="FULL TIME      100000000FF100-FULL TIME"/>
    <s v="12/05/1989"/>
    <s v=""/>
    <s v="  "/>
    <s v=""/>
    <s v="EV  "/>
    <s v="    "/>
    <x v="0"/>
    <s v="U.I.L.             U.I.L"/>
    <s v="sonia.turati@ilsole24ore.com                      "/>
    <s v="T"/>
    <s v="T-TIMBRA"/>
    <s v="1 "/>
    <s v="1=5 X 8"/>
    <s v="01/07/2025"/>
    <s v="TEMPO DETERMINATO"/>
    <s v="31/05/2027"/>
    <s v="0015002158                    "/>
    <s v="CARRASSI ALESSANDRO"/>
    <n v="56"/>
    <s v="I  "/>
  </r>
  <r>
    <x v="0"/>
    <n v="2876"/>
    <x v="0"/>
    <s v="D           "/>
    <s v="DG M&amp;B - DG PUBLISHING &amp; DIGITAL"/>
    <x v="8"/>
    <x v="8"/>
    <s v="51320020    "/>
    <s v="51320020 DIFFUSIONE"/>
    <s v="MOTTA                           "/>
    <s v="ANNA              "/>
    <s v="MTTNNA87L46E801A"/>
    <x v="0"/>
    <s v="34"/>
    <x v="0"/>
    <s v="01/04/2021"/>
    <s v="MILANO                 "/>
    <x v="0"/>
    <x v="0"/>
    <s v="I"/>
    <x v="0"/>
    <s v="A  "/>
    <x v="0"/>
    <s v="01/02/2016"/>
    <s v="01/02/2016"/>
    <s v="06/07/1987"/>
    <s v="A"/>
    <s v="A.IN FORZA"/>
    <s v="1  -ASSUNZIONE                1"/>
    <s v=""/>
    <s v=" "/>
    <s v=""/>
    <s v=""/>
    <n v="2876"/>
    <s v="00"/>
    <n v="100"/>
    <s v="FULL TIME      100000000FF100-FULL TIME"/>
    <s v="01/02/2016"/>
    <s v=""/>
    <s v="  "/>
    <s v=""/>
    <s v="EN  "/>
    <s v="    "/>
    <x v="0"/>
    <s v=""/>
    <s v="anna.motta@ilsole24ore.com                        "/>
    <s v="F"/>
    <s v="F-FIRMA"/>
    <s v="1 "/>
    <s v="1=5 X 8"/>
    <s v="01/07/2025"/>
    <s v="TEMPO DETERMINATO"/>
    <s v="31/05/2027"/>
    <s v="0015002158                    "/>
    <s v="CARRASSI ALESSANDRO"/>
    <n v="38"/>
    <s v="I  "/>
  </r>
  <r>
    <x v="0"/>
    <n v="744"/>
    <x v="0"/>
    <s v="D           "/>
    <s v="DG M&amp;B - DG PUBLISHING &amp; DIGITAL"/>
    <x v="8"/>
    <x v="8"/>
    <s v="513400      "/>
    <s v="513400   PIANIFICAZ. E CONTROLLO COMM.LE"/>
    <s v="BLASEOTTO                       "/>
    <s v="MONICA            "/>
    <s v="BLSMNC68R45F205Y"/>
    <x v="0"/>
    <s v="34"/>
    <x v="0"/>
    <s v="01/04/2021"/>
    <s v="MILANO                 "/>
    <x v="3"/>
    <x v="3"/>
    <s v="I"/>
    <x v="0"/>
    <s v="07 "/>
    <x v="12"/>
    <s v="01/03/1994"/>
    <s v="01/03/1994"/>
    <s v="05/10/1968"/>
    <s v="A"/>
    <s v="A.IN FORZA"/>
    <s v="1  -ASSUNZIONE                1"/>
    <s v=""/>
    <s v=" "/>
    <s v=""/>
    <s v=""/>
    <n v="555"/>
    <s v="00"/>
    <n v="100"/>
    <s v="FULL TIME      100000000FF100-FULL TIME"/>
    <s v="01/03/1994"/>
    <s v=""/>
    <s v="  "/>
    <s v=""/>
    <s v="PSO "/>
    <s v="    "/>
    <x v="0"/>
    <s v=""/>
    <s v="monica.blaseotto@ilsole24ore.com                  "/>
    <s v="T"/>
    <s v="T-TIMBRA"/>
    <s v="7 "/>
    <s v="7=5 X 7.20"/>
    <s v="01/07/2025"/>
    <s v="TEMPO DETERMINATO"/>
    <s v="31/05/2027"/>
    <s v="0015002158                    "/>
    <s v="CARRASSI ALESSANDRO"/>
    <n v="57"/>
    <s v="I  "/>
  </r>
  <r>
    <x v="0"/>
    <n v="800"/>
    <x v="0"/>
    <s v="D           "/>
    <s v="DG M&amp;B - DG PUBLISHING &amp; DIGITAL"/>
    <x v="8"/>
    <x v="8"/>
    <s v="513400      "/>
    <s v="513400   PIANIFICAZ. E CONTROLLO COMM.LE"/>
    <s v="GALLUZZI                        "/>
    <s v="MASSIMILIANO      "/>
    <s v="GLLMSM66M17F205Q"/>
    <x v="1"/>
    <s v="34"/>
    <x v="0"/>
    <s v="01/04/2021"/>
    <s v="MILANO                 "/>
    <x v="3"/>
    <x v="3"/>
    <s v="I"/>
    <x v="0"/>
    <s v="07 "/>
    <x v="12"/>
    <s v="03/10/1994"/>
    <s v="03/10/1994"/>
    <s v="17/08/1966"/>
    <s v="A"/>
    <s v="A.IN FORZA"/>
    <s v="1  -ASSUNZIONE                1"/>
    <s v=""/>
    <s v=" "/>
    <s v=""/>
    <s v=""/>
    <n v="604"/>
    <s v="00"/>
    <n v="100"/>
    <s v="FULL TIME      100000000FF100-FULL TIME"/>
    <s v="03/10/1994"/>
    <s v=""/>
    <s v="  "/>
    <s v=""/>
    <s v="PSO "/>
    <s v="    "/>
    <x v="0"/>
    <s v="U.I.L.             U.I.L"/>
    <s v="massimiliano.galluzzi@ilsole24ore.com             "/>
    <s v="T"/>
    <s v="T-TIMBRA"/>
    <s v="7 "/>
    <s v="7=5 X 7.20"/>
    <s v="01/07/2025"/>
    <s v="TEMPO DETERMINATO"/>
    <s v="31/05/2027"/>
    <s v="0015002158                    "/>
    <s v="CARRASSI ALESSANDRO"/>
    <n v="59"/>
    <s v="I  "/>
  </r>
  <r>
    <x v="0"/>
    <n v="1882"/>
    <x v="0"/>
    <s v="D           "/>
    <s v="DG M&amp;B - DG PUBLISHING &amp; DIGITAL"/>
    <x v="9"/>
    <x v="9"/>
    <s v="513500      "/>
    <s v="513500   VENDITE ABBON. NUOVI E RINNOVI"/>
    <s v="BRUGNOLI                        "/>
    <s v="ALESSANDRO        "/>
    <s v="BRGLSN75H28F205V"/>
    <x v="1"/>
    <s v="34"/>
    <x v="0"/>
    <s v="01/04/2021"/>
    <s v="MILANO                 "/>
    <x v="0"/>
    <x v="0"/>
    <s v="I"/>
    <x v="0"/>
    <s v="AS "/>
    <x v="7"/>
    <s v="19/04/2002"/>
    <s v="19/04/2002"/>
    <s v="28/06/1975"/>
    <s v="A"/>
    <s v="A.IN FORZA"/>
    <s v="1  -ASSUNZIONE                1"/>
    <s v=""/>
    <s v=" "/>
    <s v=""/>
    <s v=""/>
    <n v="1491"/>
    <s v="00"/>
    <n v="100"/>
    <s v="FULL TIME      100000000FF100-FULL TIME"/>
    <s v="19/04/2002"/>
    <s v=""/>
    <s v="  "/>
    <s v=""/>
    <s v="EV  "/>
    <s v="    "/>
    <x v="0"/>
    <s v=""/>
    <s v="alessandro.brugnoli@ilsole24ore.com               "/>
    <s v="F"/>
    <s v="F-FIRMA"/>
    <s v="1 "/>
    <s v="1=5 X 8"/>
    <s v="01/07/2025"/>
    <s v="TEMPO DETERMINATO"/>
    <s v="31/05/2027"/>
    <s v="0015001695                    "/>
    <s v="RUSSO FILOMENA"/>
    <n v="50"/>
    <s v="I  "/>
  </r>
  <r>
    <x v="0"/>
    <n v="1674"/>
    <x v="0"/>
    <s v="D           "/>
    <s v="DG M&amp;B - DG PUBLISHING &amp; DIGITAL"/>
    <x v="9"/>
    <x v="9"/>
    <s v="513500      "/>
    <s v="513500   VENDITE ABBON. NUOVI E RINNOVI"/>
    <s v="DIGIOVANNI                      "/>
    <s v="ELISABETTA        "/>
    <s v="DGVLBT67H49F205K"/>
    <x v="0"/>
    <s v="34"/>
    <x v="0"/>
    <s v="01/04/2021"/>
    <s v="MILANO                 "/>
    <x v="3"/>
    <x v="3"/>
    <s v="I"/>
    <x v="0"/>
    <s v="07 "/>
    <x v="12"/>
    <s v="02/11/2000"/>
    <s v="02/11/2000"/>
    <s v="09/06/1967"/>
    <s v="A"/>
    <s v="A.IN FORZA"/>
    <s v="1  -ASSUNZIONE                1"/>
    <s v=""/>
    <s v=" "/>
    <s v=""/>
    <s v=""/>
    <n v="1334"/>
    <s v="00"/>
    <n v="100"/>
    <s v="FULL TIME      100000000FF100-FULL TIME"/>
    <s v="02/11/2000"/>
    <s v=""/>
    <s v="  "/>
    <s v=""/>
    <s v="PSO "/>
    <s v="    "/>
    <x v="0"/>
    <s v="U.I.L.             U.I.L"/>
    <s v="elisabetta.digiovanni@ilsole24ore.com             "/>
    <s v="T"/>
    <s v="T-TIMBRA"/>
    <s v="7 "/>
    <s v="7=5 X 7.20"/>
    <s v="01/07/2025"/>
    <s v="TEMPO DETERMINATO"/>
    <s v="31/05/2027"/>
    <s v="0015001695                    "/>
    <s v="RUSSO FILOMENA"/>
    <n v="58"/>
    <s v="I  "/>
  </r>
  <r>
    <x v="0"/>
    <n v="3070"/>
    <x v="0"/>
    <s v="D           "/>
    <s v="DG M&amp;B - DG PUBLISHING &amp; DIGITAL"/>
    <x v="9"/>
    <x v="9"/>
    <s v="513500      "/>
    <s v="513500   VENDITE ABBON. NUOVI E RINNOVI"/>
    <s v="FAVARO                          "/>
    <s v="ALESSANDRO        "/>
    <s v="FVRLSN95L18I403W"/>
    <x v="1"/>
    <s v="34"/>
    <x v="0"/>
    <s v="16/03/2023"/>
    <s v="MILANO                 "/>
    <x v="0"/>
    <x v="0"/>
    <s v="I"/>
    <x v="0"/>
    <s v="B2 "/>
    <x v="17"/>
    <s v="16/03/2023"/>
    <s v="16/03/2023"/>
    <s v="18/07/1995"/>
    <s v="A"/>
    <s v="A.IN FORZA"/>
    <s v="1  -ASSUNZIONE                1"/>
    <s v=""/>
    <s v=" "/>
    <s v=""/>
    <s v=""/>
    <n v="3070"/>
    <s v="00"/>
    <n v="100"/>
    <s v="FULL TIME      100000000FF100-FULL TIME"/>
    <s v="16/03/2023"/>
    <s v=""/>
    <s v="  "/>
    <s v=""/>
    <s v="EN  "/>
    <s v="    "/>
    <x v="0"/>
    <s v=""/>
    <s v="alessandro.favaro@ilsole24ore.com                 "/>
    <s v="T"/>
    <s v="T-TIMBRA"/>
    <s v="1 "/>
    <s v="1=5 X 8"/>
    <s v="01/07/2025"/>
    <s v="TEMPO DETERMINATO"/>
    <s v="31/05/2027"/>
    <s v="0015001695                    "/>
    <s v="RUSSO FILOMENA"/>
    <n v="30"/>
    <s v="I  "/>
  </r>
  <r>
    <x v="0"/>
    <n v="1695"/>
    <x v="0"/>
    <s v="D           "/>
    <s v="DG M&amp;B - DG PUBLISHING &amp; DIGITAL"/>
    <x v="9"/>
    <x v="9"/>
    <s v="513500      "/>
    <s v="513500   VENDITE ABBON. NUOVI E RINNOVI"/>
    <s v="RUSSO                           "/>
    <s v="FILOMENA          "/>
    <s v="RSSFMN68M71G131B"/>
    <x v="0"/>
    <s v="34"/>
    <x v="0"/>
    <s v="01/04/2021"/>
    <s v="MILANO                 "/>
    <x v="0"/>
    <x v="0"/>
    <s v="F"/>
    <x v="2"/>
    <s v="Q  "/>
    <x v="8"/>
    <s v="18/12/2000"/>
    <s v="18/12/2000"/>
    <s v="31/08/1968"/>
    <s v="A"/>
    <s v="A.IN FORZA"/>
    <s v="1  -ASSUNZIONE                1"/>
    <s v=""/>
    <s v=" "/>
    <s v=""/>
    <s v=""/>
    <n v="1351"/>
    <s v="00"/>
    <n v="100"/>
    <s v="FULL TIME      100000000FF100-FULL TIME"/>
    <s v="18/12/2000"/>
    <s v=""/>
    <s v="  "/>
    <s v=""/>
    <s v="EP  "/>
    <s v="    "/>
    <x v="0"/>
    <s v=""/>
    <s v="filomena.russo@ilsole24ore.com                    "/>
    <s v="F"/>
    <s v="F-FIRMA"/>
    <s v="1 "/>
    <s v="1=5 X 8"/>
    <s v="01/07/2025"/>
    <s v="TEMPO DETERMINATO"/>
    <s v="31/05/2027"/>
    <s v="0015002983                    "/>
    <s v="MUZZA MANUELA"/>
    <n v="57"/>
    <s v="I  "/>
  </r>
  <r>
    <x v="0"/>
    <n v="2616"/>
    <x v="0"/>
    <s v="D           "/>
    <s v="DG M&amp;B - DG PUBLISHING &amp; DIGITAL"/>
    <x v="10"/>
    <x v="6"/>
    <s v="F16000      "/>
    <s v="F16000   MARKETING SVILUPPO DIGITALE"/>
    <s v="CAROTA                          "/>
    <s v="GIULIA            "/>
    <s v="CRTGLI85H67G482Q"/>
    <x v="0"/>
    <s v="34"/>
    <x v="0"/>
    <s v="01/04/2021"/>
    <s v="MILANO                 "/>
    <x v="0"/>
    <x v="0"/>
    <s v="I"/>
    <x v="0"/>
    <s v="AS "/>
    <x v="7"/>
    <s v="11/07/2012"/>
    <s v="11/07/2012"/>
    <s v="27/06/1985"/>
    <s v="A"/>
    <s v="A.IN FORZA"/>
    <s v="1  -ASSUNZIONE                1"/>
    <s v=""/>
    <s v=" "/>
    <s v=""/>
    <s v=""/>
    <n v="2616"/>
    <s v="09"/>
    <n v="87.5"/>
    <s v="35 ORE GRAFICI 087500000PP35.0/40- PT 87.50-P"/>
    <s v="01/03/2024"/>
    <s v="31/03/2026"/>
    <s v="  "/>
    <s v=""/>
    <s v="EV  "/>
    <s v="    "/>
    <x v="0"/>
    <s v=""/>
    <s v="giulia.carota@ilsole24ore.com                     "/>
    <s v="F"/>
    <s v="F-FIRMA"/>
    <s v="1 "/>
    <s v="1=5 X 8"/>
    <s v="01/07/2025"/>
    <s v="TEMPO DETERMINATO"/>
    <s v="31/05/2027"/>
    <s v="0015002972                    "/>
    <s v="FRANCICA FEDERICA"/>
    <n v="40"/>
    <s v="I  "/>
  </r>
  <r>
    <x v="0"/>
    <n v="3058"/>
    <x v="0"/>
    <s v="D           "/>
    <s v="DG M&amp;B - DG PUBLISHING &amp; DIGITAL"/>
    <x v="10"/>
    <x v="6"/>
    <s v="F16000      "/>
    <s v="F16000   MARKETING SVILUPPO DIGITALE"/>
    <s v="FAINA                           "/>
    <s v="ARIANNA           "/>
    <s v="FNARNN94A71G478V"/>
    <x v="0"/>
    <s v="34"/>
    <x v="0"/>
    <s v="01/10/2022"/>
    <s v="MILANO                 "/>
    <x v="0"/>
    <x v="0"/>
    <s v="I"/>
    <x v="0"/>
    <s v="B2 "/>
    <x v="17"/>
    <s v="01/10/2022"/>
    <s v="01/10/2022"/>
    <s v="31/01/1994"/>
    <s v="A"/>
    <s v="A.IN FORZA"/>
    <s v="1  -ASSUNZIONE                1"/>
    <s v=""/>
    <s v=" "/>
    <s v=""/>
    <s v=""/>
    <n v="3058"/>
    <s v="00"/>
    <n v="100"/>
    <s v="FULL TIME      100000000FF100-FULL TIME"/>
    <s v="01/10/2022"/>
    <s v=""/>
    <s v="  "/>
    <s v=""/>
    <s v="EN  "/>
    <s v="    "/>
    <x v="0"/>
    <s v=""/>
    <s v="arianna.faina@ilsole24ore.com                     "/>
    <s v="F"/>
    <s v="F-FIRMA"/>
    <s v="1 "/>
    <s v="1=5 X 8"/>
    <s v="01/07/2025"/>
    <s v="TEMPO DETERMINATO"/>
    <s v="31/05/2027"/>
    <s v="0015002972                    "/>
    <s v="FRANCICA FEDERICA"/>
    <n v="32"/>
    <s v="I  "/>
  </r>
  <r>
    <x v="0"/>
    <n v="3117"/>
    <x v="0"/>
    <s v="D           "/>
    <s v="DG M&amp;B - DG PUBLISHING &amp; DIGITAL"/>
    <x v="10"/>
    <x v="6"/>
    <s v="F16000      "/>
    <s v="F16000   MARKETING SVILUPPO DIGITALE"/>
    <s v="MAMMONE                         "/>
    <s v="SALVATORE         "/>
    <s v="MMMSVT83M08F537K"/>
    <x v="1"/>
    <s v="34"/>
    <x v="0"/>
    <s v="08/04/2024"/>
    <s v="MILANO                 "/>
    <x v="0"/>
    <x v="0"/>
    <s v="I"/>
    <x v="0"/>
    <s v="AS "/>
    <x v="7"/>
    <s v="08/04/2024"/>
    <s v="08/04/2024"/>
    <s v="08/08/1983"/>
    <s v="A"/>
    <s v="A.IN FORZA"/>
    <s v="1  -ASSUNZIONE                1"/>
    <s v=""/>
    <s v=" "/>
    <s v=""/>
    <s v=""/>
    <n v="3117"/>
    <s v="00"/>
    <n v="100"/>
    <s v="FULL TIME      100000000FF100-FULL TIME"/>
    <s v="08/04/2024"/>
    <s v=""/>
    <s v="  "/>
    <s v=""/>
    <s v="EN  "/>
    <s v="    "/>
    <x v="0"/>
    <s v=""/>
    <s v="salvatore.mammone@ilsole24ore.com                 "/>
    <s v="F"/>
    <s v="F-FIRMA"/>
    <s v="1 "/>
    <s v="1=5 X 8"/>
    <s v="01/07/2025"/>
    <s v="TEMPO DETERMINATO"/>
    <s v="31/05/2027"/>
    <s v="0015002972                    "/>
    <s v="FRANCICA FEDERICA"/>
    <n v="42"/>
    <s v="I  "/>
  </r>
  <r>
    <x v="0"/>
    <n v="3106"/>
    <x v="0"/>
    <s v="D           "/>
    <s v="DG M&amp;B - DG PUBLISHING &amp; DIGITAL"/>
    <x v="10"/>
    <x v="6"/>
    <s v="F16000      "/>
    <s v="F16000   MARKETING SVILUPPO DIGITALE"/>
    <s v="PANCANI                         "/>
    <s v="SIMONA            "/>
    <s v="PNCSMN85B52F205X"/>
    <x v="0"/>
    <s v="34"/>
    <x v="0"/>
    <s v="15/01/2024"/>
    <s v="MILANO                 "/>
    <x v="0"/>
    <x v="0"/>
    <s v="I"/>
    <x v="0"/>
    <s v="A  "/>
    <x v="0"/>
    <s v="15/01/2024"/>
    <s v="15/01/2024"/>
    <s v="12/02/1985"/>
    <s v="A"/>
    <s v="A.IN FORZA"/>
    <s v="1  -ASSUNZIONE                1"/>
    <s v=""/>
    <s v=" "/>
    <s v=""/>
    <s v=""/>
    <n v="3106"/>
    <s v="00"/>
    <n v="100"/>
    <s v="FULL TIME      100000000FF100-FULL TIME"/>
    <s v="15/01/2024"/>
    <s v=""/>
    <s v="  "/>
    <s v=""/>
    <s v="EN  "/>
    <s v="    "/>
    <x v="0"/>
    <s v="U.I.L.             U.I.L"/>
    <s v="simona.pancani@ilsole24ore.com                    "/>
    <s v="F"/>
    <s v="F-FIRMA"/>
    <s v="1 "/>
    <s v="1=5 X 8"/>
    <s v="01/07/2025"/>
    <s v="TEMPO DETERMINATO"/>
    <s v="31/05/2027"/>
    <s v="0015002972                    "/>
    <s v="FRANCICA FEDERICA"/>
    <n v="40"/>
    <s v="I  "/>
  </r>
  <r>
    <x v="0"/>
    <n v="1844"/>
    <x v="0"/>
    <s v="D           "/>
    <s v="DG M&amp;B - DG PUBLISHING &amp; DIGITAL"/>
    <x v="10"/>
    <x v="6"/>
    <s v="F16000      "/>
    <s v="F16000   MARKETING SVILUPPO DIGITALE"/>
    <s v="PETRUCCI                        "/>
    <s v="SALVATORE         "/>
    <s v="PTRSVT64T18L273E"/>
    <x v="1"/>
    <s v="34"/>
    <x v="0"/>
    <s v="01/04/2021"/>
    <s v="MILANO                 "/>
    <x v="0"/>
    <x v="0"/>
    <s v="F"/>
    <x v="2"/>
    <s v="Q  "/>
    <x v="8"/>
    <s v="01/02/2001"/>
    <s v="17/07/2000"/>
    <s v="18/12/1964"/>
    <s v="A"/>
    <s v="A.IN FORZA"/>
    <s v="2  -VARIAZIONE SOCIETARIA     2"/>
    <s v=""/>
    <s v=" "/>
    <s v=""/>
    <s v=""/>
    <n v="1464"/>
    <s v="00"/>
    <n v="100"/>
    <s v="FULL TIME      100000000FF100-FULL TIME"/>
    <s v="01/02/2001"/>
    <s v=""/>
    <s v="  "/>
    <s v=""/>
    <s v="EV  "/>
    <s v="    "/>
    <x v="0"/>
    <s v=""/>
    <s v="salvatore.petrucci@ilsole24ore.com                "/>
    <s v="F"/>
    <s v="F-FIRMA"/>
    <s v="1 "/>
    <s v="1=5 X 8"/>
    <s v="01/07/2025"/>
    <s v="TEMPO DETERMINATO"/>
    <s v="31/05/2027"/>
    <s v="0015002972                    "/>
    <s v="FRANCICA FEDERICA"/>
    <n v="61"/>
    <s v="I  "/>
  </r>
  <r>
    <x v="0"/>
    <n v="3020"/>
    <x v="0"/>
    <s v="D           "/>
    <s v="DG M&amp;B - DG PUBLISHING &amp; DIGITAL"/>
    <x v="10"/>
    <x v="6"/>
    <s v="F16000      "/>
    <s v="F16000   MARKETING SVILUPPO DIGITALE"/>
    <s v="ROSI                            "/>
    <s v="MARTINA           "/>
    <s v="RSOMTN91S69G478W"/>
    <x v="0"/>
    <s v="34"/>
    <x v="0"/>
    <s v="18/10/2021"/>
    <s v="MILANO                 "/>
    <x v="0"/>
    <x v="0"/>
    <s v="I"/>
    <x v="0"/>
    <s v="B2 "/>
    <x v="17"/>
    <s v="18/10/2021"/>
    <s v="18/10/2021"/>
    <s v="29/11/1991"/>
    <s v="A"/>
    <s v="A.IN FORZA"/>
    <s v="1S-ASSUNZIONE STABILIZZAZIONE 1S"/>
    <s v="30/09/2022"/>
    <s v=" "/>
    <s v=""/>
    <s v=""/>
    <n v="3020"/>
    <s v="00"/>
    <n v="100"/>
    <s v="FULL TIME      100000000FF100-FULL TIME"/>
    <s v="18/10/2021"/>
    <s v=""/>
    <s v="  "/>
    <s v=""/>
    <s v="EN  "/>
    <s v="    "/>
    <x v="0"/>
    <s v=""/>
    <s v="martina.rosi@ilsole24ore.com                      "/>
    <s v="F"/>
    <s v="F-FIRMA"/>
    <s v="1 "/>
    <s v="1=5 X 8"/>
    <s v="01/07/2025"/>
    <s v="TEMPO DETERMINATO"/>
    <s v="31/05/2027"/>
    <s v="0015002972                    "/>
    <s v="FRANCICA FEDERICA"/>
    <n v="34"/>
    <s v="I  "/>
  </r>
  <r>
    <x v="0"/>
    <n v="3030"/>
    <x v="0"/>
    <s v="D           "/>
    <s v="DG M&amp;B - DG PUBLISHING &amp; DIGITAL"/>
    <x v="11"/>
    <x v="10"/>
    <s v="F1600010    "/>
    <s v="F1600010 E-COMMERCE"/>
    <s v="BESTETTI                        "/>
    <s v="MARCO             "/>
    <s v="BSTMRC76L26F205R"/>
    <x v="1"/>
    <s v="34"/>
    <x v="0"/>
    <s v="02/03/2022"/>
    <s v="MILANO                 "/>
    <x v="0"/>
    <x v="0"/>
    <s v="F"/>
    <x v="2"/>
    <s v="Q  "/>
    <x v="8"/>
    <s v="02/03/2022"/>
    <s v="02/03/2022"/>
    <s v="26/07/1976"/>
    <s v="A"/>
    <s v="A.IN FORZA"/>
    <s v="1  -ASSUNZIONE                1"/>
    <s v=""/>
    <s v=" "/>
    <s v=""/>
    <s v=""/>
    <n v="3030"/>
    <s v="00"/>
    <n v="100"/>
    <s v="FULL TIME      100000000FF100-FULL TIME"/>
    <s v="02/03/2022"/>
    <s v=""/>
    <s v="  "/>
    <s v=""/>
    <s v="EN  "/>
    <s v="    "/>
    <x v="0"/>
    <s v="U.I.L.             U.I.L"/>
    <s v="marco.bestetti@ilsole24ore.com                    "/>
    <s v="F"/>
    <s v="F-FIRMA"/>
    <s v="1 "/>
    <s v="1=5 X 8"/>
    <s v="01/07/2025"/>
    <s v="TEMPO DETERMINATO"/>
    <s v="31/05/2027"/>
    <s v="0015002972                    "/>
    <s v="FRANCICA FEDERICA"/>
    <n v="49"/>
    <s v="I  "/>
  </r>
  <r>
    <x v="0"/>
    <n v="2423"/>
    <x v="0"/>
    <s v="D           "/>
    <s v="DG M&amp;B - DG PUBLISHING &amp; DIGITAL"/>
    <x v="12"/>
    <x v="11"/>
    <s v="61207020    "/>
    <s v="61207020 DIGITAL PRODUCT DEVELOPMENT"/>
    <s v="BERTORELLI                      "/>
    <s v="WALTER PASQUALE   "/>
    <s v="BRTWTR69B22F205I"/>
    <x v="1"/>
    <s v="34"/>
    <x v="0"/>
    <s v="01/04/2021"/>
    <s v="MILANO                 "/>
    <x v="0"/>
    <x v="0"/>
    <s v="I"/>
    <x v="0"/>
    <s v="A  "/>
    <x v="0"/>
    <s v="01/06/2000"/>
    <s v="01/06/2000"/>
    <s v="22/02/1969"/>
    <s v="A"/>
    <s v="A.IN FORZA"/>
    <s v="1  -ASSUNZIONE                1"/>
    <s v=""/>
    <s v=" "/>
    <s v=""/>
    <s v=""/>
    <n v="2423"/>
    <s v="00"/>
    <n v="100"/>
    <s v="FULL TIME      100000000FF100-FULL TIME"/>
    <s v="01/07/2005"/>
    <s v=""/>
    <s v="  "/>
    <s v=""/>
    <s v="EN  "/>
    <s v="    "/>
    <x v="0"/>
    <s v=""/>
    <s v="walter.bertorelli@radio24.it                      "/>
    <s v="F"/>
    <s v="F-FIRMA"/>
    <s v="1 "/>
    <s v="1=5 X 8"/>
    <s v="01/07/2025"/>
    <s v="TEMPO DETERMINATO"/>
    <s v="31/05/2027"/>
    <s v="0015002972                    "/>
    <s v="FRANCICA FEDERICA"/>
    <n v="56"/>
    <s v="I  "/>
  </r>
  <r>
    <x v="0"/>
    <n v="3081"/>
    <x v="0"/>
    <s v="D           "/>
    <s v="DG M&amp;B - DG PUBLISHING &amp; DIGITAL"/>
    <x v="12"/>
    <x v="11"/>
    <s v="61207020    "/>
    <s v="61207020 DIGITAL PRODUCT DEVELOPMENT"/>
    <s v="DE MAIO                         "/>
    <s v="SIMONE            "/>
    <s v="DMESMN97S27L400B"/>
    <x v="1"/>
    <s v="34"/>
    <x v="0"/>
    <s v="05/06/2023"/>
    <s v="MILANO                 "/>
    <x v="0"/>
    <x v="0"/>
    <s v="I"/>
    <x v="0"/>
    <s v="B2 "/>
    <x v="17"/>
    <s v="05/06/2023"/>
    <s v="05/06/2023"/>
    <s v="27/11/1997"/>
    <s v="A"/>
    <s v="A.IN FORZA"/>
    <s v="1  -ASSUNZIONE                1"/>
    <s v=""/>
    <s v=" "/>
    <s v=""/>
    <s v=""/>
    <n v="3081"/>
    <s v="00"/>
    <n v="100"/>
    <s v="FULL TIME      100000000FF100-FULL TIME"/>
    <s v="05/06/2023"/>
    <s v=""/>
    <s v="  "/>
    <s v=""/>
    <s v="EN  "/>
    <s v="    "/>
    <x v="0"/>
    <s v=""/>
    <s v="simone.demaio@ilsole24ore.com                     "/>
    <s v="F"/>
    <s v="F-FIRMA"/>
    <s v="1 "/>
    <s v="1=5 X 8"/>
    <s v="01/07/2025"/>
    <s v="TEMPO DETERMINATO"/>
    <s v="31/05/2027"/>
    <s v="0015002972                    "/>
    <s v="FRANCICA FEDERICA"/>
    <n v="28"/>
    <s v="I  "/>
  </r>
  <r>
    <x v="0"/>
    <n v="2972"/>
    <x v="0"/>
    <s v="D           "/>
    <s v="DG M&amp;B - DG PUBLISHING &amp; DIGITAL"/>
    <x v="12"/>
    <x v="11"/>
    <s v="61207020    "/>
    <s v="61207020 DIGITAL PRODUCT DEVELOPMENT"/>
    <s v="FRANCICA                        "/>
    <s v="FEDERICA          "/>
    <s v="FRNFRC82L56I754T"/>
    <x v="0"/>
    <s v="34"/>
    <x v="0"/>
    <s v="01/04/2021"/>
    <s v="MILANO                 "/>
    <x v="0"/>
    <x v="0"/>
    <s v="F"/>
    <x v="2"/>
    <s v="Q  "/>
    <x v="8"/>
    <s v="02/05/2019"/>
    <s v="02/05/2019"/>
    <s v="16/07/1982"/>
    <s v="A"/>
    <s v="A.IN FORZA"/>
    <s v="1  -ASSUNZIONE                1"/>
    <s v=""/>
    <s v=" "/>
    <s v=""/>
    <s v=""/>
    <n v="2972"/>
    <s v="00"/>
    <n v="100"/>
    <s v="FULL TIME      100000000FF100-FULL TIME"/>
    <s v="02/05/2019"/>
    <s v=""/>
    <s v="  "/>
    <s v=""/>
    <s v="EV  "/>
    <s v="    "/>
    <x v="0"/>
    <s v=""/>
    <s v="federica.francica@ilsole24ore.com                 "/>
    <s v="F"/>
    <s v="F-FIRMA"/>
    <s v="1 "/>
    <s v="1=5 X 8"/>
    <s v="01/07/2025"/>
    <s v="TEMPO DETERMINATO"/>
    <s v="31/05/2027"/>
    <s v="0015002960                    "/>
    <s v="SILVESTRI FEDERICO"/>
    <n v="43"/>
    <s v="I  "/>
  </r>
  <r>
    <x v="0"/>
    <n v="3010"/>
    <x v="0"/>
    <s v="D           "/>
    <s v="DG M&amp;B - DG PUBLISHING &amp; DIGITAL"/>
    <x v="12"/>
    <x v="11"/>
    <s v="61207020    "/>
    <s v="61207020 DIGITAL PRODUCT DEVELOPMENT"/>
    <s v="STANZIONE                       "/>
    <s v="LUCA              "/>
    <s v="STNLCU81D27F704I"/>
    <x v="1"/>
    <s v="34"/>
    <x v="0"/>
    <s v="01/04/2021"/>
    <s v="MILANO                 "/>
    <x v="0"/>
    <x v="0"/>
    <s v="I"/>
    <x v="0"/>
    <s v="AS "/>
    <x v="7"/>
    <s v="01/03/2021"/>
    <s v="01/03/2021"/>
    <s v="27/04/1981"/>
    <s v="A"/>
    <s v="A.IN FORZA"/>
    <s v="1  -ASSUNZIONE                1"/>
    <s v=""/>
    <s v=" "/>
    <s v=""/>
    <s v=""/>
    <n v="3010"/>
    <s v="00"/>
    <n v="100"/>
    <s v="FULL TIME      100000000FF100-FULL TIME"/>
    <s v="01/03/2021"/>
    <s v=""/>
    <s v="  "/>
    <s v=""/>
    <s v="EN  "/>
    <s v="    "/>
    <x v="0"/>
    <s v=""/>
    <s v="luca.stanzione@ilsole24ore.com                    "/>
    <s v="F"/>
    <s v="F-FIRMA"/>
    <s v="1 "/>
    <s v="1=5 X 8"/>
    <s v="01/07/2025"/>
    <s v="TEMPO DETERMINATO"/>
    <s v="31/05/2027"/>
    <s v="0015002972                    "/>
    <s v="FRANCICA FEDERICA"/>
    <n v="44"/>
    <s v="I  "/>
  </r>
  <r>
    <x v="0"/>
    <n v="2206"/>
    <x v="0"/>
    <s v="E           "/>
    <s v="AMMINISTR., FINANZA E CONTROLLO"/>
    <x v="13"/>
    <x v="12"/>
    <s v="215100      "/>
    <s v="215100   CREDIT MANAGEMENT"/>
    <s v="BONVINI                         "/>
    <s v="FABIO             "/>
    <s v="BNVFBA74H12B201A"/>
    <x v="1"/>
    <s v="34"/>
    <x v="0"/>
    <s v="01/04/2021"/>
    <s v="MILANO                 "/>
    <x v="0"/>
    <x v="0"/>
    <s v="I"/>
    <x v="0"/>
    <s v="B1 "/>
    <x v="10"/>
    <s v="02/07/2007"/>
    <s v="02/07/2007"/>
    <s v="12/06/1974"/>
    <s v="A"/>
    <s v="A.IN FORZA"/>
    <s v="1  -ASSUNZIONE                1"/>
    <s v=""/>
    <s v=" "/>
    <s v=""/>
    <s v=""/>
    <n v="1658"/>
    <s v="00"/>
    <n v="100"/>
    <s v="FULL TIME      100000000FF100-FULL TIME"/>
    <s v="02/07/2007"/>
    <s v=""/>
    <s v="  "/>
    <s v=""/>
    <s v="EV  "/>
    <s v="    "/>
    <x v="0"/>
    <s v="U.I.L.             U.I.L"/>
    <s v="fabio.bonvini@ilsole24ore.com                     "/>
    <s v="F"/>
    <s v="F-FIRMA"/>
    <s v="1 "/>
    <s v="1=5 X 8"/>
    <s v="01/07/2025"/>
    <s v="TEMPO DETERMINATO"/>
    <s v="31/05/2027"/>
    <s v="0015003076                    "/>
    <s v="DALL'AGNOLA DELIA"/>
    <n v="51"/>
    <s v="I  "/>
  </r>
  <r>
    <x v="0"/>
    <n v="3160"/>
    <x v="0"/>
    <s v="E           "/>
    <s v="AMMINISTR., FINANZA E CONTROLLO"/>
    <x v="13"/>
    <x v="12"/>
    <s v="215100      "/>
    <s v="215100   CREDIT MANAGEMENT"/>
    <s v="BOZZELLA                        "/>
    <s v="ALESSANDRA        "/>
    <s v="BZZLSN00B44D286Z"/>
    <x v="0"/>
    <s v="34"/>
    <x v="0"/>
    <s v="01/10/2025"/>
    <s v="MILANO                 "/>
    <x v="0"/>
    <x v="0"/>
    <s v="I"/>
    <x v="0"/>
    <s v="B3 "/>
    <x v="9"/>
    <s v="01/10/2025"/>
    <s v="01/10/2025"/>
    <s v="04/02/2000"/>
    <s v="A"/>
    <s v="A.IN FORZA"/>
    <s v="1C-ASSUNZIONE CONTR. A TERMINE1"/>
    <s v=""/>
    <s v="D"/>
    <s v="30/09/2026"/>
    <s v=""/>
    <n v="3160"/>
    <s v="00"/>
    <n v="100"/>
    <s v="FULL TIME      100000000FF100-FULL TIME"/>
    <s v="01/10/2025"/>
    <s v=""/>
    <s v="  "/>
    <s v=""/>
    <s v="EN  "/>
    <s v="    "/>
    <x v="0"/>
    <s v=""/>
    <s v="alessandra.bozzella@ilsole24ore.com               "/>
    <s v="F"/>
    <s v="F-FIRMA"/>
    <s v="1 "/>
    <s v="1=5 X 8"/>
    <s v="02/10/2025"/>
    <s v="TEMPO DETERMINATO"/>
    <s v="31/05/2027"/>
    <s v="0015003076                    "/>
    <s v="DALL'AGNOLA DELIA"/>
    <n v="25"/>
    <s v="I  "/>
  </r>
  <r>
    <x v="0"/>
    <n v="2284"/>
    <x v="0"/>
    <s v="E           "/>
    <s v="AMMINISTR., FINANZA E CONTROLLO"/>
    <x v="13"/>
    <x v="12"/>
    <s v="215100      "/>
    <s v="215100   CREDIT MANAGEMENT"/>
    <s v="FOGLIA                          "/>
    <s v="ARIANNA           "/>
    <s v="FGLRNN75B54D969E"/>
    <x v="0"/>
    <s v="34"/>
    <x v="0"/>
    <s v="01/04/2021"/>
    <s v="MILANO                 "/>
    <x v="0"/>
    <x v="0"/>
    <s v="I"/>
    <x v="0"/>
    <s v="A  "/>
    <x v="0"/>
    <s v="14/04/2008"/>
    <s v="14/04/2008"/>
    <s v="14/02/1975"/>
    <s v="A"/>
    <s v="A.IN FORZA"/>
    <s v="1  -ASSUNZIONE                1"/>
    <s v=""/>
    <s v=" "/>
    <s v=""/>
    <s v=""/>
    <n v="1709"/>
    <s v="00"/>
    <n v="100"/>
    <s v="FULL TIME      100000000FF100-FULL TIME"/>
    <s v="14/04/2008"/>
    <s v=""/>
    <s v="  "/>
    <s v=""/>
    <s v="EV  "/>
    <s v="    "/>
    <x v="0"/>
    <s v=""/>
    <s v="arianna.foglia@ilsole24ore.com                    "/>
    <s v="F"/>
    <s v="F-FIRMA"/>
    <s v="1 "/>
    <s v="1=5 X 8"/>
    <s v="01/07/2025"/>
    <s v="TEMPO DETERMINATO"/>
    <s v="31/05/2027"/>
    <s v="0015003076                    "/>
    <s v="DALL'AGNOLA DELIA"/>
    <n v="50"/>
    <s v="I  "/>
  </r>
  <r>
    <x v="0"/>
    <n v="3076"/>
    <x v="0"/>
    <s v="E           "/>
    <s v="AMMINISTR., FINANZA E CONTROLLO"/>
    <x v="13"/>
    <x v="12"/>
    <s v="215500      "/>
    <s v="215500   FINANZA, TESORERIA E RISK MAN"/>
    <s v="DALL'AGNOLA                     "/>
    <s v="DELIA             "/>
    <s v="DLLDLE75R53F205U"/>
    <x v="0"/>
    <s v="34"/>
    <x v="0"/>
    <s v="17/04/2023"/>
    <s v="MILANO                 "/>
    <x v="0"/>
    <x v="0"/>
    <s v="F"/>
    <x v="2"/>
    <s v="Q  "/>
    <x v="8"/>
    <s v="17/04/2023"/>
    <s v="17/04/2023"/>
    <s v="13/10/1975"/>
    <s v="A"/>
    <s v="A.IN FORZA"/>
    <s v="1  -ASSUNZIONE                1"/>
    <s v=""/>
    <s v=" "/>
    <s v=""/>
    <s v=""/>
    <n v="3076"/>
    <s v="00"/>
    <n v="100"/>
    <s v="FULL TIME      100000000FF100-FULL TIME"/>
    <s v="17/04/2023"/>
    <s v=""/>
    <s v="  "/>
    <s v=""/>
    <s v="EN  "/>
    <s v="    "/>
    <x v="0"/>
    <s v=""/>
    <s v="delia.dallagnola@ilsole24ore.com                  "/>
    <s v="F"/>
    <s v="F-FIRMA"/>
    <s v="1 "/>
    <s v="1=5 X 8"/>
    <s v="01/07/2025"/>
    <s v="TEMPO DETERMINATO"/>
    <s v="31/05/2027"/>
    <s v="0015003163                    "/>
    <s v="BAZZO ROBERTA"/>
    <n v="50"/>
    <s v="I  "/>
  </r>
  <r>
    <x v="0"/>
    <n v="2214"/>
    <x v="0"/>
    <s v="E           "/>
    <s v="AMMINISTR., FINANZA E CONTROLLO"/>
    <x v="13"/>
    <x v="12"/>
    <s v="21550001    "/>
    <s v="21550001 TESORERIA E RISK MANAGEMENT"/>
    <s v="CRIPPA                          "/>
    <s v="PAOLA             "/>
    <s v="CRPPLA80A67I625V"/>
    <x v="0"/>
    <s v="34"/>
    <x v="0"/>
    <s v="01/04/2021"/>
    <s v="MILANO                 "/>
    <x v="0"/>
    <x v="0"/>
    <s v="I"/>
    <x v="0"/>
    <s v="B2 "/>
    <x v="17"/>
    <s v="11/07/2007"/>
    <s v="11/07/2007"/>
    <s v="27/01/1980"/>
    <s v="A"/>
    <s v="A.IN FORZA"/>
    <s v="1  -ASSUNZIONE                1"/>
    <s v=""/>
    <s v=" "/>
    <s v=""/>
    <s v=""/>
    <n v="1666"/>
    <s v="00"/>
    <n v="100"/>
    <s v="FULL TIME      100000000FF100-FULL TIME"/>
    <s v="11/07/2007"/>
    <s v=""/>
    <s v="  "/>
    <s v=""/>
    <s v="EV  "/>
    <s v="    "/>
    <x v="0"/>
    <s v=""/>
    <s v="paola.crippa@ilsole24ore.com                      "/>
    <s v="T"/>
    <s v="T-TIMBRA"/>
    <s v="1 "/>
    <s v="1=5 X 8"/>
    <s v="01/07/2025"/>
    <s v="TEMPO DETERMINATO"/>
    <s v="31/05/2027"/>
    <s v="0015003076                    "/>
    <s v="DALL'AGNOLA DELIA"/>
    <n v="46"/>
    <s v="I  "/>
  </r>
  <r>
    <x v="0"/>
    <n v="1567"/>
    <x v="0"/>
    <s v="E           "/>
    <s v="AMMINISTR., FINANZA E CONTROLLO"/>
    <x v="13"/>
    <x v="12"/>
    <s v="21550001    "/>
    <s v="21550001 TESORERIA E RISK MANAGEMENT"/>
    <s v="GAGLIARDI                       "/>
    <s v="ELEONORA          "/>
    <s v="GGLLNR78A63D912M"/>
    <x v="0"/>
    <s v="34"/>
    <x v="0"/>
    <s v="01/04/2021"/>
    <s v="MILANO                 "/>
    <x v="0"/>
    <x v="0"/>
    <s v="I"/>
    <x v="0"/>
    <s v="B2 "/>
    <x v="17"/>
    <s v="05/06/2000"/>
    <s v="05/06/2000"/>
    <s v="23/01/1978"/>
    <s v="A"/>
    <s v="A.IN FORZA"/>
    <s v="1  -ASSUNZIONE                1"/>
    <s v=""/>
    <s v=" "/>
    <s v=""/>
    <s v=""/>
    <n v="1237"/>
    <s v="00"/>
    <n v="100"/>
    <s v="FULL TIME      100000000FF100-FULL TIME"/>
    <s v="05/06/2000"/>
    <s v=""/>
    <s v="  "/>
    <s v=""/>
    <s v="EV  "/>
    <s v="    "/>
    <x v="0"/>
    <s v="C.G.I.L.           C.G.I.L"/>
    <s v="eleonora.gagliardi@ilsole24ore.com                "/>
    <s v="T"/>
    <s v="T-TIMBRA"/>
    <s v="1 "/>
    <s v="1=5 X 8"/>
    <s v="01/07/2025"/>
    <s v="TEMPO DETERMINATO"/>
    <s v="31/05/2027"/>
    <s v="0015003076                    "/>
    <s v="DALL'AGNOLA DELIA"/>
    <n v="48"/>
    <s v="I  "/>
  </r>
  <r>
    <x v="0"/>
    <n v="1274"/>
    <x v="0"/>
    <s v="E           "/>
    <s v="AMMINISTR., FINANZA E CONTROLLO"/>
    <x v="13"/>
    <x v="12"/>
    <s v="21550001    "/>
    <s v="21550001 TESORERIA E RISK MANAGEMENT"/>
    <s v="SOLINAS                         "/>
    <s v="GIUSEPPE          "/>
    <s v="SLNGPP66L27D969G"/>
    <x v="1"/>
    <s v="34"/>
    <x v="0"/>
    <s v="01/04/2021"/>
    <s v="MILANO                 "/>
    <x v="0"/>
    <x v="0"/>
    <s v="F"/>
    <x v="2"/>
    <s v="Q  "/>
    <x v="8"/>
    <s v="15/07/1999"/>
    <s v="15/07/1999"/>
    <s v="27/07/1966"/>
    <s v="A"/>
    <s v="A.IN FORZA"/>
    <s v="1  -ASSUNZIONE                1"/>
    <s v=""/>
    <s v=" "/>
    <s v=""/>
    <s v=""/>
    <n v="1006"/>
    <s v="00"/>
    <n v="100"/>
    <s v="FULL TIME      100000000FF100-FULL TIME"/>
    <s v="15/07/1999"/>
    <s v=""/>
    <s v="  "/>
    <s v=""/>
    <s v="EV  "/>
    <s v="    "/>
    <x v="0"/>
    <s v=""/>
    <s v="giuseppe.solinas@ilsole24ore.com                  "/>
    <s v="F"/>
    <s v="F-FIRMA"/>
    <s v="1 "/>
    <s v="1=5 X 8"/>
    <s v="01/07/2025"/>
    <s v="TEMPO DETERMINATO"/>
    <s v="31/05/2027"/>
    <s v="0015003076                    "/>
    <s v="DALL'AGNOLA DELIA"/>
    <n v="59"/>
    <s v="I  "/>
  </r>
  <r>
    <x v="0"/>
    <n v="1690"/>
    <x v="0"/>
    <s v="E           "/>
    <s v="AMMINISTR., FINANZA E CONTROLLO"/>
    <x v="14"/>
    <x v="13"/>
    <s v="214000      "/>
    <s v="214000   PIANIFICAZIONE E CONTROLLO DI G"/>
    <s v="BERLESE                         "/>
    <s v="SIMONA            "/>
    <s v="BRLSMN74M63L304T"/>
    <x v="0"/>
    <s v="34"/>
    <x v="0"/>
    <s v="01/04/2021"/>
    <s v="MILANO                 "/>
    <x v="0"/>
    <x v="0"/>
    <s v="F"/>
    <x v="2"/>
    <s v="Q  "/>
    <x v="8"/>
    <s v="11/12/2000"/>
    <s v="11/12/2000"/>
    <s v="23/08/1974"/>
    <s v="A"/>
    <s v="A.IN FORZA"/>
    <s v="1  -ASSUNZIONE                1"/>
    <s v=""/>
    <s v=" "/>
    <s v=""/>
    <s v=""/>
    <n v="1346"/>
    <s v="00"/>
    <n v="100"/>
    <s v="FULL TIME      100000000FF100-FULL TIME"/>
    <s v="11/12/2000"/>
    <s v=""/>
    <s v="  "/>
    <s v=""/>
    <s v="EV  "/>
    <s v="    "/>
    <x v="0"/>
    <s v=""/>
    <s v="simona.berlese@ilsole24ore.com                    "/>
    <s v="F"/>
    <s v="F-FIRMA"/>
    <s v="1 "/>
    <s v="1=5 X 8"/>
    <s v="01/07/2025"/>
    <s v="TEMPO DETERMINATO"/>
    <s v="31/05/2027"/>
    <s v="0015001284                    "/>
    <s v="RODARI ANNA ADELE"/>
    <n v="51"/>
    <s v="I  "/>
  </r>
  <r>
    <x v="0"/>
    <n v="2648"/>
    <x v="0"/>
    <s v="E           "/>
    <s v="AMMINISTR., FINANZA E CONTROLLO"/>
    <x v="14"/>
    <x v="13"/>
    <s v="214000      "/>
    <s v="214000   PIANIFICAZIONE E CONTROLLO DI G"/>
    <s v="CARLETTI                        "/>
    <s v="CLAUDIA           "/>
    <s v="CRLCLD71T51D612S"/>
    <x v="0"/>
    <s v="34"/>
    <x v="0"/>
    <s v="01/04/2021"/>
    <s v="MILANO                 "/>
    <x v="0"/>
    <x v="0"/>
    <s v="F"/>
    <x v="2"/>
    <s v="Q  "/>
    <x v="8"/>
    <s v="01/02/2013"/>
    <s v="16/05/2012"/>
    <s v="11/12/1971"/>
    <s v="A"/>
    <s v="A.IN FORZA"/>
    <s v="2  -VARIAZIONE SOCIETARIA     2"/>
    <s v=""/>
    <s v=" "/>
    <s v=""/>
    <s v=""/>
    <n v="2648"/>
    <s v="00"/>
    <n v="100"/>
    <s v="FULL TIME      100000000FF100-FULL TIME"/>
    <s v="16/05/2012"/>
    <s v=""/>
    <s v="  "/>
    <s v=""/>
    <s v="EV  "/>
    <s v="    "/>
    <x v="0"/>
    <s v=""/>
    <s v="claudia.carletti@ilsole24ore.com                  "/>
    <s v="F"/>
    <s v="F-FIRMA"/>
    <s v="1 "/>
    <s v="1=5 X 8"/>
    <s v="01/07/2025"/>
    <s v="TEMPO DETERMINATO"/>
    <s v="31/05/2027"/>
    <s v="0015001284                    "/>
    <s v="RODARI ANNA ADELE"/>
    <n v="54"/>
    <s v="I  "/>
  </r>
  <r>
    <x v="0"/>
    <n v="3110"/>
    <x v="0"/>
    <s v="E           "/>
    <s v="AMMINISTR., FINANZA E CONTROLLO"/>
    <x v="14"/>
    <x v="13"/>
    <s v="214000      "/>
    <s v="214000   PIANIFICAZIONE E CONTROLLO DI G"/>
    <s v="MANZOLI                         "/>
    <s v="FLAVIA LAURA      "/>
    <s v="MNZFVL93T65I690O"/>
    <x v="0"/>
    <s v="34"/>
    <x v="0"/>
    <s v="07/02/2024"/>
    <s v="MILANO                 "/>
    <x v="0"/>
    <x v="0"/>
    <s v="I"/>
    <x v="0"/>
    <s v="A  "/>
    <x v="0"/>
    <s v="07/02/2024"/>
    <s v="07/02/2024"/>
    <s v="25/12/1993"/>
    <s v="A"/>
    <s v="A.IN FORZA"/>
    <s v="1  -ASSUNZIONE                1"/>
    <s v=""/>
    <s v=" "/>
    <s v=""/>
    <s v=""/>
    <n v="3110"/>
    <s v="00"/>
    <n v="100"/>
    <s v="FULL TIME      100000000FF100-FULL TIME"/>
    <s v="07/02/2024"/>
    <s v=""/>
    <s v="  "/>
    <s v=""/>
    <s v="EN  "/>
    <s v="    "/>
    <x v="0"/>
    <s v=""/>
    <s v="flavia.manzoli@ilsole24ore.com                    "/>
    <s v="F"/>
    <s v="F-FIRMA"/>
    <s v="1 "/>
    <s v="1=5 X 8"/>
    <s v="01/07/2025"/>
    <s v="TEMPO DETERMINATO"/>
    <s v="31/05/2027"/>
    <s v="0015001284                    "/>
    <s v="RODARI ANNA ADELE"/>
    <n v="32"/>
    <s v="I  "/>
  </r>
  <r>
    <x v="0"/>
    <n v="2262"/>
    <x v="0"/>
    <s v="E           "/>
    <s v="AMMINISTR., FINANZA E CONTROLLO"/>
    <x v="14"/>
    <x v="13"/>
    <s v="214000      "/>
    <s v="214000   PIANIFICAZIONE E CONTROLLO DI G"/>
    <s v="MILISENNA                       "/>
    <s v="RAFFAELE          "/>
    <s v="MLSRFL79L04G273Q"/>
    <x v="1"/>
    <s v="34"/>
    <x v="0"/>
    <s v="01/04/2021"/>
    <s v="MILANO                 "/>
    <x v="0"/>
    <x v="0"/>
    <s v="I"/>
    <x v="0"/>
    <s v="AS "/>
    <x v="7"/>
    <s v="26/11/2007"/>
    <s v="26/11/2007"/>
    <s v="04/07/1979"/>
    <s v="A"/>
    <s v="A.IN FORZA"/>
    <s v="1  -ASSUNZIONE                1"/>
    <s v=""/>
    <s v=" "/>
    <s v=""/>
    <s v=""/>
    <n v="1695"/>
    <s v="00"/>
    <n v="100"/>
    <s v="FULL TIME      100000000FF100-FULL TIME"/>
    <s v="26/11/2007"/>
    <s v=""/>
    <s v="  "/>
    <s v=""/>
    <s v="EV  "/>
    <s v="    "/>
    <x v="0"/>
    <s v=""/>
    <s v="raffaele.milisenna@ilsole24ore.com                "/>
    <s v="F"/>
    <s v="F-FIRMA"/>
    <s v="1 "/>
    <s v="1=5 X 8"/>
    <s v="01/07/2025"/>
    <s v="TEMPO DETERMINATO"/>
    <s v="31/05/2027"/>
    <s v="0015001284                    "/>
    <s v="RODARI ANNA ADELE"/>
    <n v="46"/>
    <s v="I  "/>
  </r>
  <r>
    <x v="0"/>
    <n v="3054"/>
    <x v="0"/>
    <s v="E           "/>
    <s v="AMMINISTR., FINANZA E CONTROLLO"/>
    <x v="14"/>
    <x v="13"/>
    <s v="214000      "/>
    <s v="214000   PIANIFICAZIONE E CONTROLLO DI G"/>
    <s v="MORTARA                         "/>
    <s v="SILVIA            "/>
    <s v="MRTSLV81L58F205H"/>
    <x v="0"/>
    <s v="34"/>
    <x v="0"/>
    <s v="01/09/2022"/>
    <s v="MILANO                 "/>
    <x v="0"/>
    <x v="0"/>
    <s v="F"/>
    <x v="2"/>
    <s v="Q  "/>
    <x v="8"/>
    <s v="01/09/2022"/>
    <s v="01/09/2022"/>
    <s v="18/07/1981"/>
    <s v="A"/>
    <s v="A.IN FORZA"/>
    <s v="1  -ASSUNZIONE                1"/>
    <s v=""/>
    <s v=" "/>
    <s v=""/>
    <s v=""/>
    <n v="3054"/>
    <s v="00"/>
    <n v="100"/>
    <s v="FULL TIME      100000000FF100-FULL TIME"/>
    <s v="01/09/2022"/>
    <s v=""/>
    <s v="  "/>
    <s v=""/>
    <s v="EN  "/>
    <s v="    "/>
    <x v="0"/>
    <s v=""/>
    <s v="silvia.mortara@ilsole24ore.com                    "/>
    <s v="F"/>
    <s v="F-FIRMA"/>
    <s v="1 "/>
    <s v="1=5 X 8"/>
    <s v="01/07/2025"/>
    <s v="TEMPO DETERMINATO"/>
    <s v="31/05/2027"/>
    <s v="0015001284                    "/>
    <s v="RODARI ANNA ADELE"/>
    <n v="44"/>
    <s v="I  "/>
  </r>
  <r>
    <x v="0"/>
    <n v="1284"/>
    <x v="0"/>
    <s v="E           "/>
    <s v="AMMINISTR., FINANZA E CONTROLLO"/>
    <x v="14"/>
    <x v="13"/>
    <s v="214000      "/>
    <s v="214000   PIANIFICAZIONE E CONTROLLO DI G"/>
    <s v="RODARI                          "/>
    <s v="ANNA ADELE        "/>
    <s v="RDRNDL76A56F205N"/>
    <x v="0"/>
    <s v="34"/>
    <x v="0"/>
    <s v="01/04/2021"/>
    <s v="MILANO                 "/>
    <x v="0"/>
    <x v="0"/>
    <s v="F"/>
    <x v="2"/>
    <s v="Q  "/>
    <x v="8"/>
    <s v="01/09/1999"/>
    <s v="01/09/1999"/>
    <s v="16/01/1976"/>
    <s v="A"/>
    <s v="A.IN FORZA"/>
    <s v="1  -ASSUNZIONE                1"/>
    <s v=""/>
    <s v=" "/>
    <s v=""/>
    <s v=""/>
    <n v="1013"/>
    <s v="00"/>
    <n v="100"/>
    <s v="FULL TIME      100000000FF100-FULL TIME"/>
    <s v="01/09/1999"/>
    <s v=""/>
    <s v="  "/>
    <s v=""/>
    <s v="EV  "/>
    <s v="    "/>
    <x v="0"/>
    <s v=""/>
    <s v="anna.rodari@ilsole24ore.com                       "/>
    <s v="F"/>
    <s v="F-FIRMA"/>
    <s v="1 "/>
    <s v="1=5 X 8"/>
    <s v="01/07/2025"/>
    <s v="TEMPO DETERMINATO"/>
    <s v="31/05/2027"/>
    <s v="0015003163                    "/>
    <s v="BAZZO ROBERTA"/>
    <n v="50"/>
    <s v="I  "/>
  </r>
  <r>
    <x v="0"/>
    <n v="2290"/>
    <x v="0"/>
    <s v="E           "/>
    <s v="AMMINISTR., FINANZA E CONTROLLO"/>
    <x v="15"/>
    <x v="14"/>
    <s v="21000002    "/>
    <s v="21000002 NORME, PROCESSI E SISTEMI AMMIN"/>
    <s v="CASALINI                        "/>
    <s v="FRANCESCO LUIGI   "/>
    <s v="CSLFNC72L13L174I"/>
    <x v="1"/>
    <s v="34"/>
    <x v="0"/>
    <s v="01/04/2021"/>
    <s v="MILANO                 "/>
    <x v="0"/>
    <x v="0"/>
    <s v="F"/>
    <x v="2"/>
    <s v="Q  "/>
    <x v="8"/>
    <s v="01/05/2008"/>
    <s v="01/05/2008"/>
    <s v="13/07/1972"/>
    <s v="A"/>
    <s v="A.IN FORZA"/>
    <s v="1  -ASSUNZIONE                1"/>
    <s v=""/>
    <s v=" "/>
    <s v=""/>
    <s v=""/>
    <n v="1715"/>
    <s v="00"/>
    <n v="100"/>
    <s v="FULL TIME      100000000FF100-FULL TIME"/>
    <s v="01/05/2008"/>
    <s v=""/>
    <s v="  "/>
    <s v=""/>
    <s v="EV  "/>
    <s v="    "/>
    <x v="0"/>
    <s v=""/>
    <s v="francesco.casalini@ilsole24ore.com                "/>
    <s v="F"/>
    <s v="F-FIRMA"/>
    <s v="1 "/>
    <s v="1=5 X 8"/>
    <s v="01/07/2025"/>
    <s v="TEMPO DETERMINATO"/>
    <s v="31/05/2027"/>
    <s v="0015003163                    "/>
    <s v="BAZZO ROBERTA"/>
    <n v="53"/>
    <s v="I  "/>
  </r>
  <r>
    <x v="0"/>
    <n v="1099"/>
    <x v="0"/>
    <s v="E           "/>
    <s v="AMMINISTR., FINANZA E CONTROLLO"/>
    <x v="16"/>
    <x v="15"/>
    <s v="013000      "/>
    <s v="013000   INVESTOR RELATIONS"/>
    <s v="ROMANO                          "/>
    <s v="RAFFAELLA         "/>
    <s v="RMNRFL68M64C933O"/>
    <x v="0"/>
    <s v="34"/>
    <x v="0"/>
    <s v="01/04/2021"/>
    <s v="MILANO                 "/>
    <x v="0"/>
    <x v="0"/>
    <s v="I"/>
    <x v="0"/>
    <s v="AS "/>
    <x v="7"/>
    <s v="07/01/1998"/>
    <s v="07/01/1998"/>
    <s v="24/08/1968"/>
    <s v="A"/>
    <s v="A.IN FORZA"/>
    <s v="1  -ASSUNZIONE                1"/>
    <s v=""/>
    <s v=" "/>
    <s v=""/>
    <s v=""/>
    <n v="863"/>
    <s v="00"/>
    <n v="100"/>
    <s v="FULL TIME      100000000FF100-FULL TIME"/>
    <s v="07/01/1998"/>
    <s v=""/>
    <s v="  "/>
    <s v=""/>
    <s v="EV  "/>
    <s v="    "/>
    <x v="0"/>
    <s v=""/>
    <s v="raffaella.romano@ilsole24ore.com                  "/>
    <s v="F"/>
    <s v="F-FIRMA"/>
    <s v="1 "/>
    <s v="1=5 X 8"/>
    <s v="01/07/2025"/>
    <s v="TEMPO DETERMINATO"/>
    <s v="31/05/2027"/>
    <s v="0015003163                    "/>
    <s v="BAZZO ROBERTA"/>
    <n v="57"/>
    <s v="I  "/>
  </r>
  <r>
    <x v="0"/>
    <n v="3163"/>
    <x v="0"/>
    <s v="E           "/>
    <s v="AMMINISTR., FINANZA E CONTROLLO"/>
    <x v="17"/>
    <x v="16"/>
    <s v="210000      "/>
    <s v="210000   AMMINISTRAZIONE, FINANZA E CONT"/>
    <s v="BAZZO                           "/>
    <s v="ROBERTA           "/>
    <s v="BZZRRT85E46F205L"/>
    <x v="0"/>
    <s v="34"/>
    <x v="0"/>
    <s v="01/11/2025"/>
    <s v="MILANO                 "/>
    <x v="1"/>
    <x v="1"/>
    <s v="D"/>
    <x v="1"/>
    <s v="D  "/>
    <x v="1"/>
    <s v="01/11/2025"/>
    <s v="01/11/2025"/>
    <s v="06/05/1985"/>
    <s v="A"/>
    <s v="A.IN FORZA"/>
    <s v="1  -ASSUNZIONE                1"/>
    <s v=""/>
    <s v=" "/>
    <s v=""/>
    <s v=""/>
    <n v="3163"/>
    <s v="00"/>
    <n v="100"/>
    <s v="FULL TIME      100000000FF100-FULL TIME"/>
    <s v="01/11/2025"/>
    <s v=""/>
    <s v="  "/>
    <s v=""/>
    <s v="DD  "/>
    <s v="    "/>
    <x v="0"/>
    <s v=""/>
    <s v="roberta.bazzo@ilsole24ore.com                     "/>
    <s v="E"/>
    <s v="E-ESENTE"/>
    <s v="1 "/>
    <s v="1=5 X 8"/>
    <s v="03/11/2025"/>
    <s v="TEMPO DETERMINATO"/>
    <s v="31/05/2026"/>
    <s v="0015002960                    "/>
    <s v="SILVESTRI FEDERICO"/>
    <n v="40"/>
    <s v="I  "/>
  </r>
  <r>
    <x v="0"/>
    <n v="3105"/>
    <x v="0"/>
    <s v="E           "/>
    <s v="AMMINISTR., FINANZA E CONTROLLO"/>
    <x v="17"/>
    <x v="16"/>
    <s v="215000      "/>
    <s v="215000   AMMINISTRAZIONE E BILANCIO"/>
    <s v="CERAVOLO                        "/>
    <s v="VINCENZA          "/>
    <s v="CRVVCN70S65G034I"/>
    <x v="0"/>
    <s v="34"/>
    <x v="0"/>
    <s v="08/01/2024"/>
    <s v="MILANO                 "/>
    <x v="0"/>
    <x v="0"/>
    <s v="F"/>
    <x v="2"/>
    <s v="Q  "/>
    <x v="8"/>
    <s v="08/01/2024"/>
    <s v="08/01/2024"/>
    <s v="25/11/1970"/>
    <s v="A"/>
    <s v="A.IN FORZA"/>
    <s v="1  -ASSUNZIONE                1"/>
    <s v=""/>
    <s v=" "/>
    <s v=""/>
    <s v=""/>
    <n v="3105"/>
    <s v="00"/>
    <n v="100"/>
    <s v="FULL TIME      100000000FF100-FULL TIME"/>
    <s v="08/01/2024"/>
    <s v=""/>
    <s v="  "/>
    <s v=""/>
    <s v="EN  "/>
    <s v="    "/>
    <x v="0"/>
    <s v=""/>
    <s v="enza.ceravolo@ilsole24ore.com                     "/>
    <s v="F"/>
    <s v="F-FIRMA"/>
    <s v="1 "/>
    <s v="1=5 X 8"/>
    <s v="01/07/2025"/>
    <s v="TEMPO DETERMINATO"/>
    <s v="31/05/2027"/>
    <s v="0015002329                    "/>
    <s v="DE LUCIA PAOLA"/>
    <n v="55"/>
    <s v="I  "/>
  </r>
  <r>
    <x v="0"/>
    <n v="2329"/>
    <x v="0"/>
    <s v="E           "/>
    <s v="AMMINISTR., FINANZA E CONTROLLO"/>
    <x v="17"/>
    <x v="16"/>
    <s v="215000      "/>
    <s v="215000   AMMINISTRAZIONE E BILANCIO"/>
    <s v="DE LUCIA                        "/>
    <s v="PAOLA             "/>
    <s v="DLCPLA72C64A390U"/>
    <x v="0"/>
    <s v="34"/>
    <x v="0"/>
    <s v="01/04/2021"/>
    <s v="MILANO                 "/>
    <x v="0"/>
    <x v="0"/>
    <s v="F"/>
    <x v="2"/>
    <s v="Q  "/>
    <x v="8"/>
    <s v="01/10/2008"/>
    <s v="01/10/2008"/>
    <s v="24/03/1972"/>
    <s v="A"/>
    <s v="A.IN FORZA"/>
    <s v="1  -ASSUNZIONE                1"/>
    <s v=""/>
    <s v=" "/>
    <s v=""/>
    <s v=""/>
    <n v="1734"/>
    <s v="00"/>
    <n v="100"/>
    <s v="FULL TIME      100000000FF100-FULL TIME"/>
    <s v="01/10/2008"/>
    <s v=""/>
    <s v="  "/>
    <s v=""/>
    <s v="EV  "/>
    <s v="    "/>
    <x v="0"/>
    <s v="NON ISCRITTO       NON ISCRITTO"/>
    <s v="paola.delucia@ilsole24ore.com                     "/>
    <s v="F"/>
    <s v="F-FIRMA"/>
    <s v="1 "/>
    <s v="1=5 X 8"/>
    <s v="01/07/2025"/>
    <s v="TEMPO DETERMINATO"/>
    <s v="31/05/2027"/>
    <s v="0015003163                    "/>
    <s v="BAZZO ROBERTA"/>
    <n v="53"/>
    <s v="I  "/>
  </r>
  <r>
    <x v="0"/>
    <n v="1678"/>
    <x v="0"/>
    <s v="E           "/>
    <s v="AMMINISTR., FINANZA E CONTROLLO"/>
    <x v="17"/>
    <x v="16"/>
    <s v="21520011    "/>
    <s v="21520011 CONTABILITA' GENERALE"/>
    <s v="CUOCCI                          "/>
    <s v="GRAZIELLA         "/>
    <s v="CCCGZL63D65F205P"/>
    <x v="0"/>
    <s v="34"/>
    <x v="0"/>
    <s v="01/04/2021"/>
    <s v="MILANO                 "/>
    <x v="0"/>
    <x v="0"/>
    <s v="I"/>
    <x v="0"/>
    <s v="AS "/>
    <x v="7"/>
    <s v="10/11/2000"/>
    <s v="10/11/2000"/>
    <s v="25/04/1963"/>
    <s v="A"/>
    <s v="A.IN FORZA"/>
    <s v="1  -ASSUNZIONE                1"/>
    <s v=""/>
    <s v=" "/>
    <s v=""/>
    <s v=""/>
    <n v="1337"/>
    <s v="00"/>
    <n v="100"/>
    <s v="FULL TIME      100000000FF100-FULL TIME"/>
    <s v="10/11/2000"/>
    <s v=""/>
    <s v="05"/>
    <s v="INVALIDI CIVILI"/>
    <s v="EV  "/>
    <s v="    "/>
    <x v="0"/>
    <s v=""/>
    <s v="graziella.cuocci@ilsole24ore.com                  "/>
    <s v="F"/>
    <s v="F-FIRMA"/>
    <s v="1 "/>
    <s v="1=5 X 8"/>
    <s v="01/07/2025"/>
    <s v="TEMPO DETERMINATO"/>
    <s v="31/05/2027"/>
    <s v="0015003052                    "/>
    <s v="RUSSO JURI VENERANDO"/>
    <n v="62"/>
    <s v="I  "/>
  </r>
  <r>
    <x v="0"/>
    <n v="600"/>
    <x v="0"/>
    <s v="E           "/>
    <s v="AMMINISTR., FINANZA E CONTROLLO"/>
    <x v="17"/>
    <x v="16"/>
    <s v="21520011    "/>
    <s v="21520011 CONTABILITA' GENERALE"/>
    <s v="GARAVAGLIA                      "/>
    <s v="LUCA              "/>
    <s v="GRVLCU69R16H264X"/>
    <x v="1"/>
    <s v="34"/>
    <x v="0"/>
    <s v="01/04/2021"/>
    <s v="MILANO                 "/>
    <x v="0"/>
    <x v="0"/>
    <s v="I"/>
    <x v="0"/>
    <s v="B1 "/>
    <x v="10"/>
    <s v="16/01/1992"/>
    <s v="01/01/1996"/>
    <s v="16/10/1969"/>
    <s v="A"/>
    <s v="A.IN FORZA"/>
    <s v="1  -ASSUNZIONE                1"/>
    <s v=""/>
    <s v=" "/>
    <s v=""/>
    <s v=""/>
    <n v="429"/>
    <s v="00"/>
    <n v="100"/>
    <s v="FULL TIME      100000000FF100-FULL TIME"/>
    <s v="16/01/1992"/>
    <s v=""/>
    <s v="  "/>
    <s v=""/>
    <s v="EV  "/>
    <s v="    "/>
    <x v="0"/>
    <s v=""/>
    <s v="luca.garavaglia@ilsole24ore.com                   "/>
    <s v="F"/>
    <s v="F-FIRMA"/>
    <s v="1 "/>
    <s v="1=5 X 8"/>
    <s v="01/07/2025"/>
    <s v="TEMPO DETERMINATO"/>
    <s v="31/05/2027"/>
    <s v="0015003052                    "/>
    <s v="RUSSO JURI VENERANDO"/>
    <n v="56"/>
    <s v="I  "/>
  </r>
  <r>
    <x v="0"/>
    <n v="3052"/>
    <x v="0"/>
    <s v="E           "/>
    <s v="AMMINISTR., FINANZA E CONTROLLO"/>
    <x v="17"/>
    <x v="16"/>
    <s v="21520011    "/>
    <s v="21520011 CONTABILITA' GENERALE"/>
    <s v="RUSSO                           "/>
    <s v="JURI VENERANDO    "/>
    <s v="RSSJVN85S27I625H"/>
    <x v="1"/>
    <s v="34"/>
    <x v="0"/>
    <s v="01/08/2022"/>
    <s v="MILANO                 "/>
    <x v="0"/>
    <x v="0"/>
    <s v="I"/>
    <x v="0"/>
    <s v="AS "/>
    <x v="7"/>
    <s v="01/08/2022"/>
    <s v="01/08/2022"/>
    <s v="27/11/1985"/>
    <s v="A"/>
    <s v="A.IN FORZA"/>
    <s v="1  -ASSUNZIONE                1"/>
    <s v=""/>
    <s v=" "/>
    <s v=""/>
    <s v=""/>
    <n v="3052"/>
    <s v="00"/>
    <n v="100"/>
    <s v="FULL TIME      100000000FF100-FULL TIME"/>
    <s v="01/08/2022"/>
    <s v=""/>
    <s v="05"/>
    <s v="INVALIDI CIVILI"/>
    <s v="EN  "/>
    <s v="    "/>
    <x v="0"/>
    <s v=""/>
    <s v="jurivenerando.russo@ilsole24ore.com               "/>
    <s v="F"/>
    <s v="F-FIRMA"/>
    <s v="1 "/>
    <s v="1=5 X 8"/>
    <s v="01/07/2025"/>
    <s v="TEMPO DETERMINATO"/>
    <s v="31/05/2027"/>
    <s v="0015002329                    "/>
    <s v="DE LUCIA PAOLA"/>
    <n v="40"/>
    <s v="I  "/>
  </r>
  <r>
    <x v="0"/>
    <n v="2997"/>
    <x v="0"/>
    <s v="E           "/>
    <s v="AMMINISTR., FINANZA E CONTROLLO"/>
    <x v="17"/>
    <x v="16"/>
    <s v="21520012    "/>
    <s v="21520012 CONTABILITA' FORNITORI"/>
    <s v="CELLAMARE                       "/>
    <s v="CRISTINA          "/>
    <s v="CLLCST85D56F205X"/>
    <x v="0"/>
    <s v="34"/>
    <x v="0"/>
    <s v="01/04/2021"/>
    <s v="MILANO                 "/>
    <x v="0"/>
    <x v="0"/>
    <s v="I"/>
    <x v="0"/>
    <s v="A  "/>
    <x v="0"/>
    <s v="01/06/2020"/>
    <s v="01/06/2020"/>
    <s v="16/04/1985"/>
    <s v="A"/>
    <s v="A.IN FORZA"/>
    <s v="1  -ASSUNZIONE                1"/>
    <s v=""/>
    <s v=" "/>
    <s v=""/>
    <s v=""/>
    <n v="2997"/>
    <s v="00"/>
    <n v="100"/>
    <s v="FULL TIME      100000000FF100-FULL TIME"/>
    <s v="01/06/2020"/>
    <s v=""/>
    <s v="  "/>
    <s v=""/>
    <s v="EN  "/>
    <s v="    "/>
    <x v="0"/>
    <s v=""/>
    <s v="cristina.cellamare@ilsole24ore.com                "/>
    <s v="F"/>
    <s v="F-FIRMA"/>
    <s v="1 "/>
    <s v="1=5 X 8"/>
    <s v="01/07/2025"/>
    <s v="TEMPO DETERMINATO"/>
    <s v="31/05/2027"/>
    <s v="0015003018                    "/>
    <s v="BUSTO LORENZO"/>
    <n v="40"/>
    <s v="I  "/>
  </r>
  <r>
    <x v="0"/>
    <n v="3149"/>
    <x v="0"/>
    <s v="E           "/>
    <s v="AMMINISTR., FINANZA E CONTROLLO"/>
    <x v="17"/>
    <x v="16"/>
    <s v="21520012    "/>
    <s v="21520012 CONTABILITA' FORNITORI"/>
    <s v="CUMINI                          "/>
    <s v="CHIARA            "/>
    <s v="CMNCHR96B58I403S"/>
    <x v="0"/>
    <s v="34"/>
    <x v="0"/>
    <s v="03/02/2025"/>
    <s v="MILANO                 "/>
    <x v="0"/>
    <x v="0"/>
    <s v="I"/>
    <x v="0"/>
    <s v="B3 "/>
    <x v="9"/>
    <s v="03/02/2025"/>
    <s v="03/02/2025"/>
    <s v="18/02/1996"/>
    <s v="A"/>
    <s v="A.IN FORZA"/>
    <s v="1  -ASSUNZIONE                1"/>
    <s v=""/>
    <s v=" "/>
    <s v=""/>
    <s v=""/>
    <n v="3149"/>
    <s v="00"/>
    <n v="100"/>
    <s v="FULL TIME      100000000FF100-FULL TIME"/>
    <s v="03/02/2025"/>
    <s v=""/>
    <s v="  "/>
    <s v=""/>
    <s v="EN  "/>
    <s v="    "/>
    <x v="0"/>
    <s v=""/>
    <s v="chiara.cumini@ilsole24ore.com                     "/>
    <s v=" "/>
    <s v=""/>
    <s v="  "/>
    <s v=""/>
    <s v="01/07/2025"/>
    <s v="TEMPO DETERMINATO"/>
    <s v="31/05/2027"/>
    <s v="0015002329                    "/>
    <s v="DE LUCIA PAOLA"/>
    <n v="29"/>
    <s v="I  "/>
  </r>
  <r>
    <x v="0"/>
    <n v="3120"/>
    <x v="0"/>
    <s v="E           "/>
    <s v="AMMINISTR., FINANZA E CONTROLLO"/>
    <x v="17"/>
    <x v="16"/>
    <s v="21520012    "/>
    <s v="21520012 CONTABILITA' FORNITORI"/>
    <s v="RECUPERO                        "/>
    <s v="ANDREA            "/>
    <s v="RCPNDR03T31G388H"/>
    <x v="1"/>
    <s v="34"/>
    <x v="0"/>
    <s v="02/05/2024"/>
    <s v="MILANO                 "/>
    <x v="0"/>
    <x v="0"/>
    <s v="I"/>
    <x v="0"/>
    <s v="B3 "/>
    <x v="9"/>
    <s v="02/05/2024"/>
    <s v="02/05/2024"/>
    <s v="31/12/2003"/>
    <s v="A"/>
    <s v="A.IN FORZA"/>
    <s v="1S-ASSUNZIONE STABILIZZAZIONE 1S"/>
    <s v=""/>
    <s v=" "/>
    <s v=""/>
    <s v=""/>
    <n v="3120"/>
    <s v="00"/>
    <n v="100"/>
    <s v="FULL TIME      100000000FF100-FULL TIME"/>
    <s v="02/05/2024"/>
    <s v=""/>
    <s v="  "/>
    <s v=""/>
    <s v="EN  "/>
    <s v="    "/>
    <x v="0"/>
    <s v=""/>
    <s v="andrea.recupero@ilsole24ore.com                   "/>
    <s v="T"/>
    <s v="T-TIMBRA"/>
    <s v="1 "/>
    <s v="1=5 X 8"/>
    <s v="01/07/2025"/>
    <s v="TEMPO DETERMINATO"/>
    <s v="31/05/2027"/>
    <s v="0015003018                    "/>
    <s v="BUSTO LORENZO"/>
    <n v="22"/>
    <s v="I  "/>
  </r>
  <r>
    <x v="0"/>
    <n v="3018"/>
    <x v="0"/>
    <s v="E           "/>
    <s v="AMMINISTR., FINANZA E CONTROLLO"/>
    <x v="17"/>
    <x v="16"/>
    <s v="21520013    "/>
    <s v="21520013 CONTABILITA' CLIENTI"/>
    <s v="BUSTO                           "/>
    <s v="LORENZO           "/>
    <s v="BSTLNZ81E03C136O"/>
    <x v="1"/>
    <s v="34"/>
    <x v="0"/>
    <s v="12/07/2021"/>
    <s v="MILANO                 "/>
    <x v="0"/>
    <x v="0"/>
    <s v="I"/>
    <x v="0"/>
    <s v="AS "/>
    <x v="7"/>
    <s v="12/07/2021"/>
    <s v="12/07/2021"/>
    <s v="03/05/1981"/>
    <s v="A"/>
    <s v="A.IN FORZA"/>
    <s v="1  -ASSUNZIONE                1"/>
    <s v=""/>
    <s v=" "/>
    <s v=""/>
    <s v=""/>
    <n v="3018"/>
    <s v="00"/>
    <n v="100"/>
    <s v="FULL TIME      100000000FF100-FULL TIME"/>
    <s v="12/07/2021"/>
    <s v=""/>
    <s v="  "/>
    <s v=""/>
    <s v="EN  "/>
    <s v="    "/>
    <x v="0"/>
    <s v=""/>
    <s v="lorenzo.busto@ilsole24ore.com                     "/>
    <s v="F"/>
    <s v="F-FIRMA"/>
    <s v="1 "/>
    <s v="1=5 X 8"/>
    <s v="01/07/2025"/>
    <s v="TEMPO DETERMINATO"/>
    <s v="31/05/2027"/>
    <s v="0015002329                    "/>
    <s v="DE LUCIA PAOLA"/>
    <n v="44"/>
    <s v="I  "/>
  </r>
  <r>
    <x v="0"/>
    <n v="1111"/>
    <x v="0"/>
    <s v="E           "/>
    <s v="AMMINISTR., FINANZA E CONTROLLO"/>
    <x v="17"/>
    <x v="16"/>
    <s v="21520013    "/>
    <s v="21520013 CONTABILITA' CLIENTI"/>
    <s v="FILICI                          "/>
    <s v="VALENTINA         "/>
    <s v="FLCVNT75L48F205F"/>
    <x v="0"/>
    <s v="34"/>
    <x v="0"/>
    <s v="01/04/2021"/>
    <s v="MILANO                 "/>
    <x v="0"/>
    <x v="0"/>
    <s v="I"/>
    <x v="0"/>
    <s v="A  "/>
    <x v="0"/>
    <s v="18/02/1998"/>
    <s v="18/02/1998"/>
    <s v="08/07/1975"/>
    <s v="A"/>
    <s v="A.IN FORZA"/>
    <s v="1  -ASSUNZIONE                1"/>
    <s v=""/>
    <s v=" "/>
    <s v=""/>
    <s v=""/>
    <n v="876"/>
    <s v="00"/>
    <n v="100"/>
    <s v="FULL TIME      100000000FF100-FULL TIME"/>
    <s v="18/02/1998"/>
    <s v=""/>
    <s v="  "/>
    <s v=""/>
    <s v="EV  "/>
    <s v="    "/>
    <x v="0"/>
    <s v="C.G.I.L.           C.G.I.L"/>
    <s v="valentina.filici@ilsole24ore.com                  "/>
    <s v="F"/>
    <s v="F-FIRMA"/>
    <s v="1 "/>
    <s v="1=5 X 8"/>
    <s v="01/07/2025"/>
    <s v="TEMPO DETERMINATO"/>
    <s v="31/05/2027"/>
    <s v="0015003018                    "/>
    <s v="BUSTO LORENZO"/>
    <n v="50"/>
    <s v="I  "/>
  </r>
  <r>
    <x v="0"/>
    <n v="1667"/>
    <x v="0"/>
    <s v="E           "/>
    <s v="AMMINISTR., FINANZA E CONTROLLO"/>
    <x v="17"/>
    <x v="16"/>
    <s v="21520013    "/>
    <s v="21520013 CONTABILITA' CLIENTI"/>
    <s v="FRUSTACI                        "/>
    <s v="ANTONELLA         "/>
    <s v="FRSNNL71B63I266V"/>
    <x v="0"/>
    <s v="34"/>
    <x v="0"/>
    <s v="01/04/2021"/>
    <s v="MILANO                 "/>
    <x v="0"/>
    <x v="0"/>
    <s v="I"/>
    <x v="0"/>
    <s v="B1 "/>
    <x v="10"/>
    <s v="01/11/2000"/>
    <s v="01/11/2000"/>
    <s v="23/02/1971"/>
    <s v="A"/>
    <s v="A.IN FORZA"/>
    <s v="1  -ASSUNZIONE                1"/>
    <s v=""/>
    <s v=" "/>
    <s v=""/>
    <s v=""/>
    <n v="1328"/>
    <s v="00"/>
    <n v="100"/>
    <s v="FULL TIME      100000000FF100-FULL TIME"/>
    <s v="01/11/2000"/>
    <s v=""/>
    <s v="  "/>
    <s v=""/>
    <s v="EV  "/>
    <s v="    "/>
    <x v="0"/>
    <s v="U.I.L.             U.I.L"/>
    <s v="antonella.frustaci@ilsole24ore.com                "/>
    <s v="F"/>
    <s v="F-FIRMA"/>
    <s v="1 "/>
    <s v="1=5 X 8"/>
    <s v="01/07/2025"/>
    <s v="TEMPO DETERMINATO"/>
    <s v="31/05/2027"/>
    <s v="0015003018                    "/>
    <s v="BUSTO LORENZO"/>
    <n v="54"/>
    <s v="I  "/>
  </r>
  <r>
    <x v="0"/>
    <n v="1196"/>
    <x v="0"/>
    <s v="E           "/>
    <s v="AMMINISTR., FINANZA E CONTROLLO"/>
    <x v="17"/>
    <x v="16"/>
    <s v="21520013    "/>
    <s v="21520013 CONTABILITA' CLIENTI"/>
    <s v="MASSA                           "/>
    <s v="VERONICA          "/>
    <s v="MSSVNC71S63F205B"/>
    <x v="0"/>
    <s v="34"/>
    <x v="0"/>
    <s v="01/04/2021"/>
    <s v="MILANO                 "/>
    <x v="0"/>
    <x v="0"/>
    <s v="I"/>
    <x v="0"/>
    <s v="B1 "/>
    <x v="10"/>
    <s v="16/11/1998"/>
    <s v="16/11/1998"/>
    <s v="23/11/1971"/>
    <s v="A"/>
    <s v="A.IN FORZA"/>
    <s v="1  -ASSUNZIONE                1"/>
    <s v=""/>
    <s v=" "/>
    <s v=""/>
    <s v=""/>
    <n v="943"/>
    <s v="00"/>
    <n v="100"/>
    <s v="FULL TIME      100000000FF100-FULL TIME"/>
    <s v="16/11/1998"/>
    <s v=""/>
    <s v="  "/>
    <s v=""/>
    <s v="EV  "/>
    <s v="    "/>
    <x v="0"/>
    <s v="U.I.L.             U.I.L"/>
    <s v="veronica.massa@ilsole24ore.com                    "/>
    <s v="F"/>
    <s v="F-FIRMA"/>
    <s v="1 "/>
    <s v="1=5 X 8"/>
    <s v="01/07/2025"/>
    <s v="TEMPO DETERMINATO"/>
    <s v="31/05/2027"/>
    <s v="0015003018                    "/>
    <s v="BUSTO LORENZO"/>
    <n v="54"/>
    <s v="I  "/>
  </r>
  <r>
    <x v="0"/>
    <n v="1662"/>
    <x v="0"/>
    <s v="E           "/>
    <s v="AMMINISTR., FINANZA E CONTROLLO"/>
    <x v="17"/>
    <x v="16"/>
    <s v="21520013    "/>
    <s v="21520013 CONTABILITA' CLIENTI"/>
    <s v="ROSADA                          "/>
    <s v="BARBARA           "/>
    <s v="RSDBBR75E63F205O"/>
    <x v="0"/>
    <s v="34"/>
    <x v="0"/>
    <s v="01/04/2021"/>
    <s v="MILANO                 "/>
    <x v="0"/>
    <x v="0"/>
    <s v="I"/>
    <x v="0"/>
    <s v="B1 "/>
    <x v="10"/>
    <s v="01/11/2000"/>
    <s v="01/11/2000"/>
    <s v="23/05/1975"/>
    <s v="A"/>
    <s v="A.IN FORZA"/>
    <s v="1  -ASSUNZIONE                1"/>
    <s v=""/>
    <s v=" "/>
    <s v=""/>
    <s v=""/>
    <n v="1323"/>
    <s v="02"/>
    <n v="75"/>
    <s v="30 H O GRA/RADI075000000PP30.0/40- PT 75.00-P"/>
    <s v="01/04/2019"/>
    <s v="30/06/2026"/>
    <s v="  "/>
    <s v=""/>
    <s v="EV  "/>
    <s v="    "/>
    <x v="0"/>
    <s v="U.I.L.             U.I.L"/>
    <s v="barbara.rosada@ilsole24ore.com                    "/>
    <s v="F"/>
    <s v="F-FIRMA"/>
    <s v="1 "/>
    <s v="1=5 X 8"/>
    <s v="01/07/2025"/>
    <s v="TEMPO DETERMINATO"/>
    <s v="31/05/2027"/>
    <s v="0015003018                    "/>
    <s v="BUSTO LORENZO"/>
    <n v="50"/>
    <s v="I  "/>
  </r>
  <r>
    <x v="0"/>
    <n v="2848"/>
    <x v="0"/>
    <s v="E           "/>
    <s v="AMMINISTR., FINANZA E CONTROLLO"/>
    <x v="17"/>
    <x v="16"/>
    <s v="C11000      "/>
    <s v="C11000   AMMINISTRAZIONE VENDITE"/>
    <s v="DELLAVEDOVA                     "/>
    <s v="SARA              "/>
    <s v="DLLSRA76L68D198B"/>
    <x v="0"/>
    <s v="34"/>
    <x v="0"/>
    <s v="01/04/2021"/>
    <s v="MILANO                 "/>
    <x v="0"/>
    <x v="0"/>
    <s v="F"/>
    <x v="2"/>
    <s v="Q  "/>
    <x v="8"/>
    <s v="01/10/2015"/>
    <s v="01/10/2015"/>
    <s v="28/07/1976"/>
    <s v="A"/>
    <s v="A.IN FORZA"/>
    <s v="1  -ASSUNZIONE                1"/>
    <s v=""/>
    <s v=" "/>
    <s v=""/>
    <s v=""/>
    <n v="2848"/>
    <s v="00"/>
    <n v="100"/>
    <s v="FULL TIME      100000000FF100-FULL TIME"/>
    <s v="01/10/2015"/>
    <s v=""/>
    <s v="  "/>
    <s v=""/>
    <s v="EV  "/>
    <s v="    "/>
    <x v="0"/>
    <s v=""/>
    <s v="sara.dellavedova@ilsole24ore.com                  "/>
    <s v="F"/>
    <s v="F-FIRMA"/>
    <s v="1 "/>
    <s v="1=5 X 8"/>
    <s v="01/07/2025"/>
    <s v="TEMPO DETERMINATO"/>
    <s v="31/05/2027"/>
    <s v="0015003163                    "/>
    <s v="BAZZO ROBERTA"/>
    <n v="49"/>
    <s v="I  "/>
  </r>
  <r>
    <x v="0"/>
    <n v="1480"/>
    <x v="0"/>
    <s v="E           "/>
    <s v="AMMINISTR., FINANZA E CONTROLLO"/>
    <x v="18"/>
    <x v="17"/>
    <s v="21000001    "/>
    <s v="21000001 FISCALITA'"/>
    <s v="DI VITA                         "/>
    <s v="ALBERTO           "/>
    <s v="DVTLRT65C21C351R"/>
    <x v="1"/>
    <s v="34"/>
    <x v="0"/>
    <s v="01/04/2021"/>
    <s v="MILANO                 "/>
    <x v="1"/>
    <x v="1"/>
    <s v="D"/>
    <x v="1"/>
    <s v="D  "/>
    <x v="1"/>
    <s v="01/09/1997"/>
    <s v="01/09/1997"/>
    <s v="21/03/1965"/>
    <s v="A"/>
    <s v="A.IN FORZA"/>
    <s v="9  -ALTRE MOTIVAZIONI         9"/>
    <s v=""/>
    <s v=" "/>
    <s v=""/>
    <s v=""/>
    <n v="825"/>
    <s v="00"/>
    <n v="100"/>
    <s v="FULL TIME      100000000FF100-FULL TIME"/>
    <s v="01/02/2000"/>
    <s v=""/>
    <s v="05"/>
    <s v="INVALIDI CIVILI"/>
    <s v="DD  "/>
    <s v="    "/>
    <x v="0"/>
    <s v=""/>
    <s v="alberto.divita@ilsole24ore.com                    "/>
    <s v="E"/>
    <s v="E-ESENTE"/>
    <s v="1 "/>
    <s v="1=5 X 8"/>
    <s v="01/07/2025"/>
    <s v="TEMPO DETERMINATO"/>
    <s v="31/05/2026"/>
    <s v="0015003163                    "/>
    <s v="BAZZO ROBERTA"/>
    <n v="60"/>
    <s v="I  "/>
  </r>
  <r>
    <x v="0"/>
    <n v="2631"/>
    <x v="0"/>
    <s v="E           "/>
    <s v="AMMINISTR., FINANZA E CONTROLLO"/>
    <x v="18"/>
    <x v="17"/>
    <s v="21000001    "/>
    <s v="21000001 FISCALITA'"/>
    <s v="RESPIGO                         "/>
    <s v="ANNA ROSA         "/>
    <s v="RSPNRS83S48F205S"/>
    <x v="0"/>
    <s v="34"/>
    <x v="0"/>
    <s v="01/04/2021"/>
    <s v="MILANO                 "/>
    <x v="0"/>
    <x v="0"/>
    <s v="I"/>
    <x v="0"/>
    <s v="AS "/>
    <x v="7"/>
    <s v="23/11/2012"/>
    <s v="23/11/2012"/>
    <s v="08/11/1983"/>
    <s v="A"/>
    <s v="A.IN FORZA"/>
    <s v="1  -ASSUNZIONE                1"/>
    <s v=""/>
    <s v=" "/>
    <s v=""/>
    <s v=""/>
    <n v="2631"/>
    <s v="02"/>
    <n v="75"/>
    <s v="30 H O GRA/RADI075000000PP30.0/40- PT 75.00-P"/>
    <s v="01/03/2022"/>
    <s v="31/08/2026"/>
    <s v="  "/>
    <s v=""/>
    <s v="EV  "/>
    <s v="    "/>
    <x v="0"/>
    <s v=""/>
    <s v="annaRosa.respigo@ilsole24ore.com                  "/>
    <s v="F"/>
    <s v="F-FIRMA"/>
    <s v="1 "/>
    <s v="1=5 X 8"/>
    <s v="01/07/2025"/>
    <s v="TEMPO DETERMINATO"/>
    <s v="31/05/2027"/>
    <s v="0015001480                    "/>
    <s v="DI VITA ALBERTO"/>
    <n v="42"/>
    <s v="I  "/>
  </r>
  <r>
    <x v="0"/>
    <n v="3026"/>
    <x v="0"/>
    <s v="E           "/>
    <s v="AMMINISTR., FINANZA E CONTROLLO"/>
    <x v="19"/>
    <x v="18"/>
    <s v="C11000      "/>
    <s v="C11000   AMMINISTRAZIONE VENDITE"/>
    <s v="CERRATO                         "/>
    <s v="MICHELE           "/>
    <s v="CRRMHL78E24C129K"/>
    <x v="1"/>
    <s v="34"/>
    <x v="0"/>
    <s v="01/02/2022"/>
    <s v="MILANO                 "/>
    <x v="0"/>
    <x v="0"/>
    <s v="I"/>
    <x v="0"/>
    <s v="B1 "/>
    <x v="10"/>
    <s v="01/02/2022"/>
    <s v="01/02/2022"/>
    <s v="24/05/1978"/>
    <s v="A"/>
    <s v="A.IN FORZA"/>
    <s v="1  -ASSUNZIONE                1"/>
    <s v=""/>
    <s v=" "/>
    <s v=""/>
    <s v=""/>
    <n v="3026"/>
    <s v="00"/>
    <n v="100"/>
    <s v="FULL TIME      100000000FF100-FULL TIME"/>
    <s v="01/02/2022"/>
    <s v=""/>
    <s v="  "/>
    <s v=""/>
    <s v="EN  "/>
    <s v="    "/>
    <x v="0"/>
    <s v=""/>
    <s v="michele.cerrato@ilsole24ore.com                   "/>
    <s v="F"/>
    <s v="F-FIRMA"/>
    <s v="1 "/>
    <s v="1=5 X 8"/>
    <s v="01/07/2025"/>
    <s v="TEMPO DETERMINATO"/>
    <s v="31/05/2027"/>
    <s v="0015002848                    "/>
    <s v="DELLAVEDOVA SARA"/>
    <n v="47"/>
    <s v="I  "/>
  </r>
  <r>
    <x v="0"/>
    <n v="3023"/>
    <x v="0"/>
    <s v="E           "/>
    <s v="AMMINISTR., FINANZA E CONTROLLO"/>
    <x v="19"/>
    <x v="18"/>
    <s v="C11000      "/>
    <s v="C11000   AMMINISTRAZIONE VENDITE"/>
    <s v="GANDOLFI                        "/>
    <s v="VALERIA           "/>
    <s v="GNDVLR80S69F205C"/>
    <x v="0"/>
    <s v="34"/>
    <x v="0"/>
    <s v="10/01/2022"/>
    <s v="MILANO                 "/>
    <x v="0"/>
    <x v="0"/>
    <s v="I"/>
    <x v="0"/>
    <s v="B1 "/>
    <x v="10"/>
    <s v="10/01/2022"/>
    <s v="10/01/2022"/>
    <s v="29/11/1980"/>
    <s v="A"/>
    <s v="A.IN FORZA"/>
    <s v="1  -ASSUNZIONE                1"/>
    <s v=""/>
    <s v=" "/>
    <s v=""/>
    <s v=""/>
    <n v="3023"/>
    <s v="00"/>
    <n v="100"/>
    <s v="FULL TIME      100000000FF100-FULL TIME"/>
    <s v="01/10/2025"/>
    <s v=""/>
    <s v="  "/>
    <s v=""/>
    <s v="EN  "/>
    <s v="    "/>
    <x v="0"/>
    <s v=""/>
    <s v="valeria.gandolfi@ilsole24ore.com                  "/>
    <s v="F"/>
    <s v="F-FIRMA"/>
    <s v="1 "/>
    <s v="1=5 X 8"/>
    <s v="01/07/2025"/>
    <s v="TEMPO DETERMINATO"/>
    <s v="31/05/2027"/>
    <s v="0015002848                    "/>
    <s v="DELLAVEDOVA SARA"/>
    <n v="45"/>
    <s v="I  "/>
  </r>
  <r>
    <x v="0"/>
    <n v="1342"/>
    <x v="0"/>
    <s v="E           "/>
    <s v="AMMINISTR., FINANZA E CONTROLLO"/>
    <x v="19"/>
    <x v="18"/>
    <s v="C11000      "/>
    <s v="C11000   AMMINISTRAZIONE VENDITE"/>
    <s v="GENTILI                         "/>
    <s v="STEFANO           "/>
    <s v="GNTSFN70R23E958N"/>
    <x v="1"/>
    <s v="34"/>
    <x v="0"/>
    <s v="04/04/2022"/>
    <s v="MILANO                 "/>
    <x v="0"/>
    <x v="0"/>
    <s v="I"/>
    <x v="0"/>
    <s v="A  "/>
    <x v="0"/>
    <s v="11/10/1991"/>
    <s v="11/10/1991"/>
    <s v="23/10/1970"/>
    <s v="A"/>
    <s v="A.IN FORZA"/>
    <s v="1  -ASSUNZIONE                1"/>
    <s v=""/>
    <s v=" "/>
    <s v=""/>
    <s v=""/>
    <n v="1063"/>
    <s v="00"/>
    <n v="100"/>
    <s v="FULL TIME      100000000FF100-FULL TIME"/>
    <s v="11/10/1991"/>
    <s v=""/>
    <s v="  "/>
    <s v=""/>
    <s v="EP  "/>
    <s v="    "/>
    <x v="0"/>
    <s v=""/>
    <s v="stefano.gentili@ilsole24ore.com                   "/>
    <s v="F"/>
    <s v="F-FIRMA"/>
    <s v="1 "/>
    <s v="1=5 X 8"/>
    <s v="01/07/2025"/>
    <s v="TEMPO DETERMINATO"/>
    <s v="31/05/2027"/>
    <s v="0015002848                    "/>
    <s v="DELLAVEDOVA SARA"/>
    <n v="55"/>
    <s v="I  "/>
  </r>
  <r>
    <x v="0"/>
    <n v="3157"/>
    <x v="0"/>
    <s v="E           "/>
    <s v="AMMINISTR., FINANZA E CONTROLLO"/>
    <x v="19"/>
    <x v="18"/>
    <s v="C11000      "/>
    <s v="C11000   AMMINISTRAZIONE VENDITE"/>
    <s v="LAZZARINI                       "/>
    <s v="SIMONA            "/>
    <s v="LZZSMN84H52L219H"/>
    <x v="0"/>
    <s v="34"/>
    <x v="0"/>
    <s v="01/09/2025"/>
    <s v="MILANO                 "/>
    <x v="0"/>
    <x v="0"/>
    <s v="I"/>
    <x v="0"/>
    <s v="B2 "/>
    <x v="17"/>
    <s v="01/09/2025"/>
    <s v="01/09/2025"/>
    <s v="12/06/1984"/>
    <s v="A"/>
    <s v="A.IN FORZA"/>
    <s v="1  -ASSUNZIONE                1"/>
    <s v=""/>
    <s v=" "/>
    <s v=""/>
    <s v=""/>
    <n v="3157"/>
    <s v="00"/>
    <n v="100"/>
    <s v="FULL TIME      100000000FF100-FULL TIME"/>
    <s v="01/09/2025"/>
    <s v=""/>
    <s v="  "/>
    <s v=""/>
    <s v="EN  "/>
    <s v="    "/>
    <x v="0"/>
    <s v=""/>
    <s v="simona.lazzarini@ilsole24ore.com                  "/>
    <s v="F"/>
    <s v="F-FIRMA"/>
    <s v="1 "/>
    <s v="1=5 X 8"/>
    <s v="27/10/2025"/>
    <s v="TEMPO DETERMINATO"/>
    <s v="31/05/2027"/>
    <s v="0015002848                    "/>
    <s v="DELLAVEDOVA SARA"/>
    <n v="41"/>
    <s v="I  "/>
  </r>
  <r>
    <x v="0"/>
    <n v="1387"/>
    <x v="0"/>
    <s v="E           "/>
    <s v="AMMINISTR., FINANZA E CONTROLLO"/>
    <x v="19"/>
    <x v="18"/>
    <s v="C11000      "/>
    <s v="C11000   AMMINISTRAZIONE VENDITE"/>
    <s v="LUCANTONI                       "/>
    <s v="MARCO             "/>
    <s v="LCNMRC70P08H501D"/>
    <x v="1"/>
    <s v="34"/>
    <x v="0"/>
    <s v="04/04/2022"/>
    <s v="MILANO                 "/>
    <x v="0"/>
    <x v="0"/>
    <s v="I"/>
    <x v="0"/>
    <s v="B1 "/>
    <x v="10"/>
    <s v="13/10/1994"/>
    <s v="13/10/1994"/>
    <s v="08/09/1970"/>
    <s v="A"/>
    <s v="A.IN FORZA"/>
    <s v="1  -ASSUNZIONE                1"/>
    <s v=""/>
    <s v=" "/>
    <s v=""/>
    <s v=""/>
    <n v="1103"/>
    <s v="00"/>
    <n v="100"/>
    <s v="FULL TIME      100000000FF100-FULL TIME"/>
    <s v="13/10/1994"/>
    <s v=""/>
    <s v="  "/>
    <s v=""/>
    <s v="EP  "/>
    <s v="    "/>
    <x v="0"/>
    <s v="NON ISCRITTO       NON ISCRITTO"/>
    <s v="marco.lucantoni@ilsole24ore.com                   "/>
    <s v="F"/>
    <s v="F-FIRMA"/>
    <s v="1 "/>
    <s v="1=5 X 8"/>
    <s v="01/07/2025"/>
    <s v="TEMPO DETERMINATO"/>
    <s v="31/05/2027"/>
    <s v="0015002848                    "/>
    <s v="DELLAVEDOVA SARA"/>
    <n v="55"/>
    <s v="I  "/>
  </r>
  <r>
    <x v="0"/>
    <n v="3035"/>
    <x v="0"/>
    <s v="E           "/>
    <s v="AMMINISTR., FINANZA E CONTROLLO"/>
    <x v="19"/>
    <x v="18"/>
    <s v="C11000      "/>
    <s v="C11000   AMMINISTRAZIONE VENDITE"/>
    <s v="MARAZZI                         "/>
    <s v="BARBARA           "/>
    <s v="MRZBBR68L64F205L"/>
    <x v="0"/>
    <s v="34"/>
    <x v="0"/>
    <s v="01/04/2022"/>
    <s v="MILANO                 "/>
    <x v="0"/>
    <x v="0"/>
    <s v="I"/>
    <x v="0"/>
    <s v="B1 "/>
    <x v="10"/>
    <s v="01/04/2022"/>
    <s v="01/04/2022"/>
    <s v="24/07/1968"/>
    <s v="A"/>
    <s v="A.IN FORZA"/>
    <s v="1S-ASSUNZIONE STABILIZZAZIONE 1S"/>
    <s v=""/>
    <s v=" "/>
    <s v=""/>
    <s v=""/>
    <n v="3035"/>
    <s v="00"/>
    <n v="100"/>
    <s v="FULL TIME      100000000FF100-FULL TIME"/>
    <s v="01/11/2025"/>
    <s v=""/>
    <s v="  "/>
    <s v=""/>
    <s v="EN  "/>
    <s v="    "/>
    <x v="0"/>
    <s v=""/>
    <s v="barbara.marazzi@ilsole24ore.com                   "/>
    <s v="T"/>
    <s v="T-TIMBRA"/>
    <s v="1 "/>
    <s v="1=5 X 8"/>
    <s v="01/07/2025"/>
    <s v="TEMPO DETERMINATO"/>
    <s v="31/05/2027"/>
    <s v="0015002848                    "/>
    <s v="DELLAVEDOVA SARA"/>
    <n v="57"/>
    <s v="I  "/>
  </r>
  <r>
    <x v="0"/>
    <n v="1390"/>
    <x v="0"/>
    <s v="E           "/>
    <s v="AMMINISTR., FINANZA E CONTROLLO"/>
    <x v="19"/>
    <x v="18"/>
    <s v="C11000      "/>
    <s v="C11000   AMMINISTRAZIONE VENDITE"/>
    <s v="MERLINO                         "/>
    <s v="FRANCESCA         "/>
    <s v="MRLFNC65T56L047X"/>
    <x v="0"/>
    <s v="34"/>
    <x v="0"/>
    <s v="04/04/2022"/>
    <s v="MILANO                 "/>
    <x v="0"/>
    <x v="0"/>
    <s v="I"/>
    <x v="0"/>
    <s v="AS "/>
    <x v="7"/>
    <s v="22/05/1995"/>
    <s v="22/05/1995"/>
    <s v="16/12/1965"/>
    <s v="A"/>
    <s v="A.IN FORZA"/>
    <s v="1  -ASSUNZIONE                1"/>
    <s v=""/>
    <s v=" "/>
    <s v=""/>
    <s v=""/>
    <n v="1106"/>
    <s v="00"/>
    <n v="100"/>
    <s v="FULL TIME      100000000FF100-FULL TIME"/>
    <s v="22/05/1995"/>
    <s v=""/>
    <s v="  "/>
    <s v=""/>
    <s v="EP  "/>
    <s v="    "/>
    <x v="0"/>
    <s v=""/>
    <s v="francesca.merlino@ilsole24ore.com                 "/>
    <s v="F"/>
    <s v="F-FIRMA"/>
    <s v="1 "/>
    <s v="1=5 X 8"/>
    <s v="01/07/2025"/>
    <s v="TEMPO DETERMINATO"/>
    <s v="31/05/2027"/>
    <s v="0015002848                    "/>
    <s v="DELLAVEDOVA SARA"/>
    <n v="60"/>
    <s v="I  "/>
  </r>
  <r>
    <x v="0"/>
    <n v="3024"/>
    <x v="0"/>
    <s v="E           "/>
    <s v="AMMINISTR., FINANZA E CONTROLLO"/>
    <x v="19"/>
    <x v="18"/>
    <s v="C11000      "/>
    <s v="C11000   AMMINISTRAZIONE VENDITE"/>
    <s v="MUNGO                           "/>
    <s v="SIMONA            "/>
    <s v="MNGSMN87R71D198L"/>
    <x v="0"/>
    <s v="34"/>
    <x v="0"/>
    <s v="10/01/2022"/>
    <s v="MILANO                 "/>
    <x v="0"/>
    <x v="0"/>
    <s v="I"/>
    <x v="0"/>
    <s v="B1 "/>
    <x v="10"/>
    <s v="10/01/2022"/>
    <s v="10/01/2022"/>
    <s v="31/10/1987"/>
    <s v="A"/>
    <s v="A.IN FORZA"/>
    <s v="1  -ASSUNZIONE                1"/>
    <s v=""/>
    <s v=" "/>
    <s v=""/>
    <s v=""/>
    <n v="3024"/>
    <s v="00"/>
    <n v="100"/>
    <s v="FULL TIME      100000000FF100-FULL TIME"/>
    <s v="10/01/2022"/>
    <s v=""/>
    <s v="  "/>
    <s v=""/>
    <s v="EN  "/>
    <s v="    "/>
    <x v="0"/>
    <s v="C.I.S.L.           C.I.S.L"/>
    <s v="simona.mungo@ilsole24ore.com                      "/>
    <s v="F"/>
    <s v="F-FIRMA"/>
    <s v="1 "/>
    <s v="1=5 X 8"/>
    <s v="01/07/2025"/>
    <s v="TEMPO DETERMINATO"/>
    <s v="31/05/2027"/>
    <s v="0015002848                    "/>
    <s v="DELLAVEDOVA SARA"/>
    <n v="38"/>
    <s v="I  "/>
  </r>
  <r>
    <x v="0"/>
    <n v="617"/>
    <x v="0"/>
    <s v="E           "/>
    <s v="AMMINISTR., FINANZA E CONTROLLO"/>
    <x v="19"/>
    <x v="18"/>
    <s v="C11000      "/>
    <s v="C11000   AMMINISTRAZIONE VENDITE"/>
    <s v="ONORATI                         "/>
    <s v="PAOLA             "/>
    <s v="NRTPLA64B44H501S"/>
    <x v="0"/>
    <s v="31"/>
    <x v="1"/>
    <s v="01/06/2009"/>
    <s v="ROMA                   "/>
    <x v="0"/>
    <x v="0"/>
    <s v="I"/>
    <x v="0"/>
    <s v="B1 "/>
    <x v="10"/>
    <s v="03/04/1992"/>
    <s v="01/01/1996"/>
    <s v="04/02/1964"/>
    <s v="A"/>
    <s v="A.IN FORZA"/>
    <s v="1  -ASSUNZIONE                1"/>
    <s v=""/>
    <s v=" "/>
    <s v=""/>
    <s v=""/>
    <n v="443"/>
    <s v="00"/>
    <n v="100"/>
    <s v="FULL TIME      100000000FF100-FULL TIME"/>
    <s v="03/04/1992"/>
    <s v=""/>
    <s v="05"/>
    <s v="INVALIDI CIVILI"/>
    <s v="EV  "/>
    <s v="    "/>
    <x v="0"/>
    <s v="C.G.I.L.           C.G.I.L"/>
    <s v="Paola.Onorati@ilsole24ore.com                     "/>
    <s v="F"/>
    <s v="F-FIRMA"/>
    <s v="1 "/>
    <s v="1=5 X 8"/>
    <s v="01/09/2022"/>
    <s v="TEMPO DETERMINATO"/>
    <s v="31/12/2026"/>
    <s v="0015002848                    "/>
    <s v="DELLAVEDOVA SARA"/>
    <n v="61"/>
    <s v="I  "/>
  </r>
  <r>
    <x v="0"/>
    <n v="1353"/>
    <x v="0"/>
    <s v="E           "/>
    <s v="AMMINISTR., FINANZA E CONTROLLO"/>
    <x v="19"/>
    <x v="18"/>
    <s v="C11000      "/>
    <s v="C11000   AMMINISTRAZIONE VENDITE"/>
    <s v="PROIETTI ALIMONTI               "/>
    <s v="MARZIA            "/>
    <s v="PRTMRZ66S70A446S"/>
    <x v="0"/>
    <s v="34"/>
    <x v="0"/>
    <s v="04/04/2022"/>
    <s v="MILANO                 "/>
    <x v="0"/>
    <x v="0"/>
    <s v="I"/>
    <x v="0"/>
    <s v="AS "/>
    <x v="7"/>
    <s v="18/11/1992"/>
    <s v="18/11/1992"/>
    <s v="30/11/1966"/>
    <s v="A"/>
    <s v="A.IN FORZA"/>
    <s v="1  -ASSUNZIONE                1"/>
    <s v=""/>
    <s v=" "/>
    <s v=""/>
    <s v=""/>
    <n v="1073"/>
    <s v="00"/>
    <n v="100"/>
    <s v="FULL TIME      100000000FF100-FULL TIME"/>
    <s v="01/09/2025"/>
    <s v=""/>
    <s v="  "/>
    <s v=""/>
    <s v="EP  "/>
    <s v="    "/>
    <x v="0"/>
    <s v="C.I.S.L.           C.I.S.L"/>
    <s v="marzia.proietti@ilsole24ore.com                   "/>
    <s v="F"/>
    <s v="F-FIRMA"/>
    <s v="1 "/>
    <s v="1=5 X 8"/>
    <s v="01/06/2023"/>
    <s v="TEMPO DETERMINATO"/>
    <s v="31/05/2027"/>
    <s v="0015002848                    "/>
    <s v="DELLAVEDOVA SARA"/>
    <n v="59"/>
    <s v="I  "/>
  </r>
  <r>
    <x v="0"/>
    <n v="1307"/>
    <x v="0"/>
    <s v="E           "/>
    <s v="AMMINISTR., FINANZA E CONTROLLO"/>
    <x v="19"/>
    <x v="18"/>
    <s v="C11000      "/>
    <s v="C11000   AMMINISTRAZIONE VENDITE"/>
    <s v="SUCCI                           "/>
    <s v="FRANCESCO         "/>
    <s v="SCCFNC67R27C543R"/>
    <x v="1"/>
    <s v="34"/>
    <x v="0"/>
    <s v="04/04/2022"/>
    <s v="MILANO                 "/>
    <x v="0"/>
    <x v="0"/>
    <s v="I"/>
    <x v="0"/>
    <s v="B1 "/>
    <x v="10"/>
    <s v="01/10/1999"/>
    <s v="18/01/1994"/>
    <s v="27/10/1967"/>
    <s v="A"/>
    <s v="A.IN FORZA"/>
    <s v="1  -ASSUNZIONE                1"/>
    <s v=""/>
    <s v=" "/>
    <s v=""/>
    <s v=""/>
    <n v="1034"/>
    <s v="00"/>
    <n v="100"/>
    <s v="FULL TIME      100000000FF100-FULL TIME"/>
    <s v="01/10/1999"/>
    <s v=""/>
    <s v="  "/>
    <s v=""/>
    <s v="EP  "/>
    <s v="    "/>
    <x v="0"/>
    <s v="NON ISCRITTO       NON ISCRITTO"/>
    <s v="francesco.succi@ilsole24ore.com                   "/>
    <s v="T"/>
    <s v="T-TIMBRA"/>
    <s v="1 "/>
    <s v="1=5 X 8"/>
    <s v="01/07/2025"/>
    <s v="TEMPO DETERMINATO"/>
    <s v="31/05/2027"/>
    <s v="0015002848                    "/>
    <s v="DELLAVEDOVA SARA"/>
    <n v="58"/>
    <s v="I  "/>
  </r>
  <r>
    <x v="0"/>
    <n v="741"/>
    <x v="0"/>
    <s v="E           "/>
    <s v="AMMINISTR., FINANZA E CONTROLLO"/>
    <x v="19"/>
    <x v="18"/>
    <s v="C11000      "/>
    <s v="C11000   AMMINISTRAZIONE VENDITE"/>
    <s v="TRANQUILLI                      "/>
    <s v="VINCENZO          "/>
    <s v="TRNVCN67S30G492B"/>
    <x v="1"/>
    <s v="34"/>
    <x v="0"/>
    <s v="04/04/2022"/>
    <s v="MILANO                 "/>
    <x v="0"/>
    <x v="0"/>
    <s v="F"/>
    <x v="2"/>
    <s v="Q  "/>
    <x v="8"/>
    <s v="22/02/1994"/>
    <s v="22/02/1994"/>
    <s v="30/11/1967"/>
    <s v="A"/>
    <s v="A.IN FORZA"/>
    <s v="1  -ASSUNZIONE                1"/>
    <s v=""/>
    <s v=" "/>
    <s v=""/>
    <s v=""/>
    <n v="552"/>
    <s v="00"/>
    <n v="100"/>
    <s v="FULL TIME      100000000FF100-FULL TIME"/>
    <s v="22/02/1994"/>
    <s v=""/>
    <s v="  "/>
    <s v=""/>
    <s v="EP  "/>
    <s v="    "/>
    <x v="0"/>
    <s v="NON ISCRITTO       NON ISCRITTO"/>
    <s v="vincenzo.tranquilli@ilsole24ore.com               "/>
    <s v="F"/>
    <s v="F-FIRMA"/>
    <s v="1 "/>
    <s v="1=5 X 8"/>
    <s v="18/11/2025"/>
    <s v="TEMPO DETERMINATO"/>
    <s v="31/05/2027"/>
    <s v="0015002848                    "/>
    <s v="DELLAVEDOVA SARA"/>
    <n v="58"/>
    <s v="I  "/>
  </r>
  <r>
    <x v="0"/>
    <n v="3123"/>
    <x v="0"/>
    <s v="F           "/>
    <s v="DIR CENTRALE PERSONALE, ORGANIZZA E SOST"/>
    <x v="20"/>
    <x v="19"/>
    <s v="310000      "/>
    <s v="310000   DIR. CENTR. PERS, ORG e SOST."/>
    <s v="BOROMEI                         "/>
    <s v="PAOLA             "/>
    <s v="BRMPLA76D51F205I"/>
    <x v="0"/>
    <s v="34"/>
    <x v="0"/>
    <s v="13/05/2024"/>
    <s v="MILANO                 "/>
    <x v="1"/>
    <x v="1"/>
    <s v="D"/>
    <x v="1"/>
    <s v="D  "/>
    <x v="1"/>
    <s v="13/05/2024"/>
    <s v="13/05/2024"/>
    <s v="11/04/1976"/>
    <s v="A"/>
    <s v="A.IN FORZA"/>
    <s v="1  -ASSUNZIONE                1"/>
    <s v=""/>
    <s v=" "/>
    <s v=""/>
    <s v=""/>
    <n v="3123"/>
    <s v="00"/>
    <n v="100"/>
    <s v="FULL TIME      100000000FF100-FULL TIME"/>
    <s v="13/05/2024"/>
    <s v=""/>
    <s v="  "/>
    <s v=""/>
    <s v="DD  "/>
    <s v="    "/>
    <x v="0"/>
    <s v=""/>
    <s v="paola.boromei@ilsole24ore.com                     "/>
    <s v="E"/>
    <s v="E-ESENTE"/>
    <s v="1 "/>
    <s v="1=5 X 8"/>
    <s v="01/07/2025"/>
    <s v="TEMPO DETERMINATO"/>
    <s v="31/05/2026"/>
    <s v="0015002960                    "/>
    <s v="SILVESTRI FEDERICO"/>
    <n v="49"/>
    <s v="I  "/>
  </r>
  <r>
    <x v="0"/>
    <n v="2200"/>
    <x v="0"/>
    <s v="F           "/>
    <s v="DIR CENTRALE PERSONALE, ORGANIZZA E SOST"/>
    <x v="20"/>
    <x v="19"/>
    <s v="31000010    "/>
    <s v="31000010 SEL. FORMAZIONE ED EMPLOYER BRA"/>
    <s v="FORTE                           "/>
    <s v="ANNA              "/>
    <s v="FRTNNA82S65F205W"/>
    <x v="0"/>
    <s v="34"/>
    <x v="0"/>
    <s v="01/04/2021"/>
    <s v="MILANO                 "/>
    <x v="0"/>
    <x v="0"/>
    <s v="F"/>
    <x v="2"/>
    <s v="Q  "/>
    <x v="8"/>
    <s v="20/06/2007"/>
    <s v="20/06/2007"/>
    <s v="25/11/1982"/>
    <s v="A"/>
    <s v="A.IN FORZA"/>
    <s v="1  -ASSUNZIONE                1"/>
    <s v=""/>
    <s v=" "/>
    <s v=""/>
    <s v=""/>
    <n v="1652"/>
    <s v="00"/>
    <n v="100"/>
    <s v="FULL TIME      100000000FF100-FULL TIME"/>
    <s v="20/06/2007"/>
    <s v=""/>
    <s v="  "/>
    <s v=""/>
    <s v="EV  "/>
    <s v="    "/>
    <x v="0"/>
    <s v=""/>
    <s v="anna.forte@ilsole24ore.com                        "/>
    <s v="F"/>
    <s v="F-FIRMA"/>
    <s v="1 "/>
    <s v="1=5 X 8"/>
    <s v="01/07/2025"/>
    <s v="TEMPO DETERMINATO"/>
    <s v="31/05/2027"/>
    <s v="0015003123                    "/>
    <s v="BOROMEI PAOLA"/>
    <n v="43"/>
    <s v="I  "/>
  </r>
  <r>
    <x v="0"/>
    <n v="3153"/>
    <x v="0"/>
    <s v="F           "/>
    <s v="DIR CENTRALE PERSONALE, ORGANIZZA E SOST"/>
    <x v="20"/>
    <x v="19"/>
    <s v="31000020    "/>
    <s v="31000020 ORGANIZZAZIONE"/>
    <s v="BOLZONI                         "/>
    <s v="ROBERTO           "/>
    <s v="BLZRRT85M25D969E"/>
    <x v="1"/>
    <s v="34"/>
    <x v="0"/>
    <s v="01/05/2025"/>
    <s v="MILANO                 "/>
    <x v="0"/>
    <x v="0"/>
    <s v="F"/>
    <x v="2"/>
    <s v="Q  "/>
    <x v="8"/>
    <s v="01/05/2025"/>
    <s v="01/05/2025"/>
    <s v="25/08/1985"/>
    <s v="A"/>
    <s v="A.IN FORZA"/>
    <s v="1  -ASSUNZIONE                1"/>
    <s v=""/>
    <s v=" "/>
    <s v=""/>
    <s v=""/>
    <n v="3153"/>
    <s v="00"/>
    <n v="100"/>
    <s v="FULL TIME      100000000FF100-FULL TIME"/>
    <s v="01/05/2025"/>
    <s v=""/>
    <s v="  "/>
    <s v=""/>
    <s v="EN  "/>
    <s v="    "/>
    <x v="0"/>
    <s v=""/>
    <s v="roberto.bolzoni@ilsole24ore.com                   "/>
    <s v="F"/>
    <s v="F-FIRMA"/>
    <s v="1 "/>
    <s v="1=5 X 8"/>
    <s v="01/10/2025"/>
    <s v="TEMPO DETERMINATO"/>
    <s v="31/05/2027"/>
    <s v="0015003123                    "/>
    <s v="BOROMEI PAOLA"/>
    <n v="40"/>
    <s v="I  "/>
  </r>
  <r>
    <x v="0"/>
    <n v="3124"/>
    <x v="0"/>
    <s v="F           "/>
    <s v="DIR CENTRALE PERSONALE, ORGANIZZA E SOST"/>
    <x v="20"/>
    <x v="19"/>
    <s v="31000030    "/>
    <s v="31000030 HR ANALYTICS &amp; BUDGETING"/>
    <s v="COSTANZO                        "/>
    <s v="FABRIZIO          "/>
    <s v="CSTFRZ91H16C351O"/>
    <x v="1"/>
    <s v="34"/>
    <x v="0"/>
    <s v="15/05/2024"/>
    <s v="MILANO                 "/>
    <x v="0"/>
    <x v="0"/>
    <s v="F"/>
    <x v="2"/>
    <s v="Q  "/>
    <x v="8"/>
    <s v="15/05/2024"/>
    <s v="15/05/2024"/>
    <s v="16/06/1991"/>
    <s v="A"/>
    <s v="A.IN FORZA"/>
    <s v="1  -ASSUNZIONE                1"/>
    <s v=""/>
    <s v=" "/>
    <s v=""/>
    <s v=""/>
    <n v="3124"/>
    <s v="00"/>
    <n v="100"/>
    <s v="FULL TIME      100000000FF100-FULL TIME"/>
    <s v="15/05/2024"/>
    <s v=""/>
    <s v="  "/>
    <s v=""/>
    <s v="EN  "/>
    <s v="    "/>
    <x v="0"/>
    <s v=""/>
    <s v="fabrizio.costanzo@ilsole24ore.com                 "/>
    <s v="F"/>
    <s v="F-FIRMA"/>
    <s v="1 "/>
    <s v="1=5 X 8"/>
    <s v="01/07/2025"/>
    <s v="TEMPO DETERMINATO"/>
    <s v="31/05/2027"/>
    <s v="0015003123                    "/>
    <s v="BOROMEI PAOLA"/>
    <n v="34"/>
    <s v="I  "/>
  </r>
  <r>
    <x v="0"/>
    <n v="3146"/>
    <x v="0"/>
    <s v="F           "/>
    <s v="DIR CENTRALE PERSONALE, ORGANIZZA E SOST"/>
    <x v="20"/>
    <x v="19"/>
    <s v="31000050    "/>
    <s v="31000050 ESG E INIZIATIVE DI SVILUPPO"/>
    <s v="FERRETTI                        "/>
    <s v="ALESSIA FRANCESCA "/>
    <s v="FRRLSF87R50I690J"/>
    <x v="0"/>
    <s v="34"/>
    <x v="0"/>
    <s v="16/01/2025"/>
    <s v="MILANO                 "/>
    <x v="0"/>
    <x v="0"/>
    <s v="I"/>
    <x v="0"/>
    <s v="AS "/>
    <x v="7"/>
    <s v="16/01/2025"/>
    <s v="16/01/2025"/>
    <s v="10/10/1987"/>
    <s v="A"/>
    <s v="A.IN FORZA"/>
    <s v="1  -ASSUNZIONE                1"/>
    <s v=""/>
    <s v=" "/>
    <s v=""/>
    <s v=""/>
    <n v="3146"/>
    <s v="00"/>
    <n v="100"/>
    <s v="FULL TIME      100000000FF100-FULL TIME"/>
    <s v="16/01/2025"/>
    <s v=""/>
    <s v="  "/>
    <s v=""/>
    <s v="EN  "/>
    <s v="    "/>
    <x v="0"/>
    <s v=""/>
    <s v="alessia.ferretti@ilsole24ore.com                  "/>
    <s v="F"/>
    <s v="F-FIRMA"/>
    <s v="1 "/>
    <s v="1=5 X 8"/>
    <s v="01/07/2025"/>
    <s v="TEMPO DETERMINATO"/>
    <s v="31/05/2027"/>
    <s v="0015003123                    "/>
    <s v="BOROMEI PAOLA"/>
    <n v="38"/>
    <s v="I  "/>
  </r>
  <r>
    <x v="0"/>
    <n v="986"/>
    <x v="0"/>
    <s v="F           "/>
    <s v="DIR CENTRALE PERSONALE, ORGANIZZA E SOST"/>
    <x v="20"/>
    <x v="19"/>
    <s v="31000070    "/>
    <s v="31000070 CERTIF. ISO PARITA' DI GEN. E A"/>
    <s v="DELLE DONNE                     "/>
    <s v="DANILO            "/>
    <s v="DLLDNL64B28B301A"/>
    <x v="1"/>
    <s v="34"/>
    <x v="0"/>
    <s v="01/04/2021"/>
    <s v="MILANO                 "/>
    <x v="0"/>
    <x v="0"/>
    <s v="F"/>
    <x v="2"/>
    <s v="Q  "/>
    <x v="8"/>
    <s v="08/01/1997"/>
    <s v="08/01/1997"/>
    <s v="28/02/1964"/>
    <s v="A"/>
    <s v="A.IN FORZA"/>
    <s v="1  -ASSUNZIONE                1"/>
    <s v=""/>
    <s v=" "/>
    <s v=""/>
    <s v=""/>
    <n v="762"/>
    <s v="00"/>
    <n v="100"/>
    <s v="FULL TIME      100000000FF100-FULL TIME"/>
    <s v="08/01/1997"/>
    <s v=""/>
    <s v="  "/>
    <s v=""/>
    <s v="EP  "/>
    <s v="    "/>
    <x v="0"/>
    <s v=""/>
    <s v="danilo.delledonne@ilsole24ore.com                 "/>
    <s v="F"/>
    <s v="F-FIRMA"/>
    <s v="1 "/>
    <s v="1=5 X 8"/>
    <s v="01/07/2025"/>
    <s v="TEMPO DETERMINATO"/>
    <s v="31/05/2027"/>
    <s v="0015001041                    "/>
    <s v="SORGI GIANPAOLO"/>
    <n v="61"/>
    <s v="I  "/>
  </r>
  <r>
    <x v="0"/>
    <n v="3022"/>
    <x v="0"/>
    <s v="F           "/>
    <s v="DIR CENTRALE PERSONALE, ORGANIZZA E SOST"/>
    <x v="20"/>
    <x v="19"/>
    <s v="311000      "/>
    <s v="311000   DIRETTORE DEL PERSONALE"/>
    <s v="BOTTARI                         "/>
    <s v="VITO              "/>
    <s v="BTTVTI63P07L042F"/>
    <x v="1"/>
    <s v="34"/>
    <x v="0"/>
    <s v="01/11/2021"/>
    <s v="MILANO                 "/>
    <x v="1"/>
    <x v="1"/>
    <s v="D"/>
    <x v="1"/>
    <s v="D  "/>
    <x v="1"/>
    <s v="01/11/2021"/>
    <s v="01/11/2021"/>
    <s v="07/09/1963"/>
    <s v="A"/>
    <s v="A.IN FORZA"/>
    <s v="1  -ASSUNZIONE                1"/>
    <s v=""/>
    <s v=" "/>
    <s v=""/>
    <s v=""/>
    <n v="3022"/>
    <s v="00"/>
    <n v="100"/>
    <s v="FULL TIME      100000000FF100-FULL TIME"/>
    <s v="01/11/2021"/>
    <s v=""/>
    <s v="  "/>
    <s v=""/>
    <s v="DD  "/>
    <s v="    "/>
    <x v="0"/>
    <s v=""/>
    <s v="vito.bottari@ilsole24ore.com                      "/>
    <s v="E"/>
    <s v="E-ESENTE"/>
    <s v="1 "/>
    <s v="1=5 X 8"/>
    <s v="01/07/2024"/>
    <s v="TEMPO DETERMINATO"/>
    <s v="30/06/2025"/>
    <s v="0015003123                    "/>
    <s v="BOROMEI PAOLA"/>
    <n v="62"/>
    <s v="I  "/>
  </r>
  <r>
    <x v="0"/>
    <n v="2815"/>
    <x v="0"/>
    <s v="F           "/>
    <s v="DIR CENTRALE PERSONALE, ORGANIZZA E SOST"/>
    <x v="20"/>
    <x v="19"/>
    <s v="312000      "/>
    <s v="312000   AMMINISTRAZIONE DEL PERSONALE"/>
    <s v="BACCHILEGA                      "/>
    <s v="MARCO             "/>
    <s v="BCCMRC76D27F205X"/>
    <x v="1"/>
    <s v="34"/>
    <x v="0"/>
    <s v="01/04/2021"/>
    <s v="MILANO                 "/>
    <x v="0"/>
    <x v="0"/>
    <s v="F"/>
    <x v="2"/>
    <s v="Q  "/>
    <x v="8"/>
    <s v="16/02/2015"/>
    <s v="16/02/2015"/>
    <s v="27/04/1976"/>
    <s v="A"/>
    <s v="A.IN FORZA"/>
    <s v="1  -ASSUNZIONE                1"/>
    <s v=""/>
    <s v=" "/>
    <s v=""/>
    <s v=""/>
    <n v="2815"/>
    <s v="00"/>
    <n v="100"/>
    <s v="FULL TIME      100000000FF100-FULL TIME"/>
    <s v="16/02/2015"/>
    <s v=""/>
    <s v="  "/>
    <s v=""/>
    <s v="EV  "/>
    <s v="    "/>
    <x v="0"/>
    <s v=""/>
    <s v="marco.bacchilega@ilsole24ore.com                  "/>
    <s v="F"/>
    <s v="F-FIRMA"/>
    <s v="1 "/>
    <s v="1=5 X 8"/>
    <s v="01/07/2025"/>
    <s v="TEMPO DETERMINATO"/>
    <s v="31/05/2027"/>
    <s v="0015003123                    "/>
    <s v="BOROMEI PAOLA"/>
    <n v="49"/>
    <s v="I  "/>
  </r>
  <r>
    <x v="0"/>
    <n v="2112"/>
    <x v="0"/>
    <s v="F           "/>
    <s v="DIR CENTRALE PERSONALE, ORGANIZZA E SOST"/>
    <x v="20"/>
    <x v="19"/>
    <s v="312000      "/>
    <s v="312000   AMMINISTRAZIONE DEL PERSONALE"/>
    <s v="BARABINO                        "/>
    <s v="EMANUELA          "/>
    <s v="BRBMNL76E63I452C"/>
    <x v="0"/>
    <s v="34"/>
    <x v="0"/>
    <s v="01/04/2021"/>
    <s v="MILANO                 "/>
    <x v="0"/>
    <x v="0"/>
    <s v="F"/>
    <x v="2"/>
    <s v="Q  "/>
    <x v="8"/>
    <s v="12/06/2006"/>
    <s v="12/06/2006"/>
    <s v="23/05/1976"/>
    <s v="A"/>
    <s v="A.IN FORZA"/>
    <s v="1  -ASSUNZIONE                1"/>
    <s v=""/>
    <s v=" "/>
    <s v=""/>
    <s v=""/>
    <n v="1600"/>
    <s v="00"/>
    <n v="100"/>
    <s v="FULL TIME      100000000FF100-FULL TIME"/>
    <s v="12/06/2006"/>
    <s v=""/>
    <s v="  "/>
    <s v=""/>
    <s v="EV  "/>
    <s v="    "/>
    <x v="0"/>
    <s v=""/>
    <s v="emanuela.barabino@ilsole24ore.com                 "/>
    <s v="F"/>
    <s v="F-FIRMA"/>
    <s v="1 "/>
    <s v="1=5 X 8"/>
    <s v="01/07/2025"/>
    <s v="TEMPO DETERMINATO"/>
    <s v="31/05/2027"/>
    <s v="0015003123                    "/>
    <s v="BOROMEI PAOLA"/>
    <n v="49"/>
    <s v="I  "/>
  </r>
  <r>
    <x v="0"/>
    <n v="2438"/>
    <x v="0"/>
    <s v="F           "/>
    <s v="DIR CENTRALE PERSONALE, ORGANIZZA E SOST"/>
    <x v="20"/>
    <x v="19"/>
    <s v="312000      "/>
    <s v="312000   AMMINISTRAZIONE DEL PERSONALE"/>
    <s v="CANTONI                         "/>
    <s v="GIUSEPPINA ENRICA "/>
    <s v="CNTGPP66H55G388W"/>
    <x v="0"/>
    <s v="34"/>
    <x v="0"/>
    <s v="01/04/2021"/>
    <s v="MILANO                 "/>
    <x v="0"/>
    <x v="0"/>
    <s v="I"/>
    <x v="0"/>
    <s v="AS "/>
    <x v="7"/>
    <s v="01/07/1994"/>
    <s v="01/07/1994"/>
    <s v="15/06/1966"/>
    <s v="A"/>
    <s v="A.IN FORZA"/>
    <s v="1  -ASSUNZIONE                1"/>
    <s v=""/>
    <s v=" "/>
    <s v=""/>
    <s v=""/>
    <n v="2438"/>
    <s v="00"/>
    <n v="100"/>
    <s v="FULL TIME      100000000FF100-FULL TIME"/>
    <s v="01/07/1994"/>
    <s v=""/>
    <s v="  "/>
    <s v=""/>
    <s v="EV  "/>
    <s v="    "/>
    <x v="0"/>
    <s v=""/>
    <s v="pinuccia.cantoni@ilsole24ore.com                  "/>
    <s v="F"/>
    <s v="F-FIRMA"/>
    <s v="1 "/>
    <s v="1=5 X 8"/>
    <s v="01/07/2025"/>
    <s v="TEMPO DETERMINATO"/>
    <s v="31/05/2027"/>
    <s v="0015002815                    "/>
    <s v="BACCHILEGA MARCO"/>
    <n v="59"/>
    <s v="I  "/>
  </r>
  <r>
    <x v="0"/>
    <n v="2114"/>
    <x v="0"/>
    <s v="F           "/>
    <s v="DIR CENTRALE PERSONALE, ORGANIZZA E SOST"/>
    <x v="20"/>
    <x v="19"/>
    <s v="312000      "/>
    <s v="312000   AMMINISTRAZIONE DEL PERSONALE"/>
    <s v="MARRADI                         "/>
    <s v="DANIELA           "/>
    <s v="MRRDNL71S45F205R"/>
    <x v="0"/>
    <s v="34"/>
    <x v="0"/>
    <s v="01/04/2021"/>
    <s v="MILANO                 "/>
    <x v="0"/>
    <x v="0"/>
    <s v="I"/>
    <x v="0"/>
    <s v="B2 "/>
    <x v="17"/>
    <s v="01/07/2006"/>
    <s v="01/07/2006"/>
    <s v="05/11/1971"/>
    <s v="A"/>
    <s v="A.IN FORZA"/>
    <s v="1  -ASSUNZIONE                1"/>
    <s v=""/>
    <s v=" "/>
    <s v=""/>
    <s v=""/>
    <n v="1602"/>
    <s v="00"/>
    <n v="100"/>
    <s v="FULL TIME      100000000FF100-FULL TIME"/>
    <s v="01/07/2006"/>
    <s v=""/>
    <s v="05"/>
    <s v="INVALIDI CIVILI"/>
    <s v="EV  "/>
    <s v="    "/>
    <x v="0"/>
    <s v=""/>
    <s v="daniela.marradi@ilsole24ore.com                   "/>
    <s v="F"/>
    <s v="F-FIRMA"/>
    <s v="1 "/>
    <s v="1=5 X 8"/>
    <s v="01/07/2025"/>
    <s v="TEMPO DETERMINATO"/>
    <s v="31/05/2027"/>
    <s v="0015002815                    "/>
    <s v="BACCHILEGA MARCO"/>
    <n v="54"/>
    <s v="I  "/>
  </r>
  <r>
    <x v="0"/>
    <n v="3159"/>
    <x v="0"/>
    <s v="F           "/>
    <s v="DIR CENTRALE PERSONALE, ORGANIZZA E SOST"/>
    <x v="20"/>
    <x v="19"/>
    <s v="312000      "/>
    <s v="312000   AMMINISTRAZIONE DEL PERSONALE"/>
    <s v="MONOLO                          "/>
    <s v="CINZIA            "/>
    <s v="MNLCNZ99M63E801K"/>
    <x v="0"/>
    <s v="34"/>
    <x v="0"/>
    <s v="01/10/2025"/>
    <s v="MILANO                 "/>
    <x v="0"/>
    <x v="0"/>
    <s v="I"/>
    <x v="0"/>
    <s v="B1S"/>
    <x v="11"/>
    <s v="01/10/2025"/>
    <s v="01/10/2025"/>
    <s v="23/08/1999"/>
    <s v="A"/>
    <s v="A.IN FORZA"/>
    <s v="1  -ASSUNZIONE                1"/>
    <s v=""/>
    <s v=" "/>
    <s v=""/>
    <s v=""/>
    <n v="3159"/>
    <s v="00"/>
    <n v="100"/>
    <s v="FULL TIME      100000000FF100-FULL TIME"/>
    <s v="01/10/2025"/>
    <s v=""/>
    <s v="  "/>
    <s v=""/>
    <s v="EN  "/>
    <s v="    "/>
    <x v="0"/>
    <s v=""/>
    <s v="cinzia.monolo@ilsole24ore.com                     "/>
    <s v="F"/>
    <s v="F-FIRMA"/>
    <s v="1 "/>
    <s v="1=5 X 8"/>
    <s v="02/10/2025"/>
    <s v="TEMPO DETERMINATO"/>
    <s v="31/05/2027"/>
    <s v="0015002815                    "/>
    <s v="BACCHILEGA MARCO"/>
    <n v="26"/>
    <s v="I  "/>
  </r>
  <r>
    <x v="0"/>
    <n v="2152"/>
    <x v="0"/>
    <s v="F           "/>
    <s v="DIR CENTRALE PERSONALE, ORGANIZZA E SOST"/>
    <x v="20"/>
    <x v="19"/>
    <s v="312000      "/>
    <s v="312000   AMMINISTRAZIONE DEL PERSONALE"/>
    <s v="VITTORI                         "/>
    <s v="SILVIA            "/>
    <s v="VTTSLV67A53F704W"/>
    <x v="0"/>
    <s v="34"/>
    <x v="0"/>
    <s v="01/04/2021"/>
    <s v="MILANO                 "/>
    <x v="0"/>
    <x v="0"/>
    <s v="I"/>
    <x v="0"/>
    <s v="B1 "/>
    <x v="10"/>
    <s v="01/01/2007"/>
    <s v="01/01/2007"/>
    <s v="13/01/1967"/>
    <s v="A"/>
    <s v="A.IN FORZA"/>
    <s v="1  -ASSUNZIONE                1"/>
    <s v=""/>
    <s v=" "/>
    <s v=""/>
    <s v=""/>
    <n v="1623"/>
    <s v="00"/>
    <n v="100"/>
    <s v="FULL TIME      100000000FF100-FULL TIME"/>
    <s v="01/01/2007"/>
    <s v=""/>
    <s v="  "/>
    <s v=""/>
    <s v="EV  "/>
    <s v="    "/>
    <x v="0"/>
    <s v=""/>
    <s v="silvia.vittori@ilsole24ore.com                    "/>
    <s v="T"/>
    <s v="T-TIMBRA"/>
    <s v="1 "/>
    <s v="1=5 X 8"/>
    <s v="01/07/2025"/>
    <s v="TEMPO DETERMINATO"/>
    <s v="31/05/2027"/>
    <s v="0015002815                    "/>
    <s v="BACCHILEGA MARCO"/>
    <n v="59"/>
    <s v="I  "/>
  </r>
  <r>
    <x v="0"/>
    <n v="3012"/>
    <x v="0"/>
    <s v="F           "/>
    <s v="DIR CENTRALE PERSONALE, ORGANIZZA E SOST"/>
    <x v="20"/>
    <x v="19"/>
    <s v="31200010    "/>
    <s v="31200010 GEST. AMMINISTRATIVA AGENTI"/>
    <s v="SIDA                            "/>
    <s v="MORENO            "/>
    <s v="SDIMRN73T17F205M"/>
    <x v="1"/>
    <s v="34"/>
    <x v="0"/>
    <s v="01/04/2021"/>
    <s v="MILANO                 "/>
    <x v="0"/>
    <x v="0"/>
    <s v="I"/>
    <x v="0"/>
    <s v="A  "/>
    <x v="0"/>
    <s v="08/03/2021"/>
    <s v="08/03/2021"/>
    <s v="17/12/1973"/>
    <s v="A"/>
    <s v="A.IN FORZA"/>
    <s v="1  -ASSUNZIONE                1"/>
    <s v=""/>
    <s v=" "/>
    <s v=""/>
    <s v=""/>
    <n v="3012"/>
    <s v="00"/>
    <n v="100"/>
    <s v="FULL TIME      100000000FF100-FULL TIME"/>
    <s v="08/03/2021"/>
    <s v=""/>
    <s v="  "/>
    <s v=""/>
    <s v="EN  "/>
    <s v="    "/>
    <x v="0"/>
    <s v=""/>
    <s v="moreno.sida@ilsole24ore.com                       "/>
    <s v="F"/>
    <s v="F-FIRMA"/>
    <s v="1 "/>
    <s v="1=5 X 8"/>
    <s v="01/07/2025"/>
    <s v="TEMPO DETERMINATO"/>
    <s v="31/05/2027"/>
    <s v="0015002112                    "/>
    <s v="BARABINO EMANUELA"/>
    <n v="52"/>
    <s v="I  "/>
  </r>
  <r>
    <x v="0"/>
    <n v="1041"/>
    <x v="0"/>
    <s v="F           "/>
    <s v="DIR CENTRALE PERSONALE, ORGANIZZA E SOST"/>
    <x v="21"/>
    <x v="20"/>
    <s v="414000      "/>
    <s v="414000   SERVIZI GENERALI SICUREZZA E AM"/>
    <s v="SORGI                           "/>
    <s v="GIANPAOLO         "/>
    <s v="SRGGPL73M12A515F"/>
    <x v="1"/>
    <s v="34"/>
    <x v="0"/>
    <s v="01/06/2021"/>
    <s v="MILANO                 "/>
    <x v="0"/>
    <x v="0"/>
    <s v="F"/>
    <x v="2"/>
    <s v="Q  "/>
    <x v="8"/>
    <s v="16/06/1997"/>
    <s v="16/06/1997"/>
    <s v="12/08/1973"/>
    <s v="A"/>
    <s v="A.IN FORZA"/>
    <s v="1  -ASSUNZIONE                1"/>
    <s v=""/>
    <s v=" "/>
    <s v=""/>
    <s v=""/>
    <n v="810"/>
    <s v="00"/>
    <n v="100"/>
    <s v="FULL TIME      100000000FF100-FULL TIME"/>
    <s v="16/06/1997"/>
    <s v=""/>
    <s v="  "/>
    <s v=""/>
    <s v="EV  "/>
    <s v="    "/>
    <x v="0"/>
    <s v=""/>
    <s v="gianpaolo.sorgi@ilsole24ore.com                   "/>
    <s v="F"/>
    <s v="F-FIRMA"/>
    <s v="1 "/>
    <s v="1=5 X 8"/>
    <s v="01/07/2025"/>
    <s v="TEMPO DETERMINATO"/>
    <s v="31/05/2027"/>
    <s v="0015003123                    "/>
    <s v="BOROMEI PAOLA"/>
    <n v="52"/>
    <s v="I  "/>
  </r>
  <r>
    <x v="0"/>
    <n v="758"/>
    <x v="0"/>
    <s v="F           "/>
    <s v="DIR CENTRALE PERSONALE, ORGANIZZA E SOST"/>
    <x v="21"/>
    <x v="20"/>
    <s v="41400001    "/>
    <s v="41400001  SUPPORTO TECNICO E HSE"/>
    <s v="DE MARTIIS                      "/>
    <s v="VITTORIO          "/>
    <s v="DMRVTR64M08H501Z"/>
    <x v="1"/>
    <s v="34"/>
    <x v="0"/>
    <s v="04/04/2022"/>
    <s v="MILANO                 "/>
    <x v="0"/>
    <x v="0"/>
    <s v="I"/>
    <x v="0"/>
    <s v="A  "/>
    <x v="0"/>
    <s v="01/04/1994"/>
    <s v="01/04/1994"/>
    <s v="08/08/1964"/>
    <s v="A"/>
    <s v="A.IN FORZA"/>
    <s v="1  -ASSUNZIONE                1"/>
    <s v=""/>
    <s v=" "/>
    <s v=""/>
    <s v=""/>
    <n v="567"/>
    <s v="00"/>
    <n v="100"/>
    <s v="FULL TIME      100000000FF100-FULL TIME"/>
    <s v="01/04/1994"/>
    <s v=""/>
    <s v="  "/>
    <s v=""/>
    <s v="EP  "/>
    <s v="    "/>
    <x v="0"/>
    <s v="C.G.I.L.           C.G.I.L"/>
    <s v="vittorio.demartiis@ilsole24ore.com                "/>
    <s v="F"/>
    <s v="F-FIRMA"/>
    <s v="1 "/>
    <s v="1=5 X 8"/>
    <s v="01/07/2025"/>
    <s v="TEMPO DETERMINATO"/>
    <s v="31/05/2027"/>
    <s v="0015001041                    "/>
    <s v="SORGI GIANPAOLO"/>
    <n v="61"/>
    <s v="I  "/>
  </r>
  <r>
    <x v="0"/>
    <n v="1716"/>
    <x v="0"/>
    <s v="F           "/>
    <s v="DIR CENTRALE PERSONALE, ORGANIZZA E SOST"/>
    <x v="21"/>
    <x v="20"/>
    <s v="41400001    "/>
    <s v="41400001  SUPPORTO TECNICO E HSE"/>
    <s v="MAMBRETTI                       "/>
    <s v="ALBERTO           "/>
    <s v="MMBLRT66L19D416N"/>
    <x v="1"/>
    <s v="34"/>
    <x v="0"/>
    <s v="01/04/2021"/>
    <s v="MILANO                 "/>
    <x v="0"/>
    <x v="0"/>
    <s v="F"/>
    <x v="2"/>
    <s v="Q  "/>
    <x v="8"/>
    <s v="08/01/2001"/>
    <s v="08/01/2001"/>
    <s v="19/07/1966"/>
    <s v="A"/>
    <s v="A.IN FORZA"/>
    <s v="1  -ASSUNZIONE                1"/>
    <s v=""/>
    <s v=" "/>
    <s v=""/>
    <s v=""/>
    <n v="1362"/>
    <s v="00"/>
    <n v="100"/>
    <s v="FULL TIME      100000000FF100-FULL TIME"/>
    <s v="08/01/2001"/>
    <s v=""/>
    <s v="  "/>
    <s v=""/>
    <s v="EV  "/>
    <s v="    "/>
    <x v="0"/>
    <s v=""/>
    <s v="Alberto.Mambretti@ilsole24ore.com                 "/>
    <s v="F"/>
    <s v="F-FIRMA"/>
    <s v="1 "/>
    <s v="1=5 X 8"/>
    <s v="01/07/2025"/>
    <s v="TEMPO DETERMINATO"/>
    <s v="31/05/2027"/>
    <s v="0015001041                    "/>
    <s v="SORGI GIANPAOLO"/>
    <n v="59"/>
    <s v="I  "/>
  </r>
  <r>
    <x v="0"/>
    <n v="3104"/>
    <x v="0"/>
    <s v="F           "/>
    <s v="DIR CENTRALE PERSONALE, ORGANIZZA E SOST"/>
    <x v="21"/>
    <x v="20"/>
    <s v="414100      "/>
    <s v="414100   COORDINAMENTO OPERATIVO"/>
    <s v="RAFFELE                         "/>
    <s v="DANIELE           "/>
    <s v="RFFDNL78S27L872C"/>
    <x v="1"/>
    <s v="34"/>
    <x v="0"/>
    <s v="03/01/2024"/>
    <s v="MILANO                 "/>
    <x v="0"/>
    <x v="0"/>
    <s v="I"/>
    <x v="0"/>
    <s v="AS "/>
    <x v="7"/>
    <s v="03/01/2024"/>
    <s v="03/01/2024"/>
    <s v="27/11/1978"/>
    <s v="A"/>
    <s v="A.IN FORZA"/>
    <s v="1  -ASSUNZIONE                1"/>
    <s v=""/>
    <s v=" "/>
    <s v=""/>
    <s v=""/>
    <n v="3104"/>
    <s v="00"/>
    <n v="100"/>
    <s v="FULL TIME      100000000FF100-FULL TIME"/>
    <s v="03/01/2024"/>
    <s v=""/>
    <s v="  "/>
    <s v=""/>
    <s v="EN  "/>
    <s v="    "/>
    <x v="0"/>
    <s v=""/>
    <s v="daniele.raffele@ilsole24ore.com                   "/>
    <s v="F"/>
    <s v="F-FIRMA"/>
    <s v="1 "/>
    <s v="1=5 X 8"/>
    <s v="01/07/2025"/>
    <s v="TEMPO DETERMINATO"/>
    <s v="31/05/2027"/>
    <s v="0015001041                    "/>
    <s v="SORGI GIANPAOLO"/>
    <n v="47"/>
    <s v="I  "/>
  </r>
  <r>
    <x v="0"/>
    <n v="1171"/>
    <x v="0"/>
    <s v="F           "/>
    <s v="DIR CENTRALE PERSONALE, ORGANIZZA E SOST"/>
    <x v="21"/>
    <x v="20"/>
    <s v="511305      "/>
    <s v="511305   SUPPORTI REDAZIONALI"/>
    <s v="GENTILE                         "/>
    <s v="LUISA             "/>
    <s v="GNTLSU68L65F205Y"/>
    <x v="0"/>
    <s v="34"/>
    <x v="0"/>
    <s v="01/04/2021"/>
    <s v="MILANO                 "/>
    <x v="0"/>
    <x v="0"/>
    <s v="I"/>
    <x v="0"/>
    <s v="AS "/>
    <x v="7"/>
    <s v="14/09/1998"/>
    <s v="14/09/1998"/>
    <s v="25/07/1968"/>
    <s v="A"/>
    <s v="A.IN FORZA"/>
    <s v="1  -ASSUNZIONE                1"/>
    <s v=""/>
    <s v=" "/>
    <s v=""/>
    <s v=""/>
    <n v="922"/>
    <s v="00"/>
    <n v="100"/>
    <s v="FULL TIME      100000000FF100-FULL TIME"/>
    <s v="01/09/2015"/>
    <s v=""/>
    <s v="05"/>
    <s v="INVALIDI CIVILI"/>
    <s v="EV  "/>
    <s v="    "/>
    <x v="0"/>
    <s v=""/>
    <s v="luisa.gentile@ilsole24ore.com                     "/>
    <s v="F"/>
    <s v="F-FIRMA"/>
    <s v="1 "/>
    <s v="1=5 X 8"/>
    <s v="01/07/2025"/>
    <s v="TEMPO DETERMINATO"/>
    <s v="31/05/2027"/>
    <s v="0015001041                    "/>
    <s v="SORGI GIANPAOLO"/>
    <n v="57"/>
    <s v="I  "/>
  </r>
  <r>
    <x v="0"/>
    <n v="2382"/>
    <x v="0"/>
    <s v="F           "/>
    <s v="DIR CENTRALE PERSONALE, ORGANIZZA E SOST"/>
    <x v="21"/>
    <x v="20"/>
    <s v="51130501    "/>
    <s v="51130501 SEGRETERIE REDAZIONE MILANO"/>
    <s v="CASTELLAZZI                     "/>
    <s v="ELEONORA MARIA    "/>
    <s v="CSTLRM65D43F205Z"/>
    <x v="0"/>
    <s v="34"/>
    <x v="0"/>
    <s v="01/04/2021"/>
    <s v="MILANO                 "/>
    <x v="3"/>
    <x v="3"/>
    <s v="I"/>
    <x v="0"/>
    <s v="07 "/>
    <x v="12"/>
    <s v="01/02/2010"/>
    <s v="01/02/2010"/>
    <s v="03/04/1965"/>
    <s v="A"/>
    <s v="A.IN FORZA"/>
    <s v="1  -ASSUNZIONE                1"/>
    <s v=""/>
    <s v=" "/>
    <s v=""/>
    <s v=""/>
    <n v="1771"/>
    <s v="00"/>
    <n v="100"/>
    <s v="FULL TIME      100000000FF100-FULL TIME"/>
    <s v="01/02/2010"/>
    <s v=""/>
    <s v="  "/>
    <s v=""/>
    <s v="PSO "/>
    <s v="    "/>
    <x v="0"/>
    <s v="U.I.L.             U.I.L"/>
    <s v="eleonora.castellazzi@ilsole24ore.com              "/>
    <s v="T"/>
    <s v="T-TIMBRA"/>
    <s v="3 "/>
    <s v="3=5 X 7"/>
    <s v="01/07/2025"/>
    <s v="TEMPO DETERMINATO"/>
    <s v="31/05/2027"/>
    <s v="0015001171                    "/>
    <s v="GENTILE LUISA"/>
    <n v="60"/>
    <s v="I  "/>
  </r>
  <r>
    <x v="0"/>
    <n v="1345"/>
    <x v="0"/>
    <s v="F           "/>
    <s v="DIR CENTRALE PERSONALE, ORGANIZZA E SOST"/>
    <x v="21"/>
    <x v="20"/>
    <s v="51130502    "/>
    <s v="51130502 SEGRETERIE REDAZIONE ROMA"/>
    <s v="CASSETTA                        "/>
    <s v="TIZIANA           "/>
    <s v="CSSTZN69R69H501N"/>
    <x v="0"/>
    <s v="31"/>
    <x v="1"/>
    <s v="25/05/2009"/>
    <s v="ROMA                   "/>
    <x v="3"/>
    <x v="3"/>
    <s v="I"/>
    <x v="0"/>
    <s v="07 "/>
    <x v="12"/>
    <s v="27/01/1992"/>
    <s v="27/01/1992"/>
    <s v="29/10/1969"/>
    <s v="A"/>
    <s v="A.IN FORZA"/>
    <s v="1  -ASSUNZIONE                1"/>
    <s v=""/>
    <s v=" "/>
    <s v=""/>
    <s v=""/>
    <n v="1066"/>
    <s v="00"/>
    <n v="100"/>
    <s v="FULL TIME      100000000FF100-FULL TIME"/>
    <s v="27/01/1992"/>
    <s v=""/>
    <s v="  "/>
    <s v=""/>
    <s v="PSO "/>
    <s v="    "/>
    <x v="0"/>
    <s v="C.G.I.L.           C.G.I.L"/>
    <s v="tiziana.cassetta@ilsole24ore.com                  "/>
    <s v="T"/>
    <s v="T-TIMBRA"/>
    <s v="3 "/>
    <s v="3=5 X 7"/>
    <s v="01/07/2025"/>
    <s v="TEMPO DETERMINATO"/>
    <s v="31/05/2027"/>
    <s v="0015001171                    "/>
    <s v="GENTILE LUISA"/>
    <n v="56"/>
    <s v="I  "/>
  </r>
  <r>
    <x v="0"/>
    <n v="2107"/>
    <x v="0"/>
    <s v="F           "/>
    <s v="DIR CENTRALE PERSONALE, ORGANIZZA E SOST"/>
    <x v="21"/>
    <x v="20"/>
    <s v="51130502    "/>
    <s v="51130502 SEGRETERIE REDAZIONE ROMA"/>
    <s v="SCANNAVINI                      "/>
    <s v="MANUELA           "/>
    <s v="SCNMNL70T71H501F"/>
    <x v="0"/>
    <s v="31"/>
    <x v="1"/>
    <s v="25/05/2009"/>
    <s v="ROMA                   "/>
    <x v="3"/>
    <x v="3"/>
    <s v="I"/>
    <x v="0"/>
    <s v="07 "/>
    <x v="12"/>
    <s v="01/04/2006"/>
    <s v="01/04/2006"/>
    <s v="31/12/1970"/>
    <s v="A"/>
    <s v="A.IN FORZA"/>
    <s v="1  -ASSUNZIONE                1"/>
    <s v=""/>
    <s v=" "/>
    <s v=""/>
    <s v=""/>
    <n v="1595"/>
    <s v="00"/>
    <n v="100"/>
    <s v="FULL TIME      100000000FF100-FULL TIME"/>
    <s v="01/04/2006"/>
    <s v=""/>
    <s v="  "/>
    <s v=""/>
    <s v="PSO "/>
    <s v="    "/>
    <x v="0"/>
    <s v="C.G.I.L.           C.G.I.L"/>
    <s v="manuela.scannavini@ilsole24ore.com                "/>
    <s v="T"/>
    <s v="T-TIMBRA"/>
    <s v="3 "/>
    <s v="3=5 X 7"/>
    <s v="01/07/2025"/>
    <s v="TEMPO DETERMINATO"/>
    <s v="31/05/2027"/>
    <s v="0015001171                    "/>
    <s v="GENTILE LUISA"/>
    <n v="55"/>
    <s v="I  "/>
  </r>
  <r>
    <x v="0"/>
    <n v="1113"/>
    <x v="0"/>
    <s v="F           "/>
    <s v="DIR CENTRALE PERSONALE, ORGANIZZA E SOST"/>
    <x v="21"/>
    <x v="20"/>
    <s v="51400001    "/>
    <s v="51400001 DIREZIONE QUOTIDIANO"/>
    <s v="RADAELLI                        "/>
    <s v="VALERIA           "/>
    <s v="RDLVLR70L68F205W"/>
    <x v="0"/>
    <s v="34"/>
    <x v="0"/>
    <s v="01/04/2021"/>
    <s v="MILANO                 "/>
    <x v="3"/>
    <x v="3"/>
    <s v="I"/>
    <x v="0"/>
    <s v="08 "/>
    <x v="13"/>
    <s v="23/02/1998"/>
    <s v="23/02/1998"/>
    <s v="28/07/1970"/>
    <s v="A"/>
    <s v="A.IN FORZA"/>
    <s v="1  -ASSUNZIONE                1"/>
    <s v=""/>
    <s v=" "/>
    <s v=""/>
    <s v=""/>
    <n v="878"/>
    <s v="00"/>
    <n v="100"/>
    <s v="FULL TIME      100000000FF100-FULL TIME"/>
    <s v="23/02/1998"/>
    <s v=""/>
    <s v="  "/>
    <s v=""/>
    <s v="PSO "/>
    <s v="    "/>
    <x v="0"/>
    <s v=""/>
    <s v="valeria.radaelli@ilsole24ore.com                  "/>
    <s v="F"/>
    <s v="F-FIRMA"/>
    <s v="3 "/>
    <s v="3=5 X 7"/>
    <s v="01/07/2025"/>
    <s v="TEMPO DETERMINATO"/>
    <s v="31/05/2027"/>
    <s v="0015001171                    "/>
    <s v="GENTILE LUISA"/>
    <n v="55"/>
    <s v="I  "/>
  </r>
  <r>
    <x v="0"/>
    <n v="1319"/>
    <x v="0"/>
    <s v="F           "/>
    <s v="DIR CENTRALE PERSONALE, ORGANIZZA E SOST"/>
    <x v="21"/>
    <x v="20"/>
    <s v="514600      "/>
    <s v="514600   SEGRETERIA RED. ALTRI PERIODICI"/>
    <s v="GIACINTI                        "/>
    <s v="MARIA FRANCESCA   "/>
    <s v="GCNMFR63H50H501K"/>
    <x v="0"/>
    <s v="31"/>
    <x v="1"/>
    <s v="01/04/2022"/>
    <s v="ROMA                   "/>
    <x v="0"/>
    <x v="0"/>
    <s v="I"/>
    <x v="0"/>
    <s v="B2 "/>
    <x v="17"/>
    <s v="01/11/1999"/>
    <s v="01/11/1999"/>
    <s v="10/06/1963"/>
    <s v="A"/>
    <s v="A.IN FORZA"/>
    <s v="1  -ASSUNZIONE                1"/>
    <s v=""/>
    <s v=" "/>
    <s v=""/>
    <s v=""/>
    <n v="1046"/>
    <s v="01"/>
    <n v="50"/>
    <s v="20 H O GRA/COMM050000000PP20.0/40- PT 50.00-P"/>
    <s v="14/01/2026"/>
    <s v="30/09/2026"/>
    <s v="  "/>
    <s v=""/>
    <s v="EP  "/>
    <s v="    "/>
    <x v="0"/>
    <s v="C.G.I.L.           C.G.I.L"/>
    <s v="mariafrancesca.giacinti@ilsole24ore.com           "/>
    <s v="T"/>
    <s v="T-TIMBRA"/>
    <s v="1 "/>
    <s v="1=5 X 8"/>
    <s v="14/01/2026"/>
    <s v="TEMPO DETERMINATO"/>
    <s v="30/09/2026"/>
    <s v="0015001171                    "/>
    <s v="GENTILE LUISA"/>
    <n v="62"/>
    <s v="I  "/>
  </r>
  <r>
    <x v="0"/>
    <n v="1188"/>
    <x v="0"/>
    <s v="F           "/>
    <s v="DIR CENTRALE PERSONALE, ORGANIZZA E SOST"/>
    <x v="21"/>
    <x v="20"/>
    <s v="51511001    "/>
    <s v="51511001 SUPPORTI AGENZIA"/>
    <s v="D'ANIELLO                       "/>
    <s v="ERICA             "/>
    <s v="DNLRCE65P42L483N"/>
    <x v="0"/>
    <s v="34"/>
    <x v="0"/>
    <s v="01/04/2021"/>
    <s v="MILANO                 "/>
    <x v="3"/>
    <x v="3"/>
    <s v="I"/>
    <x v="0"/>
    <s v="07 "/>
    <x v="12"/>
    <s v="12/10/1998"/>
    <s v="12/10/1998"/>
    <s v="02/09/1965"/>
    <s v="A"/>
    <s v="A.IN FORZA"/>
    <s v="1  -ASSUNZIONE                1"/>
    <s v=""/>
    <s v=" "/>
    <s v=""/>
    <s v=""/>
    <n v="936"/>
    <s v="00"/>
    <n v="100"/>
    <s v="FULL TIME      100000000FF100-FULL TIME"/>
    <s v="12/10/1998"/>
    <s v=""/>
    <s v="  "/>
    <s v=""/>
    <s v="PRD "/>
    <s v="    "/>
    <x v="0"/>
    <s v="U.I.L.             U.I.L"/>
    <s v="erica.daniello@ilsole24ore.com                    "/>
    <s v="F"/>
    <s v="F-FIRMA"/>
    <s v="3 "/>
    <s v="3=5 X 7"/>
    <s v="01/07/2025"/>
    <s v="TEMPO DETERMINATO"/>
    <s v="31/05/2027"/>
    <s v="0015001171                    "/>
    <s v="GENTILE LUISA"/>
    <n v="60"/>
    <s v="I  "/>
  </r>
  <r>
    <x v="0"/>
    <n v="1657"/>
    <x v="0"/>
    <s v="F           "/>
    <s v="DIR CENTRALE PERSONALE, ORGANIZZA E SOST"/>
    <x v="21"/>
    <x v="20"/>
    <s v="51820001    "/>
    <s v="51820001   HOW TO SPEND IT"/>
    <s v="LUCCHESI                        "/>
    <s v="IVAN              "/>
    <s v="LCCVNI77L17G220Q"/>
    <x v="1"/>
    <s v="34"/>
    <x v="0"/>
    <s v="01/04/2021"/>
    <s v="MILANO                 "/>
    <x v="0"/>
    <x v="0"/>
    <s v="I"/>
    <x v="0"/>
    <s v="B2 "/>
    <x v="17"/>
    <s v="01/11/2000"/>
    <s v="01/11/2000"/>
    <s v="17/07/1977"/>
    <s v="A"/>
    <s v="A.IN FORZA"/>
    <s v="1  -ASSUNZIONE                1"/>
    <s v=""/>
    <s v=" "/>
    <s v=""/>
    <s v=""/>
    <n v="1318"/>
    <s v="00"/>
    <n v="100"/>
    <s v="FULL TIME      100000000FF100-FULL TIME"/>
    <s v="01/11/2000"/>
    <s v=""/>
    <s v="  "/>
    <s v=""/>
    <s v="EV  "/>
    <s v="    "/>
    <x v="0"/>
    <s v="U.I.L.             U.I.L"/>
    <s v="sergio.lucchesi@ilsole24ore.com                   "/>
    <s v="F"/>
    <s v="F-FIRMA"/>
    <s v="1 "/>
    <s v="1=5 X 8"/>
    <s v="01/07/2025"/>
    <s v="TEMPO DETERMINATO"/>
    <s v="31/05/2027"/>
    <s v="0015001171                    "/>
    <s v="GENTILE LUISA"/>
    <n v="48"/>
    <s v="I  "/>
  </r>
  <r>
    <x v="0"/>
    <n v="2364"/>
    <x v="0"/>
    <s v="F           "/>
    <s v="DIR CENTRALE PERSONALE, ORGANIZZA E SOST"/>
    <x v="21"/>
    <x v="20"/>
    <s v="51820001    "/>
    <s v="51820001   HOW TO SPEND IT"/>
    <s v="PIPISTRELLI                     "/>
    <s v="SIMONA MARIA CATER"/>
    <s v="PPSSNM71T53F205R"/>
    <x v="0"/>
    <s v="34"/>
    <x v="0"/>
    <s v="01/04/2021"/>
    <s v="MILANO                 "/>
    <x v="0"/>
    <x v="0"/>
    <s v="I"/>
    <x v="0"/>
    <s v="B1S"/>
    <x v="11"/>
    <s v="01/04/2009"/>
    <s v="01/04/2009"/>
    <s v="13/12/1971"/>
    <s v="A"/>
    <s v="A.IN FORZA"/>
    <s v="1  -ASSUNZIONE                1"/>
    <s v=""/>
    <s v=" "/>
    <s v=""/>
    <s v=""/>
    <n v="1761"/>
    <s v="00"/>
    <n v="100"/>
    <s v="FULL TIME      100000000FF100-FULL TIME"/>
    <s v="01/04/2009"/>
    <s v=""/>
    <s v="  "/>
    <s v=""/>
    <s v="EV  "/>
    <s v="    "/>
    <x v="0"/>
    <s v=""/>
    <s v="simona.pipistrelli@ilsole24ore.com                "/>
    <s v="F"/>
    <s v="F-FIRMA"/>
    <s v="1 "/>
    <s v="1=5 X 8"/>
    <s v="01/07/2025"/>
    <s v="TEMPO DETERMINATO"/>
    <s v="31/05/2027"/>
    <s v="0015001171                    "/>
    <s v="GENTILE LUISA"/>
    <n v="54"/>
    <s v="I  "/>
  </r>
  <r>
    <x v="0"/>
    <n v="1046"/>
    <x v="0"/>
    <s v="F           "/>
    <s v="DIR CENTRALE PERSONALE, ORGANIZZA E SOST"/>
    <x v="22"/>
    <x v="21"/>
    <s v="514800      "/>
    <s v="514800   STRUTTURA MEDIA FACTORY ENEL"/>
    <s v="LETI                            "/>
    <s v="CARLA             "/>
    <s v="LTECRL76E53H501N"/>
    <x v="0"/>
    <s v="36"/>
    <x v="2"/>
    <s v="09/12/2024"/>
    <s v="ROMA                   "/>
    <x v="0"/>
    <x v="0"/>
    <s v="I"/>
    <x v="0"/>
    <s v="A  "/>
    <x v="0"/>
    <s v="07/07/1997"/>
    <s v="07/07/1997"/>
    <s v="13/05/1976"/>
    <s v="A"/>
    <s v="A.IN FORZA"/>
    <s v="1  -ASSUNZIONE                1"/>
    <s v=""/>
    <s v=" "/>
    <s v=""/>
    <s v=""/>
    <n v="815"/>
    <s v="00"/>
    <n v="100"/>
    <s v="FULL TIME      100000000FF100-FULL TIME"/>
    <s v="07/07/1997"/>
    <s v=""/>
    <s v="  "/>
    <s v=""/>
    <s v="EP  "/>
    <s v="    "/>
    <x v="0"/>
    <s v="NON ISCRITTO       NON ISCRITTO"/>
    <s v="carla.leti@ilsole24ore.com                        "/>
    <s v="F"/>
    <s v="F-FIRMA"/>
    <s v="1 "/>
    <s v="1=5 X 8"/>
    <s v="01/07/2025"/>
    <s v="TEMPO DETERMINATO"/>
    <s v="31/05/2027"/>
    <s v="0015003022                    "/>
    <s v="BOTTARI VITO"/>
    <n v="49"/>
    <s v="I  "/>
  </r>
  <r>
    <x v="0"/>
    <n v="1960"/>
    <x v="0"/>
    <s v="F           "/>
    <s v="DIR CENTRALE PERSONALE, ORGANIZZA E SOST"/>
    <x v="22"/>
    <x v="21"/>
    <s v="514800      "/>
    <s v="514800   STRUTTURA MEDIA FACTORY ENEL"/>
    <s v="ZAMPINI                         "/>
    <s v="MASSIMILIANO      "/>
    <s v="ZMPMSM69E23F611H"/>
    <x v="1"/>
    <s v="36"/>
    <x v="2"/>
    <s v="09/12/2024"/>
    <s v="ROMA                   "/>
    <x v="4"/>
    <x v="4"/>
    <s v="G"/>
    <x v="3"/>
    <s v="CS "/>
    <x v="18"/>
    <s v="01/07/2003"/>
    <s v="01/07/2003"/>
    <s v="23/05/1969"/>
    <s v="A"/>
    <s v="A.IN FORZA"/>
    <s v="1  -ASSUNZIONE                1"/>
    <s v=""/>
    <s v=" "/>
    <s v=""/>
    <s v=""/>
    <n v="402"/>
    <s v="00"/>
    <n v="100"/>
    <s v="FULL TIME      100000000FF100-FULL TIME"/>
    <s v="01/07/2003"/>
    <s v=""/>
    <s v="  "/>
    <s v=""/>
    <s v="GRR "/>
    <s v="    "/>
    <x v="0"/>
    <s v="SIND.GIORN.        SINDACATO GIORNALISTI"/>
    <s v="massimiliano.zampini@ilsole24ore.com              "/>
    <s v="E"/>
    <s v="E-ESENTE"/>
    <s v="2 "/>
    <s v="2=6 X 6"/>
    <s v="01/09/2025"/>
    <s v="TEMPO DETERMINATO"/>
    <s v="31/05/2027"/>
    <s v="0015000295                    "/>
    <s v=""/>
    <n v="56"/>
    <s v="I  "/>
  </r>
  <r>
    <x v="0"/>
    <n v="3133"/>
    <x v="0"/>
    <s v="G           "/>
    <s v="DG I&amp;T - DIR INFORMATION TECHNOLOGY"/>
    <x v="23"/>
    <x v="22"/>
    <s v="415300      "/>
    <s v="415300   DIR INFORMATION TECHNOLOGY"/>
    <s v="PALA                            "/>
    <s v="MARIA GRAZIA      "/>
    <s v="PLAMGR94S52I452D"/>
    <x v="0"/>
    <s v="34"/>
    <x v="0"/>
    <s v="02/09/2024"/>
    <s v="MILANO                 "/>
    <x v="0"/>
    <x v="0"/>
    <s v="I"/>
    <x v="0"/>
    <s v="A  "/>
    <x v="0"/>
    <s v="02/09/2024"/>
    <s v="02/09/2024"/>
    <s v="12/11/1994"/>
    <s v="A"/>
    <s v="A.IN FORZA"/>
    <s v="1  -ASSUNZIONE                1"/>
    <s v=""/>
    <s v=" "/>
    <s v=""/>
    <s v=""/>
    <n v="3133"/>
    <s v="00"/>
    <n v="100"/>
    <s v="FULL TIME      100000000FF100-FULL TIME"/>
    <s v="02/09/2024"/>
    <s v=""/>
    <s v="  "/>
    <s v=""/>
    <s v="EN  "/>
    <s v="    "/>
    <x v="0"/>
    <s v=""/>
    <s v="maria.pala@ilsole24ore.com                        "/>
    <s v="F"/>
    <s v="F-FIRMA"/>
    <s v="1 "/>
    <s v="1=5 X 8"/>
    <s v="01/07/2025"/>
    <s v="TEMPO DETERMINATO"/>
    <s v="31/05/2027"/>
    <s v="0015003123                    "/>
    <s v="BOROMEI PAOLA"/>
    <n v="31"/>
    <s v="I  "/>
  </r>
  <r>
    <x v="0"/>
    <n v="1584"/>
    <x v="0"/>
    <s v="G           "/>
    <s v="DG I&amp;T - DIR INFORMATION TECHNOLOGY"/>
    <x v="23"/>
    <x v="22"/>
    <s v="41530010    "/>
    <s v="41530010 DATA PLATFORM"/>
    <s v="ARCANGELI                       "/>
    <s v="UMBERTO           "/>
    <s v="RCNMRT68H23H501I"/>
    <x v="1"/>
    <s v="31"/>
    <x v="1"/>
    <s v="01/07/2011"/>
    <s v="ROMA                   "/>
    <x v="0"/>
    <x v="0"/>
    <s v="I"/>
    <x v="0"/>
    <s v="A  "/>
    <x v="0"/>
    <s v="03/07/2000"/>
    <s v="03/07/2000"/>
    <s v="23/06/1968"/>
    <s v="A"/>
    <s v="A.IN FORZA"/>
    <s v="1  -ASSUNZIONE                1"/>
    <s v=""/>
    <s v=" "/>
    <s v=""/>
    <s v=""/>
    <n v="1254"/>
    <s v="00"/>
    <n v="100"/>
    <s v="FULL TIME      100000000FF100-FULL TIME"/>
    <s v="03/07/2000"/>
    <s v=""/>
    <s v="  "/>
    <s v=""/>
    <s v="EP  "/>
    <s v="    "/>
    <x v="0"/>
    <s v="NON ISCRITTO       NON ISCRITTO"/>
    <s v="umberto.arcangeli@ilsole24ore.com                 "/>
    <s v="F"/>
    <s v="F-FIRMA"/>
    <s v="1 "/>
    <s v="1=5 X 8"/>
    <s v="01/07/2025"/>
    <s v="TEMPO DETERMINATO"/>
    <s v="31/05/2027"/>
    <s v="0015001855                    "/>
    <s v="ZUCCONI GIOVANNI"/>
    <n v="57"/>
    <s v="I  "/>
  </r>
  <r>
    <x v="0"/>
    <n v="1855"/>
    <x v="0"/>
    <s v="G           "/>
    <s v="DG I&amp;T - DIR INFORMATION TECHNOLOGY"/>
    <x v="23"/>
    <x v="22"/>
    <s v="41530010    "/>
    <s v="41530010 DATA PLATFORM"/>
    <s v="ZUCCONI                         "/>
    <s v="GIOVANNI          "/>
    <s v="ZCCGNN61H26A210W"/>
    <x v="1"/>
    <s v="31"/>
    <x v="1"/>
    <s v="01/05/2010"/>
    <s v="ROMA                   "/>
    <x v="0"/>
    <x v="0"/>
    <s v="F"/>
    <x v="2"/>
    <s v="Q  "/>
    <x v="8"/>
    <s v="01/02/2001"/>
    <s v="17/06/1996"/>
    <s v="26/06/1961"/>
    <s v="A"/>
    <s v="A.IN FORZA"/>
    <s v="2  -VARIAZIONE SOCIETARIA     2"/>
    <s v=""/>
    <s v=" "/>
    <s v=""/>
    <s v=""/>
    <n v="1475"/>
    <s v="00"/>
    <n v="100"/>
    <s v="FULL TIME      100000000FF100-FULL TIME"/>
    <s v="01/02/2001"/>
    <s v=""/>
    <s v="  "/>
    <s v=""/>
    <s v="EV  "/>
    <s v="    "/>
    <x v="0"/>
    <s v=""/>
    <s v="giovanni.zucconi@ilsole24ore.com                  "/>
    <s v="F"/>
    <s v="F-FIRMA"/>
    <s v="1 "/>
    <s v="1=5 X 8"/>
    <s v="01/07/2025"/>
    <s v="TEMPO DETERMINATO"/>
    <s v="31/05/2027"/>
    <s v="0015003123                    "/>
    <s v="BOROMEI PAOLA"/>
    <n v="64"/>
    <s v="I  "/>
  </r>
  <r>
    <x v="0"/>
    <n v="772"/>
    <x v="0"/>
    <s v="G           "/>
    <s v="DG I&amp;T - DIR INFORMATION TECHNOLOGY"/>
    <x v="24"/>
    <x v="23"/>
    <s v="415110      "/>
    <s v="415110   SISTEMI INFORMATICI GESTIONALI"/>
    <s v="CASAGRANDE                      "/>
    <s v="STEFANO           "/>
    <s v="CSGSFN67A17C523R"/>
    <x v="1"/>
    <s v="34"/>
    <x v="0"/>
    <s v="01/04/2021"/>
    <s v="MILANO                 "/>
    <x v="0"/>
    <x v="0"/>
    <s v="F"/>
    <x v="2"/>
    <s v="Q  "/>
    <x v="8"/>
    <s v="16/05/1994"/>
    <s v="16/05/1994"/>
    <s v="17/01/1967"/>
    <s v="A"/>
    <s v="A.IN FORZA"/>
    <s v="1  -ASSUNZIONE                1"/>
    <s v=""/>
    <s v=" "/>
    <s v=""/>
    <s v=""/>
    <n v="578"/>
    <s v="00"/>
    <n v="100"/>
    <s v="FULL TIME      100000000FF100-FULL TIME"/>
    <s v="16/05/1994"/>
    <s v=""/>
    <s v="  "/>
    <s v=""/>
    <s v="EV  "/>
    <s v="    "/>
    <x v="0"/>
    <s v=""/>
    <s v="stefano.casagrande@ilsole24ore.com                "/>
    <s v="F"/>
    <s v="F-FIRMA"/>
    <s v="1 "/>
    <s v="1=5 X 8"/>
    <s v="01/07/2025"/>
    <s v="TEMPO DETERMINATO"/>
    <s v="31/05/2027"/>
    <s v="0015002865                    "/>
    <s v="FANTUZZI MARILISA"/>
    <n v="59"/>
    <s v="I  "/>
  </r>
  <r>
    <x v="0"/>
    <n v="3074"/>
    <x v="0"/>
    <s v="G           "/>
    <s v="DG I&amp;T - DIR INFORMATION TECHNOLOGY"/>
    <x v="24"/>
    <x v="23"/>
    <s v="415110      "/>
    <s v="415110   SISTEMI INFORMATICI GESTIONALI"/>
    <s v="COSENZA                         "/>
    <s v="AMERIGO           "/>
    <s v="CSNMRG88T10C349Q"/>
    <x v="1"/>
    <s v="34"/>
    <x v="0"/>
    <s v="12/04/2023"/>
    <s v="MILANO                 "/>
    <x v="0"/>
    <x v="0"/>
    <s v="F"/>
    <x v="2"/>
    <s v="Q  "/>
    <x v="8"/>
    <s v="12/04/2023"/>
    <s v="12/04/2023"/>
    <s v="10/12/1988"/>
    <s v="A"/>
    <s v="A.IN FORZA"/>
    <s v="1  -ASSUNZIONE                1"/>
    <s v=""/>
    <s v=" "/>
    <s v=""/>
    <s v=""/>
    <n v="3074"/>
    <s v="00"/>
    <n v="100"/>
    <s v="FULL TIME      100000000FF100-FULL TIME"/>
    <s v="12/04/2023"/>
    <s v=""/>
    <s v="  "/>
    <s v=""/>
    <s v="EN  "/>
    <s v="    "/>
    <x v="0"/>
    <s v=""/>
    <s v="amerigo.cosenza@ilsole24ore.com                   "/>
    <s v="F"/>
    <s v="F-FIRMA"/>
    <s v="1 "/>
    <s v="1=5 X 8"/>
    <s v="01/07/2025"/>
    <s v="TEMPO DETERMINATO"/>
    <s v="31/05/2027"/>
    <s v="0015002865                    "/>
    <s v="FANTUZZI MARILISA"/>
    <n v="37"/>
    <s v="I  "/>
  </r>
  <r>
    <x v="0"/>
    <n v="2865"/>
    <x v="0"/>
    <s v="G           "/>
    <s v="DG I&amp;T - DIR INFORMATION TECHNOLOGY"/>
    <x v="24"/>
    <x v="23"/>
    <s v="415110      "/>
    <s v="415110   SISTEMI INFORMATICI GESTIONALI"/>
    <s v="FANTUZZI                        "/>
    <s v="MARILISA          "/>
    <s v="FNTMLS69T69F880Q"/>
    <x v="0"/>
    <s v="34"/>
    <x v="0"/>
    <s v="01/04/2021"/>
    <s v="MILANO                 "/>
    <x v="0"/>
    <x v="0"/>
    <s v="F"/>
    <x v="2"/>
    <s v="Q  "/>
    <x v="8"/>
    <s v="01/01/2016"/>
    <s v="10/11/2014"/>
    <s v="29/12/1969"/>
    <s v="A"/>
    <s v="A.IN FORZA"/>
    <s v="1  -ASSUNZIONE                1"/>
    <s v=""/>
    <s v=" "/>
    <s v=""/>
    <s v=""/>
    <n v="2865"/>
    <s v="00"/>
    <n v="100"/>
    <s v="FULL TIME      100000000FF100-FULL TIME"/>
    <s v="10/11/2014"/>
    <s v=""/>
    <s v="  "/>
    <s v=""/>
    <s v="EV  "/>
    <s v="    "/>
    <x v="0"/>
    <s v=""/>
    <s v="marilisa.fantuzzi@ilsole24ore.com                 "/>
    <s v="F"/>
    <s v="F-FIRMA"/>
    <s v="1 "/>
    <s v="1=5 X 8"/>
    <s v="18/09/2024"/>
    <s v="TEMPO DETERMINATO"/>
    <s v="31/12/2026"/>
    <s v="0015003123                    "/>
    <s v="BOROMEI PAOLA"/>
    <n v="56"/>
    <s v="I  "/>
  </r>
  <r>
    <x v="0"/>
    <n v="2327"/>
    <x v="0"/>
    <s v="G           "/>
    <s v="DG I&amp;T - DIR INFORMATION TECHNOLOGY"/>
    <x v="24"/>
    <x v="23"/>
    <s v="415110      "/>
    <s v="415110   SISTEMI INFORMATICI GESTIONALI"/>
    <s v="GIANNASI                        "/>
    <s v="PAOLO             "/>
    <s v="GNNPLA68B24F205U"/>
    <x v="1"/>
    <s v="34"/>
    <x v="0"/>
    <s v="01/04/2021"/>
    <s v="MILANO                 "/>
    <x v="0"/>
    <x v="0"/>
    <s v="F"/>
    <x v="2"/>
    <s v="Q  "/>
    <x v="8"/>
    <s v="22/09/2008"/>
    <s v="22/09/2008"/>
    <s v="24/02/1968"/>
    <s v="A"/>
    <s v="A.IN FORZA"/>
    <s v="1  -ASSUNZIONE                1"/>
    <s v=""/>
    <s v=" "/>
    <s v=""/>
    <s v=""/>
    <n v="1732"/>
    <s v="00"/>
    <n v="100"/>
    <s v="FULL TIME      100000000FF100-FULL TIME"/>
    <s v="22/09/2008"/>
    <s v=""/>
    <s v="  "/>
    <s v=""/>
    <s v="EV  "/>
    <s v="    "/>
    <x v="0"/>
    <s v=""/>
    <s v="paolo.giannasi@ilsole24ore.com                    "/>
    <s v="F"/>
    <s v="F-FIRMA"/>
    <s v="1 "/>
    <s v="1=5 X 8"/>
    <s v="15/07/2025"/>
    <s v="TEMPO DETERMINATO"/>
    <s v="31/05/2027"/>
    <s v="0015002865                    "/>
    <s v="FANTUZZI MARILISA"/>
    <n v="57"/>
    <s v="I  "/>
  </r>
  <r>
    <x v="0"/>
    <n v="1150"/>
    <x v="0"/>
    <s v="G           "/>
    <s v="DG I&amp;T - DIR INFORMATION TECHNOLOGY"/>
    <x v="24"/>
    <x v="23"/>
    <s v="415110      "/>
    <s v="415110   SISTEMI INFORMATICI GESTIONALI"/>
    <s v="GOLA                            "/>
    <s v="FEDERICA MARIA    "/>
    <s v="GLOFRC70D63F205I"/>
    <x v="0"/>
    <s v="34"/>
    <x v="0"/>
    <s v="01/04/2021"/>
    <s v="MILANO                 "/>
    <x v="0"/>
    <x v="0"/>
    <s v="I"/>
    <x v="0"/>
    <s v="AS "/>
    <x v="7"/>
    <s v="01/07/1998"/>
    <s v="01/07/1998"/>
    <s v="23/04/1970"/>
    <s v="A"/>
    <s v="A.IN FORZA"/>
    <s v="1  -ASSUNZIONE                1"/>
    <s v=""/>
    <s v=" "/>
    <s v=""/>
    <s v=""/>
    <n v="907"/>
    <s v="00"/>
    <n v="100"/>
    <s v="FULL TIME      100000000FF100-FULL TIME"/>
    <s v="01/09/2015"/>
    <s v=""/>
    <s v="  "/>
    <s v=""/>
    <s v="EV  "/>
    <s v="    "/>
    <x v="0"/>
    <s v=""/>
    <s v="Federica.Gola@ilsole24ore.com                     "/>
    <s v="F"/>
    <s v="F-FIRMA"/>
    <s v="1 "/>
    <s v="1=5 X 8"/>
    <s v="01/07/2025"/>
    <s v="TEMPO DETERMINATO"/>
    <s v="31/05/2027"/>
    <s v="0015002865                    "/>
    <s v="FANTUZZI MARILISA"/>
    <n v="55"/>
    <s v="I  "/>
  </r>
  <r>
    <x v="0"/>
    <n v="3075"/>
    <x v="0"/>
    <s v="G           "/>
    <s v="DG I&amp;T - DIR INFORMATION TECHNOLOGY"/>
    <x v="24"/>
    <x v="23"/>
    <s v="415110      "/>
    <s v="415110   SISTEMI INFORMATICI GESTIONALI"/>
    <s v="GRAVINA                         "/>
    <s v="VALERIO           "/>
    <s v="GRVVLR85C27L049N"/>
    <x v="1"/>
    <s v="34"/>
    <x v="0"/>
    <s v="17/04/2023"/>
    <s v="MILANO                 "/>
    <x v="0"/>
    <x v="0"/>
    <s v="F"/>
    <x v="2"/>
    <s v="Q  "/>
    <x v="8"/>
    <s v="17/04/2023"/>
    <s v="17/04/2023"/>
    <s v="27/03/1985"/>
    <s v="A"/>
    <s v="A.IN FORZA"/>
    <s v="1  -ASSUNZIONE                1"/>
    <s v=""/>
    <s v=" "/>
    <s v=""/>
    <s v=""/>
    <n v="3075"/>
    <s v="00"/>
    <n v="100"/>
    <s v="FULL TIME      100000000FF100-FULL TIME"/>
    <s v="17/04/2023"/>
    <s v=""/>
    <s v="  "/>
    <s v=""/>
    <s v="EN  "/>
    <s v="    "/>
    <x v="0"/>
    <s v=""/>
    <s v="valerio.gravina@ilsole24ore.com                   "/>
    <s v="F"/>
    <s v="F-FIRMA"/>
    <s v="1 "/>
    <s v="1=5 X 8"/>
    <s v="01/07/2025"/>
    <s v="TEMPO DETERMINATO"/>
    <s v="31/05/2027"/>
    <s v="0015002865                    "/>
    <s v="FANTUZZI MARILISA"/>
    <n v="40"/>
    <s v="I  "/>
  </r>
  <r>
    <x v="0"/>
    <n v="2996"/>
    <x v="0"/>
    <s v="G           "/>
    <s v="DG I&amp;T - DIR INFORMATION TECHNOLOGY"/>
    <x v="24"/>
    <x v="23"/>
    <s v="415110      "/>
    <s v="415110   SISTEMI INFORMATICI GESTIONALI"/>
    <s v="MONTANARO                       "/>
    <s v="STEFANO           "/>
    <s v="MNTSFN87R19F205M"/>
    <x v="1"/>
    <s v="34"/>
    <x v="0"/>
    <s v="01/04/2021"/>
    <s v="MILANO                 "/>
    <x v="0"/>
    <x v="0"/>
    <s v="F"/>
    <x v="2"/>
    <s v="Q  "/>
    <x v="8"/>
    <s v="01/06/2020"/>
    <s v="01/06/2020"/>
    <s v="19/10/1987"/>
    <s v="A"/>
    <s v="A.IN FORZA"/>
    <s v="1  -ASSUNZIONE                1"/>
    <s v=""/>
    <s v=" "/>
    <s v=""/>
    <s v=""/>
    <n v="2996"/>
    <s v="00"/>
    <n v="100"/>
    <s v="FULL TIME      100000000FF100-FULL TIME"/>
    <s v="01/06/2020"/>
    <s v=""/>
    <s v="  "/>
    <s v=""/>
    <s v="EV  "/>
    <s v="    "/>
    <x v="0"/>
    <s v=""/>
    <s v="stefano.montanaro@ilsole24ore.com                 "/>
    <s v="F"/>
    <s v="F-FIRMA"/>
    <s v="1 "/>
    <s v="1=5 X 8"/>
    <s v="01/07/2025"/>
    <s v="TEMPO DETERMINATO"/>
    <s v="31/05/2027"/>
    <s v="0015002865                    "/>
    <s v="FANTUZZI MARILISA"/>
    <n v="38"/>
    <s v="I  "/>
  </r>
  <r>
    <x v="0"/>
    <n v="1672"/>
    <x v="0"/>
    <s v="G           "/>
    <s v="DG I&amp;T - DIR INFORMATION TECHNOLOGY"/>
    <x v="24"/>
    <x v="23"/>
    <s v="415110      "/>
    <s v="415110   SISTEMI INFORMATICI GESTIONALI"/>
    <s v="PESANDO                         "/>
    <s v="MAURIZIO          "/>
    <s v="PSNMRZ68M24M109P"/>
    <x v="1"/>
    <s v="34"/>
    <x v="0"/>
    <s v="01/04/2021"/>
    <s v="MILANO                 "/>
    <x v="0"/>
    <x v="0"/>
    <s v="I"/>
    <x v="0"/>
    <s v="A  "/>
    <x v="0"/>
    <s v="02/11/2000"/>
    <s v="02/11/2000"/>
    <s v="24/08/1968"/>
    <s v="A"/>
    <s v="A.IN FORZA"/>
    <s v="1  -ASSUNZIONE                1"/>
    <s v=""/>
    <s v=" "/>
    <s v=""/>
    <s v=""/>
    <n v="1332"/>
    <s v="00"/>
    <n v="100"/>
    <s v="FULL TIME      100000000FF100-FULL TIME"/>
    <s v="02/11/2000"/>
    <s v=""/>
    <s v="  "/>
    <s v=""/>
    <s v="EV  "/>
    <s v="    "/>
    <x v="0"/>
    <s v="C.I.S.L.           C.I.S.L"/>
    <s v="maurizio.pesando@ilsole24ore.com                  "/>
    <s v="F"/>
    <s v="F-FIRMA"/>
    <s v="1 "/>
    <s v="1=5 X 8"/>
    <s v="01/07/2025"/>
    <s v="TEMPO DETERMINATO"/>
    <s v="31/05/2027"/>
    <s v="0015002865                    "/>
    <s v="FANTUZZI MARILISA"/>
    <n v="57"/>
    <s v="I  "/>
  </r>
  <r>
    <x v="0"/>
    <n v="1848"/>
    <x v="0"/>
    <s v="G           "/>
    <s v="DG I&amp;T - DIR INFORMATION TECHNOLOGY"/>
    <x v="24"/>
    <x v="23"/>
    <s v="415110      "/>
    <s v="415110   SISTEMI INFORMATICI GESTIONALI"/>
    <s v="RESTELLI                        "/>
    <s v="ROBERTO           "/>
    <s v="RSTRRT69C06E648O"/>
    <x v="1"/>
    <s v="34"/>
    <x v="0"/>
    <s v="01/04/2021"/>
    <s v="MILANO                 "/>
    <x v="0"/>
    <x v="0"/>
    <s v="F"/>
    <x v="2"/>
    <s v="Q  "/>
    <x v="8"/>
    <s v="01/02/2001"/>
    <s v="18/08/2000"/>
    <s v="06/03/1969"/>
    <s v="A"/>
    <s v="A.IN FORZA"/>
    <s v="2  -VARIAZIONE SOCIETARIA     2"/>
    <s v=""/>
    <s v=" "/>
    <s v=""/>
    <s v=""/>
    <n v="1468"/>
    <s v="00"/>
    <n v="100"/>
    <s v="FULL TIME      100000000FF100-FULL TIME"/>
    <s v="01/02/2001"/>
    <s v=""/>
    <s v="  "/>
    <s v=""/>
    <s v="EV  "/>
    <s v="    "/>
    <x v="0"/>
    <s v=""/>
    <s v="roberto.restelli@ilsole24ore.com                  "/>
    <s v="F"/>
    <s v="F-FIRMA"/>
    <s v="1 "/>
    <s v="1=5 X 8"/>
    <s v="01/06/2023"/>
    <s v="TEMPO DETERMINATO"/>
    <s v="31/12/2026"/>
    <s v="0015002865                    "/>
    <s v="FANTUZZI MARILISA"/>
    <n v="56"/>
    <s v="I  "/>
  </r>
  <r>
    <x v="0"/>
    <n v="659"/>
    <x v="0"/>
    <s v="G           "/>
    <s v="DG I&amp;T - DIR INFORMATION TECHNOLOGY"/>
    <x v="24"/>
    <x v="23"/>
    <s v="415110      "/>
    <s v="415110   SISTEMI INFORMATICI GESTIONALI"/>
    <s v="STOCCO                          "/>
    <s v="FILOMENA MARA     "/>
    <s v="STCFMN69S56A940Y"/>
    <x v="0"/>
    <s v="34"/>
    <x v="0"/>
    <s v="01/04/2021"/>
    <s v="MILANO                 "/>
    <x v="0"/>
    <x v="0"/>
    <s v="I"/>
    <x v="0"/>
    <s v="AS "/>
    <x v="7"/>
    <s v="01/02/1993"/>
    <s v="01/02/1993"/>
    <s v="16/11/1969"/>
    <s v="A"/>
    <s v="A.IN FORZA"/>
    <s v="1  -ASSUNZIONE                1"/>
    <s v=""/>
    <s v=" "/>
    <s v=""/>
    <s v=""/>
    <n v="482"/>
    <s v="00"/>
    <n v="100"/>
    <s v="FULL TIME      100000000FF100-FULL TIME"/>
    <s v="01/02/1993"/>
    <s v=""/>
    <s v="  "/>
    <s v=""/>
    <s v="EV  "/>
    <s v="    "/>
    <x v="0"/>
    <s v=""/>
    <s v="mara.stocco@ilsole24ore.com                       "/>
    <s v="F"/>
    <s v="F-FIRMA"/>
    <s v="1 "/>
    <s v="1=5 X 8"/>
    <s v="01/10/2025"/>
    <s v="TEMPO DETERMINATO"/>
    <s v="31/05/2027"/>
    <s v="0015002865                    "/>
    <s v="FANTUZZI MARILISA"/>
    <n v="56"/>
    <s v="I  "/>
  </r>
  <r>
    <x v="0"/>
    <n v="1822"/>
    <x v="0"/>
    <s v="G           "/>
    <s v="DG I&amp;T - DIR INFORMATION TECHNOLOGY"/>
    <x v="25"/>
    <x v="24"/>
    <s v="415120      "/>
    <s v="415120   INFRASTRUTTURE E  IT NETWORKING"/>
    <s v="BENAGLIA                        "/>
    <s v="LORENZO           "/>
    <s v="BNGLNZ71H12M052S"/>
    <x v="1"/>
    <s v="34"/>
    <x v="0"/>
    <s v="01/04/2021"/>
    <s v="MILANO                 "/>
    <x v="0"/>
    <x v="0"/>
    <s v="I"/>
    <x v="0"/>
    <s v="AS "/>
    <x v="7"/>
    <s v="01/02/2001"/>
    <s v="01/06/2000"/>
    <s v="12/06/1971"/>
    <s v="A"/>
    <s v="A.IN FORZA"/>
    <s v="2  -VARIAZIONE SOCIETARIA     2"/>
    <s v=""/>
    <s v=" "/>
    <s v=""/>
    <s v=""/>
    <n v="1442"/>
    <s v="00"/>
    <n v="100"/>
    <s v="FULL TIME      100000000FF100-FULL TIME"/>
    <s v="01/02/2001"/>
    <s v=""/>
    <s v="  "/>
    <s v=""/>
    <s v="EV  "/>
    <s v="    "/>
    <x v="0"/>
    <s v="C.I.S.L.           C.I.S.L"/>
    <s v="Lorenzo.Benaglia@ilsole24ore.com                  "/>
    <s v="F"/>
    <s v="F-FIRMA"/>
    <s v="1 "/>
    <s v="1=5 X 8"/>
    <s v="01/07/2025"/>
    <s v="TEMPO DETERMINATO"/>
    <s v="31/05/2027"/>
    <s v="0015003005                    "/>
    <s v="MARCHETTI SUSANNA"/>
    <n v="54"/>
    <s v="I  "/>
  </r>
  <r>
    <x v="0"/>
    <n v="3056"/>
    <x v="0"/>
    <s v="G           "/>
    <s v="DG I&amp;T - DIR INFORMATION TECHNOLOGY"/>
    <x v="25"/>
    <x v="24"/>
    <s v="415120      "/>
    <s v="415120   INFRASTRUTTURE E  IT NETWORKING"/>
    <s v="BERATTO                         "/>
    <s v="DARIO             "/>
    <s v="BRTDRA86S17F205Q"/>
    <x v="1"/>
    <s v="34"/>
    <x v="0"/>
    <s v="05/09/2022"/>
    <s v="MILANO                 "/>
    <x v="0"/>
    <x v="0"/>
    <s v="I"/>
    <x v="0"/>
    <s v="A  "/>
    <x v="0"/>
    <s v="05/09/2022"/>
    <s v="05/09/2022"/>
    <s v="17/11/1986"/>
    <s v="A"/>
    <s v="A.IN FORZA"/>
    <s v="1  -ASSUNZIONE                1"/>
    <s v=""/>
    <s v=" "/>
    <s v=""/>
    <s v=""/>
    <n v="3056"/>
    <s v="00"/>
    <n v="100"/>
    <s v="FULL TIME      100000000FF100-FULL TIME"/>
    <s v="05/09/2022"/>
    <s v=""/>
    <s v="  "/>
    <s v=""/>
    <s v="EN  "/>
    <s v="    "/>
    <x v="0"/>
    <s v=""/>
    <s v="dario.beratto@ilsole24ore.com                     "/>
    <s v="F"/>
    <s v="F-FIRMA"/>
    <s v="1 "/>
    <s v="1=5 X 8"/>
    <s v="01/07/2025"/>
    <s v="TEMPO DETERMINATO"/>
    <s v="31/05/2027"/>
    <s v="0015002775                    "/>
    <s v="FAVINI MAYLA"/>
    <n v="39"/>
    <s v="I  "/>
  </r>
  <r>
    <x v="0"/>
    <n v="1310"/>
    <x v="0"/>
    <s v="G           "/>
    <s v="DG I&amp;T - DIR INFORMATION TECHNOLOGY"/>
    <x v="25"/>
    <x v="24"/>
    <s v="415120      "/>
    <s v="415120   INFRASTRUTTURE E  IT NETWORKING"/>
    <s v="BONA                            "/>
    <s v="MATTEO            "/>
    <s v="BNOMTT72E24F205B"/>
    <x v="1"/>
    <s v="34"/>
    <x v="0"/>
    <s v="01/04/2021"/>
    <s v="MILANO                 "/>
    <x v="0"/>
    <x v="0"/>
    <s v="I"/>
    <x v="0"/>
    <s v="AS "/>
    <x v="7"/>
    <s v="15/10/1999"/>
    <s v="15/10/1999"/>
    <s v="24/05/1972"/>
    <s v="A"/>
    <s v="A.IN FORZA"/>
    <s v="1  -ASSUNZIONE                1"/>
    <s v=""/>
    <s v=" "/>
    <s v=""/>
    <s v=""/>
    <n v="1037"/>
    <s v="00"/>
    <n v="100"/>
    <s v="FULL TIME      100000000FF100-FULL TIME"/>
    <s v="15/10/1999"/>
    <s v=""/>
    <s v="  "/>
    <s v=""/>
    <s v="EV  "/>
    <s v="    "/>
    <x v="0"/>
    <s v=""/>
    <s v="matteo.bona@ilsole24ore.com                       "/>
    <s v="F"/>
    <s v="F-FIRMA"/>
    <s v="1 "/>
    <s v="1=5 X 8"/>
    <s v="01/07/2025"/>
    <s v="TEMPO DETERMINATO"/>
    <s v="31/05/2027"/>
    <s v="0015002775                    "/>
    <s v="FAVINI MAYLA"/>
    <n v="53"/>
    <s v="I  "/>
  </r>
  <r>
    <x v="0"/>
    <n v="2429"/>
    <x v="0"/>
    <s v="G           "/>
    <s v="DG I&amp;T - DIR INFORMATION TECHNOLOGY"/>
    <x v="25"/>
    <x v="24"/>
    <s v="415120      "/>
    <s v="415120   INFRASTRUTTURE E  IT NETWORKING"/>
    <s v="BOSSI                           "/>
    <s v="MASSIMO           "/>
    <s v="BSSMSM68H01F205Z"/>
    <x v="1"/>
    <s v="34"/>
    <x v="0"/>
    <s v="01/04/2021"/>
    <s v="MILANO                 "/>
    <x v="0"/>
    <x v="0"/>
    <s v="I"/>
    <x v="0"/>
    <s v="A  "/>
    <x v="0"/>
    <s v="01/09/1998"/>
    <s v="01/09/1998"/>
    <s v="01/06/1968"/>
    <s v="A"/>
    <s v="A.IN FORZA"/>
    <s v="1  -ASSUNZIONE                1"/>
    <s v=""/>
    <s v=" "/>
    <s v=""/>
    <s v=""/>
    <n v="2429"/>
    <s v="00"/>
    <n v="100"/>
    <s v="FULL TIME      100000000FF100-FULL TIME"/>
    <s v="01/09/1998"/>
    <s v=""/>
    <s v="  "/>
    <s v=""/>
    <s v="EV  "/>
    <s v="    "/>
    <x v="0"/>
    <s v="C.G.I.L.           C.G.I.L"/>
    <s v="massimo.bossi@ilsole24ore.com                     "/>
    <s v="F"/>
    <s v="F-FIRMA"/>
    <s v="1 "/>
    <s v="1=5 X 8"/>
    <s v="01/07/2025"/>
    <s v="TEMPO DETERMINATO"/>
    <s v="31/05/2027"/>
    <s v="0015003056                    "/>
    <s v="BERATTO DARIO"/>
    <n v="57"/>
    <s v="I  "/>
  </r>
  <r>
    <x v="0"/>
    <n v="1595"/>
    <x v="0"/>
    <s v="G           "/>
    <s v="DG I&amp;T - DIR INFORMATION TECHNOLOGY"/>
    <x v="25"/>
    <x v="24"/>
    <s v="415120      "/>
    <s v="415120   INFRASTRUTTURE E  IT NETWORKING"/>
    <s v="ESPOSITO                        "/>
    <s v="SAVERIO ANTONIO   "/>
    <s v="SPSSRN66C26F205O"/>
    <x v="1"/>
    <s v="34"/>
    <x v="0"/>
    <s v="01/04/2021"/>
    <s v="MILANO                 "/>
    <x v="0"/>
    <x v="0"/>
    <s v="I"/>
    <x v="0"/>
    <s v="AS "/>
    <x v="7"/>
    <s v="14/07/2000"/>
    <s v="14/07/2000"/>
    <s v="26/03/1966"/>
    <s v="A"/>
    <s v="A.IN FORZA"/>
    <s v="1  -ASSUNZIONE                1"/>
    <s v=""/>
    <s v=" "/>
    <s v=""/>
    <s v=""/>
    <n v="1264"/>
    <s v="00"/>
    <n v="100"/>
    <s v="FULL TIME      100000000FF100-FULL TIME"/>
    <s v="14/07/2000"/>
    <s v=""/>
    <s v="  "/>
    <s v=""/>
    <s v="EV  "/>
    <s v="    "/>
    <x v="0"/>
    <s v=""/>
    <s v="saverio.esposito@ilsole24ore.com                  "/>
    <s v="F"/>
    <s v="F-FIRMA"/>
    <s v="1 "/>
    <s v="1=5 X 8"/>
    <s v="01/07/2025"/>
    <s v="TEMPO DETERMINATO"/>
    <s v="31/05/2027"/>
    <s v="0015003123                    "/>
    <s v="BOROMEI PAOLA"/>
    <n v="59"/>
    <s v="I  "/>
  </r>
  <r>
    <x v="0"/>
    <n v="3005"/>
    <x v="0"/>
    <s v="G           "/>
    <s v="DG I&amp;T - DIR INFORMATION TECHNOLOGY"/>
    <x v="25"/>
    <x v="24"/>
    <s v="415120      "/>
    <s v="415120   INFRASTRUTTURE E  IT NETWORKING"/>
    <s v="MARCHETTI                       "/>
    <s v="SUSANNA           "/>
    <s v="MRCSNN79L68F952A"/>
    <x v="0"/>
    <s v="34"/>
    <x v="0"/>
    <s v="01/04/2021"/>
    <s v="MILANO                 "/>
    <x v="0"/>
    <x v="0"/>
    <s v="I"/>
    <x v="0"/>
    <s v="AS "/>
    <x v="7"/>
    <s v="01/10/2020"/>
    <s v="01/10/2020"/>
    <s v="28/07/1979"/>
    <s v="A"/>
    <s v="A.IN FORZA"/>
    <s v="1  -ASSUNZIONE                1"/>
    <s v=""/>
    <s v=" "/>
    <s v=""/>
    <s v=""/>
    <n v="3005"/>
    <s v="00"/>
    <n v="100"/>
    <s v="FULL TIME      100000000FF100-FULL TIME"/>
    <s v="01/10/2020"/>
    <s v=""/>
    <s v="  "/>
    <s v=""/>
    <s v="EV  "/>
    <s v="    "/>
    <x v="0"/>
    <s v=""/>
    <s v="susanna.marchetti@ilsole24ore.com                 "/>
    <s v="F"/>
    <s v="F-FIRMA"/>
    <s v="1 "/>
    <s v="1=5 X 8"/>
    <s v="01/07/2025"/>
    <s v="TEMPO DETERMINATO"/>
    <s v="31/05/2027"/>
    <s v="0015002775                    "/>
    <s v="FAVINI MAYLA"/>
    <n v="46"/>
    <s v="I  "/>
  </r>
  <r>
    <x v="0"/>
    <n v="3082"/>
    <x v="0"/>
    <s v="G           "/>
    <s v="DG I&amp;T - DIR INFORMATION TECHNOLOGY"/>
    <x v="25"/>
    <x v="24"/>
    <s v="415120      "/>
    <s v="415120   INFRASTRUTTURE E  IT NETWORKING"/>
    <s v="PORTERA                         "/>
    <s v="THOMAS            "/>
    <s v="PRTTMS02L20D912Z"/>
    <x v="1"/>
    <s v="34"/>
    <x v="0"/>
    <s v="12/06/2023"/>
    <s v="MILANO                 "/>
    <x v="0"/>
    <x v="0"/>
    <s v="I"/>
    <x v="0"/>
    <s v="B1 "/>
    <x v="10"/>
    <s v="12/06/2023"/>
    <s v="12/06/2023"/>
    <s v="20/07/2002"/>
    <s v="A"/>
    <s v="A.IN FORZA"/>
    <s v="1  -ASSUNZIONE                1"/>
    <s v=""/>
    <s v=" "/>
    <s v=""/>
    <s v=""/>
    <n v="3082"/>
    <s v="00"/>
    <n v="100"/>
    <s v="FULL TIME      100000000FF100-FULL TIME"/>
    <s v="12/06/2023"/>
    <s v=""/>
    <s v="  "/>
    <s v=""/>
    <s v="EN  "/>
    <s v="    "/>
    <x v="0"/>
    <s v=""/>
    <s v="thomas.portera@ilsole24ore.com                    "/>
    <s v="F"/>
    <s v="F-FIRMA"/>
    <s v="1 "/>
    <s v="1=5 X 8"/>
    <s v="01/07/2025"/>
    <s v="TEMPO DETERMINATO"/>
    <s v="31/05/2027"/>
    <s v="0015001310                    "/>
    <s v="BONA MATTEO"/>
    <n v="23"/>
    <s v="I  "/>
  </r>
  <r>
    <x v="0"/>
    <n v="1626"/>
    <x v="0"/>
    <s v="G           "/>
    <s v="DG I&amp;T - DIR INFORMATION TECHNOLOGY"/>
    <x v="25"/>
    <x v="24"/>
    <s v="415120      "/>
    <s v="415120   INFRASTRUTTURE E  IT NETWORKING"/>
    <s v="SANTONI                         "/>
    <s v="FABRIZIO          "/>
    <s v="SNTFRZ67D11H501X"/>
    <x v="1"/>
    <s v="31"/>
    <x v="1"/>
    <s v="01/03/2010"/>
    <s v="ROMA                   "/>
    <x v="0"/>
    <x v="0"/>
    <s v="I"/>
    <x v="0"/>
    <s v="A  "/>
    <x v="0"/>
    <s v="02/10/2000"/>
    <s v="02/10/2000"/>
    <s v="11/04/1967"/>
    <s v="A"/>
    <s v="A.IN FORZA"/>
    <s v="1  -ASSUNZIONE                1"/>
    <s v=""/>
    <s v=" "/>
    <s v=""/>
    <s v=""/>
    <n v="1289"/>
    <s v="00"/>
    <n v="100"/>
    <s v="FULL TIME      100000000FF100-FULL TIME"/>
    <s v="02/10/2000"/>
    <s v=""/>
    <s v="  "/>
    <s v=""/>
    <s v="EV  "/>
    <s v="    "/>
    <x v="0"/>
    <s v=""/>
    <s v="fabrizio.santoni@ilsole24ore.com                  "/>
    <s v="F"/>
    <s v="F-FIRMA"/>
    <s v="1 "/>
    <s v="1=5 X 8"/>
    <s v="01/07/2025"/>
    <s v="TEMPO DETERMINATO"/>
    <s v="31/05/2027"/>
    <s v="0015003056                    "/>
    <s v="BERATTO DARIO"/>
    <n v="58"/>
    <s v="I  "/>
  </r>
  <r>
    <x v="0"/>
    <n v="952"/>
    <x v="0"/>
    <s v="G           "/>
    <s v="DG I&amp;T - DIR INFORMATION TECHNOLOGY"/>
    <x v="25"/>
    <x v="24"/>
    <s v="511100      "/>
    <s v="511100   SISTEMI EDITORIALI"/>
    <s v="DI CAGNO                        "/>
    <s v="ALESSANDRO        "/>
    <s v="DCGLSN68A02L219X"/>
    <x v="1"/>
    <s v="34"/>
    <x v="0"/>
    <s v="04/04/2022"/>
    <s v="MILANO                 "/>
    <x v="0"/>
    <x v="0"/>
    <s v="I"/>
    <x v="0"/>
    <s v="AS "/>
    <x v="7"/>
    <s v="04/11/1996"/>
    <s v="04/11/1996"/>
    <s v="02/01/1968"/>
    <s v="A"/>
    <s v="A.IN FORZA"/>
    <s v="1  -ASSUNZIONE                1"/>
    <s v=""/>
    <s v=" "/>
    <s v=""/>
    <s v=""/>
    <n v="731"/>
    <s v="00"/>
    <n v="100"/>
    <s v="FULL TIME      100000000FF100-FULL TIME"/>
    <s v="04/11/1996"/>
    <s v=""/>
    <s v="  "/>
    <s v=""/>
    <s v="EP  "/>
    <s v="    "/>
    <x v="0"/>
    <s v="C.G.I.L.           C.G.I.L"/>
    <s v="alessandro.dicagno@ilsole24ore.com                "/>
    <s v="F"/>
    <s v="F-FIRMA"/>
    <s v="1 "/>
    <s v="1=5 X 8"/>
    <s v="01/07/2025"/>
    <s v="TEMPO DETERMINATO"/>
    <s v="31/05/2027"/>
    <s v="0015000884                    "/>
    <s v="FUMAGALLI ROBERTO"/>
    <n v="58"/>
    <s v="I  "/>
  </r>
  <r>
    <x v="0"/>
    <n v="2775"/>
    <x v="0"/>
    <s v="G           "/>
    <s v="DG I&amp;T - DIR INFORMATION TECHNOLOGY"/>
    <x v="25"/>
    <x v="24"/>
    <s v="511100      "/>
    <s v="511100   SISTEMI EDITORIALI"/>
    <s v="FAVINI                          "/>
    <s v="MAYLA             "/>
    <s v="FVNMYL82C62F205F"/>
    <x v="0"/>
    <s v="34"/>
    <x v="0"/>
    <s v="01/04/2021"/>
    <s v="MILANO                 "/>
    <x v="0"/>
    <x v="0"/>
    <s v="F"/>
    <x v="2"/>
    <s v="Q  "/>
    <x v="8"/>
    <s v="01/01/2014"/>
    <s v="02/01/2013"/>
    <s v="22/03/1982"/>
    <s v="A"/>
    <s v="A.IN FORZA"/>
    <s v="2  -VARIAZIONE SOCIETARIA     2"/>
    <s v=""/>
    <s v=" "/>
    <s v=""/>
    <s v=""/>
    <n v="2775"/>
    <s v="00"/>
    <n v="100"/>
    <s v="FULL TIME      100000000FF100-FULL TIME"/>
    <s v="02/01/2013"/>
    <s v=""/>
    <s v="  "/>
    <s v=""/>
    <s v="EV  "/>
    <s v="    "/>
    <x v="0"/>
    <s v=""/>
    <s v="mayla.favini@ilsole24ore.com                      "/>
    <s v="F"/>
    <s v="F-FIRMA"/>
    <s v="1 "/>
    <s v="1=5 X 8"/>
    <s v="01/07/2025"/>
    <s v="TEMPO DETERMINATO"/>
    <s v="31/05/2027"/>
    <s v="0015003123                    "/>
    <s v="BOROMEI PAOLA"/>
    <n v="43"/>
    <s v="I  "/>
  </r>
  <r>
    <x v="0"/>
    <n v="884"/>
    <x v="0"/>
    <s v="G           "/>
    <s v="DG I&amp;T - DIR INFORMATION TECHNOLOGY"/>
    <x v="25"/>
    <x v="24"/>
    <s v="511100      "/>
    <s v="511100   SISTEMI EDITORIALI"/>
    <s v="FUMAGALLI                       "/>
    <s v="ROBERTO           "/>
    <s v="FMGRRT64C04F205K"/>
    <x v="1"/>
    <s v="34"/>
    <x v="0"/>
    <s v="01/04/2021"/>
    <s v="MILANO                 "/>
    <x v="3"/>
    <x v="3"/>
    <s v="I"/>
    <x v="0"/>
    <s v="09 "/>
    <x v="14"/>
    <s v="01/04/1996"/>
    <s v="01/04/1996"/>
    <s v="04/03/1964"/>
    <s v="A"/>
    <s v="A.IN FORZA"/>
    <s v="1  -ASSUNZIONE                1"/>
    <s v=""/>
    <s v=" "/>
    <s v=""/>
    <s v=""/>
    <n v="677"/>
    <s v="00"/>
    <n v="100"/>
    <s v="FULL TIME      100000000FF100-FULL TIME"/>
    <s v="01/04/1996"/>
    <s v=""/>
    <s v="  "/>
    <s v=""/>
    <s v="PSO "/>
    <s v="    "/>
    <x v="0"/>
    <s v="U.I.L.             U.I.L"/>
    <s v="roberto.fumagalli@ilsole24ore.com                 "/>
    <s v="F"/>
    <s v="F-FIRMA"/>
    <s v="3 "/>
    <s v="3=5 X 7"/>
    <s v="01/07/2025"/>
    <s v="TEMPO DETERMINATO"/>
    <s v="31/05/2027"/>
    <s v="0015002775                    "/>
    <s v="FAVINI MAYLA"/>
    <n v="61"/>
    <s v="I  "/>
  </r>
  <r>
    <x v="0"/>
    <n v="1839"/>
    <x v="0"/>
    <s v="G           "/>
    <s v="DG I&amp;T - DIR INFORMATION TECHNOLOGY"/>
    <x v="25"/>
    <x v="24"/>
    <s v="511100      "/>
    <s v="511100   SISTEMI EDITORIALI"/>
    <s v="MASTROGIOVANNI                  "/>
    <s v="GIOVANNI          "/>
    <s v="MSTGNN65M24H703N"/>
    <x v="1"/>
    <s v="31"/>
    <x v="1"/>
    <s v="01/04/2025"/>
    <s v="ROMA                   "/>
    <x v="0"/>
    <x v="0"/>
    <s v="F"/>
    <x v="2"/>
    <s v="Q  "/>
    <x v="8"/>
    <s v="01/02/2001"/>
    <s v="02/10/2000"/>
    <s v="24/08/1965"/>
    <s v="A"/>
    <s v="A.IN FORZA"/>
    <s v="2  -VARIAZIONE SOCIETARIA     2"/>
    <s v=""/>
    <s v=" "/>
    <s v=""/>
    <s v=""/>
    <n v="1459"/>
    <s v="00"/>
    <n v="100"/>
    <s v="FULL TIME      100000000FF100-FULL TIME"/>
    <s v="01/02/2001"/>
    <s v=""/>
    <s v="  "/>
    <s v=""/>
    <s v="EV  "/>
    <s v="    "/>
    <x v="0"/>
    <s v=""/>
    <s v="giovanni.mastrogiovanni@ilsole24ore.com           "/>
    <s v="F"/>
    <s v="F-FIRMA"/>
    <s v="1 "/>
    <s v="1=5 X 8"/>
    <s v="01/07/2025"/>
    <s v="TEMPO DETERMINATO"/>
    <s v="31/05/2027"/>
    <s v="0015002775                    "/>
    <s v="FAVINI MAYLA"/>
    <n v="60"/>
    <s v="I  "/>
  </r>
  <r>
    <x v="0"/>
    <n v="2367"/>
    <x v="0"/>
    <s v="G           "/>
    <s v="DG I&amp;T - DIR INFORMATION TECHNOLOGY"/>
    <x v="25"/>
    <x v="24"/>
    <s v="511100      "/>
    <s v="511100   SISTEMI EDITORIALI"/>
    <s v="NARDELLO                        "/>
    <s v="FELICE            "/>
    <s v="NRDFLC75S22F205P"/>
    <x v="1"/>
    <s v="34"/>
    <x v="0"/>
    <s v="01/04/2021"/>
    <s v="MILANO                 "/>
    <x v="3"/>
    <x v="3"/>
    <s v="I"/>
    <x v="0"/>
    <s v="09 "/>
    <x v="14"/>
    <s v="18/05/2009"/>
    <s v="18/05/2009"/>
    <s v="22/11/1975"/>
    <s v="A"/>
    <s v="A.IN FORZA"/>
    <s v="1  -ASSUNZIONE                1"/>
    <s v=""/>
    <s v=" "/>
    <s v=""/>
    <s v=""/>
    <n v="1763"/>
    <s v="00"/>
    <n v="100"/>
    <s v="FULL TIME      100000000FF100-FULL TIME"/>
    <s v="18/05/2009"/>
    <s v=""/>
    <s v="  "/>
    <s v=""/>
    <s v="PSO "/>
    <s v="    "/>
    <x v="0"/>
    <s v="U.I.L.             U.I.L"/>
    <s v="felice.nardello@ilsole24ore.com                   "/>
    <s v="F"/>
    <s v="F-FIRMA"/>
    <s v="3 "/>
    <s v="3=5 X 7"/>
    <s v="01/07/2025"/>
    <s v="TEMPO DETERMINATO"/>
    <s v="31/05/2027"/>
    <s v="0015000884                    "/>
    <s v="FUMAGALLI ROBERTO"/>
    <n v="50"/>
    <s v="I  "/>
  </r>
  <r>
    <x v="0"/>
    <n v="1638"/>
    <x v="0"/>
    <s v="G           "/>
    <s v="DG I&amp;T - DIR INFORMATION TECHNOLOGY"/>
    <x v="25"/>
    <x v="24"/>
    <s v="511100      "/>
    <s v="511100   SISTEMI EDITORIALI"/>
    <s v="RONCORONI                       "/>
    <s v="CARLO             "/>
    <s v="RNCCRL71S15E951R"/>
    <x v="1"/>
    <s v="34"/>
    <x v="0"/>
    <s v="01/04/2021"/>
    <s v="MILANO                 "/>
    <x v="3"/>
    <x v="3"/>
    <s v="I"/>
    <x v="0"/>
    <s v="09 "/>
    <x v="14"/>
    <s v="01/11/2000"/>
    <s v="01/11/2000"/>
    <s v="15/11/1971"/>
    <s v="A"/>
    <s v="A.IN FORZA"/>
    <s v="1  -ASSUNZIONE                1"/>
    <s v=""/>
    <s v=" "/>
    <s v=""/>
    <s v=""/>
    <n v="1299"/>
    <s v="00"/>
    <n v="100"/>
    <s v="FULL TIME      100000000FF100-FULL TIME"/>
    <s v="01/11/2000"/>
    <s v=""/>
    <s v="  "/>
    <s v=""/>
    <s v="PSO "/>
    <s v="    "/>
    <x v="0"/>
    <s v="U.I.L.             U.I.L"/>
    <s v="carlo.roncoroni@ilsole24ore.com                   "/>
    <s v="T"/>
    <s v="T-TIMBRA"/>
    <s v="3 "/>
    <s v="3=5 X 7"/>
    <s v="01/07/2025"/>
    <s v="TEMPO DETERMINATO"/>
    <s v="31/05/2027"/>
    <s v="0015000884                    "/>
    <s v="FUMAGALLI ROBERTO"/>
    <n v="54"/>
    <s v="I  "/>
  </r>
  <r>
    <x v="0"/>
    <n v="3057"/>
    <x v="0"/>
    <s v="G           "/>
    <s v="DG I&amp;T - DIR INFORMATION TECHNOLOGY"/>
    <x v="25"/>
    <x v="24"/>
    <s v="511100      "/>
    <s v="511100   SISTEMI EDITORIALI"/>
    <s v="VERROCA                         "/>
    <s v="MARIANO           "/>
    <s v="VRRMRN88M31L328Z"/>
    <x v="1"/>
    <s v="34"/>
    <x v="0"/>
    <s v="05/09/2022"/>
    <s v="MILANO                 "/>
    <x v="0"/>
    <x v="0"/>
    <s v="I"/>
    <x v="0"/>
    <s v="A  "/>
    <x v="0"/>
    <s v="05/09/2022"/>
    <s v="05/09/2022"/>
    <s v="31/08/1988"/>
    <s v="A"/>
    <s v="A.IN FORZA"/>
    <s v="1  -ASSUNZIONE                1"/>
    <s v=""/>
    <s v=" "/>
    <s v=""/>
    <s v=""/>
    <n v="3057"/>
    <s v="00"/>
    <n v="100"/>
    <s v="FULL TIME      100000000FF100-FULL TIME"/>
    <s v="05/09/2022"/>
    <s v=""/>
    <s v="  "/>
    <s v=""/>
    <s v="EN  "/>
    <s v="    "/>
    <x v="0"/>
    <s v=""/>
    <s v="mariano.verroca@ilsole24ore.com                   "/>
    <s v="F"/>
    <s v="F-FIRMA"/>
    <s v="1 "/>
    <s v="1=5 X 8"/>
    <s v="01/07/2025"/>
    <s v="TEMPO DETERMINATO"/>
    <s v="31/05/2027"/>
    <s v="0015000884                    "/>
    <s v="FUMAGALLI ROBERTO"/>
    <n v="37"/>
    <s v="I  "/>
  </r>
  <r>
    <x v="0"/>
    <n v="3017"/>
    <x v="0"/>
    <s v="G           "/>
    <s v="DG I&amp;T - DIR INFORMATION TECHNOLOGY"/>
    <x v="26"/>
    <x v="25"/>
    <s v="415200      "/>
    <s v="415200   E-COMMERCE &amp; DIGITAL TRANSFORMA"/>
    <s v="CALLARI                         "/>
    <s v="ANGELO            "/>
    <s v="CLLNGL93A20I754W"/>
    <x v="1"/>
    <s v="34"/>
    <x v="0"/>
    <s v="24/06/2021"/>
    <s v="MILANO                 "/>
    <x v="0"/>
    <x v="0"/>
    <s v="I"/>
    <x v="0"/>
    <s v="A  "/>
    <x v="0"/>
    <s v="24/06/2021"/>
    <s v="24/06/2021"/>
    <s v="20/01/1993"/>
    <s v="A"/>
    <s v="A.IN FORZA"/>
    <s v="1  -ASSUNZIONE                1"/>
    <s v=""/>
    <s v=" "/>
    <s v=""/>
    <s v=""/>
    <n v="3017"/>
    <s v="00"/>
    <n v="100"/>
    <s v="FULL TIME      100000000FF100-FULL TIME"/>
    <s v="24/06/2021"/>
    <s v=""/>
    <s v="  "/>
    <s v=""/>
    <s v="EN  "/>
    <s v="    "/>
    <x v="0"/>
    <s v=""/>
    <s v="angelo.callari@ilsole24ore.com                    "/>
    <s v="F"/>
    <s v="F-FIRMA"/>
    <s v="1 "/>
    <s v="1=5 X 8"/>
    <s v="01/07/2025"/>
    <s v="TEMPO DETERMINATO"/>
    <s v="31/05/2027"/>
    <s v="0015000897                    "/>
    <s v="CANTATORE GIANFRANCO"/>
    <n v="33"/>
    <s v="I  "/>
  </r>
  <r>
    <x v="0"/>
    <n v="897"/>
    <x v="0"/>
    <s v="G           "/>
    <s v="DG I&amp;T - DIR INFORMATION TECHNOLOGY"/>
    <x v="26"/>
    <x v="25"/>
    <s v="415200      "/>
    <s v="415200   E-COMMERCE &amp; DIGITAL TRANSFORMA"/>
    <s v="CANTATORE                       "/>
    <s v="GIANFRANCO        "/>
    <s v="CNTGFR69R02F704G"/>
    <x v="1"/>
    <s v="34"/>
    <x v="0"/>
    <s v="01/04/2021"/>
    <s v="MILANO                 "/>
    <x v="0"/>
    <x v="0"/>
    <s v="F"/>
    <x v="2"/>
    <s v="Q  "/>
    <x v="8"/>
    <s v="13/05/1996"/>
    <s v="13/05/1996"/>
    <s v="02/10/1969"/>
    <s v="A"/>
    <s v="A.IN FORZA"/>
    <s v="1  -ASSUNZIONE                1"/>
    <s v=""/>
    <s v=" "/>
    <s v=""/>
    <s v=""/>
    <n v="687"/>
    <s v="00"/>
    <n v="100"/>
    <s v="FULL TIME      100000000FF100-FULL TIME"/>
    <s v="13/05/1996"/>
    <s v=""/>
    <s v="  "/>
    <s v=""/>
    <s v="EV  "/>
    <s v="    "/>
    <x v="0"/>
    <s v=""/>
    <s v="Gianfranco.Cantatore@ilsole24ore.com              "/>
    <s v="F"/>
    <s v="F-FIRMA"/>
    <s v="1 "/>
    <s v="1=5 X 8"/>
    <s v="01/07/2025"/>
    <s v="TEMPO DETERMINATO"/>
    <s v="31/05/2027"/>
    <s v="0015003123                    "/>
    <s v="BOROMEI PAOLA"/>
    <n v="56"/>
    <s v="I  "/>
  </r>
  <r>
    <x v="0"/>
    <n v="3134"/>
    <x v="0"/>
    <s v="G           "/>
    <s v="DG I&amp;T - DIR INFORMATION TECHNOLOGY"/>
    <x v="26"/>
    <x v="25"/>
    <s v="415200      "/>
    <s v="415200   E-COMMERCE &amp; DIGITAL TRANSFORMA"/>
    <s v="EISA                            "/>
    <s v="YEHIA MOHAMED HASS"/>
    <s v="SEIYMH86E16Z336C"/>
    <x v="1"/>
    <s v="34"/>
    <x v="0"/>
    <s v="02/09/2024"/>
    <s v="MILANO                 "/>
    <x v="0"/>
    <x v="0"/>
    <s v="I"/>
    <x v="0"/>
    <s v="A  "/>
    <x v="0"/>
    <s v="02/09/2024"/>
    <s v="02/09/2024"/>
    <s v="16/05/1986"/>
    <s v="A"/>
    <s v="A.IN FORZA"/>
    <s v="1  -ASSUNZIONE                1"/>
    <s v=""/>
    <s v=" "/>
    <s v=""/>
    <s v=""/>
    <n v="3134"/>
    <s v="00"/>
    <n v="100"/>
    <s v="FULL TIME      100000000FF100-FULL TIME"/>
    <s v="02/09/2024"/>
    <s v=""/>
    <s v="  "/>
    <s v=""/>
    <s v="EN  "/>
    <s v="    "/>
    <x v="0"/>
    <s v=""/>
    <s v="yehia.eisa@ilsole24ore.com                        "/>
    <s v="F"/>
    <s v="F-FIRMA"/>
    <s v="1 "/>
    <s v="1=5 X 8"/>
    <s v="01/07/2025"/>
    <s v="TEMPO DETERMINATO"/>
    <s v="31/05/2027"/>
    <s v="0015000897                    "/>
    <s v="CANTATORE GIANFRANCO"/>
    <n v="39"/>
    <s v="ET "/>
  </r>
  <r>
    <x v="0"/>
    <n v="1840"/>
    <x v="0"/>
    <s v="G           "/>
    <s v="DG I&amp;T - DIR INFORMATION TECHNOLOGY"/>
    <x v="26"/>
    <x v="25"/>
    <s v="415230      "/>
    <s v="415230   PROD. AREA PROF.LE E GEST.PIATT"/>
    <s v="MICELI                          "/>
    <s v="GIULIA SABINA     "/>
    <s v="MCLGSB70S55F943X"/>
    <x v="0"/>
    <s v="31"/>
    <x v="1"/>
    <s v="18/05/2009"/>
    <s v="ROMA                   "/>
    <x v="0"/>
    <x v="0"/>
    <s v="I"/>
    <x v="0"/>
    <s v="AS "/>
    <x v="7"/>
    <s v="01/02/2001"/>
    <s v="10/07/2000"/>
    <s v="15/11/1970"/>
    <s v="A"/>
    <s v="A.IN FORZA"/>
    <s v="2  -VARIAZIONE SOCIETARIA     2"/>
    <s v=""/>
    <s v=" "/>
    <s v=""/>
    <s v=""/>
    <n v="1460"/>
    <s v="00"/>
    <n v="100"/>
    <s v="FULL TIME      100000000FF100-FULL TIME"/>
    <s v="01/01/2010"/>
    <s v=""/>
    <s v="  "/>
    <s v=""/>
    <s v="EV  "/>
    <s v="    "/>
    <x v="0"/>
    <s v=""/>
    <s v="giulia.miceli@ilsole24ore.com                     "/>
    <s v="F"/>
    <s v="F-FIRMA"/>
    <s v="1 "/>
    <s v="1=5 X 8"/>
    <s v="01/07/2025"/>
    <s v="TEMPO DETERMINATO"/>
    <s v="31/05/2027"/>
    <s v="0015001841                    "/>
    <s v="ORLANDI MARIO"/>
    <n v="55"/>
    <s v="I  "/>
  </r>
  <r>
    <x v="0"/>
    <n v="1841"/>
    <x v="0"/>
    <s v="G           "/>
    <s v="DG I&amp;T - DIR INFORMATION TECHNOLOGY"/>
    <x v="26"/>
    <x v="25"/>
    <s v="415230      "/>
    <s v="415230   PROD. AREA PROF.LE E GEST.PIATT"/>
    <s v="ORLANDI                         "/>
    <s v="MARIO             "/>
    <s v="RLNMRA69P05A662V"/>
    <x v="1"/>
    <s v="31"/>
    <x v="1"/>
    <s v="01/05/2010"/>
    <s v="ROMA                   "/>
    <x v="0"/>
    <x v="0"/>
    <s v="F"/>
    <x v="2"/>
    <s v="Q  "/>
    <x v="8"/>
    <s v="01/02/2001"/>
    <s v="16/04/1999"/>
    <s v="05/09/1969"/>
    <s v="A"/>
    <s v="A.IN FORZA"/>
    <s v="2  -VARIAZIONE SOCIETARIA     2"/>
    <s v=""/>
    <s v=" "/>
    <s v=""/>
    <s v=""/>
    <n v="1461"/>
    <s v="00"/>
    <n v="100"/>
    <s v="FULL TIME      100000000FF100-FULL TIME"/>
    <s v="01/02/2001"/>
    <s v=""/>
    <s v="  "/>
    <s v=""/>
    <s v="EV  "/>
    <s v="    "/>
    <x v="0"/>
    <s v=""/>
    <s v="mario.orlandi@ilsole24ore.com                     "/>
    <s v="F"/>
    <s v="F-FIRMA"/>
    <s v="1 "/>
    <s v="1=5 X 8"/>
    <s v="01/07/2025"/>
    <s v="TEMPO DETERMINATO"/>
    <s v="31/05/2027"/>
    <s v="0015003123                    "/>
    <s v="BOROMEI PAOLA"/>
    <n v="56"/>
    <s v="I  "/>
  </r>
  <r>
    <x v="0"/>
    <n v="1845"/>
    <x v="0"/>
    <s v="G           "/>
    <s v="DG I&amp;T - DIR INFORMATION TECHNOLOGY"/>
    <x v="26"/>
    <x v="25"/>
    <s v="415230      "/>
    <s v="415230   PROD. AREA PROF.LE E GEST.PIATT"/>
    <s v="POLIDORO                        "/>
    <s v="DOMENICO          "/>
    <s v="PLDDNC66M18A345Z"/>
    <x v="1"/>
    <s v="31"/>
    <x v="1"/>
    <s v="04/04/2022"/>
    <s v="ROMA                   "/>
    <x v="0"/>
    <x v="0"/>
    <s v="I"/>
    <x v="0"/>
    <s v="AS "/>
    <x v="7"/>
    <s v="01/02/2001"/>
    <s v="15/12/1999"/>
    <s v="18/08/1966"/>
    <s v="A"/>
    <s v="A.IN FORZA"/>
    <s v="2  -VARIAZIONE SOCIETARIA     2"/>
    <s v=""/>
    <s v=" "/>
    <s v=""/>
    <s v=""/>
    <n v="1465"/>
    <s v="00"/>
    <n v="100"/>
    <s v="FULL TIME      100000000FF100-FULL TIME"/>
    <s v="01/02/2001"/>
    <s v=""/>
    <s v="  "/>
    <s v=""/>
    <s v="EV  "/>
    <s v="    "/>
    <x v="0"/>
    <s v="NON ISCRITTO       NON ISCRITTO"/>
    <s v="domenico.polidoro@ilsole24ore.com                 "/>
    <s v="F"/>
    <s v="F-FIRMA"/>
    <s v="1 "/>
    <s v="1=5 X 8"/>
    <s v="01/01/2025"/>
    <s v="TEMPO DETERMINATO"/>
    <s v="31/12/2026"/>
    <s v="0015001841                    "/>
    <s v="ORLANDI MARIO"/>
    <n v="59"/>
    <s v="I  "/>
  </r>
  <r>
    <x v="0"/>
    <n v="1242"/>
    <x v="0"/>
    <s v="G           "/>
    <s v="DG I&amp;T - DIR INFORMATION TECHNOLOGY"/>
    <x v="26"/>
    <x v="25"/>
    <s v="415230      "/>
    <s v="415230   PROD. AREA PROF.LE E GEST.PIATT"/>
    <s v="RUSSI                           "/>
    <s v="GIOVANBATTISTA    "/>
    <s v="RSSGNB69S20H501U"/>
    <x v="1"/>
    <s v="31"/>
    <x v="1"/>
    <s v="01/05/2010"/>
    <s v="ROMA                   "/>
    <x v="0"/>
    <x v="0"/>
    <s v="I"/>
    <x v="0"/>
    <s v="AS "/>
    <x v="7"/>
    <s v="01/04/1999"/>
    <s v="01/04/1999"/>
    <s v="20/11/1969"/>
    <s v="A"/>
    <s v="A.IN FORZA"/>
    <s v="1  -ASSUNZIONE                1"/>
    <s v=""/>
    <s v=" "/>
    <s v=""/>
    <s v=""/>
    <n v="981"/>
    <s v="00"/>
    <n v="100"/>
    <s v="FULL TIME      100000000FF100-FULL TIME"/>
    <s v="01/04/1999"/>
    <s v=""/>
    <s v="  "/>
    <s v=""/>
    <s v="EP  "/>
    <s v="    "/>
    <x v="0"/>
    <s v=""/>
    <s v="giovanbattista.russi@ilsole24ore.com              "/>
    <s v="F"/>
    <s v="F-FIRMA"/>
    <s v="1 "/>
    <s v="1=5 X 8"/>
    <s v="01/07/2025"/>
    <s v="TEMPO DETERMINATO"/>
    <s v="31/05/2027"/>
    <s v="0015001841                    "/>
    <s v="ORLANDI MARIO"/>
    <n v="56"/>
    <s v="I  "/>
  </r>
  <r>
    <x v="0"/>
    <n v="871"/>
    <x v="0"/>
    <s v="G           "/>
    <s v="DG I&amp;T - DIR INFORMATION TECHNOLOGY"/>
    <x v="26"/>
    <x v="25"/>
    <s v="41530001    "/>
    <s v="41530001 PRODOTTI PUBLISHING &amp; DIGITAL"/>
    <s v="AIELLO                          "/>
    <s v="ROSARIO           "/>
    <s v="LLARSR65T22D122J"/>
    <x v="1"/>
    <s v="34"/>
    <x v="0"/>
    <s v="01/04/2021"/>
    <s v="MILANO                 "/>
    <x v="0"/>
    <x v="0"/>
    <s v="F"/>
    <x v="2"/>
    <s v="Q  "/>
    <x v="8"/>
    <s v="15/11/1995"/>
    <s v="15/11/1995"/>
    <s v="22/12/1965"/>
    <s v="A"/>
    <s v="A.IN FORZA"/>
    <s v="1  -ASSUNZIONE                1"/>
    <s v=""/>
    <s v=" "/>
    <s v=""/>
    <s v=""/>
    <n v="666"/>
    <s v="00"/>
    <n v="100"/>
    <s v="FULL TIME      100000000FF100-FULL TIME"/>
    <s v="15/11/1995"/>
    <s v=""/>
    <s v="  "/>
    <s v=""/>
    <s v="EV  "/>
    <s v="    "/>
    <x v="0"/>
    <s v=""/>
    <s v="rosario.aiello@ilsole24ore.com                    "/>
    <s v="F"/>
    <s v="F-FIRMA"/>
    <s v="1 "/>
    <s v="1=5 X 8"/>
    <s v="01/07/2025"/>
    <s v="TEMPO DETERMINATO"/>
    <s v="31/05/2027"/>
    <s v="0015001592                    "/>
    <s v="DONNA MARCO"/>
    <n v="60"/>
    <s v="I  "/>
  </r>
  <r>
    <x v="0"/>
    <n v="1592"/>
    <x v="0"/>
    <s v="G           "/>
    <s v="DG I&amp;T - DIR INFORMATION TECHNOLOGY"/>
    <x v="26"/>
    <x v="25"/>
    <s v="41530001    "/>
    <s v="41530001 PRODOTTI PUBLISHING &amp; DIGITAL"/>
    <s v="DONNA                           "/>
    <s v="MARCO             "/>
    <s v="DNNMRC74B04L219A"/>
    <x v="1"/>
    <s v="34"/>
    <x v="0"/>
    <s v="01/04/2021"/>
    <s v="MILANO                 "/>
    <x v="0"/>
    <x v="0"/>
    <s v="F"/>
    <x v="2"/>
    <s v="Q  "/>
    <x v="8"/>
    <s v="10/07/2000"/>
    <s v="10/07/2000"/>
    <s v="04/02/1974"/>
    <s v="A"/>
    <s v="A.IN FORZA"/>
    <s v="1  -ASSUNZIONE                1"/>
    <s v=""/>
    <s v=" "/>
    <s v=""/>
    <s v=""/>
    <n v="1261"/>
    <s v="00"/>
    <n v="100"/>
    <s v="FULL TIME      100000000FF100-FULL TIME"/>
    <s v="10/07/2000"/>
    <s v=""/>
    <s v="  "/>
    <s v=""/>
    <s v="EV  "/>
    <s v="    "/>
    <x v="0"/>
    <s v=""/>
    <s v="marco.donna@ilsole24ore.com                       "/>
    <s v="F"/>
    <s v="F-FIRMA"/>
    <s v="1 "/>
    <s v="1=5 X 8"/>
    <s v="01/07/2025"/>
    <s v="TEMPO DETERMINATO"/>
    <s v="31/05/2027"/>
    <s v="0015003123                    "/>
    <s v="BOROMEI PAOLA"/>
    <n v="51"/>
    <s v="I  "/>
  </r>
  <r>
    <x v="0"/>
    <n v="3097"/>
    <x v="0"/>
    <s v="G           "/>
    <s v="DG I&amp;T - DIR INFORMATION TECHNOLOGY"/>
    <x v="26"/>
    <x v="25"/>
    <s v="41530001    "/>
    <s v="41530001 PRODOTTI PUBLISHING &amp; DIGITAL"/>
    <s v="MONTEMEZZANI                    "/>
    <s v="CHIARA            "/>
    <s v="MNTCHR88B51E648Z"/>
    <x v="0"/>
    <s v="34"/>
    <x v="0"/>
    <s v="02/10/2023"/>
    <s v="MILANO                 "/>
    <x v="0"/>
    <x v="0"/>
    <s v="I"/>
    <x v="0"/>
    <s v="AS "/>
    <x v="7"/>
    <s v="02/10/2023"/>
    <s v="02/10/2023"/>
    <s v="11/02/1988"/>
    <s v="A"/>
    <s v="A.IN FORZA"/>
    <s v="1  -ASSUNZIONE                1"/>
    <s v=""/>
    <s v=" "/>
    <s v=""/>
    <s v=""/>
    <n v="3097"/>
    <s v="00"/>
    <n v="100"/>
    <s v="FULL TIME      100000000FF100-FULL TIME"/>
    <s v="02/10/2023"/>
    <s v=""/>
    <s v="  "/>
    <s v=""/>
    <s v="EN  "/>
    <s v="    "/>
    <x v="0"/>
    <s v=""/>
    <s v="chiara.montemezzani@ilsole24ore.com               "/>
    <s v="F"/>
    <s v="F-FIRMA"/>
    <s v="1 "/>
    <s v="1=5 X 8"/>
    <s v="01/01/2025"/>
    <s v="TEMPO DETERMINATO"/>
    <s v="31/12/2026"/>
    <s v="0015001592                    "/>
    <s v="DONNA MARCO"/>
    <n v="37"/>
    <s v="I  "/>
  </r>
  <r>
    <x v="0"/>
    <n v="3049"/>
    <x v="0"/>
    <s v="G           "/>
    <s v="DG I&amp;T - DIR INFORMATION TECHNOLOGY"/>
    <x v="26"/>
    <x v="25"/>
    <s v="41530001    "/>
    <s v="41530001 PRODOTTI PUBLISHING &amp; DIGITAL"/>
    <s v="NARDINI                         "/>
    <s v="EMANUELE          "/>
    <s v="NRDMNL74T10D612S"/>
    <x v="1"/>
    <s v="34"/>
    <x v="0"/>
    <s v="15/07/2022"/>
    <s v="MILANO                 "/>
    <x v="0"/>
    <x v="0"/>
    <s v="I"/>
    <x v="0"/>
    <s v="AS "/>
    <x v="7"/>
    <s v="15/07/2022"/>
    <s v="15/07/2022"/>
    <s v="10/12/1974"/>
    <s v="A"/>
    <s v="A.IN FORZA"/>
    <s v="1  -ASSUNZIONE                1"/>
    <s v=""/>
    <s v=" "/>
    <s v=""/>
    <s v=""/>
    <n v="3049"/>
    <s v="00"/>
    <n v="100"/>
    <s v="FULL TIME      100000000FF100-FULL TIME"/>
    <s v="15/07/2022"/>
    <s v=""/>
    <s v="  "/>
    <s v=""/>
    <s v="EN  "/>
    <s v="    "/>
    <x v="0"/>
    <s v=""/>
    <s v="emanuele.nardini@ilsole24ore.com                  "/>
    <s v="F"/>
    <s v="F-FIRMA"/>
    <s v="1 "/>
    <s v="1=5 X 8"/>
    <s v="01/07/2025"/>
    <s v="TEMPO DETERMINATO"/>
    <s v="31/05/2027"/>
    <s v="0015001592                    "/>
    <s v="DONNA MARCO"/>
    <n v="51"/>
    <s v="I  "/>
  </r>
  <r>
    <x v="0"/>
    <n v="1437"/>
    <x v="0"/>
    <s v="G           "/>
    <s v="DG I&amp;T - DIR INFORMATION TECHNOLOGY"/>
    <x v="26"/>
    <x v="25"/>
    <s v="41530020    "/>
    <s v="41530020 CONTROLLO QUALITA'"/>
    <s v="CONTALDO                        "/>
    <s v="EMANUELE          "/>
    <s v="CNTMNL75H14L182S"/>
    <x v="1"/>
    <s v="31"/>
    <x v="1"/>
    <s v="01/07/2011"/>
    <s v="ROMA                   "/>
    <x v="0"/>
    <x v="0"/>
    <s v="I"/>
    <x v="0"/>
    <s v="AS "/>
    <x v="7"/>
    <s v="15/12/1999"/>
    <s v="15/12/1999"/>
    <s v="14/06/1975"/>
    <s v="A"/>
    <s v="A.IN FORZA"/>
    <s v="1  -ASSUNZIONE                1"/>
    <s v=""/>
    <s v=" "/>
    <s v=""/>
    <s v=""/>
    <n v="1139"/>
    <s v="00"/>
    <n v="100"/>
    <s v="FULL TIME      100000000FF100-FULL TIME"/>
    <s v="15/12/1999"/>
    <s v=""/>
    <s v="  "/>
    <s v=""/>
    <s v="EP  "/>
    <s v="    "/>
    <x v="0"/>
    <s v="C.G.I.L.           C.G.I.L"/>
    <s v="emanuele.contaldo@ilsole24ore.com                 "/>
    <s v="F"/>
    <s v="F-FIRMA"/>
    <s v="1 "/>
    <s v="1=5 X 8"/>
    <s v="01/07/2025"/>
    <s v="TEMPO DETERMINATO"/>
    <s v="31/05/2027"/>
    <s v="0015003123                    "/>
    <s v="BOROMEI PAOLA"/>
    <n v="50"/>
    <s v="I  "/>
  </r>
  <r>
    <x v="0"/>
    <n v="1685"/>
    <x v="0"/>
    <s v="G           "/>
    <s v="DG I&amp;T - DIR INFORMATION TECHNOLOGY"/>
    <x v="27"/>
    <x v="26"/>
    <s v="B13000      "/>
    <s v="B13000   BUSINESS DATA MANAGEMENT"/>
    <s v="CICCHETTI                       "/>
    <s v="MAURO             "/>
    <s v="CCCMRA67A20H501A"/>
    <x v="1"/>
    <s v="34"/>
    <x v="0"/>
    <s v="01/04/2021"/>
    <s v="MILANO                 "/>
    <x v="0"/>
    <x v="0"/>
    <s v="F"/>
    <x v="2"/>
    <s v="Q  "/>
    <x v="8"/>
    <s v="04/12/2000"/>
    <s v="04/12/2000"/>
    <s v="20/01/1967"/>
    <s v="A"/>
    <s v="A.IN FORZA"/>
    <s v="1  -ASSUNZIONE                1"/>
    <s v=""/>
    <s v=" "/>
    <s v=""/>
    <s v=""/>
    <n v="1342"/>
    <s v="00"/>
    <n v="100"/>
    <s v="FULL TIME      100000000FF100-FULL TIME"/>
    <s v=""/>
    <s v=""/>
    <s v="  "/>
    <s v=""/>
    <s v="EP  "/>
    <s v="    "/>
    <x v="0"/>
    <s v=""/>
    <s v="mauro.cicchetti@ilsole24ore.com                   "/>
    <s v="F"/>
    <s v="F-FIRMA"/>
    <s v="1 "/>
    <s v="1=5 X 8"/>
    <s v="01/07/2025"/>
    <s v="TEMPO DETERMINATO"/>
    <s v="31/05/2027"/>
    <s v="0015003041                    "/>
    <s v="SIGONA CARLO"/>
    <n v="59"/>
    <s v="I  "/>
  </r>
  <r>
    <x v="0"/>
    <n v="3099"/>
    <x v="0"/>
    <s v="G           "/>
    <s v="DG I&amp;T - DIR INFORMATION TECHNOLOGY"/>
    <x v="27"/>
    <x v="26"/>
    <s v="B13000      "/>
    <s v="B13000   BUSINESS DATA MANAGEMENT"/>
    <s v="DRADI                           "/>
    <s v="FEDERICO          "/>
    <s v="DRDFRC85M12Z611F"/>
    <x v="1"/>
    <s v="34"/>
    <x v="0"/>
    <s v="06/11/2023"/>
    <s v="MILANO                 "/>
    <x v="0"/>
    <x v="0"/>
    <s v="I"/>
    <x v="0"/>
    <s v="AS "/>
    <x v="7"/>
    <s v="06/11/2023"/>
    <s v="06/11/2023"/>
    <s v="12/08/1985"/>
    <s v="A"/>
    <s v="A.IN FORZA"/>
    <s v="1  -ASSUNZIONE                1"/>
    <s v=""/>
    <s v=" "/>
    <s v=""/>
    <s v=""/>
    <n v="3099"/>
    <s v="00"/>
    <n v="100"/>
    <s v="FULL TIME      100000000FF100-FULL TIME"/>
    <s v="06/11/2023"/>
    <s v=""/>
    <s v="  "/>
    <s v=""/>
    <s v="EN  "/>
    <s v="    "/>
    <x v="0"/>
    <s v=""/>
    <s v="federico.dradi@ilsole24ore.com                    "/>
    <s v="F"/>
    <s v="F-FIRMA"/>
    <s v="1 "/>
    <s v="1=5 X 8"/>
    <s v="01/07/2025"/>
    <s v="TEMPO DETERMINATO"/>
    <s v="31/05/2027"/>
    <s v="0015003041                    "/>
    <s v="SIGONA CARLO"/>
    <n v="40"/>
    <s v="I  "/>
  </r>
  <r>
    <x v="0"/>
    <n v="3007"/>
    <x v="0"/>
    <s v="G           "/>
    <s v="DG I&amp;T - DIR INFORMATION TECHNOLOGY"/>
    <x v="27"/>
    <x v="26"/>
    <s v="B13000      "/>
    <s v="B13000   BUSINESS DATA MANAGEMENT"/>
    <s v="ROSSI                           "/>
    <s v="DORA              "/>
    <s v="RSSDRO78A45B300L"/>
    <x v="0"/>
    <s v="34"/>
    <x v="0"/>
    <s v="01/04/2021"/>
    <s v="MILANO                 "/>
    <x v="0"/>
    <x v="0"/>
    <s v="I"/>
    <x v="0"/>
    <s v="A  "/>
    <x v="0"/>
    <s v="19/10/2020"/>
    <s v="19/10/2020"/>
    <s v="05/01/1978"/>
    <s v="A"/>
    <s v="A.IN FORZA"/>
    <s v="1  -ASSUNZIONE                1"/>
    <s v=""/>
    <s v=" "/>
    <s v=""/>
    <s v=""/>
    <n v="3007"/>
    <s v="00"/>
    <n v="100"/>
    <s v="FULL TIME      100000000FF100-FULL TIME"/>
    <s v="19/10/2020"/>
    <s v=""/>
    <s v="05"/>
    <s v="INVALIDI CIVILI"/>
    <s v="EN  "/>
    <s v="    "/>
    <x v="0"/>
    <s v=""/>
    <s v="dora.rossi@ilsole24ore.com                        "/>
    <s v="F"/>
    <s v="F-FIRMA"/>
    <s v="1 "/>
    <s v="1=5 X 8"/>
    <s v="01/07/2025"/>
    <s v="TEMPO DETERMINATO"/>
    <s v="31/05/2027"/>
    <s v="0015003041                    "/>
    <s v="SIGONA CARLO"/>
    <n v="48"/>
    <s v="I  "/>
  </r>
  <r>
    <x v="0"/>
    <n v="3041"/>
    <x v="0"/>
    <s v="G           "/>
    <s v="DG I&amp;T - DIR INFORMATION TECHNOLOGY"/>
    <x v="27"/>
    <x v="26"/>
    <s v="B13000      "/>
    <s v="B13000   BUSINESS DATA MANAGEMENT"/>
    <s v="SIGONA                          "/>
    <s v="CARLO             "/>
    <s v="SGNCRL72T14F258G"/>
    <x v="1"/>
    <s v="34"/>
    <x v="0"/>
    <s v="03/05/2022"/>
    <s v="MILANO                 "/>
    <x v="0"/>
    <x v="0"/>
    <s v="F"/>
    <x v="2"/>
    <s v="Q  "/>
    <x v="8"/>
    <s v="03/05/2022"/>
    <s v="03/05/2022"/>
    <s v="14/12/1972"/>
    <s v="A"/>
    <s v="A.IN FORZA"/>
    <s v="1  -ASSUNZIONE                1"/>
    <s v=""/>
    <s v=" "/>
    <s v=""/>
    <s v=""/>
    <n v="3041"/>
    <s v="00"/>
    <n v="100"/>
    <s v="FULL TIME      100000000FF100-FULL TIME"/>
    <s v="03/05/2022"/>
    <s v=""/>
    <s v="  "/>
    <s v=""/>
    <s v="EN  "/>
    <s v="    "/>
    <x v="0"/>
    <s v=""/>
    <s v="carlo.sigona@ilsole24ore.com                      "/>
    <s v="F"/>
    <s v="F-FIRMA"/>
    <s v="1 "/>
    <s v="1=5 X 8"/>
    <s v="01/07/2025"/>
    <s v="TEMPO DETERMINATO"/>
    <s v="31/05/2027"/>
    <s v="0015003123                    "/>
    <s v="BOROMEI PAOLA"/>
    <n v="53"/>
    <s v="I  "/>
  </r>
  <r>
    <x v="0"/>
    <n v="244"/>
    <x v="0"/>
    <s v="H           "/>
    <s v="DG SERVIZI PROFESSIONALI E FORMAZIONE"/>
    <x v="28"/>
    <x v="27"/>
    <s v="015000      "/>
    <s v="015000   DG SERVIZI PROF. e FORMAZIONE"/>
    <s v="CAPELLI                         "/>
    <s v="FIORELLA          "/>
    <s v="CPLFLL65C61F205U"/>
    <x v="0"/>
    <s v="34"/>
    <x v="0"/>
    <s v="01/04/2021"/>
    <s v="MILANO                 "/>
    <x v="0"/>
    <x v="0"/>
    <s v="I"/>
    <x v="0"/>
    <s v="A  "/>
    <x v="0"/>
    <s v="03/11/1986"/>
    <s v="03/11/1986"/>
    <s v="21/03/1965"/>
    <s v="A"/>
    <s v="A.IN FORZA"/>
    <s v="1  -ASSUNZIONE                1"/>
    <s v=""/>
    <s v=" "/>
    <s v=""/>
    <s v=""/>
    <n v="174"/>
    <s v="00"/>
    <n v="100"/>
    <s v="FULL TIME      100000000FF100-FULL TIME"/>
    <s v="03/11/1986"/>
    <s v=""/>
    <s v="05"/>
    <s v="INVALIDI CIVILI"/>
    <s v="EV  "/>
    <s v="    "/>
    <x v="0"/>
    <s v=""/>
    <s v="fiorella.capelli@ilsole24ore.com                  "/>
    <s v="F"/>
    <s v="F-FIRMA"/>
    <s v="1 "/>
    <s v="1=5 X 8"/>
    <s v="01/07/2025"/>
    <s v="TEMPO DETERMINATO"/>
    <s v="31/05/2027"/>
    <s v="0015002988                    "/>
    <s v="MINELLA ERALDO"/>
    <n v="60"/>
    <s v="I  "/>
  </r>
  <r>
    <x v="0"/>
    <n v="2988"/>
    <x v="0"/>
    <s v="H           "/>
    <s v="DG SERVIZI PROFESSIONALI E FORMAZIONE"/>
    <x v="28"/>
    <x v="27"/>
    <s v="015000      "/>
    <s v="015000   DG SERVIZI PROF. e FORMAZIONE"/>
    <s v="MINELLA                         "/>
    <s v="ERALDO            "/>
    <s v="MNLRLD59A04I968P"/>
    <x v="1"/>
    <s v="34"/>
    <x v="0"/>
    <s v="01/04/2021"/>
    <s v="MILANO                 "/>
    <x v="1"/>
    <x v="1"/>
    <s v="D"/>
    <x v="1"/>
    <s v="D  "/>
    <x v="1"/>
    <s v="01/01/2020"/>
    <s v="01/01/2020"/>
    <s v="04/01/1959"/>
    <s v="A"/>
    <s v="A.IN FORZA"/>
    <s v="1  -ASSUNZIONE                1"/>
    <s v=""/>
    <s v=" "/>
    <s v=""/>
    <s v="31/01/2026"/>
    <n v="2988"/>
    <s v="00"/>
    <n v="100"/>
    <s v="FULL TIME      100000000FF100-FULL TIME"/>
    <s v="01/01/2020"/>
    <s v=""/>
    <s v="  "/>
    <s v=""/>
    <s v="DD  "/>
    <s v="    "/>
    <x v="0"/>
    <s v=""/>
    <s v="eraldo.minella@ilsole24ore.com                    "/>
    <s v="E"/>
    <s v="E-ESENTE"/>
    <s v="1 "/>
    <s v="1=5 X 8"/>
    <s v="01/07/2025"/>
    <s v="TEMPO DETERMINATO"/>
    <s v="31/05/2026"/>
    <s v="0015002960                    "/>
    <s v="SILVESTRI FEDERICO"/>
    <n v="67"/>
    <s v="I  "/>
  </r>
  <r>
    <x v="0"/>
    <n v="3145"/>
    <x v="0"/>
    <s v="H           "/>
    <s v="DG SERVIZI PROFESSIONALI E FORMAZIONE"/>
    <x v="28"/>
    <x v="27"/>
    <s v="015000      "/>
    <s v="015000   DG SERVIZI PROF. e FORMAZIONE"/>
    <s v="TOZZI                           "/>
    <s v="FRANCESCA         "/>
    <s v="TZZFNC70M58D612Q"/>
    <x v="0"/>
    <s v="34"/>
    <x v="0"/>
    <s v="07/01/2025"/>
    <s v="MILANO                 "/>
    <x v="0"/>
    <x v="0"/>
    <s v="I"/>
    <x v="0"/>
    <s v="AS "/>
    <x v="7"/>
    <s v="07/01/2025"/>
    <s v="07/01/2025"/>
    <s v="18/08/1970"/>
    <s v="A"/>
    <s v="A.IN FORZA"/>
    <s v="1  -ASSUNZIONE                1"/>
    <s v=""/>
    <s v=" "/>
    <s v=""/>
    <s v=""/>
    <n v="3145"/>
    <s v="00"/>
    <n v="100"/>
    <s v="FULL TIME      100000000FF100-FULL TIME"/>
    <s v="07/01/2025"/>
    <s v=""/>
    <s v="  "/>
    <s v=""/>
    <s v="EN  "/>
    <s v="    "/>
    <x v="0"/>
    <s v=""/>
    <s v="francesca.tozzi@ilsole24ore.com                   "/>
    <s v="F"/>
    <s v="F-FIRMA"/>
    <s v="1 "/>
    <s v="1=5 X 8"/>
    <s v="01/07/2025"/>
    <s v="TEMPO DETERMINATO"/>
    <s v="31/05/2027"/>
    <s v="0015002991                    "/>
    <s v="POLVERE VANNA"/>
    <n v="55"/>
    <s v="I  "/>
  </r>
  <r>
    <x v="0"/>
    <n v="963"/>
    <x v="0"/>
    <s v="H           "/>
    <s v="DG SERVIZI PROFESSIONALI E FORMAZIONE"/>
    <x v="29"/>
    <x v="28"/>
    <s v="412700      "/>
    <s v="412700   PREP. EDITORIALE PROFESSIONALE"/>
    <s v="CASAMASSIMA                     "/>
    <s v="FABIANA           "/>
    <s v="CSMFBN76C64L424D"/>
    <x v="0"/>
    <s v="34"/>
    <x v="0"/>
    <s v="04/04/2022"/>
    <s v="MILANO                 "/>
    <x v="0"/>
    <x v="0"/>
    <s v="I"/>
    <x v="0"/>
    <s v="B1S"/>
    <x v="11"/>
    <s v="11/12/1996"/>
    <s v="11/12/1996"/>
    <s v="24/03/1976"/>
    <s v="A"/>
    <s v="A.IN FORZA"/>
    <s v="1  -ASSUNZIONE                1"/>
    <s v=""/>
    <s v=" "/>
    <s v=""/>
    <s v=""/>
    <n v="740"/>
    <s v="00"/>
    <n v="100"/>
    <s v="FULL TIME      100000000FF100-FULL TIME"/>
    <s v="11/12/1996"/>
    <s v=""/>
    <s v="  "/>
    <s v=""/>
    <s v="EP  "/>
    <s v="    "/>
    <x v="0"/>
    <s v="C.I.S.L.           C.I.S.L"/>
    <s v="fabiana.casamassima@ilsole24ore.com               "/>
    <s v="F"/>
    <s v="F-FIRMA"/>
    <s v="1 "/>
    <s v="1=5 X 8"/>
    <s v="01/07/2025"/>
    <s v="TEMPO DETERMINATO"/>
    <s v="31/05/2027"/>
    <s v="0015001321                    "/>
    <s v="FIORETTI EMMA"/>
    <n v="49"/>
    <s v="I  "/>
  </r>
  <r>
    <x v="0"/>
    <n v="938"/>
    <x v="0"/>
    <s v="H           "/>
    <s v="DG SERVIZI PROFESSIONALI E FORMAZIONE"/>
    <x v="29"/>
    <x v="28"/>
    <s v="412700      "/>
    <s v="412700   PREP. EDITORIALE PROFESSIONALE"/>
    <s v="D'ARTIBALE                      "/>
    <s v="SILVIA            "/>
    <s v="DRTSLV76R58H501A"/>
    <x v="0"/>
    <s v="34"/>
    <x v="0"/>
    <s v="04/04/2022"/>
    <s v="MILANO                 "/>
    <x v="0"/>
    <x v="0"/>
    <s v="I"/>
    <x v="0"/>
    <s v="B1S"/>
    <x v="11"/>
    <s v="01/10/1996"/>
    <s v="01/10/1996"/>
    <s v="18/10/1976"/>
    <s v="A"/>
    <s v="A.IN FORZA"/>
    <s v="1  -ASSUNZIONE                1"/>
    <s v=""/>
    <s v=" "/>
    <s v=""/>
    <s v=""/>
    <n v="719"/>
    <s v="00"/>
    <n v="100"/>
    <s v="FULL TIME      100000000FF100-FULL TIME"/>
    <s v="01/10/1996"/>
    <s v=""/>
    <s v="  "/>
    <s v=""/>
    <s v="EP  "/>
    <s v="    "/>
    <x v="0"/>
    <s v="NON ISCRITTO       NON ISCRITTO"/>
    <s v="silvia.dartibale@ilsole24ore.com                  "/>
    <s v="F"/>
    <s v="F-FIRMA"/>
    <s v="1 "/>
    <s v="1=5 X 8"/>
    <s v="01/07/2025"/>
    <s v="TEMPO DETERMINATO"/>
    <s v="31/05/2027"/>
    <s v="0015001321                    "/>
    <s v="FIORETTI EMMA"/>
    <n v="49"/>
    <s v="I  "/>
  </r>
  <r>
    <x v="0"/>
    <n v="1053"/>
    <x v="0"/>
    <s v="H           "/>
    <s v="DG SERVIZI PROFESSIONALI E FORMAZIONE"/>
    <x v="29"/>
    <x v="28"/>
    <s v="412700      "/>
    <s v="412700   PREP. EDITORIALE PROFESSIONALE"/>
    <s v="DI NISIO                        "/>
    <s v="FLAVIANO          "/>
    <s v="DNSFVN74H13H501W"/>
    <x v="1"/>
    <s v="34"/>
    <x v="0"/>
    <s v="04/04/2022"/>
    <s v="MILANO                 "/>
    <x v="0"/>
    <x v="0"/>
    <s v="I"/>
    <x v="0"/>
    <s v="AS "/>
    <x v="7"/>
    <s v="18/08/1997"/>
    <s v="18/08/1997"/>
    <s v="13/06/1974"/>
    <s v="A"/>
    <s v="A.IN FORZA"/>
    <s v="1  -ASSUNZIONE                1"/>
    <s v=""/>
    <s v=" "/>
    <s v=""/>
    <s v=""/>
    <n v="822"/>
    <s v="00"/>
    <n v="100"/>
    <s v="FULL TIME      100000000FF100-FULL TIME"/>
    <s v="18/08/1997"/>
    <s v=""/>
    <s v="  "/>
    <s v=""/>
    <s v="EP  "/>
    <s v="    "/>
    <x v="0"/>
    <s v="NON ISCRITTO       NON ISCRITTO"/>
    <s v="flaviano.dinisio@ilsole24ore.com                  "/>
    <s v="F"/>
    <s v="F-FIRMA"/>
    <s v="1 "/>
    <s v="1=5 X 8"/>
    <s v="01/07/2025"/>
    <s v="TEMPO DETERMINATO"/>
    <s v="31/05/2027"/>
    <s v="0015001321                    "/>
    <s v="FIORETTI EMMA"/>
    <n v="51"/>
    <s v="I  "/>
  </r>
  <r>
    <x v="0"/>
    <n v="1400"/>
    <x v="0"/>
    <s v="H           "/>
    <s v="DG SERVIZI PROFESSIONALI E FORMAZIONE"/>
    <x v="29"/>
    <x v="28"/>
    <s v="412700      "/>
    <s v="412700   PREP. EDITORIALE PROFESSIONALE"/>
    <s v="FERRACCI                        "/>
    <s v="VALENTINA         "/>
    <s v="FRRVNT75T57H501U"/>
    <x v="0"/>
    <s v="34"/>
    <x v="0"/>
    <s v="04/04/2022"/>
    <s v="MILANO                 "/>
    <x v="0"/>
    <x v="0"/>
    <s v="I"/>
    <x v="0"/>
    <s v="B1S"/>
    <x v="11"/>
    <s v="01/07/1997"/>
    <s v="01/07/1997"/>
    <s v="17/12/1975"/>
    <s v="A"/>
    <s v="A.IN FORZA"/>
    <s v="1  -ASSUNZIONE                1"/>
    <s v=""/>
    <s v=" "/>
    <s v=""/>
    <s v=""/>
    <n v="1115"/>
    <s v="00"/>
    <n v="100"/>
    <s v="FULL TIME      100000000FF100-FULL TIME"/>
    <s v="01/07/1997"/>
    <s v=""/>
    <s v="  "/>
    <s v=""/>
    <s v="EP  "/>
    <s v="    "/>
    <x v="0"/>
    <s v="C.G.I.L.           C.G.I.L"/>
    <s v="valentina.ferracci@ilsole24ore.com                "/>
    <s v="F"/>
    <s v="F-FIRMA"/>
    <s v="1 "/>
    <s v="1=5 X 8"/>
    <s v="22/01/2026"/>
    <s v="TEMPO DETERMINATO"/>
    <s v="31/12/2026"/>
    <s v="0015001321                    "/>
    <s v="FIORETTI EMMA"/>
    <n v="50"/>
    <s v="I  "/>
  </r>
  <r>
    <x v="0"/>
    <n v="1321"/>
    <x v="0"/>
    <s v="H           "/>
    <s v="DG SERVIZI PROFESSIONALI E FORMAZIONE"/>
    <x v="29"/>
    <x v="28"/>
    <s v="412700      "/>
    <s v="412700   PREP. EDITORIALE PROFESSIONALE"/>
    <s v="FIORETTI                        "/>
    <s v="EMMA              "/>
    <s v="FRTMME65C52H501D"/>
    <x v="0"/>
    <s v="34"/>
    <x v="0"/>
    <s v="04/04/2022"/>
    <s v="MILANO                 "/>
    <x v="0"/>
    <x v="0"/>
    <s v="F"/>
    <x v="2"/>
    <s v="Q  "/>
    <x v="8"/>
    <s v="01/11/1999"/>
    <s v="01/11/1999"/>
    <s v="12/03/1965"/>
    <s v="A"/>
    <s v="A.IN FORZA"/>
    <s v="1  -ASSUNZIONE                1"/>
    <s v=""/>
    <s v=" "/>
    <s v=""/>
    <s v=""/>
    <n v="1048"/>
    <s v="00"/>
    <n v="100"/>
    <s v="FULL TIME      100000000FF100-FULL TIME"/>
    <s v="01/11/1999"/>
    <s v=""/>
    <s v="  "/>
    <s v=""/>
    <s v="EP  "/>
    <s v="    "/>
    <x v="0"/>
    <s v=""/>
    <s v="emma.fioretti@ilsole24ore.com                     "/>
    <s v="F"/>
    <s v="F-FIRMA"/>
    <s v="1 "/>
    <s v="1=5 X 8"/>
    <s v="01/07/2025"/>
    <s v="TEMPO DETERMINATO"/>
    <s v="31/05/2027"/>
    <s v="0015001220                    "/>
    <s v="QUINTO MARIA CHIARA"/>
    <n v="60"/>
    <s v="I  "/>
  </r>
  <r>
    <x v="0"/>
    <n v="1343"/>
    <x v="0"/>
    <s v="H           "/>
    <s v="DG SERVIZI PROFESSIONALI E FORMAZIONE"/>
    <x v="29"/>
    <x v="28"/>
    <s v="412700      "/>
    <s v="412700   PREP. EDITORIALE PROFESSIONALE"/>
    <s v="MORABITO                        "/>
    <s v="GIOVANNA          "/>
    <s v="MRBGNN72C46B300W"/>
    <x v="0"/>
    <s v="34"/>
    <x v="0"/>
    <s v="04/04/2022"/>
    <s v="MILANO                 "/>
    <x v="0"/>
    <x v="0"/>
    <s v="I"/>
    <x v="0"/>
    <s v="B1S"/>
    <x v="11"/>
    <s v="12/10/1991"/>
    <s v="12/10/1991"/>
    <s v="06/03/1972"/>
    <s v="A"/>
    <s v="A.IN FORZA"/>
    <s v="1  -ASSUNZIONE                1"/>
    <s v=""/>
    <s v=" "/>
    <s v=""/>
    <s v=""/>
    <n v="1064"/>
    <s v="00"/>
    <n v="100"/>
    <s v="FULL TIME      100000000FF100-FULL TIME"/>
    <s v="12/10/1991"/>
    <s v=""/>
    <s v="05"/>
    <s v="INVALIDI CIVILI"/>
    <s v="EP  "/>
    <s v="    "/>
    <x v="0"/>
    <s v="C.G.I.L.           C.G.I.L"/>
    <s v="giovanna.morabito@ilsole24ore.com                 "/>
    <s v="F"/>
    <s v="F-FIRMA"/>
    <s v="1 "/>
    <s v="1=5 X 8"/>
    <s v="14/07/2025"/>
    <s v="TEMPO DETERMINATO"/>
    <s v="30/06/2026"/>
    <s v="0015001321                    "/>
    <s v="FIORETTI EMMA"/>
    <n v="53"/>
    <s v="I  "/>
  </r>
  <r>
    <x v="0"/>
    <n v="1324"/>
    <x v="0"/>
    <s v="H           "/>
    <s v="DG SERVIZI PROFESSIONALI E FORMAZIONE"/>
    <x v="29"/>
    <x v="28"/>
    <s v="412700      "/>
    <s v="412700   PREP. EDITORIALE PROFESSIONALE"/>
    <s v="SALINO                          "/>
    <s v="CRISTIANA         "/>
    <s v="SLNCST69E68H501Y"/>
    <x v="0"/>
    <s v="34"/>
    <x v="0"/>
    <s v="04/04/2022"/>
    <s v="MILANO                 "/>
    <x v="0"/>
    <x v="0"/>
    <s v="I"/>
    <x v="0"/>
    <s v="B1S"/>
    <x v="11"/>
    <s v="01/11/1999"/>
    <s v="01/11/1999"/>
    <s v="28/05/1969"/>
    <s v="A"/>
    <s v="A.IN FORZA"/>
    <s v="1  -ASSUNZIONE                1"/>
    <s v=""/>
    <s v=" "/>
    <s v=""/>
    <s v=""/>
    <n v="1051"/>
    <s v="00"/>
    <n v="100"/>
    <s v="FULL TIME      100000000FF100-FULL TIME"/>
    <s v="01/11/1999"/>
    <s v=""/>
    <s v="  "/>
    <s v=""/>
    <s v="EP  "/>
    <s v="    "/>
    <x v="0"/>
    <s v=""/>
    <s v="cristiana.salino@ilsole24ore.com                  "/>
    <s v="F"/>
    <s v="F-FIRMA"/>
    <s v="1 "/>
    <s v="1=5 X 8"/>
    <s v="01/07/2025"/>
    <s v="TEMPO DETERMINATO"/>
    <s v="31/05/2027"/>
    <s v="0015001321                    "/>
    <s v="FIORETTI EMMA"/>
    <n v="56"/>
    <s v="I  "/>
  </r>
  <r>
    <x v="0"/>
    <n v="1320"/>
    <x v="0"/>
    <s v="H           "/>
    <s v="DG SERVIZI PROFESSIONALI E FORMAZIONE"/>
    <x v="29"/>
    <x v="28"/>
    <s v="412700      "/>
    <s v="412700   PREP. EDITORIALE PROFESSIONALE"/>
    <s v="TANTURRI                        "/>
    <s v="MASSIMILIANO      "/>
    <s v="TNTMSM71R24H501E"/>
    <x v="1"/>
    <s v="34"/>
    <x v="0"/>
    <s v="04/04/2022"/>
    <s v="MILANO                 "/>
    <x v="0"/>
    <x v="0"/>
    <s v="I"/>
    <x v="0"/>
    <s v="B1S"/>
    <x v="11"/>
    <s v="01/11/1999"/>
    <s v="01/11/1999"/>
    <s v="24/10/1971"/>
    <s v="A"/>
    <s v="A.IN FORZA"/>
    <s v="1  -ASSUNZIONE                1"/>
    <s v=""/>
    <s v=" "/>
    <s v=""/>
    <s v=""/>
    <n v="1047"/>
    <s v="00"/>
    <n v="100"/>
    <s v="FULL TIME      100000000FF100-FULL TIME"/>
    <s v="01/11/1999"/>
    <s v=""/>
    <s v="  "/>
    <s v=""/>
    <s v="EP  "/>
    <s v="    "/>
    <x v="0"/>
    <s v=""/>
    <s v="massimiliano.tanturri@ilsole24ore.com             "/>
    <s v="F"/>
    <s v="F-FIRMA"/>
    <s v="1 "/>
    <s v="1=5 X 8"/>
    <s v="01/07/2025"/>
    <s v="TEMPO DETERMINATO"/>
    <s v="31/05/2027"/>
    <s v="0015001321                    "/>
    <s v="FIORETTI EMMA"/>
    <n v="54"/>
    <s v="I  "/>
  </r>
  <r>
    <x v="0"/>
    <n v="1220"/>
    <x v="0"/>
    <s v="H           "/>
    <s v="DG SERVIZI PROFESSIONALI E FORMAZIONE"/>
    <x v="29"/>
    <x v="28"/>
    <s v="B10010      "/>
    <s v="B10010  OPERATIONS E CUSTOMER ENGAGEMEN"/>
    <s v="QUINTO                          "/>
    <s v="MARIA CHIARA      "/>
    <s v="QNTMCH74A70A669Z"/>
    <x v="0"/>
    <s v="34"/>
    <x v="0"/>
    <s v="01/04/2021"/>
    <s v="MILANO                 "/>
    <x v="1"/>
    <x v="1"/>
    <s v="D"/>
    <x v="1"/>
    <s v="D  "/>
    <x v="1"/>
    <s v="15/01/1999"/>
    <s v="15/01/1999"/>
    <s v="30/01/1974"/>
    <s v="A"/>
    <s v="A.IN FORZA"/>
    <s v="1  -ASSUNZIONE                1"/>
    <s v=""/>
    <s v=" "/>
    <s v=""/>
    <s v=""/>
    <n v="963"/>
    <s v="00"/>
    <n v="100"/>
    <s v="FULL TIME      100000000FF100-FULL TIME"/>
    <s v="01/09/2012"/>
    <s v=""/>
    <s v="  "/>
    <s v=""/>
    <s v="DD  "/>
    <s v="    "/>
    <x v="0"/>
    <s v=""/>
    <s v="mariachiara.quinto@ilsole24ore.com                "/>
    <s v="E"/>
    <s v="E-ESENTE"/>
    <s v="1 "/>
    <s v="1=5 X 8"/>
    <s v="01/07/2025"/>
    <s v="TEMPO DETERMINATO"/>
    <s v="31/05/2026"/>
    <s v="0015002988                    "/>
    <s v="MINELLA ERALDO"/>
    <n v="52"/>
    <s v="I  "/>
  </r>
  <r>
    <x v="0"/>
    <n v="395"/>
    <x v="0"/>
    <s v="H           "/>
    <s v="DG SERVIZI PROFESSIONALI E FORMAZIONE"/>
    <x v="29"/>
    <x v="28"/>
    <s v="C13200      "/>
    <s v="C13200   CUSTOMER CARE"/>
    <s v="CHIOFFI                         "/>
    <s v="ALESSANDRA        "/>
    <s v="CHFLSN66L54H501Q"/>
    <x v="0"/>
    <s v="34"/>
    <x v="0"/>
    <s v="04/04/2022"/>
    <s v="MILANO                 "/>
    <x v="0"/>
    <x v="0"/>
    <s v="I"/>
    <x v="0"/>
    <s v="B1 "/>
    <x v="10"/>
    <s v="03/01/1989"/>
    <s v="03/01/1989"/>
    <s v="14/07/1966"/>
    <s v="A"/>
    <s v="A.IN FORZA"/>
    <s v="1  -ASSUNZIONE                1"/>
    <s v=""/>
    <s v=" "/>
    <s v=""/>
    <s v=""/>
    <n v="288"/>
    <s v="00"/>
    <n v="100"/>
    <s v="FULL TIME      100000000FF100-FULL TIME"/>
    <s v="03/01/1989"/>
    <s v=""/>
    <s v="  "/>
    <s v=""/>
    <s v="EP  "/>
    <s v="    "/>
    <x v="0"/>
    <s v="C.G.I.L.           C.G.I.L"/>
    <s v="alessandra.chioffi@ilsole24ore.com                "/>
    <s v="F"/>
    <s v="F-FIRMA"/>
    <s v="1 "/>
    <s v="1=5 X 8"/>
    <s v="01/07/2025"/>
    <s v="TEMPO DETERMINATO"/>
    <s v="31/05/2027"/>
    <s v="0015001223                    "/>
    <s v="MORESCHINI CRISTINA"/>
    <n v="59"/>
    <s v="I  "/>
  </r>
  <r>
    <x v="0"/>
    <n v="1941"/>
    <x v="0"/>
    <s v="H           "/>
    <s v="DG SERVIZI PROFESSIONALI E FORMAZIONE"/>
    <x v="29"/>
    <x v="28"/>
    <s v="C13200      "/>
    <s v="C13200   CUSTOMER CARE"/>
    <s v="CIPOLLA                         "/>
    <s v="ANNA MARIA        "/>
    <s v="CPLNMR70C52C588Q"/>
    <x v="0"/>
    <s v="34"/>
    <x v="0"/>
    <s v="01/04/2021"/>
    <s v="MILANO                 "/>
    <x v="0"/>
    <x v="0"/>
    <s v="I"/>
    <x v="0"/>
    <s v="B1 "/>
    <x v="10"/>
    <s v="01/04/2003"/>
    <s v="01/04/2003"/>
    <s v="12/03/1970"/>
    <s v="A"/>
    <s v="A.IN FORZA"/>
    <s v="1  -ASSUNZIONE                1"/>
    <s v=""/>
    <s v=" "/>
    <s v=""/>
    <s v=""/>
    <n v="1524"/>
    <s v="00"/>
    <n v="100"/>
    <s v="FULL TIME      100000000FF100-FULL TIME"/>
    <s v="01/04/2003"/>
    <s v=""/>
    <s v="05"/>
    <s v="INVALIDI CIVILI"/>
    <s v="EP  "/>
    <s v="    "/>
    <x v="0"/>
    <s v="NON ISCRITTO       NON ISCRITTO"/>
    <s v="annamaria.cipolla@ilsole24ore.com                 "/>
    <s v="F"/>
    <s v="F-FIRMA"/>
    <s v="1 "/>
    <s v="1=5 X 8"/>
    <s v="01/07/2025"/>
    <s v="TEMPO DETERMINATO"/>
    <s v="31/05/2027"/>
    <s v="0015001223                    "/>
    <s v="MORESCHINI CRISTINA"/>
    <n v="55"/>
    <s v="I  "/>
  </r>
  <r>
    <x v="0"/>
    <n v="3135"/>
    <x v="0"/>
    <s v="H           "/>
    <s v="DG SERVIZI PROFESSIONALI E FORMAZIONE"/>
    <x v="29"/>
    <x v="28"/>
    <s v="C13200      "/>
    <s v="C13200   CUSTOMER CARE"/>
    <s v="FERRANTE                        "/>
    <s v="ALESSANDRA        "/>
    <s v="FRRLSN77D47G813D"/>
    <x v="0"/>
    <s v="34"/>
    <x v="0"/>
    <s v="02/09/2024"/>
    <s v="MILANO                 "/>
    <x v="0"/>
    <x v="0"/>
    <s v="I"/>
    <x v="0"/>
    <s v="B1 "/>
    <x v="10"/>
    <s v="02/09/2024"/>
    <s v="02/09/2024"/>
    <s v="07/04/1977"/>
    <s v="A"/>
    <s v="A.IN FORZA"/>
    <s v="1  -ASSUNZIONE                1"/>
    <s v=""/>
    <s v=" "/>
    <s v=""/>
    <s v=""/>
    <n v="3135"/>
    <s v="00"/>
    <n v="100"/>
    <s v="FULL TIME      100000000FF100-FULL TIME"/>
    <s v="02/09/2024"/>
    <s v=""/>
    <s v="11"/>
    <s v="ORFANO/VEDOVA DEL LAVORO"/>
    <s v="EN  "/>
    <s v="    "/>
    <x v="0"/>
    <s v=""/>
    <s v="alessandra.ferrante@ilsole24ore.com               "/>
    <s v="F"/>
    <s v="F-FIRMA"/>
    <s v="1 "/>
    <s v="1=5 X 8"/>
    <s v="02/09/2024"/>
    <s v="TEMPO DETERMINATO"/>
    <s v="31/12/2026"/>
    <s v="0015001223                    "/>
    <s v="MORESCHINI CRISTINA"/>
    <n v="48"/>
    <s v="I  "/>
  </r>
  <r>
    <x v="0"/>
    <n v="1223"/>
    <x v="0"/>
    <s v="H           "/>
    <s v="DG SERVIZI PROFESSIONALI E FORMAZIONE"/>
    <x v="29"/>
    <x v="28"/>
    <s v="C13200      "/>
    <s v="C13200   CUSTOMER CARE"/>
    <s v="MORESCHINI                      "/>
    <s v="CRISTINA          "/>
    <s v="MRSCST72S42H501K"/>
    <x v="0"/>
    <s v="34"/>
    <x v="0"/>
    <s v="04/04/2022"/>
    <s v="MILANO                 "/>
    <x v="0"/>
    <x v="0"/>
    <s v="F"/>
    <x v="2"/>
    <s v="Q  "/>
    <x v="8"/>
    <s v="20/01/1999"/>
    <s v="20/01/1999"/>
    <s v="02/11/1972"/>
    <s v="A"/>
    <s v="A.IN FORZA"/>
    <s v="1  -ASSUNZIONE                1"/>
    <s v=""/>
    <s v=" "/>
    <s v=""/>
    <s v=""/>
    <n v="966"/>
    <s v="00"/>
    <n v="100"/>
    <s v="FULL TIME      100000000FF100-FULL TIME"/>
    <s v="20/01/1999"/>
    <s v=""/>
    <s v="  "/>
    <s v=""/>
    <s v="EP  "/>
    <s v="    "/>
    <x v="0"/>
    <s v=""/>
    <s v="cristina.moreschini@ilsole24ore.com               "/>
    <s v="F"/>
    <s v="F-FIRMA"/>
    <s v="1 "/>
    <s v="1=5 X 8"/>
    <s v="01/07/2025"/>
    <s v="TEMPO DETERMINATO"/>
    <s v="31/05/2027"/>
    <s v="0015001220                    "/>
    <s v="QUINTO MARIA CHIARA"/>
    <n v="53"/>
    <s v="I  "/>
  </r>
  <r>
    <x v="0"/>
    <n v="2586"/>
    <x v="0"/>
    <s v="H           "/>
    <s v="DG SERVIZI PROFESSIONALI E FORMAZIONE"/>
    <x v="29"/>
    <x v="28"/>
    <s v="C13200      "/>
    <s v="C13200   CUSTOMER CARE"/>
    <s v="TULLII                          "/>
    <s v="CRISTIANA         "/>
    <s v="TLLCST77T48F205Q"/>
    <x v="0"/>
    <s v="34"/>
    <x v="0"/>
    <s v="01/04/2021"/>
    <s v="MILANO                 "/>
    <x v="3"/>
    <x v="3"/>
    <s v="I"/>
    <x v="0"/>
    <s v="07 "/>
    <x v="12"/>
    <s v="01/04/2011"/>
    <s v="01/01/2006"/>
    <s v="08/12/1977"/>
    <s v="A"/>
    <s v="A.IN FORZA"/>
    <s v="2  -VARIAZIONE SOCIETARIA     2"/>
    <s v=""/>
    <s v=" "/>
    <s v=""/>
    <s v=""/>
    <n v="2586"/>
    <s v="00"/>
    <n v="100"/>
    <s v="FULL TIME      100000000FF100-FULL TIME"/>
    <s v="01/01/2006"/>
    <s v=""/>
    <s v="  "/>
    <s v=""/>
    <s v="PSO "/>
    <s v="    "/>
    <x v="0"/>
    <s v="U.I.L.             U.I.L"/>
    <s v="cristiana.tullii@ilsole24ore.com                  "/>
    <s v="T"/>
    <s v="T-TIMBRA"/>
    <s v="7 "/>
    <s v="7=5 X 7.20"/>
    <s v="01/07/2025"/>
    <s v="TEMPO DETERMINATO"/>
    <s v="31/05/2027"/>
    <s v="0015001220                    "/>
    <s v="QUINTO MARIA CHIARA"/>
    <n v="48"/>
    <s v="I  "/>
  </r>
  <r>
    <x v="0"/>
    <n v="2989"/>
    <x v="0"/>
    <s v="H           "/>
    <s v="DG SERVIZI PROFESSIONALI E FORMAZIONE"/>
    <x v="30"/>
    <x v="29"/>
    <s v="B1000030    "/>
    <s v="B1000030 DIR.COM. SERVIZI PROF. E FORM."/>
    <s v="CONTERIO                        "/>
    <s v="ANTONIO           "/>
    <s v="CNTNTN64C24L219P"/>
    <x v="1"/>
    <s v="34"/>
    <x v="0"/>
    <s v="01/04/2021"/>
    <s v="MILANO                 "/>
    <x v="1"/>
    <x v="1"/>
    <s v="D"/>
    <x v="1"/>
    <s v="D  "/>
    <x v="1"/>
    <s v="02/01/2020"/>
    <s v="02/01/2020"/>
    <s v="24/03/1964"/>
    <s v="A"/>
    <s v="A.IN FORZA"/>
    <s v="1  -ASSUNZIONE                1"/>
    <s v=""/>
    <s v=" "/>
    <s v=""/>
    <s v=""/>
    <n v="2989"/>
    <s v="00"/>
    <n v="100"/>
    <s v="FULL TIME      100000000FF100-FULL TIME"/>
    <s v="02/01/2020"/>
    <s v=""/>
    <s v="  "/>
    <s v=""/>
    <s v="DD  "/>
    <s v="    "/>
    <x v="0"/>
    <s v=""/>
    <s v="luca.conterio@ilsole24ore.com                     "/>
    <s v="E"/>
    <s v="E-ESENTE"/>
    <s v="1 "/>
    <s v="1=5 X 8"/>
    <s v="01/07/2025"/>
    <s v="TEMPO DETERMINATO"/>
    <s v="31/05/2026"/>
    <s v="0015002988                    "/>
    <s v="MINELLA ERALDO"/>
    <n v="61"/>
    <s v="I  "/>
  </r>
  <r>
    <x v="0"/>
    <n v="3101"/>
    <x v="0"/>
    <s v="H           "/>
    <s v="DG SERVIZI PROFESSIONALI E FORMAZIONE"/>
    <x v="30"/>
    <x v="29"/>
    <s v="B1000030    "/>
    <s v="B1000030 DIR.COM. SERVIZI PROF. E FORM."/>
    <s v="COPERCINI                       "/>
    <s v="GIANLUCA          "/>
    <s v="CPRGLC63S10F205R"/>
    <x v="1"/>
    <s v="34"/>
    <x v="0"/>
    <s v="01/12/2023"/>
    <s v="MILANO                 "/>
    <x v="0"/>
    <x v="0"/>
    <s v="F"/>
    <x v="2"/>
    <s v="Q  "/>
    <x v="8"/>
    <s v="01/12/2023"/>
    <s v="01/12/2023"/>
    <s v="10/11/1963"/>
    <s v="A"/>
    <s v="A.IN FORZA"/>
    <s v="1  -ASSUNZIONE                1"/>
    <s v=""/>
    <s v=" "/>
    <s v=""/>
    <s v=""/>
    <n v="3101"/>
    <s v="00"/>
    <n v="100"/>
    <s v="FULL TIME      100000000FF100-FULL TIME"/>
    <s v="01/12/2023"/>
    <s v=""/>
    <s v="  "/>
    <s v=""/>
    <s v="EN  "/>
    <s v="    "/>
    <x v="0"/>
    <s v=""/>
    <s v="gianluca.copercini@ilsole24ore.com                "/>
    <s v="F"/>
    <s v="F-FIRMA"/>
    <s v="1 "/>
    <s v="1=5 X 8"/>
    <s v="01/07/2025"/>
    <s v="TEMPO DETERMINATO"/>
    <s v="31/05/2027"/>
    <s v="0015002989                    "/>
    <s v="CONTERIO ANTONIO"/>
    <n v="62"/>
    <s v="I  "/>
  </r>
  <r>
    <x v="0"/>
    <n v="1172"/>
    <x v="0"/>
    <s v="H           "/>
    <s v="DG SERVIZI PROFESSIONALI E FORMAZIONE"/>
    <x v="30"/>
    <x v="29"/>
    <s v="B10130      "/>
    <s v="B10130   SUPPORTO COMMERCIALE E SALES AC"/>
    <s v="DI GIULIO                       "/>
    <s v="CRISTINA          "/>
    <s v="DGLCST75T49H501B"/>
    <x v="0"/>
    <s v="31"/>
    <x v="1"/>
    <s v="04/04/2022"/>
    <s v="ROMA                   "/>
    <x v="0"/>
    <x v="0"/>
    <s v="I"/>
    <x v="0"/>
    <s v="B1 "/>
    <x v="10"/>
    <s v="14/09/1998"/>
    <s v="14/09/1998"/>
    <s v="09/12/1975"/>
    <s v="A"/>
    <s v="A.IN FORZA"/>
    <s v="1  -ASSUNZIONE                1"/>
    <s v=""/>
    <s v=" "/>
    <s v=""/>
    <s v=""/>
    <n v="923"/>
    <s v="00"/>
    <n v="100"/>
    <s v="FULL TIME      100000000FF100-FULL TIME"/>
    <s v="14/09/1998"/>
    <s v=""/>
    <s v="  "/>
    <s v=""/>
    <s v="EP  "/>
    <s v="    "/>
    <x v="0"/>
    <s v="NON ISCRITTO       NON ISCRITTO"/>
    <s v="cristina.digiulio@ilsole24ore.com                 "/>
    <s v="F"/>
    <s v="F-FIRMA"/>
    <s v="1 "/>
    <s v="1=5 X 8"/>
    <s v="01/07/2025"/>
    <s v="TEMPO DETERMINATO"/>
    <s v="31/05/2027"/>
    <s v="0015002100                    "/>
    <s v="PALMA ENRICA"/>
    <n v="50"/>
    <s v="I  "/>
  </r>
  <r>
    <x v="0"/>
    <n v="1199"/>
    <x v="0"/>
    <s v="H           "/>
    <s v="DG SERVIZI PROFESSIONALI E FORMAZIONE"/>
    <x v="30"/>
    <x v="29"/>
    <s v="B10130      "/>
    <s v="B10130   SUPPORTO COMMERCIALE E SALES AC"/>
    <s v="FRASCHETTI                      "/>
    <s v="LAURA             "/>
    <s v="FRSLRA67T50H501T"/>
    <x v="0"/>
    <s v="31"/>
    <x v="1"/>
    <s v="21/05/2009"/>
    <s v="ROMA                   "/>
    <x v="0"/>
    <x v="0"/>
    <s v="F"/>
    <x v="2"/>
    <s v="Q  "/>
    <x v="8"/>
    <s v="01/12/1998"/>
    <s v="01/12/1998"/>
    <s v="10/12/1967"/>
    <s v="A"/>
    <s v="A.IN FORZA"/>
    <s v="1  -ASSUNZIONE                1"/>
    <s v=""/>
    <s v=" "/>
    <s v=""/>
    <s v=""/>
    <n v="946"/>
    <s v="00"/>
    <n v="100"/>
    <s v="FULL TIME      100000000FF100-FULL TIME"/>
    <s v="01/12/1998"/>
    <s v=""/>
    <s v="  "/>
    <s v=""/>
    <s v="EP  "/>
    <s v="    "/>
    <x v="0"/>
    <s v="C.G.I.L.           C.G.I.L"/>
    <s v="laura.fraschetti@ilsole24ore.com                  "/>
    <s v="F"/>
    <s v="F-FIRMA"/>
    <s v="1 "/>
    <s v="1=5 X 8"/>
    <s v="01/07/2025"/>
    <s v="TEMPO DETERMINATO"/>
    <s v="31/05/2027"/>
    <s v="0015002100                    "/>
    <s v="PALMA ENRICA"/>
    <n v="58"/>
    <s v="I  "/>
  </r>
  <r>
    <x v="0"/>
    <n v="902"/>
    <x v="0"/>
    <s v="H           "/>
    <s v="DG SERVIZI PROFESSIONALI E FORMAZIONE"/>
    <x v="30"/>
    <x v="29"/>
    <s v="B10130      "/>
    <s v="B10130   SUPPORTO COMMERCIALE E SALES AC"/>
    <s v="GORI                            "/>
    <s v="SAMANTHA          "/>
    <s v="GROSNT73D62C352B"/>
    <x v="0"/>
    <s v="31"/>
    <x v="1"/>
    <s v="04/04/2022"/>
    <s v="ROMA                   "/>
    <x v="0"/>
    <x v="0"/>
    <s v="I"/>
    <x v="0"/>
    <s v="B1 "/>
    <x v="10"/>
    <s v="03/06/1996"/>
    <s v="01/06/1995"/>
    <s v="22/04/1973"/>
    <s v="A"/>
    <s v="A.IN FORZA"/>
    <s v="1  -ASSUNZIONE                1"/>
    <s v=""/>
    <s v=" "/>
    <s v=""/>
    <s v=""/>
    <n v="692"/>
    <s v="00"/>
    <n v="100"/>
    <s v="FULL TIME      100000000FF100-FULL TIME"/>
    <s v="03/06/1996"/>
    <s v=""/>
    <s v="  "/>
    <s v=""/>
    <s v="EP  "/>
    <s v="    "/>
    <x v="0"/>
    <s v="NON ISCRITTO       NON ISCRITTO"/>
    <s v="samantha.gori@ilsole24ore.com                     "/>
    <s v="F"/>
    <s v="F-FIRMA"/>
    <s v="1 "/>
    <s v="1=5 X 8"/>
    <s v="01/07/2025"/>
    <s v="TEMPO DETERMINATO"/>
    <s v="31/05/2027"/>
    <s v="0015002100                    "/>
    <s v="PALMA ENRICA"/>
    <n v="52"/>
    <s v="I  "/>
  </r>
  <r>
    <x v="0"/>
    <n v="1600"/>
    <x v="0"/>
    <s v="H           "/>
    <s v="DG SERVIZI PROFESSIONALI E FORMAZIONE"/>
    <x v="30"/>
    <x v="29"/>
    <s v="B10130      "/>
    <s v="B10130   SUPPORTO COMMERCIALE E SALES AC"/>
    <s v="NASONE                          "/>
    <s v="ANGELA            "/>
    <s v="NSNNGL73R64H501E"/>
    <x v="0"/>
    <s v="31"/>
    <x v="1"/>
    <s v="18/05/2009"/>
    <s v="ROMA                   "/>
    <x v="0"/>
    <x v="0"/>
    <s v="I"/>
    <x v="0"/>
    <s v="A  "/>
    <x v="0"/>
    <s v="17/07/2000"/>
    <s v="17/07/2000"/>
    <s v="24/10/1973"/>
    <s v="A"/>
    <s v="A.IN FORZA"/>
    <s v="1  -ASSUNZIONE                1"/>
    <s v=""/>
    <s v=" "/>
    <s v=""/>
    <s v=""/>
    <n v="1269"/>
    <s v="00"/>
    <n v="100"/>
    <s v="FULL TIME      100000000FF100-FULL TIME"/>
    <s v="17/07/2000"/>
    <s v=""/>
    <s v="  "/>
    <s v=""/>
    <s v="EV  "/>
    <s v="    "/>
    <x v="0"/>
    <s v="U.I.L.             U.I.L"/>
    <s v="angela.nasone@ilsole24ore.com                     "/>
    <s v="F"/>
    <s v="F-FIRMA"/>
    <s v="1 "/>
    <s v="1=5 X 8"/>
    <s v="01/07/2025"/>
    <s v="TEMPO DETERMINATO"/>
    <s v="31/05/2027"/>
    <s v="0015002100                    "/>
    <s v="PALMA ENRICA"/>
    <n v="52"/>
    <s v="I  "/>
  </r>
  <r>
    <x v="0"/>
    <n v="2100"/>
    <x v="0"/>
    <s v="H           "/>
    <s v="DG SERVIZI PROFESSIONALI E FORMAZIONE"/>
    <x v="30"/>
    <x v="29"/>
    <s v="B10130      "/>
    <s v="B10130   SUPPORTO COMMERCIALE E SALES AC"/>
    <s v="PALMA                           "/>
    <s v="ENRICA            "/>
    <s v="PLMNRC77B49H501U"/>
    <x v="0"/>
    <s v="31"/>
    <x v="1"/>
    <s v="04/04/2022"/>
    <s v="ROMA                   "/>
    <x v="0"/>
    <x v="0"/>
    <s v="F"/>
    <x v="2"/>
    <s v="Q  "/>
    <x v="8"/>
    <s v="01/04/2006"/>
    <s v="01/04/2006"/>
    <s v="09/02/1977"/>
    <s v="A"/>
    <s v="A.IN FORZA"/>
    <s v="1  -ASSUNZIONE                1"/>
    <s v=""/>
    <s v=" "/>
    <s v=""/>
    <s v=""/>
    <n v="1588"/>
    <s v="00"/>
    <n v="100"/>
    <s v="FULL TIME      100000000FF100-FULL TIME"/>
    <s v="01/04/2006"/>
    <s v=""/>
    <s v="  "/>
    <s v=""/>
    <s v="EP  "/>
    <s v="    "/>
    <x v="0"/>
    <s v="NON ISCRITTO       NON ISCRITTO"/>
    <s v="enrica.palma@ilsole24ore.com                      "/>
    <s v="F"/>
    <s v="F-FIRMA"/>
    <s v="1 "/>
    <s v="1=5 X 8"/>
    <s v="01/07/2025"/>
    <s v="TEMPO DETERMINATO"/>
    <s v="31/05/2027"/>
    <s v="0015002989                    "/>
    <s v="CONTERIO ANTONIO"/>
    <n v="48"/>
    <s v="I  "/>
  </r>
  <r>
    <x v="0"/>
    <n v="1875"/>
    <x v="0"/>
    <s v="H           "/>
    <s v="DG SERVIZI PROFESSIONALI E FORMAZIONE"/>
    <x v="30"/>
    <x v="29"/>
    <s v="B10130      "/>
    <s v="B10130   SUPPORTO COMMERCIALE E SALES AC"/>
    <s v="PELLICCIA                       "/>
    <s v="ANDREA            "/>
    <s v="PLLNDR76E06L182W"/>
    <x v="1"/>
    <s v="31"/>
    <x v="1"/>
    <s v="04/09/2023"/>
    <s v="ROMA                   "/>
    <x v="0"/>
    <x v="0"/>
    <s v="I"/>
    <x v="0"/>
    <s v="A  "/>
    <x v="0"/>
    <s v="02/04/2002"/>
    <s v="02/04/2002"/>
    <s v="06/05/1976"/>
    <s v="A"/>
    <s v="A.IN FORZA"/>
    <s v="1  -ASSUNZIONE                1"/>
    <s v=""/>
    <s v=" "/>
    <s v=""/>
    <s v=""/>
    <n v="1484"/>
    <s v="00"/>
    <n v="100"/>
    <s v="FULL TIME      100000000FF100-FULL TIME"/>
    <s v="02/04/2002"/>
    <s v=""/>
    <s v="  "/>
    <s v=""/>
    <s v="EP  "/>
    <s v="    "/>
    <x v="0"/>
    <s v="C.G.I.L.           C.G.I.L"/>
    <s v="andrea.pelliccia@ilsole24ore.com                  "/>
    <s v="F"/>
    <s v="F-FIRMA"/>
    <s v="1 "/>
    <s v="1=5 X 8"/>
    <s v="01/07/2025"/>
    <s v="TEMPO DETERMINATO"/>
    <s v="31/05/2027"/>
    <s v="0015002100                    "/>
    <s v="PALMA ENRICA"/>
    <n v="49"/>
    <s v="I  "/>
  </r>
  <r>
    <x v="0"/>
    <n v="1323"/>
    <x v="0"/>
    <s v="H           "/>
    <s v="DG SERVIZI PROFESSIONALI E FORMAZIONE"/>
    <x v="30"/>
    <x v="29"/>
    <s v="B10130      "/>
    <s v="B10130   SUPPORTO COMMERCIALE E SALES AC"/>
    <s v="PICCININI                       "/>
    <s v="MILVA             "/>
    <s v="PCCMLV64B50A515V"/>
    <x v="0"/>
    <s v="31"/>
    <x v="1"/>
    <s v="04/04/2022"/>
    <s v="ROMA                   "/>
    <x v="0"/>
    <x v="0"/>
    <s v="I"/>
    <x v="0"/>
    <s v="B1 "/>
    <x v="10"/>
    <s v="01/11/1999"/>
    <s v="01/11/1999"/>
    <s v="10/02/1964"/>
    <s v="A"/>
    <s v="A.IN FORZA"/>
    <s v="1  -ASSUNZIONE                1"/>
    <s v=""/>
    <s v=" "/>
    <s v=""/>
    <s v=""/>
    <n v="1050"/>
    <s v="00"/>
    <n v="100"/>
    <s v="FULL TIME      100000000FF100-FULL TIME"/>
    <s v="01/11/1999"/>
    <s v=""/>
    <s v="11"/>
    <s v="ORFANO/VEDOVA DEL LAVORO"/>
    <s v="EP  "/>
    <s v="    "/>
    <x v="0"/>
    <s v="NON ISCRITTO       NON ISCRITTO"/>
    <s v="milva.piccinini@ilsole24ore.com                   "/>
    <s v="F"/>
    <s v="F-FIRMA"/>
    <s v="1 "/>
    <s v="1=5 X 8"/>
    <s v="01/07/2025"/>
    <s v="TEMPO DETERMINATO"/>
    <s v="31/05/2027"/>
    <s v="0015002100                    "/>
    <s v="PALMA ENRICA"/>
    <n v="61"/>
    <s v="I  "/>
  </r>
  <r>
    <x v="0"/>
    <n v="2843"/>
    <x v="0"/>
    <s v="H           "/>
    <s v="DG SERVIZI PROFESSIONALI E FORMAZIONE"/>
    <x v="30"/>
    <x v="29"/>
    <s v="B10130      "/>
    <s v="B10130   SUPPORTO COMMERCIALE E SALES AC"/>
    <s v="RENZETTI                        "/>
    <s v="ELISABETTA        "/>
    <s v="RNZLBT85D44I992F"/>
    <x v="0"/>
    <s v="31"/>
    <x v="1"/>
    <s v="04/04/2022"/>
    <s v="ROMA                   "/>
    <x v="0"/>
    <x v="0"/>
    <s v="I"/>
    <x v="0"/>
    <s v="B2 "/>
    <x v="17"/>
    <s v="01/09/2015"/>
    <s v="01/09/2015"/>
    <s v="04/04/1985"/>
    <s v="A"/>
    <s v="A.IN FORZA"/>
    <s v="1  -ASSUNZIONE                1"/>
    <s v=""/>
    <s v=" "/>
    <s v=""/>
    <s v=""/>
    <n v="2843"/>
    <s v="00"/>
    <n v="100"/>
    <s v="FULL TIME      100000000FF100-FULL TIME"/>
    <s v="01/09/2015"/>
    <s v=""/>
    <s v="  "/>
    <s v=""/>
    <s v="EV  "/>
    <s v="    "/>
    <x v="0"/>
    <s v="NON ISCRITTO       NON ISCRITTO"/>
    <s v="elisabetta.renzetti@ilsole24ore.com               "/>
    <s v="F"/>
    <s v="F-FIRMA"/>
    <s v="1 "/>
    <s v="1=5 X 8"/>
    <s v="01/07/2025"/>
    <s v="TEMPO DETERMINATO"/>
    <s v="31/05/2027"/>
    <s v="0015002100                    "/>
    <s v="PALMA ENRICA"/>
    <n v="40"/>
    <s v="I  "/>
  </r>
  <r>
    <x v="0"/>
    <n v="2286"/>
    <x v="0"/>
    <s v="H           "/>
    <s v="DG SERVIZI PROFESSIONALI E FORMAZIONE"/>
    <x v="30"/>
    <x v="29"/>
    <s v="B10130      "/>
    <s v="B10130   SUPPORTO COMMERCIALE E SALES AC"/>
    <s v="VERNA                           "/>
    <s v="ALESSANDRA        "/>
    <s v="VRNLSN74M58H501K"/>
    <x v="0"/>
    <s v="31"/>
    <x v="1"/>
    <s v="04/04/2022"/>
    <s v="ROMA                   "/>
    <x v="0"/>
    <x v="0"/>
    <s v="I"/>
    <x v="0"/>
    <s v="A  "/>
    <x v="0"/>
    <s v="15/04/2008"/>
    <s v="15/04/2008"/>
    <s v="18/08/1974"/>
    <s v="A"/>
    <s v="A.IN FORZA"/>
    <s v="1  -ASSUNZIONE                1"/>
    <s v=""/>
    <s v=" "/>
    <s v=""/>
    <s v=""/>
    <n v="1711"/>
    <s v="00"/>
    <n v="100"/>
    <s v="FULL TIME      100000000FF100-FULL TIME"/>
    <s v="15/04/2008"/>
    <s v=""/>
    <s v="  "/>
    <s v=""/>
    <s v="EP  "/>
    <s v="    "/>
    <x v="0"/>
    <s v="NON ISCRITTO       NON ISCRITTO"/>
    <s v="alessandra.verna@ilsole24ore.com                  "/>
    <s v="F"/>
    <s v="F-FIRMA"/>
    <s v="1 "/>
    <s v="1=5 X 8"/>
    <s v="01/07/2025"/>
    <s v="TEMPO DETERMINATO"/>
    <s v="31/05/2027"/>
    <s v="0015002100                    "/>
    <s v="PALMA ENRICA"/>
    <n v="51"/>
    <s v="I  "/>
  </r>
  <r>
    <x v="0"/>
    <n v="2968"/>
    <x v="0"/>
    <s v="H           "/>
    <s v="DG SERVIZI PROFESSIONALI E FORMAZIONE"/>
    <x v="31"/>
    <x v="30"/>
    <s v="815115      "/>
    <s v="815115   AREA FISCO LAVORO"/>
    <s v="ESPOSITO                        "/>
    <s v="ROBERTO           "/>
    <s v="SPSRRT65D10F839E"/>
    <x v="1"/>
    <s v="34"/>
    <x v="0"/>
    <s v="01/04/2021"/>
    <s v="MILANO                 "/>
    <x v="1"/>
    <x v="1"/>
    <s v="D"/>
    <x v="1"/>
    <s v="D  "/>
    <x v="1"/>
    <s v="05/02/2019"/>
    <s v="05/02/2019"/>
    <s v="10/04/1965"/>
    <s v="A"/>
    <s v="A.IN FORZA"/>
    <s v="1  -ASSUNZIONE                1"/>
    <s v=""/>
    <s v=" "/>
    <s v=""/>
    <s v=""/>
    <n v="2968"/>
    <s v="00"/>
    <n v="100"/>
    <s v="FULL TIME      100000000FF100-FULL TIME"/>
    <s v="05/02/2019"/>
    <s v=""/>
    <s v="  "/>
    <s v=""/>
    <s v="DD  "/>
    <s v="    "/>
    <x v="0"/>
    <s v=""/>
    <s v="roberto.esposito@ilsole24ore.com                  "/>
    <s v="E"/>
    <s v="E-ESENTE"/>
    <s v="1 "/>
    <s v="1=5 X 8"/>
    <s v="01/07/2025"/>
    <s v="TEMPO DETERMINATO"/>
    <s v="31/05/2026"/>
    <s v="0015002988                    "/>
    <s v="MINELLA ERALDO"/>
    <n v="60"/>
    <s v="I  "/>
  </r>
  <r>
    <x v="0"/>
    <n v="3063"/>
    <x v="0"/>
    <s v="H           "/>
    <s v="DG SERVIZI PROFESSIONALI E FORMAZIONE"/>
    <x v="31"/>
    <x v="30"/>
    <s v="815115      "/>
    <s v="815115   AREA FISCO LAVORO"/>
    <s v="FEBBO                           "/>
    <s v="FRANCESCA         "/>
    <s v="FBBFNC92A60A485Y"/>
    <x v="0"/>
    <s v="34"/>
    <x v="0"/>
    <s v="02/01/2023"/>
    <s v="MILANO                 "/>
    <x v="0"/>
    <x v="0"/>
    <s v="I"/>
    <x v="0"/>
    <s v="A  "/>
    <x v="0"/>
    <s v="02/01/2023"/>
    <s v="02/01/2023"/>
    <s v="20/01/1992"/>
    <s v="A"/>
    <s v="A.IN FORZA"/>
    <s v="1  -ASSUNZIONE                1"/>
    <s v=""/>
    <s v=" "/>
    <s v=""/>
    <s v=""/>
    <n v="3063"/>
    <s v="00"/>
    <n v="100"/>
    <s v="FULL TIME      100000000FF100-FULL TIME"/>
    <s v="02/01/2023"/>
    <s v=""/>
    <s v="  "/>
    <s v=""/>
    <s v="EN  "/>
    <s v="    "/>
    <x v="0"/>
    <s v=""/>
    <s v="francesca.febbo@ilsole24ore.com                   "/>
    <s v="F"/>
    <s v="F-FIRMA"/>
    <s v="1 "/>
    <s v="1=5 X 8"/>
    <s v="01/10/2025"/>
    <s v="TEMPO DETERMINATO"/>
    <s v="31/03/2026"/>
    <s v="0015002990                    "/>
    <s v="TORCIANI MORENA"/>
    <n v="34"/>
    <s v="I  "/>
  </r>
  <r>
    <x v="0"/>
    <n v="3155"/>
    <x v="0"/>
    <s v="H           "/>
    <s v="DG SERVIZI PROFESSIONALI E FORMAZIONE"/>
    <x v="31"/>
    <x v="30"/>
    <s v="815115      "/>
    <s v="815115   AREA FISCO LAVORO"/>
    <s v="SALVATORELLI                    "/>
    <s v="SILVIA            "/>
    <s v="SLVSLV82C41G942M"/>
    <x v="0"/>
    <s v="34"/>
    <x v="0"/>
    <s v="01/07/2025"/>
    <s v="MILANO                 "/>
    <x v="0"/>
    <x v="0"/>
    <s v="I"/>
    <x v="0"/>
    <s v="B1 "/>
    <x v="10"/>
    <s v="01/07/2025"/>
    <s v="01/07/2025"/>
    <s v="01/03/1982"/>
    <s v="A"/>
    <s v="A.IN FORZA"/>
    <s v="1  -ASSUNZIONE                1"/>
    <s v=""/>
    <s v=" "/>
    <s v=""/>
    <s v=""/>
    <n v="3155"/>
    <s v="00"/>
    <n v="100"/>
    <s v="FULL TIME      100000000FF100-FULL TIME"/>
    <s v="01/07/2025"/>
    <s v=""/>
    <s v="  "/>
    <s v=""/>
    <s v="EN  "/>
    <s v="    "/>
    <x v="0"/>
    <s v=""/>
    <s v="silvia.salvatorelli@ilsole24ore.com               "/>
    <s v="F"/>
    <s v="F-FIRMA"/>
    <s v="1 "/>
    <s v="1=5 X 8"/>
    <s v="01/07/2025"/>
    <s v="TEMPO DETERMINATO"/>
    <s v="31/05/2027"/>
    <s v="0015002990                    "/>
    <s v="TORCIANI MORENA"/>
    <n v="43"/>
    <s v="I  "/>
  </r>
  <r>
    <x v="0"/>
    <n v="2990"/>
    <x v="0"/>
    <s v="H           "/>
    <s v="DG SERVIZI PROFESSIONALI E FORMAZIONE"/>
    <x v="31"/>
    <x v="30"/>
    <s v="815115      "/>
    <s v="815115   AREA FISCO LAVORO"/>
    <s v="TORCIANI                        "/>
    <s v="MORENA            "/>
    <s v="TRCMRN67P47G388Z"/>
    <x v="0"/>
    <s v="34"/>
    <x v="0"/>
    <s v="01/04/2021"/>
    <s v="MILANO                 "/>
    <x v="0"/>
    <x v="0"/>
    <s v="F"/>
    <x v="2"/>
    <s v="Q  "/>
    <x v="8"/>
    <s v="02/01/2020"/>
    <s v="02/01/2020"/>
    <s v="07/09/1967"/>
    <s v="A"/>
    <s v="A.IN FORZA"/>
    <s v="1  -ASSUNZIONE                1"/>
    <s v=""/>
    <s v=" "/>
    <s v=""/>
    <s v=""/>
    <n v="2990"/>
    <s v="00"/>
    <n v="100"/>
    <s v="FULL TIME      100000000FF100-FULL TIME"/>
    <s v="02/01/2020"/>
    <s v=""/>
    <s v="  "/>
    <s v=""/>
    <s v="EV  "/>
    <s v="    "/>
    <x v="0"/>
    <s v=""/>
    <s v="morena.torciani@ilsole24ore.com                   "/>
    <s v="F"/>
    <s v="F-FIRMA"/>
    <s v="1 "/>
    <s v="1=5 X 8"/>
    <s v="01/07/2025"/>
    <s v="TEMPO DETERMINATO"/>
    <s v="31/05/2027"/>
    <s v="0015002968                    "/>
    <s v="ESPOSITO ROBERTO"/>
    <n v="58"/>
    <s v="I  "/>
  </r>
  <r>
    <x v="0"/>
    <n v="637"/>
    <x v="0"/>
    <s v="H           "/>
    <s v="DG SERVIZI PROFESSIONALI E FORMAZIONE"/>
    <x v="31"/>
    <x v="30"/>
    <s v="81511510    "/>
    <s v="81511510 REDAZIONE FISCO"/>
    <s v="BELLELLI                        "/>
    <s v="GIOVANNA          "/>
    <s v="BLLGNN64S62A944A"/>
    <x v="0"/>
    <s v="34"/>
    <x v="0"/>
    <s v="01/04/2021"/>
    <s v="MILANO                 "/>
    <x v="0"/>
    <x v="0"/>
    <s v="I"/>
    <x v="0"/>
    <s v="A  "/>
    <x v="0"/>
    <s v="01/10/1992"/>
    <s v="01/10/1992"/>
    <s v="22/11/1964"/>
    <s v="A"/>
    <s v="A.IN FORZA"/>
    <s v="1  -ASSUNZIONE                1"/>
    <s v=""/>
    <s v=" "/>
    <s v=""/>
    <s v=""/>
    <n v="461"/>
    <s v="14"/>
    <n v="80"/>
    <s v="32 ORE GRAFICI 080000000PP32.0/40- PT 80.00-P"/>
    <s v="01/06/2023"/>
    <s v="30/11/2026"/>
    <s v="  "/>
    <s v=""/>
    <s v="EP  "/>
    <s v="    "/>
    <x v="0"/>
    <s v=""/>
    <s v="giovanna.bellelli@ilsole24ore.com                 "/>
    <s v="F"/>
    <s v="F-FIRMA"/>
    <s v="1 "/>
    <s v="1=5 X 8"/>
    <s v="01/07/2025"/>
    <s v="TEMPO DETERMINATO"/>
    <s v="31/05/2027"/>
    <s v="0015001197                    "/>
    <s v="RAVAGLIOLI SANDRA"/>
    <n v="61"/>
    <s v="I  "/>
  </r>
  <r>
    <x v="0"/>
    <n v="792"/>
    <x v="0"/>
    <s v="H           "/>
    <s v="DG SERVIZI PROFESSIONALI E FORMAZIONE"/>
    <x v="31"/>
    <x v="30"/>
    <s v="81511510    "/>
    <s v="81511510 REDAZIONE FISCO"/>
    <s v="BRUNS                           "/>
    <s v="MARINA MARIA      "/>
    <s v="BRNMNM64T69F205I"/>
    <x v="0"/>
    <s v="34"/>
    <x v="0"/>
    <s v="01/04/2021"/>
    <s v="MILANO                 "/>
    <x v="0"/>
    <x v="0"/>
    <s v="I"/>
    <x v="0"/>
    <s v="AS "/>
    <x v="7"/>
    <s v="11/07/1994"/>
    <s v="11/07/1994"/>
    <s v="29/12/1964"/>
    <s v="A"/>
    <s v="A.IN FORZA"/>
    <s v="1  -ASSUNZIONE                1"/>
    <s v=""/>
    <s v=" "/>
    <s v=""/>
    <s v=""/>
    <n v="596"/>
    <s v="00"/>
    <n v="100"/>
    <s v="FULL TIME      100000000FF100-FULL TIME"/>
    <s v="11/07/1994"/>
    <s v=""/>
    <s v="  "/>
    <s v=""/>
    <s v="EP  "/>
    <s v="    "/>
    <x v="0"/>
    <s v=""/>
    <s v="marina.bruns@ilsole24ore.com                      "/>
    <s v="F"/>
    <s v="F-FIRMA"/>
    <s v="1 "/>
    <s v="1=5 X 8"/>
    <s v="01/07/2025"/>
    <s v="TEMPO DETERMINATO"/>
    <s v="31/05/2027"/>
    <s v="0015001197                    "/>
    <s v="RAVAGLIOLI SANDRA"/>
    <n v="61"/>
    <s v="I  "/>
  </r>
  <r>
    <x v="0"/>
    <n v="3121"/>
    <x v="0"/>
    <s v="H           "/>
    <s v="DG SERVIZI PROFESSIONALI E FORMAZIONE"/>
    <x v="31"/>
    <x v="30"/>
    <s v="81511510    "/>
    <s v="81511510 REDAZIONE FISCO"/>
    <s v="CARROZZA                        "/>
    <s v="LUCIA             "/>
    <s v="CRRLCU94D50H703F"/>
    <x v="0"/>
    <s v="31"/>
    <x v="1"/>
    <s v="06/05/2024"/>
    <s v="ROMA                   "/>
    <x v="0"/>
    <x v="0"/>
    <s v="I"/>
    <x v="0"/>
    <s v="A  "/>
    <x v="0"/>
    <s v="06/05/2024"/>
    <s v="06/05/2024"/>
    <s v="10/04/1994"/>
    <s v="A"/>
    <s v="A.IN FORZA"/>
    <s v="1  -ASSUNZIONE                1"/>
    <s v=""/>
    <s v=" "/>
    <s v=""/>
    <s v=""/>
    <n v="3121"/>
    <s v="00"/>
    <n v="100"/>
    <s v="FULL TIME      100000000FF100-FULL TIME"/>
    <s v="06/05/2024"/>
    <s v=""/>
    <s v="  "/>
    <s v=""/>
    <s v="EN  "/>
    <s v="    "/>
    <x v="0"/>
    <s v=""/>
    <s v="lucia.carrozza@ilsole24ore.com                    "/>
    <s v="F"/>
    <s v="F-FIRMA"/>
    <s v="1 "/>
    <s v="1=5 X 8"/>
    <s v="01/07/2025"/>
    <s v="TEMPO DETERMINATO"/>
    <s v="31/05/2027"/>
    <s v="0015001444                    "/>
    <s v="GISMUNDI STEFANO"/>
    <n v="31"/>
    <s v="I  "/>
  </r>
  <r>
    <x v="0"/>
    <n v="1989"/>
    <x v="0"/>
    <s v="H           "/>
    <s v="DG SERVIZI PROFESSIONALI E FORMAZIONE"/>
    <x v="31"/>
    <x v="30"/>
    <s v="81511510    "/>
    <s v="81511510 REDAZIONE FISCO"/>
    <s v="DI GREGORIO                     "/>
    <s v="PAOLO             "/>
    <s v="DGRPLA70H11H501R"/>
    <x v="1"/>
    <s v="31"/>
    <x v="1"/>
    <s v="19/05/2009"/>
    <s v="ROMA                   "/>
    <x v="0"/>
    <x v="0"/>
    <s v="I"/>
    <x v="0"/>
    <s v="AS "/>
    <x v="7"/>
    <s v="01/12/2003"/>
    <s v="01/12/2003"/>
    <s v="11/06/1970"/>
    <s v="A"/>
    <s v="A.IN FORZA"/>
    <s v="1  -ASSUNZIONE                1"/>
    <s v=""/>
    <s v=" "/>
    <s v=""/>
    <s v=""/>
    <n v="1541"/>
    <s v="00"/>
    <n v="100"/>
    <s v="FULL TIME      100000000FF100-FULL TIME"/>
    <s v="01/12/2003"/>
    <s v=""/>
    <s v="  "/>
    <s v=""/>
    <s v="EP  "/>
    <s v="    "/>
    <x v="0"/>
    <s v=""/>
    <s v="paolo.digregorio@ilsole24ore.com                  "/>
    <s v="F"/>
    <s v="F-FIRMA"/>
    <s v="1 "/>
    <s v="1=5 X 8"/>
    <s v="01/07/2025"/>
    <s v="TEMPO DETERMINATO"/>
    <s v="31/05/2027"/>
    <s v="0015001444                    "/>
    <s v="GISMUNDI STEFANO"/>
    <n v="55"/>
    <s v="I  "/>
  </r>
  <r>
    <x v="0"/>
    <n v="1902"/>
    <x v="0"/>
    <s v="H           "/>
    <s v="DG SERVIZI PROFESSIONALI E FORMAZIONE"/>
    <x v="31"/>
    <x v="30"/>
    <s v="81511510    "/>
    <s v="81511510 REDAZIONE FISCO"/>
    <s v="FESTUCCIA                       "/>
    <s v="GIANNA            "/>
    <s v="FSTGNN65C70H501H"/>
    <x v="0"/>
    <s v="31"/>
    <x v="1"/>
    <s v="19/05/2009"/>
    <s v="ROMA                   "/>
    <x v="0"/>
    <x v="0"/>
    <s v="I"/>
    <x v="0"/>
    <s v="A  "/>
    <x v="0"/>
    <s v="08/07/2002"/>
    <s v="08/07/2002"/>
    <s v="30/03/1965"/>
    <s v="A"/>
    <s v="A.IN FORZA"/>
    <s v="1  -ASSUNZIONE                1"/>
    <s v=""/>
    <s v=" "/>
    <s v=""/>
    <s v=""/>
    <n v="1505"/>
    <s v="00"/>
    <n v="100"/>
    <s v="FULL TIME      100000000FF100-FULL TIME"/>
    <s v="08/07/2002"/>
    <s v=""/>
    <s v="  "/>
    <s v=""/>
    <s v="EP  "/>
    <s v="    "/>
    <x v="0"/>
    <s v="C.G.I.L.           C.G.I.L"/>
    <s v="gianna.festuccia@ilsole24ore.com                  "/>
    <s v="F"/>
    <s v="F-FIRMA"/>
    <s v="1 "/>
    <s v="1=5 X 8"/>
    <s v="01/07/2025"/>
    <s v="TEMPO DETERMINATO"/>
    <s v="31/05/2027"/>
    <s v="0015001444                    "/>
    <s v="GISMUNDI STEFANO"/>
    <n v="60"/>
    <s v="I  "/>
  </r>
  <r>
    <x v="0"/>
    <n v="3131"/>
    <x v="0"/>
    <s v="H           "/>
    <s v="DG SERVIZI PROFESSIONALI E FORMAZIONE"/>
    <x v="31"/>
    <x v="30"/>
    <s v="81511510    "/>
    <s v="81511510 REDAZIONE FISCO"/>
    <s v="GIORDANO                        "/>
    <s v="ALICE             "/>
    <s v="GRDLCA95R64B019Y"/>
    <x v="0"/>
    <s v="34"/>
    <x v="0"/>
    <s v="15/07/2024"/>
    <s v="MILANO                 "/>
    <x v="0"/>
    <x v="0"/>
    <s v="I"/>
    <x v="0"/>
    <s v="A  "/>
    <x v="0"/>
    <s v="15/07/2024"/>
    <s v="15/07/2024"/>
    <s v="24/10/1995"/>
    <s v="A"/>
    <s v="A.IN FORZA"/>
    <s v="1  -ASSUNZIONE                1"/>
    <s v=""/>
    <s v=" "/>
    <s v=""/>
    <s v=""/>
    <n v="3131"/>
    <s v="00"/>
    <n v="100"/>
    <s v="FULL TIME      100000000FF100-FULL TIME"/>
    <s v="15/07/2024"/>
    <s v=""/>
    <s v="  "/>
    <s v=""/>
    <s v="EN  "/>
    <s v="    "/>
    <x v="0"/>
    <s v=""/>
    <s v="alice.giordano@ilsole24ore.com                    "/>
    <s v="F"/>
    <s v="F-FIRMA"/>
    <s v="1 "/>
    <s v="1=5 X 8"/>
    <s v="01/07/2025"/>
    <s v="TEMPO DETERMINATO"/>
    <s v="31/05/2027"/>
    <s v="0015001197                    "/>
    <s v="RAVAGLIOLI SANDRA"/>
    <n v="30"/>
    <s v="I  "/>
  </r>
  <r>
    <x v="0"/>
    <n v="2202"/>
    <x v="0"/>
    <s v="H           "/>
    <s v="DG SERVIZI PROFESSIONALI E FORMAZIONE"/>
    <x v="31"/>
    <x v="30"/>
    <s v="81511510    "/>
    <s v="81511510 REDAZIONE FISCO"/>
    <s v="GIOVINE                         "/>
    <s v="LUCA              "/>
    <s v="GVNLCU70T30B639L"/>
    <x v="1"/>
    <s v="34"/>
    <x v="0"/>
    <s v="01/04/2021"/>
    <s v="MILANO                 "/>
    <x v="0"/>
    <x v="0"/>
    <s v="I"/>
    <x v="0"/>
    <s v="AS "/>
    <x v="7"/>
    <s v="02/07/2007"/>
    <s v="02/07/2007"/>
    <s v="30/12/1970"/>
    <s v="A"/>
    <s v="A.IN FORZA"/>
    <s v="1  -ASSUNZIONE                1"/>
    <s v=""/>
    <s v=" "/>
    <s v=""/>
    <s v=""/>
    <n v="1654"/>
    <s v="00"/>
    <n v="100"/>
    <s v="FULL TIME      100000000FF100-FULL TIME"/>
    <s v="02/07/2007"/>
    <s v=""/>
    <s v="  "/>
    <s v=""/>
    <s v="EP  "/>
    <s v="    "/>
    <x v="0"/>
    <s v=""/>
    <s v="luca.giovine@ilsole24ore.com                      "/>
    <s v="F"/>
    <s v="F-FIRMA"/>
    <s v="1 "/>
    <s v="1=5 X 8"/>
    <s v="01/07/2025"/>
    <s v="TEMPO DETERMINATO"/>
    <s v="31/05/2027"/>
    <s v="0015001197                    "/>
    <s v="RAVAGLIOLI SANDRA"/>
    <n v="55"/>
    <s v="I  "/>
  </r>
  <r>
    <x v="0"/>
    <n v="1444"/>
    <x v="0"/>
    <s v="H           "/>
    <s v="DG SERVIZI PROFESSIONALI E FORMAZIONE"/>
    <x v="31"/>
    <x v="30"/>
    <s v="81511510    "/>
    <s v="81511510 REDAZIONE FISCO"/>
    <s v="GISMUNDI                        "/>
    <s v="STEFANO           "/>
    <s v="GSMSFN71H24H501F"/>
    <x v="1"/>
    <s v="31"/>
    <x v="1"/>
    <s v="20/05/2009"/>
    <s v="ROMA                   "/>
    <x v="0"/>
    <x v="0"/>
    <s v="F"/>
    <x v="2"/>
    <s v="Q  "/>
    <x v="8"/>
    <s v="20/12/1999"/>
    <s v="20/12/1999"/>
    <s v="24/06/1971"/>
    <s v="A"/>
    <s v="A.IN FORZA"/>
    <s v="1  -ASSUNZIONE                1"/>
    <s v=""/>
    <s v=" "/>
    <s v=""/>
    <s v=""/>
    <n v="1146"/>
    <s v="00"/>
    <n v="100"/>
    <s v="FULL TIME      100000000FF100-FULL TIME"/>
    <s v="20/12/1999"/>
    <s v=""/>
    <s v="  "/>
    <s v=""/>
    <s v="EP  "/>
    <s v="    "/>
    <x v="0"/>
    <s v=""/>
    <s v="stefano.gismundi@ilsole24ore.com                  "/>
    <s v="F"/>
    <s v="F-FIRMA"/>
    <s v="1 "/>
    <s v="1=5 X 8"/>
    <s v="01/07/2025"/>
    <s v="TEMPO DETERMINATO"/>
    <s v="31/05/2027"/>
    <s v="0015002968                    "/>
    <s v="ESPOSITO ROBERTO"/>
    <n v="54"/>
    <s v="I  "/>
  </r>
  <r>
    <x v="0"/>
    <n v="1213"/>
    <x v="0"/>
    <s v="H           "/>
    <s v="DG SERVIZI PROFESSIONALI E FORMAZIONE"/>
    <x v="31"/>
    <x v="30"/>
    <s v="81511510    "/>
    <s v="81511510 REDAZIONE FISCO"/>
    <s v="LOPERGOLO                       "/>
    <s v="GIANLUCA          "/>
    <s v="LPRGLC68C22F052M"/>
    <x v="1"/>
    <s v="31"/>
    <x v="1"/>
    <s v="20/05/2009"/>
    <s v="ROMA                   "/>
    <x v="0"/>
    <x v="0"/>
    <s v="I"/>
    <x v="0"/>
    <s v="AS "/>
    <x v="7"/>
    <s v="04/01/1999"/>
    <s v="04/01/1999"/>
    <s v="22/03/1968"/>
    <s v="A"/>
    <s v="A.IN FORZA"/>
    <s v="1  -ASSUNZIONE                1"/>
    <s v=""/>
    <s v=" "/>
    <s v=""/>
    <s v=""/>
    <n v="956"/>
    <s v="00"/>
    <n v="100"/>
    <s v="FULL TIME      100000000FF100-FULL TIME"/>
    <s v="04/01/1999"/>
    <s v=""/>
    <s v="  "/>
    <s v=""/>
    <s v="EP  "/>
    <s v="    "/>
    <x v="0"/>
    <s v=""/>
    <s v="gianluca.lopergolo@ilsole24ore.com                "/>
    <s v="F"/>
    <s v="F-FIRMA"/>
    <s v="1 "/>
    <s v="1=5 X 8"/>
    <s v="01/07/2025"/>
    <s v="TEMPO DETERMINATO"/>
    <s v="31/05/2027"/>
    <s v="0015001444                    "/>
    <s v="GISMUNDI STEFANO"/>
    <n v="57"/>
    <s v="I  "/>
  </r>
  <r>
    <x v="0"/>
    <n v="799"/>
    <x v="0"/>
    <s v="H           "/>
    <s v="DG SERVIZI PROFESSIONALI E FORMAZIONE"/>
    <x v="31"/>
    <x v="30"/>
    <s v="81511510    "/>
    <s v="81511510 REDAZIONE FISCO"/>
    <s v="MONTEMURRO                      "/>
    <s v="ANNALISA          "/>
    <s v="MNTNLS64A52F839C"/>
    <x v="0"/>
    <s v="31"/>
    <x v="1"/>
    <s v="19/05/2009"/>
    <s v="ROMA                   "/>
    <x v="0"/>
    <x v="0"/>
    <s v="I"/>
    <x v="0"/>
    <s v="AS "/>
    <x v="7"/>
    <s v="22/09/1994"/>
    <s v="22/09/1994"/>
    <s v="12/01/1964"/>
    <s v="A"/>
    <s v="A.IN FORZA"/>
    <s v="1  -ASSUNZIONE                1"/>
    <s v=""/>
    <s v=" "/>
    <s v=""/>
    <s v=""/>
    <n v="603"/>
    <s v="00"/>
    <n v="100"/>
    <s v="FULL TIME      100000000FF100-FULL TIME"/>
    <s v="01/09/2014"/>
    <s v=""/>
    <s v="  "/>
    <s v=""/>
    <s v="EP  "/>
    <s v="    "/>
    <x v="0"/>
    <s v=""/>
    <s v="annalisa.montemurro@ilsole24ore.com               "/>
    <s v="F"/>
    <s v="F-FIRMA"/>
    <s v="1 "/>
    <s v="1=5 X 8"/>
    <s v="01/07/2025"/>
    <s v="TEMPO DETERMINATO"/>
    <s v="31/05/2027"/>
    <s v="0015001444                    "/>
    <s v="GISMUNDI STEFANO"/>
    <n v="62"/>
    <s v="I  "/>
  </r>
  <r>
    <x v="0"/>
    <n v="581"/>
    <x v="0"/>
    <s v="H           "/>
    <s v="DG SERVIZI PROFESSIONALI E FORMAZIONE"/>
    <x v="31"/>
    <x v="30"/>
    <s v="81511510    "/>
    <s v="81511510 REDAZIONE FISCO"/>
    <s v="PALMA                           "/>
    <s v="ALDA              "/>
    <s v="PLMLDA64L60H426J"/>
    <x v="0"/>
    <s v="34"/>
    <x v="0"/>
    <s v="01/04/2021"/>
    <s v="MILANO                 "/>
    <x v="0"/>
    <x v="0"/>
    <s v="I"/>
    <x v="0"/>
    <s v="A  "/>
    <x v="0"/>
    <s v="11/11/1991"/>
    <s v="11/11/1991"/>
    <s v="20/07/1964"/>
    <s v="A"/>
    <s v="A.IN FORZA"/>
    <s v="1  -ASSUNZIONE                1"/>
    <s v=""/>
    <s v=" "/>
    <s v=""/>
    <s v=""/>
    <n v="414"/>
    <s v="14"/>
    <n v="80"/>
    <s v="32 ORE GRAFICI 080000000PP32.0/40- PT 80.00-P"/>
    <s v="01/07/2023"/>
    <s v="30/06/2026"/>
    <s v="  "/>
    <s v=""/>
    <s v="EP  "/>
    <s v="    "/>
    <x v="0"/>
    <s v="C.G.I.L.           C.G.I.L"/>
    <s v="alda.palma@ilsole24ore.com                        "/>
    <s v="F"/>
    <s v="F-FIRMA"/>
    <s v="1 "/>
    <s v="1=5 X 8"/>
    <s v="01/07/2025"/>
    <s v="TEMPO DETERMINATO"/>
    <s v="31/05/2027"/>
    <s v="0015001197                    "/>
    <s v="RAVAGLIOLI SANDRA"/>
    <n v="61"/>
    <s v="I  "/>
  </r>
  <r>
    <x v="0"/>
    <n v="2101"/>
    <x v="0"/>
    <s v="H           "/>
    <s v="DG SERVIZI PROFESSIONALI E FORMAZIONE"/>
    <x v="31"/>
    <x v="30"/>
    <s v="81511510    "/>
    <s v="81511510 REDAZIONE FISCO"/>
    <s v="PARROTTA                        "/>
    <s v="CARMEN            "/>
    <s v="PRRCMN65H48H501L"/>
    <x v="0"/>
    <s v="31"/>
    <x v="1"/>
    <s v="20/05/2009"/>
    <s v="ROMA                   "/>
    <x v="0"/>
    <x v="0"/>
    <s v="I"/>
    <x v="0"/>
    <s v="A  "/>
    <x v="0"/>
    <s v="01/04/2006"/>
    <s v="01/04/2006"/>
    <s v="08/06/1965"/>
    <s v="A"/>
    <s v="A.IN FORZA"/>
    <s v="1  -ASSUNZIONE                1"/>
    <s v=""/>
    <s v=" "/>
    <s v=""/>
    <s v=""/>
    <n v="1589"/>
    <s v="00"/>
    <n v="100"/>
    <s v="FULL TIME      100000000FF100-FULL TIME"/>
    <s v="01/04/2006"/>
    <s v=""/>
    <s v="  "/>
    <s v=""/>
    <s v="EP  "/>
    <s v="    "/>
    <x v="0"/>
    <s v="C.G.I.L.           C.G.I.L"/>
    <s v="carmen.parrotta@ilsole24ore.com                   "/>
    <s v="F"/>
    <s v="F-FIRMA"/>
    <s v="1 "/>
    <s v="1=5 X 8"/>
    <s v="01/05/2025"/>
    <s v="TEMPO DETERMINATO"/>
    <s v="30/06/2026"/>
    <s v="0015001444                    "/>
    <s v="GISMUNDI STEFANO"/>
    <n v="60"/>
    <s v="I  "/>
  </r>
  <r>
    <x v="0"/>
    <n v="3141"/>
    <x v="0"/>
    <s v="H           "/>
    <s v="DG SERVIZI PROFESSIONALI E FORMAZIONE"/>
    <x v="31"/>
    <x v="30"/>
    <s v="81511510    "/>
    <s v="81511510 REDAZIONE FISCO"/>
    <s v="PERROTTI                        "/>
    <s v="VALENTINA         "/>
    <s v="PRRVNT97P64F839A"/>
    <x v="0"/>
    <s v="34"/>
    <x v="0"/>
    <s v="07/01/2025"/>
    <s v="MILANO                 "/>
    <x v="0"/>
    <x v="0"/>
    <s v="I"/>
    <x v="0"/>
    <s v="B1 "/>
    <x v="10"/>
    <s v="07/01/2025"/>
    <s v="07/01/2025"/>
    <s v="24/09/1997"/>
    <s v="A"/>
    <s v="A.IN FORZA"/>
    <s v="1  -ASSUNZIONE                1"/>
    <s v=""/>
    <s v=" "/>
    <s v=""/>
    <s v=""/>
    <n v="3141"/>
    <s v="00"/>
    <n v="100"/>
    <s v="FULL TIME      100000000FF100-FULL TIME"/>
    <s v="07/01/2025"/>
    <s v=""/>
    <s v="  "/>
    <s v=""/>
    <s v="EN  "/>
    <s v="    "/>
    <x v="0"/>
    <s v=""/>
    <s v="valentina.perrotti@ilsole24ore.com                "/>
    <s v="F"/>
    <s v="F-FIRMA"/>
    <s v="1 "/>
    <s v="1=5 X 8"/>
    <s v="01/07/2025"/>
    <s v="TEMPO DETERMINATO"/>
    <s v="31/05/2027"/>
    <s v="0015001197                    "/>
    <s v="RAVAGLIOLI SANDRA"/>
    <n v="28"/>
    <s v="I  "/>
  </r>
  <r>
    <x v="0"/>
    <n v="895"/>
    <x v="0"/>
    <s v="H           "/>
    <s v="DG SERVIZI PROFESSIONALI E FORMAZIONE"/>
    <x v="31"/>
    <x v="30"/>
    <s v="81511510    "/>
    <s v="81511510 REDAZIONE FISCO"/>
    <s v="PISCIOTTA                       "/>
    <s v="CINZIA            "/>
    <s v="PSCCNZ63D62G478U"/>
    <x v="0"/>
    <s v="34"/>
    <x v="0"/>
    <s v="01/04/2021"/>
    <s v="MILANO                 "/>
    <x v="0"/>
    <x v="0"/>
    <s v="I"/>
    <x v="0"/>
    <s v="A  "/>
    <x v="0"/>
    <s v="07/05/1996"/>
    <s v="07/05/1996"/>
    <s v="22/04/1963"/>
    <s v="A"/>
    <s v="A.IN FORZA"/>
    <s v="1  -ASSUNZIONE                1"/>
    <s v=""/>
    <s v=" "/>
    <s v=""/>
    <s v=""/>
    <n v="686"/>
    <s v="00"/>
    <n v="100"/>
    <s v="FULL TIME      100000000FF100-FULL TIME"/>
    <s v="07/05/1996"/>
    <s v=""/>
    <s v="  "/>
    <s v=""/>
    <s v="EP  "/>
    <s v="    "/>
    <x v="0"/>
    <s v=""/>
    <s v="cinzia.pisciotta@ilsole24ore.com                  "/>
    <s v="F"/>
    <s v="F-FIRMA"/>
    <s v="1 "/>
    <s v="1=5 X 8"/>
    <s v="01/07/2025"/>
    <s v="TEMPO DETERMINATO"/>
    <s v="31/05/2027"/>
    <s v="0015001197                    "/>
    <s v="RAVAGLIOLI SANDRA"/>
    <n v="62"/>
    <s v="I  "/>
  </r>
  <r>
    <x v="0"/>
    <n v="1197"/>
    <x v="0"/>
    <s v="H           "/>
    <s v="DG SERVIZI PROFESSIONALI E FORMAZIONE"/>
    <x v="31"/>
    <x v="30"/>
    <s v="81511510    "/>
    <s v="81511510 REDAZIONE FISCO"/>
    <s v="RAVAGLIOLI                      "/>
    <s v="SANDRA            "/>
    <s v="RVGSDR67L64F205U"/>
    <x v="0"/>
    <s v="34"/>
    <x v="0"/>
    <s v="01/04/2021"/>
    <s v="MILANO                 "/>
    <x v="0"/>
    <x v="0"/>
    <s v="F"/>
    <x v="2"/>
    <s v="Q  "/>
    <x v="8"/>
    <s v="16/11/1998"/>
    <s v="16/11/1998"/>
    <s v="24/07/1967"/>
    <s v="A"/>
    <s v="A.IN FORZA"/>
    <s v="1  -ASSUNZIONE                1"/>
    <s v=""/>
    <s v=" "/>
    <s v=""/>
    <s v=""/>
    <n v="944"/>
    <s v="00"/>
    <n v="100"/>
    <s v="FULL TIME      100000000FF100-FULL TIME"/>
    <s v="01/06/2011"/>
    <s v=""/>
    <s v="  "/>
    <s v=""/>
    <s v="EP  "/>
    <s v="    "/>
    <x v="0"/>
    <s v=""/>
    <s v="sandra.ravaglioli@ilsole24ore.com                 "/>
    <s v="F"/>
    <s v="F-FIRMA"/>
    <s v="1 "/>
    <s v="1=5 X 8"/>
    <s v="01/07/2025"/>
    <s v="TEMPO DETERMINATO"/>
    <s v="31/05/2027"/>
    <s v="0015002968                    "/>
    <s v="ESPOSITO ROBERTO"/>
    <n v="58"/>
    <s v="I  "/>
  </r>
  <r>
    <x v="0"/>
    <n v="1850"/>
    <x v="0"/>
    <s v="H           "/>
    <s v="DG SERVIZI PROFESSIONALI E FORMAZIONE"/>
    <x v="31"/>
    <x v="30"/>
    <s v="81511510    "/>
    <s v="81511510 REDAZIONE FISCO"/>
    <s v="SPIGA                           "/>
    <s v="PAOLO             "/>
    <s v="SPGPLA66S01H501K"/>
    <x v="1"/>
    <s v="31"/>
    <x v="1"/>
    <s v="19/05/2009"/>
    <s v="ROMA                   "/>
    <x v="0"/>
    <x v="0"/>
    <s v="I"/>
    <x v="0"/>
    <s v="AS "/>
    <x v="7"/>
    <s v="01/02/2001"/>
    <s v="23/06/2000"/>
    <s v="01/11/1966"/>
    <s v="A"/>
    <s v="A.IN FORZA"/>
    <s v="2  -VARIAZIONE SOCIETARIA     2"/>
    <s v=""/>
    <s v=" "/>
    <s v=""/>
    <s v=""/>
    <n v="1470"/>
    <s v="00"/>
    <n v="100"/>
    <s v="FULL TIME      100000000FF100-FULL TIME"/>
    <s v="01/02/2001"/>
    <s v=""/>
    <s v="  "/>
    <s v=""/>
    <s v="EV  "/>
    <s v="    "/>
    <x v="0"/>
    <s v="C.G.I.L.           C.G.I.L"/>
    <s v="paolo.spiga@ilsole24ore.com                       "/>
    <s v="F"/>
    <s v="F-FIRMA"/>
    <s v="1 "/>
    <s v="1=5 X 8"/>
    <s v="01/07/2025"/>
    <s v="TEMPO DETERMINATO"/>
    <s v="31/05/2027"/>
    <s v="0015001444                    "/>
    <s v="GISMUNDI STEFANO"/>
    <n v="59"/>
    <s v="I  "/>
  </r>
  <r>
    <x v="0"/>
    <n v="1522"/>
    <x v="0"/>
    <s v="H           "/>
    <s v="DG SERVIZI PROFESSIONALI E FORMAZIONE"/>
    <x v="31"/>
    <x v="30"/>
    <s v="815130      "/>
    <s v="815130   REDAZIONE FISCO - TRENTO"/>
    <s v="CALLEGARI                       "/>
    <s v="ILARIA            "/>
    <s v="CLLLRI70T67L378P"/>
    <x v="0"/>
    <s v="65"/>
    <x v="3"/>
    <s v="30/05/2016"/>
    <s v="TRENTO                 "/>
    <x v="0"/>
    <x v="0"/>
    <s v="I"/>
    <x v="0"/>
    <s v="AS "/>
    <x v="7"/>
    <s v="10/04/2000"/>
    <s v="10/04/2000"/>
    <s v="27/12/1970"/>
    <s v="A"/>
    <s v="A.IN FORZA"/>
    <s v="1  -ASSUNZIONE                1"/>
    <s v=""/>
    <s v=" "/>
    <s v=""/>
    <s v=""/>
    <n v="1203"/>
    <s v="02"/>
    <n v="75"/>
    <s v="30 H O GRA/RADI075000000PP30.0/40- PT 75.00-P"/>
    <s v="01/04/2019"/>
    <s v="30/06/2026"/>
    <s v="  "/>
    <s v=""/>
    <s v="EP  "/>
    <s v="    "/>
    <x v="0"/>
    <s v="C.G.I.L.           C.G.I.L"/>
    <s v="ilaria.callegari@ilsole24ore.com                  "/>
    <s v="F"/>
    <s v="F-FIRMA"/>
    <s v="1 "/>
    <s v="1=5 X 8"/>
    <s v="01/07/2025"/>
    <s v="TEMPO DETERMINATO"/>
    <s v="31/05/2027"/>
    <s v="0015001197                    "/>
    <s v="RAVAGLIOLI SANDRA"/>
    <n v="55"/>
    <s v="I  "/>
  </r>
  <r>
    <x v="0"/>
    <n v="1126"/>
    <x v="0"/>
    <s v="H           "/>
    <s v="DG SERVIZI PROFESSIONALI E FORMAZIONE"/>
    <x v="31"/>
    <x v="30"/>
    <s v="815130      "/>
    <s v="815130   REDAZIONE FISCO - TRENTO"/>
    <s v="COSER                           "/>
    <s v="ROBERTA           "/>
    <s v="CSRRRT68H48L378A"/>
    <x v="0"/>
    <s v="65"/>
    <x v="3"/>
    <s v="30/05/2016"/>
    <s v="TRENTO                 "/>
    <x v="0"/>
    <x v="0"/>
    <s v="I"/>
    <x v="0"/>
    <s v="A  "/>
    <x v="0"/>
    <s v="15/04/1998"/>
    <s v="15/04/1998"/>
    <s v="08/06/1968"/>
    <s v="A"/>
    <s v="A.IN FORZA"/>
    <s v="1  -ASSUNZIONE                1"/>
    <s v=""/>
    <s v=" "/>
    <s v=""/>
    <s v=""/>
    <n v="886"/>
    <s v="00"/>
    <n v="100"/>
    <s v="FULL TIME      100000000FF100-FULL TIME"/>
    <s v="15/04/1998"/>
    <s v=""/>
    <s v="  "/>
    <s v=""/>
    <s v="EP  "/>
    <s v="    "/>
    <x v="0"/>
    <s v="C.G.I.L.           C.G.I.L"/>
    <s v="roberta.coser@ilsole24ore.com                     "/>
    <s v="F"/>
    <s v="F-FIRMA"/>
    <s v="1 "/>
    <s v="1=5 X 8"/>
    <s v="01/07/2025"/>
    <s v="TEMPO DETERMINATO"/>
    <s v="31/05/2027"/>
    <s v="0015001197                    "/>
    <s v="RAVAGLIOLI SANDRA"/>
    <n v="57"/>
    <s v="I  "/>
  </r>
  <r>
    <x v="0"/>
    <n v="2212"/>
    <x v="0"/>
    <s v="H           "/>
    <s v="DG SERVIZI PROFESSIONALI E FORMAZIONE"/>
    <x v="31"/>
    <x v="30"/>
    <s v="815130      "/>
    <s v="815130   REDAZIONE FISCO - TRENTO"/>
    <s v="SARDI                           "/>
    <s v="PAOLO             "/>
    <s v="SRDPLA77S02E565C"/>
    <x v="1"/>
    <s v="65"/>
    <x v="3"/>
    <s v="30/05/2016"/>
    <s v="TRENTO                 "/>
    <x v="0"/>
    <x v="0"/>
    <s v="I"/>
    <x v="0"/>
    <s v="A  "/>
    <x v="0"/>
    <s v="04/07/2007"/>
    <s v="04/07/2007"/>
    <s v="02/11/1977"/>
    <s v="A"/>
    <s v="A.IN FORZA"/>
    <s v="1  -ASSUNZIONE                1"/>
    <s v=""/>
    <s v=" "/>
    <s v=""/>
    <s v=""/>
    <n v="1664"/>
    <s v="00"/>
    <n v="100"/>
    <s v="FULL TIME      100000000FF100-FULL TIME"/>
    <s v="04/07/2007"/>
    <s v=""/>
    <s v="  "/>
    <s v=""/>
    <s v="EP  "/>
    <s v="    "/>
    <x v="0"/>
    <s v="C.G.I.L.           C.G.I.L"/>
    <s v="paolo.sardi@ilsole24ore.com                       "/>
    <s v="F"/>
    <s v="F-FIRMA"/>
    <s v="1 "/>
    <s v="1=5 X 8"/>
    <s v="01/07/2025"/>
    <s v="TEMPO DETERMINATO"/>
    <s v="31/05/2027"/>
    <s v="0015001197                    "/>
    <s v="RAVAGLIOLI SANDRA"/>
    <n v="48"/>
    <s v="I  "/>
  </r>
  <r>
    <x v="0"/>
    <n v="2171"/>
    <x v="0"/>
    <s v="H           "/>
    <s v="DG SERVIZI PROFESSIONALI E FORMAZIONE"/>
    <x v="31"/>
    <x v="30"/>
    <s v="815200      "/>
    <s v="815200   REDAZIONE LAVORO"/>
    <s v="COLANTONI                       "/>
    <s v="CLAUDIA           "/>
    <s v="CLNCLD73L45H501C"/>
    <x v="0"/>
    <s v="31"/>
    <x v="1"/>
    <s v="20/05/2009"/>
    <s v="ROMA                   "/>
    <x v="0"/>
    <x v="0"/>
    <s v="I"/>
    <x v="0"/>
    <s v="A  "/>
    <x v="0"/>
    <s v="20/02/2007"/>
    <s v="20/02/2007"/>
    <s v="05/07/1973"/>
    <s v="A"/>
    <s v="A.IN FORZA"/>
    <s v="1  -ASSUNZIONE                1"/>
    <s v=""/>
    <s v=" "/>
    <s v=""/>
    <s v=""/>
    <n v="1635"/>
    <s v="00"/>
    <n v="100"/>
    <s v="FULL TIME      100000000FF100-FULL TIME"/>
    <s v="20/02/2007"/>
    <s v=""/>
    <s v="  "/>
    <s v=""/>
    <s v="EP  "/>
    <s v="    "/>
    <x v="0"/>
    <s v=""/>
    <s v="claudia.colantoni@ilsole24ore.com                 "/>
    <s v="F"/>
    <s v="F-FIRMA"/>
    <s v="1 "/>
    <s v="1=5 X 8"/>
    <s v="01/07/2025"/>
    <s v="TEMPO DETERMINATO"/>
    <s v="31/05/2027"/>
    <s v="0015001330                    "/>
    <s v="COPPOLA DANIELA"/>
    <n v="52"/>
    <s v="I  "/>
  </r>
  <r>
    <x v="0"/>
    <n v="1330"/>
    <x v="0"/>
    <s v="H           "/>
    <s v="DG SERVIZI PROFESSIONALI E FORMAZIONE"/>
    <x v="31"/>
    <x v="30"/>
    <s v="815200      "/>
    <s v="815200   REDAZIONE LAVORO"/>
    <s v="COPPOLA                         "/>
    <s v="DANIELA           "/>
    <s v="CPPDNL69B61H501D"/>
    <x v="0"/>
    <s v="31"/>
    <x v="1"/>
    <s v="19/05/2009"/>
    <s v="ROMA                   "/>
    <x v="0"/>
    <x v="0"/>
    <s v="F"/>
    <x v="2"/>
    <s v="Q  "/>
    <x v="8"/>
    <s v="02/11/1999"/>
    <s v="02/11/1999"/>
    <s v="21/02/1969"/>
    <s v="A"/>
    <s v="A.IN FORZA"/>
    <s v="1  -ASSUNZIONE                1"/>
    <s v=""/>
    <s v=" "/>
    <s v=""/>
    <s v=""/>
    <n v="1053"/>
    <s v="00"/>
    <n v="100"/>
    <s v="FULL TIME      100000000FF100-FULL TIME"/>
    <s v="02/11/1999"/>
    <s v=""/>
    <s v="  "/>
    <s v=""/>
    <s v="EP  "/>
    <s v="    "/>
    <x v="0"/>
    <s v=""/>
    <s v="daniela.coppola@ilsole24ore.com                   "/>
    <s v="F"/>
    <s v="F-FIRMA"/>
    <s v="1 "/>
    <s v="1=5 X 8"/>
    <s v="01/07/2025"/>
    <s v="TEMPO DETERMINATO"/>
    <s v="31/05/2027"/>
    <s v="0015002968                    "/>
    <s v="ESPOSITO ROBERTO"/>
    <n v="56"/>
    <s v="I  "/>
  </r>
  <r>
    <x v="0"/>
    <n v="1049"/>
    <x v="0"/>
    <s v="H           "/>
    <s v="DG SERVIZI PROFESSIONALI E FORMAZIONE"/>
    <x v="31"/>
    <x v="30"/>
    <s v="815200      "/>
    <s v="815200   REDAZIONE LAVORO"/>
    <s v="GRASSI                          "/>
    <s v="ANGELA            "/>
    <s v="GRSNGL66S62F205U"/>
    <x v="0"/>
    <s v="34"/>
    <x v="0"/>
    <s v="01/04/2021"/>
    <s v="MILANO                 "/>
    <x v="0"/>
    <x v="0"/>
    <s v="I"/>
    <x v="0"/>
    <s v="AS "/>
    <x v="7"/>
    <s v="16/07/1997"/>
    <s v="16/07/1997"/>
    <s v="22/11/1966"/>
    <s v="A"/>
    <s v="A.IN FORZA"/>
    <s v="1  -ASSUNZIONE                1"/>
    <s v=""/>
    <s v=" "/>
    <s v=""/>
    <s v=""/>
    <n v="818"/>
    <s v="00"/>
    <n v="100"/>
    <s v="FULL TIME      100000000FF100-FULL TIME"/>
    <s v="16/07/1997"/>
    <s v=""/>
    <s v="  "/>
    <s v=""/>
    <s v="EP  "/>
    <s v="    "/>
    <x v="0"/>
    <s v=""/>
    <s v="angela.grassi@ilsole24ore.com                     "/>
    <s v="F"/>
    <s v="F-FIRMA"/>
    <s v="1 "/>
    <s v="1=5 X 8"/>
    <s v="01/07/2025"/>
    <s v="TEMPO DETERMINATO"/>
    <s v="31/05/2027"/>
    <s v="0015001330                    "/>
    <s v="COPPOLA DANIELA"/>
    <n v="59"/>
    <s v="I  "/>
  </r>
  <r>
    <x v="0"/>
    <n v="1180"/>
    <x v="0"/>
    <s v="H           "/>
    <s v="DG SERVIZI PROFESSIONALI E FORMAZIONE"/>
    <x v="31"/>
    <x v="30"/>
    <s v="815200      "/>
    <s v="815200   REDAZIONE LAVORO"/>
    <s v="MANGIONI                        "/>
    <s v="MARGHERITA        "/>
    <s v="MNGMGH73P43E507S"/>
    <x v="0"/>
    <s v="34"/>
    <x v="0"/>
    <s v="01/04/2021"/>
    <s v="MILANO                 "/>
    <x v="0"/>
    <x v="0"/>
    <s v="I"/>
    <x v="0"/>
    <s v="AS "/>
    <x v="7"/>
    <s v="01/10/1998"/>
    <s v="01/10/1998"/>
    <s v="03/09/1973"/>
    <s v="A"/>
    <s v="A.IN FORZA"/>
    <s v="1  -ASSUNZIONE                1"/>
    <s v=""/>
    <s v=" "/>
    <s v=""/>
    <s v=""/>
    <n v="928"/>
    <s v="00"/>
    <n v="100"/>
    <s v="FULL TIME      100000000FF100-FULL TIME"/>
    <s v="01/09/2013"/>
    <s v=""/>
    <s v="  "/>
    <s v=""/>
    <s v="EP  "/>
    <s v="    "/>
    <x v="0"/>
    <s v=""/>
    <s v="margherita.mangioni@ilsole24ore.com               "/>
    <s v="F"/>
    <s v="F-FIRMA"/>
    <s v="1 "/>
    <s v="1=5 X 8"/>
    <s v="01/07/2025"/>
    <s v="TEMPO DETERMINATO"/>
    <s v="31/05/2027"/>
    <s v="0015001330                    "/>
    <s v="COPPOLA DANIELA"/>
    <n v="52"/>
    <s v="I  "/>
  </r>
  <r>
    <x v="0"/>
    <n v="2046"/>
    <x v="0"/>
    <s v="H           "/>
    <s v="DG SERVIZI PROFESSIONALI E FORMAZIONE"/>
    <x v="31"/>
    <x v="30"/>
    <s v="815200      "/>
    <s v="815200   REDAZIONE LAVORO"/>
    <s v="MARIANI                         "/>
    <s v="LIA               "/>
    <s v="MRNLIA74B46A345T"/>
    <x v="0"/>
    <s v="31"/>
    <x v="1"/>
    <s v="19/05/2009"/>
    <s v="ROMA                   "/>
    <x v="0"/>
    <x v="0"/>
    <s v="I"/>
    <x v="0"/>
    <s v="A  "/>
    <x v="0"/>
    <s v="20/12/2004"/>
    <s v="20/12/2004"/>
    <s v="06/02/1974"/>
    <s v="A"/>
    <s v="A.IN FORZA"/>
    <s v="1  -ASSUNZIONE                1"/>
    <s v=""/>
    <s v=" "/>
    <s v=""/>
    <s v=""/>
    <n v="1567"/>
    <s v="08"/>
    <n v="62.5"/>
    <s v="25 ORE GRAFICI 062500000PP25.0/40- PT 62.50-P"/>
    <s v="01/04/2018"/>
    <s v="30/06/2026"/>
    <s v="  "/>
    <s v=""/>
    <s v="EV  "/>
    <s v="    "/>
    <x v="0"/>
    <s v=""/>
    <s v="lia.mariani@ilsole24ore.com                       "/>
    <s v="F"/>
    <s v="F-FIRMA"/>
    <s v="1 "/>
    <s v="1=5 X 8"/>
    <s v="01/07/2025"/>
    <s v="TEMPO DETERMINATO"/>
    <s v="31/05/2027"/>
    <s v="0015001330                    "/>
    <s v="COPPOLA DANIELA"/>
    <n v="51"/>
    <s v="I  "/>
  </r>
  <r>
    <x v="0"/>
    <n v="1777"/>
    <x v="0"/>
    <s v="H           "/>
    <s v="DG SERVIZI PROFESSIONALI E FORMAZIONE"/>
    <x v="31"/>
    <x v="30"/>
    <s v="815200      "/>
    <s v="815200   REDAZIONE LAVORO"/>
    <s v="PESARESI                        "/>
    <s v="ANTONIO MARCO     "/>
    <s v="PSRNNM69H10L682A"/>
    <x v="1"/>
    <s v="34"/>
    <x v="0"/>
    <s v="01/04/2021"/>
    <s v="MILANO                 "/>
    <x v="0"/>
    <x v="0"/>
    <s v="I"/>
    <x v="0"/>
    <s v="AS "/>
    <x v="7"/>
    <s v="01/07/2001"/>
    <s v="15/05/2000"/>
    <s v="10/06/1969"/>
    <s v="A"/>
    <s v="A.IN FORZA"/>
    <s v="2  -VARIAZIONE SOCIETARIA     2"/>
    <s v=""/>
    <s v=" "/>
    <s v=""/>
    <s v=""/>
    <n v="1404"/>
    <s v="00"/>
    <n v="100"/>
    <s v="FULL TIME      100000000FF100-FULL TIME"/>
    <s v="01/07/2001"/>
    <s v=""/>
    <s v="  "/>
    <s v=""/>
    <s v="EP  "/>
    <s v="    "/>
    <x v="0"/>
    <s v=""/>
    <s v="antonio.pesaresi@ilsole24ore.com                  "/>
    <s v="F"/>
    <s v="F-FIRMA"/>
    <s v="1 "/>
    <s v="1=5 X 8"/>
    <s v="01/07/2025"/>
    <s v="TEMPO DETERMINATO"/>
    <s v="31/05/2027"/>
    <s v="0015001330                    "/>
    <s v="COPPOLA DANIELA"/>
    <n v="56"/>
    <s v="I  "/>
  </r>
  <r>
    <x v="0"/>
    <n v="1149"/>
    <x v="0"/>
    <s v="H           "/>
    <s v="DG SERVIZI PROFESSIONALI E FORMAZIONE"/>
    <x v="31"/>
    <x v="30"/>
    <s v="815200      "/>
    <s v="815200   REDAZIONE LAVORO"/>
    <s v="VARRIANO                        "/>
    <s v="MICHELA           "/>
    <s v="VRRMHL64M69H501D"/>
    <x v="0"/>
    <s v="31"/>
    <x v="1"/>
    <s v="19/05/2009"/>
    <s v="ROMA                   "/>
    <x v="0"/>
    <x v="0"/>
    <s v="I"/>
    <x v="0"/>
    <s v="AS "/>
    <x v="7"/>
    <s v="01/07/1998"/>
    <s v="01/07/1998"/>
    <s v="29/08/1964"/>
    <s v="A"/>
    <s v="A.IN FORZA"/>
    <s v="1  -ASSUNZIONE                1"/>
    <s v=""/>
    <s v=" "/>
    <s v=""/>
    <s v=""/>
    <n v="906"/>
    <s v="00"/>
    <n v="100"/>
    <s v="FULL TIME      100000000FF100-FULL TIME"/>
    <s v="01/07/1998"/>
    <s v=""/>
    <s v="  "/>
    <s v=""/>
    <s v="EP  "/>
    <s v="    "/>
    <x v="0"/>
    <s v="C.G.I.L.           C.G.I.L"/>
    <s v="michela.varriano@ilsole24ore.com                  "/>
    <s v="F"/>
    <s v="F-FIRMA"/>
    <s v="1 "/>
    <s v="1=5 X 8"/>
    <s v="01/07/2025"/>
    <s v="TEMPO DETERMINATO"/>
    <s v="31/05/2027"/>
    <s v="0015001330                    "/>
    <s v="COPPOLA DANIELA"/>
    <n v="61"/>
    <s v="I  "/>
  </r>
  <r>
    <x v="0"/>
    <n v="1713"/>
    <x v="0"/>
    <s v="H           "/>
    <s v="DG SERVIZI PROFESSIONALI E FORMAZIONE"/>
    <x v="31"/>
    <x v="30"/>
    <s v="E11010      "/>
    <s v="E11010   REDAZIONE ESPERTO RISPONDE"/>
    <s v="GAGGINI                         "/>
    <s v="MARCO             "/>
    <s v="GGGMRC63A06F205L"/>
    <x v="1"/>
    <s v="34"/>
    <x v="0"/>
    <s v="01/04/2021"/>
    <s v="MILANO                 "/>
    <x v="3"/>
    <x v="3"/>
    <s v="I"/>
    <x v="0"/>
    <s v="07 "/>
    <x v="12"/>
    <s v="02/01/2001"/>
    <s v="02/01/2001"/>
    <s v="06/01/1963"/>
    <s v="A"/>
    <s v="A.IN FORZA"/>
    <s v="1  -ASSUNZIONE                1"/>
    <s v=""/>
    <s v=" "/>
    <s v=""/>
    <s v=""/>
    <n v="1359"/>
    <s v="00"/>
    <n v="100"/>
    <s v="FULL TIME      100000000FF100-FULL TIME"/>
    <s v="02/01/2001"/>
    <s v=""/>
    <s v="  "/>
    <s v=""/>
    <s v="PSO "/>
    <s v="    "/>
    <x v="0"/>
    <s v=""/>
    <s v="marco.gaggini@ilsole24ore.com                     "/>
    <s v="T"/>
    <s v="T-TIMBRA"/>
    <s v="7 "/>
    <s v="7=5 X 7.20"/>
    <s v=""/>
    <s v=""/>
    <s v=""/>
    <s v="0015000550                    "/>
    <s v="RICCI LUCCHI EMANUELA"/>
    <n v="63"/>
    <s v="I  "/>
  </r>
  <r>
    <x v="0"/>
    <n v="550"/>
    <x v="0"/>
    <s v="H           "/>
    <s v="DG SERVIZI PROFESSIONALI E FORMAZIONE"/>
    <x v="31"/>
    <x v="30"/>
    <s v="E11010      "/>
    <s v="E11010   REDAZIONE ESPERTO RISPONDE"/>
    <s v="RICCI LUCCHI                    "/>
    <s v="EMANUELA          "/>
    <s v="RCCMNL66H64E783R"/>
    <x v="0"/>
    <s v="34"/>
    <x v="0"/>
    <s v="01/04/2021"/>
    <s v="MILANO                 "/>
    <x v="3"/>
    <x v="3"/>
    <s v="I"/>
    <x v="0"/>
    <s v="09 "/>
    <x v="14"/>
    <s v="02/09/1991"/>
    <s v="02/09/1991"/>
    <s v="24/06/1966"/>
    <s v="A"/>
    <s v="A.IN FORZA"/>
    <s v="1  -ASSUNZIONE                1"/>
    <s v=""/>
    <s v=" "/>
    <s v=""/>
    <s v=""/>
    <n v="386"/>
    <s v="00"/>
    <n v="100"/>
    <s v="FULL TIME      100000000FF100-FULL TIME"/>
    <s v="02/09/1991"/>
    <s v=""/>
    <s v="  "/>
    <s v=""/>
    <s v="PSO "/>
    <s v="    "/>
    <x v="0"/>
    <s v="U.I.L.             U.I.L"/>
    <s v="emanuela.riccilucchi@ilsole24ore.com              "/>
    <s v="F"/>
    <s v="F-FIRMA"/>
    <s v="7 "/>
    <s v="7=5 X 7.20"/>
    <s v="01/07/2025"/>
    <s v="TEMPO DETERMINATO"/>
    <s v="31/05/2027"/>
    <s v="0015002968                    "/>
    <s v="ESPOSITO ROBERTO"/>
    <n v="59"/>
    <s v="I  "/>
  </r>
  <r>
    <x v="0"/>
    <n v="365"/>
    <x v="0"/>
    <s v="H           "/>
    <s v="DG SERVIZI PROFESSIONALI E FORMAZIONE"/>
    <x v="31"/>
    <x v="30"/>
    <s v="E11010      "/>
    <s v="E11010   REDAZIONE ESPERTO RISPONDE"/>
    <s v="ROSSI                           "/>
    <s v="SONIA             "/>
    <s v="RSSSNO68S66E388C"/>
    <x v="0"/>
    <s v="34"/>
    <x v="0"/>
    <s v="01/04/2021"/>
    <s v="MILANO                 "/>
    <x v="0"/>
    <x v="0"/>
    <s v="I"/>
    <x v="0"/>
    <s v="B2 "/>
    <x v="17"/>
    <s v="05/09/1988"/>
    <s v="05/09/1988"/>
    <s v="26/11/1968"/>
    <s v="A"/>
    <s v="A.IN FORZA"/>
    <s v="1  -ASSUNZIONE                1"/>
    <s v=""/>
    <s v=" "/>
    <s v=""/>
    <s v=""/>
    <n v="265"/>
    <s v="00"/>
    <n v="100"/>
    <s v="FULL TIME      100000000FF100-FULL TIME"/>
    <s v="05/09/1988"/>
    <s v=""/>
    <s v="06"/>
    <s v="SORDOMUTI"/>
    <s v="EV  "/>
    <s v="    "/>
    <x v="0"/>
    <s v=""/>
    <s v="sonia.rossi@ilsole24ore.com                       "/>
    <s v="T"/>
    <s v="T-TIMBRA"/>
    <s v="1 "/>
    <s v="1=5 X 8"/>
    <s v="01/07/2025"/>
    <s v="TEMPO DETERMINATO"/>
    <s v="31/05/2027"/>
    <s v="0015000550                    "/>
    <s v="RICCI LUCCHI EMANUELA"/>
    <n v="57"/>
    <s v="I  "/>
  </r>
  <r>
    <x v="0"/>
    <n v="1910"/>
    <x v="0"/>
    <s v="H           "/>
    <s v="DG SERVIZI PROFESSIONALI E FORMAZIONE"/>
    <x v="31"/>
    <x v="30"/>
    <s v="E11010      "/>
    <s v="E11010   REDAZIONE ESPERTO RISPONDE"/>
    <s v="VALIA                           "/>
    <s v="DOMENICO          "/>
    <s v="VLADNC69H21B036G"/>
    <x v="1"/>
    <s v="34"/>
    <x v="0"/>
    <s v="01/04/2021"/>
    <s v="MILANO                 "/>
    <x v="0"/>
    <x v="0"/>
    <s v="I"/>
    <x v="0"/>
    <s v="A  "/>
    <x v="0"/>
    <s v="10/10/2002"/>
    <s v="10/10/2002"/>
    <s v="21/06/1969"/>
    <s v="A"/>
    <s v="A.IN FORZA"/>
    <s v="1  -ASSUNZIONE                1"/>
    <s v=""/>
    <s v=" "/>
    <s v=""/>
    <s v=""/>
    <n v="1509"/>
    <s v="00"/>
    <n v="100"/>
    <s v="FULL TIME      100000000FF100-FULL TIME"/>
    <s v="10/10/2002"/>
    <s v=""/>
    <s v="05"/>
    <s v="INVALIDI CIVILI"/>
    <s v="EV  "/>
    <s v="    "/>
    <x v="0"/>
    <s v=""/>
    <s v="domenico.valia@ilsole24ore.com                    "/>
    <s v="F"/>
    <s v="F-FIRMA"/>
    <s v="1 "/>
    <s v="1=5 X 8"/>
    <s v="01/07/2025"/>
    <s v="TEMPO DETERMINATO"/>
    <s v="31/05/2027"/>
    <s v="0015000550                    "/>
    <s v="RICCI LUCCHI EMANUELA"/>
    <n v="56"/>
    <s v="I  "/>
  </r>
  <r>
    <x v="0"/>
    <n v="3108"/>
    <x v="0"/>
    <s v="H           "/>
    <s v="DG SERVIZI PROFESSIONALI E FORMAZIONE"/>
    <x v="32"/>
    <x v="31"/>
    <s v="815420      "/>
    <s v="815420   DIGITAL MARKETING SERV. PROF."/>
    <s v="BARBIERI                        "/>
    <s v="FRANCESCA         "/>
    <s v="BRBFNC99H43F205V"/>
    <x v="0"/>
    <s v="34"/>
    <x v="0"/>
    <s v="01/02/2024"/>
    <s v="MILANO                 "/>
    <x v="0"/>
    <x v="0"/>
    <s v="I"/>
    <x v="0"/>
    <s v="B1 "/>
    <x v="10"/>
    <s v="01/02/2024"/>
    <s v="01/02/2024"/>
    <s v="03/06/1999"/>
    <s v="A"/>
    <s v="A.IN FORZA"/>
    <s v="1  -ASSUNZIONE                1"/>
    <s v=""/>
    <s v=" "/>
    <s v=""/>
    <s v=""/>
    <n v="3108"/>
    <s v="00"/>
    <n v="100"/>
    <s v="FULL TIME      100000000FF100-FULL TIME"/>
    <s v="01/02/2024"/>
    <s v=""/>
    <s v="  "/>
    <s v=""/>
    <s v="EN  "/>
    <s v="    "/>
    <x v="0"/>
    <s v=""/>
    <s v="francesca.barbieri2@ilsole24ore.com               "/>
    <s v="F"/>
    <s v="F-FIRMA"/>
    <s v="1 "/>
    <s v="1=5 X 8"/>
    <s v="01/07/2025"/>
    <s v="TEMPO DETERMINATO"/>
    <s v="31/05/2027"/>
    <s v="0015002144                    "/>
    <s v="CORSI FLAVIO"/>
    <n v="26"/>
    <s v="I  "/>
  </r>
  <r>
    <x v="0"/>
    <n v="2322"/>
    <x v="0"/>
    <s v="H           "/>
    <s v="DG SERVIZI PROFESSIONALI E FORMAZIONE"/>
    <x v="32"/>
    <x v="31"/>
    <s v="815420      "/>
    <s v="815420   DIGITAL MARKETING SERV. PROF."/>
    <s v="BOSCARINO                       "/>
    <s v="GIUSEPPINA        "/>
    <s v="BSCGPP81M44I754H"/>
    <x v="0"/>
    <s v="34"/>
    <x v="0"/>
    <s v="01/04/2021"/>
    <s v="MILANO                 "/>
    <x v="0"/>
    <x v="0"/>
    <s v="I"/>
    <x v="0"/>
    <s v="A  "/>
    <x v="0"/>
    <s v="25/08/2008"/>
    <s v="25/08/2008"/>
    <s v="04/08/1981"/>
    <s v="A"/>
    <s v="A.IN FORZA"/>
    <s v="1  -ASSUNZIONE                1"/>
    <s v=""/>
    <s v=" "/>
    <s v=""/>
    <s v=""/>
    <n v="1728"/>
    <s v="00"/>
    <n v="100"/>
    <s v="FULL TIME      100000000FF100-FULL TIME"/>
    <s v="25/08/2008"/>
    <s v=""/>
    <s v="  "/>
    <s v=""/>
    <s v="EP  "/>
    <s v="    "/>
    <x v="0"/>
    <s v=""/>
    <s v="giuseppina.boscarino@ilsole24ore.com              "/>
    <s v="F"/>
    <s v="F-FIRMA"/>
    <s v="1 "/>
    <s v="1=5 X 8"/>
    <s v="01/07/2025"/>
    <s v="TEMPO DETERMINATO"/>
    <s v="31/05/2027"/>
    <s v="0015002144                    "/>
    <s v="CORSI FLAVIO"/>
    <n v="44"/>
    <s v="I  "/>
  </r>
  <r>
    <x v="0"/>
    <n v="3138"/>
    <x v="0"/>
    <s v="H           "/>
    <s v="DG SERVIZI PROFESSIONALI E FORMAZIONE"/>
    <x v="32"/>
    <x v="31"/>
    <s v="815420      "/>
    <s v="815420   DIGITAL MARKETING SERV. PROF."/>
    <s v="CALZONI                         "/>
    <s v="DILETTA           "/>
    <s v="CLZDTT96M42F205W"/>
    <x v="0"/>
    <s v="34"/>
    <x v="0"/>
    <s v="08/10/2024"/>
    <s v="MILANO                 "/>
    <x v="0"/>
    <x v="0"/>
    <s v="I"/>
    <x v="0"/>
    <s v="B1 "/>
    <x v="10"/>
    <s v="08/10/2024"/>
    <s v="08/10/2024"/>
    <s v="02/08/1996"/>
    <s v="A"/>
    <s v="A.IN FORZA"/>
    <s v="1  -ASSUNZIONE                1"/>
    <s v=""/>
    <s v=" "/>
    <s v=""/>
    <s v=""/>
    <n v="3138"/>
    <s v="00"/>
    <n v="100"/>
    <s v="FULL TIME      100000000FF100-FULL TIME"/>
    <s v="08/10/2024"/>
    <s v=""/>
    <s v="  "/>
    <s v=""/>
    <s v="EN  "/>
    <s v="    "/>
    <x v="0"/>
    <s v=""/>
    <s v="diletta.calzoni@ilsole24ore.com                   "/>
    <s v="F"/>
    <s v="F-FIRMA"/>
    <s v="1 "/>
    <s v="1=5 X 8"/>
    <s v="01/07/2025"/>
    <s v="TEMPO DETERMINATO"/>
    <s v="31/05/2027"/>
    <s v="0015002144                    "/>
    <s v="CORSI FLAVIO"/>
    <n v="29"/>
    <s v="I  "/>
  </r>
  <r>
    <x v="0"/>
    <n v="3079"/>
    <x v="0"/>
    <s v="H           "/>
    <s v="DG SERVIZI PROFESSIONALI E FORMAZIONE"/>
    <x v="32"/>
    <x v="31"/>
    <s v="815420      "/>
    <s v="815420   DIGITAL MARKETING SERV. PROF."/>
    <s v="SOLLEVANTI                      "/>
    <s v="SARA              "/>
    <s v="SLLSRA93B50D786W"/>
    <x v="0"/>
    <s v="34"/>
    <x v="0"/>
    <s v="12/05/2023"/>
    <s v="MILANO                 "/>
    <x v="0"/>
    <x v="0"/>
    <s v="I"/>
    <x v="0"/>
    <s v="AS "/>
    <x v="7"/>
    <s v="12/05/2023"/>
    <s v="12/05/2023"/>
    <s v="10/02/1993"/>
    <s v="A"/>
    <s v="A.IN FORZA"/>
    <s v="1  -ASSUNZIONE                1"/>
    <s v=""/>
    <s v=" "/>
    <s v=""/>
    <s v=""/>
    <n v="3079"/>
    <s v="00"/>
    <n v="100"/>
    <s v="FULL TIME      100000000FF100-FULL TIME"/>
    <s v="12/05/2023"/>
    <s v=""/>
    <s v="  "/>
    <s v=""/>
    <s v="EN  "/>
    <s v="    "/>
    <x v="0"/>
    <s v=""/>
    <s v="sara.sollevanti@ilsole24ore.com                   "/>
    <s v="F"/>
    <s v="F-FIRMA"/>
    <s v="1 "/>
    <s v="1=5 X 8"/>
    <s v="01/07/2025"/>
    <s v="TEMPO DETERMINATO"/>
    <s v="31/05/2027"/>
    <s v="0015002144                    "/>
    <s v="CORSI FLAVIO"/>
    <n v="32"/>
    <s v="I  "/>
  </r>
  <r>
    <x v="0"/>
    <n v="1103"/>
    <x v="0"/>
    <s v="H           "/>
    <s v="DG SERVIZI PROFESSIONALI E FORMAZIONE"/>
    <x v="32"/>
    <x v="31"/>
    <s v="B10140      "/>
    <s v="B10140   TRADE MARKETING"/>
    <s v="GENOVA                          "/>
    <s v="ALESSANDRO        "/>
    <s v="GNVLSN70C17G273J"/>
    <x v="1"/>
    <s v="31"/>
    <x v="1"/>
    <s v="21/05/2009"/>
    <s v="ROMA                   "/>
    <x v="0"/>
    <x v="0"/>
    <s v="F"/>
    <x v="2"/>
    <s v="Q  "/>
    <x v="8"/>
    <s v="15/01/1998"/>
    <s v="15/01/1998"/>
    <s v="17/03/1970"/>
    <s v="A"/>
    <s v="A.IN FORZA"/>
    <s v="1  -ASSUNZIONE                1"/>
    <s v=""/>
    <s v=" "/>
    <s v=""/>
    <s v=""/>
    <n v="867"/>
    <s v="00"/>
    <n v="100"/>
    <s v="FULL TIME      100000000FF100-FULL TIME"/>
    <s v="15/01/1998"/>
    <s v=""/>
    <s v="  "/>
    <s v=""/>
    <s v="EP  "/>
    <s v="    "/>
    <x v="0"/>
    <s v=""/>
    <s v="alessandro.genova@ilsole24ore.com                 "/>
    <s v="F"/>
    <s v="F-FIRMA"/>
    <s v="1 "/>
    <s v="1=5 X 8"/>
    <s v="01/07/2025"/>
    <s v="TEMPO DETERMINATO"/>
    <s v="31/05/2027"/>
    <s v="0015002144                    "/>
    <s v="CORSI FLAVIO"/>
    <n v="55"/>
    <s v="I  "/>
  </r>
  <r>
    <x v="0"/>
    <n v="2172"/>
    <x v="0"/>
    <s v="H           "/>
    <s v="DG SERVIZI PROFESSIONALI E FORMAZIONE"/>
    <x v="32"/>
    <x v="31"/>
    <s v="B10140      "/>
    <s v="B10140   TRADE MARKETING"/>
    <s v="LA ROCCHIA                      "/>
    <s v="ANTONIO           "/>
    <s v="LRCNTN73T09H501L"/>
    <x v="1"/>
    <s v="31"/>
    <x v="1"/>
    <s v="19/05/2009"/>
    <s v="ROMA                   "/>
    <x v="0"/>
    <x v="0"/>
    <s v="I"/>
    <x v="0"/>
    <s v="A  "/>
    <x v="0"/>
    <s v="22/02/2007"/>
    <s v="22/02/2007"/>
    <s v="09/12/1973"/>
    <s v="A"/>
    <s v="A.IN FORZA"/>
    <s v="1  -ASSUNZIONE                1"/>
    <s v=""/>
    <s v=" "/>
    <s v=""/>
    <s v=""/>
    <n v="1636"/>
    <s v="00"/>
    <n v="100"/>
    <s v="FULL TIME      100000000FF100-FULL TIME"/>
    <s v="22/02/2007"/>
    <s v=""/>
    <s v="03"/>
    <s v="INVALIDI PER SERVIZIO"/>
    <s v="EP  "/>
    <s v="    "/>
    <x v="0"/>
    <s v="C.I.S.L.           C.I.S.L"/>
    <s v="antonio.larocchia@ilsole24ore.com                 "/>
    <s v="F"/>
    <s v="F-FIRMA"/>
    <s v="1 "/>
    <s v="1=5 X 8"/>
    <s v="01/07/2025"/>
    <s v="TEMPO DETERMINATO"/>
    <s v="31/05/2027"/>
    <s v="0015001103                    "/>
    <s v="GENOVA ALESSANDRO"/>
    <n v="52"/>
    <s v="I  "/>
  </r>
  <r>
    <x v="0"/>
    <n v="1564"/>
    <x v="0"/>
    <s v="H           "/>
    <s v="DG SERVIZI PROFESSIONALI E FORMAZIONE"/>
    <x v="32"/>
    <x v="31"/>
    <s v="C12000      "/>
    <s v="C12000  PRODUCT MANAGEMENT"/>
    <s v="BATTISTON                       "/>
    <s v="CRISTIANA         "/>
    <s v="BTTCST73R65L736D"/>
    <x v="0"/>
    <s v="34"/>
    <x v="0"/>
    <s v="01/04/2021"/>
    <s v="MILANO                 "/>
    <x v="0"/>
    <x v="0"/>
    <s v="I"/>
    <x v="0"/>
    <s v="A  "/>
    <x v="0"/>
    <s v="05/06/2000"/>
    <s v="05/06/2000"/>
    <s v="25/10/1973"/>
    <s v="A"/>
    <s v="A.IN FORZA"/>
    <s v="1  -ASSUNZIONE                1"/>
    <s v=""/>
    <s v=" "/>
    <s v=""/>
    <s v=""/>
    <n v="1234"/>
    <s v="00"/>
    <n v="100"/>
    <s v="FULL TIME      100000000FF100-FULL TIME"/>
    <s v="05/06/2000"/>
    <s v=""/>
    <s v="  "/>
    <s v=""/>
    <s v="EV  "/>
    <s v="    "/>
    <x v="0"/>
    <s v=""/>
    <s v="cristiana.battiston@ilsole24ore.com               "/>
    <s v="F"/>
    <s v="F-FIRMA"/>
    <s v="1 "/>
    <s v="1=5 X 8"/>
    <s v="01/07/2025"/>
    <s v="TEMPO DETERMINATO"/>
    <s v="31/05/2027"/>
    <s v="0015002144                    "/>
    <s v="CORSI FLAVIO"/>
    <n v="52"/>
    <s v="I  "/>
  </r>
  <r>
    <x v="0"/>
    <n v="1425"/>
    <x v="0"/>
    <s v="H           "/>
    <s v="DG SERVIZI PROFESSIONALI E FORMAZIONE"/>
    <x v="32"/>
    <x v="31"/>
    <s v="C12000      "/>
    <s v="C12000  PRODUCT MANAGEMENT"/>
    <s v="DI PIETRO                       "/>
    <s v="ALESSIA           "/>
    <s v="DPTLSS75M41H501L"/>
    <x v="0"/>
    <s v="31"/>
    <x v="1"/>
    <s v="21/05/2009"/>
    <s v="ROMA                   "/>
    <x v="0"/>
    <x v="0"/>
    <s v="I"/>
    <x v="0"/>
    <s v="A  "/>
    <x v="0"/>
    <s v="01/12/1999"/>
    <s v="01/12/1999"/>
    <s v="01/08/1975"/>
    <s v="A"/>
    <s v="A.IN FORZA"/>
    <s v="1  -ASSUNZIONE                1"/>
    <s v=""/>
    <s v=" "/>
    <s v=""/>
    <s v=""/>
    <n v="1127"/>
    <s v="00"/>
    <n v="100"/>
    <s v="FULL TIME      100000000FF100-FULL TIME"/>
    <s v="01/04/2015"/>
    <s v=""/>
    <s v="  "/>
    <s v=""/>
    <s v="EP  "/>
    <s v="    "/>
    <x v="0"/>
    <s v=""/>
    <s v="alessia.dipietro@ilsole24ore.com                  "/>
    <s v="F"/>
    <s v="F-FIRMA"/>
    <s v="1 "/>
    <s v="1=5 X 8"/>
    <s v="01/07/2025"/>
    <s v="TEMPO DETERMINATO"/>
    <s v="31/05/2027"/>
    <s v="0015002144                    "/>
    <s v="CORSI FLAVIO"/>
    <n v="50"/>
    <s v="I  "/>
  </r>
  <r>
    <x v="0"/>
    <n v="2150"/>
    <x v="0"/>
    <s v="H           "/>
    <s v="DG SERVIZI PROFESSIONALI E FORMAZIONE"/>
    <x v="32"/>
    <x v="31"/>
    <s v="C12000      "/>
    <s v="C12000  PRODUCT MANAGEMENT"/>
    <s v="GABOARDI                        "/>
    <s v="ALESSANDRO        "/>
    <s v="GBRLSN76L04F205P"/>
    <x v="1"/>
    <s v="34"/>
    <x v="0"/>
    <s v="01/04/2021"/>
    <s v="MILANO                 "/>
    <x v="0"/>
    <x v="0"/>
    <s v="I"/>
    <x v="0"/>
    <s v="A  "/>
    <x v="0"/>
    <s v="01/12/2006"/>
    <s v="01/12/2006"/>
    <s v="04/07/1976"/>
    <s v="A"/>
    <s v="A.IN FORZA"/>
    <s v="1  -ASSUNZIONE                1"/>
    <s v=""/>
    <s v=" "/>
    <s v=""/>
    <s v=""/>
    <n v="1622"/>
    <s v="00"/>
    <n v="100"/>
    <s v="FULL TIME      100000000FF100-FULL TIME"/>
    <s v="01/12/2006"/>
    <s v=""/>
    <s v="  "/>
    <s v=""/>
    <s v="EP  "/>
    <s v="    "/>
    <x v="0"/>
    <s v=""/>
    <s v="alessandro.gaboardi@ilsole24ore.com               "/>
    <s v="F"/>
    <s v="F-FIRMA"/>
    <s v="1 "/>
    <s v="1=5 X 8"/>
    <s v="01/07/2025"/>
    <s v="TEMPO DETERMINATO"/>
    <s v="31/05/2027"/>
    <s v="0015002144                    "/>
    <s v="CORSI FLAVIO"/>
    <n v="49"/>
    <s v="I  "/>
  </r>
  <r>
    <x v="0"/>
    <n v="1686"/>
    <x v="0"/>
    <s v="H           "/>
    <s v="DG SERVIZI PROFESSIONALI E FORMAZIONE"/>
    <x v="32"/>
    <x v="31"/>
    <s v="C12000      "/>
    <s v="C12000  PRODUCT MANAGEMENT"/>
    <s v="GRASSO                          "/>
    <s v="RENATO            "/>
    <s v="GRSRNT72D12F839Y"/>
    <x v="1"/>
    <s v="34"/>
    <x v="0"/>
    <s v="01/04/2021"/>
    <s v="MILANO                 "/>
    <x v="0"/>
    <x v="0"/>
    <s v="F"/>
    <x v="2"/>
    <s v="Q  "/>
    <x v="8"/>
    <s v="04/12/2000"/>
    <s v="04/12/2000"/>
    <s v="12/04/1972"/>
    <s v="A"/>
    <s v="A.IN FORZA"/>
    <s v="1  -ASSUNZIONE                1"/>
    <s v=""/>
    <s v=" "/>
    <s v=""/>
    <s v=""/>
    <n v="1343"/>
    <s v="00"/>
    <n v="100"/>
    <s v="FULL TIME      100000000FF100-FULL TIME"/>
    <s v="04/12/2000"/>
    <s v=""/>
    <s v="  "/>
    <s v=""/>
    <s v="EP  "/>
    <s v="    "/>
    <x v="0"/>
    <s v=""/>
    <s v="renato.grasso@ilsole24ore.com                     "/>
    <s v="F"/>
    <s v="F-FIRMA"/>
    <s v="1 "/>
    <s v="1=5 X 8"/>
    <s v="01/07/2025"/>
    <s v="TEMPO DETERMINATO"/>
    <s v="31/05/2027"/>
    <s v="0015002144                    "/>
    <s v="CORSI FLAVIO"/>
    <n v="53"/>
    <s v="I  "/>
  </r>
  <r>
    <x v="0"/>
    <n v="2213"/>
    <x v="0"/>
    <s v="H           "/>
    <s v="DG SERVIZI PROFESSIONALI E FORMAZIONE"/>
    <x v="32"/>
    <x v="31"/>
    <s v="C12000      "/>
    <s v="C12000  PRODUCT MANAGEMENT"/>
    <s v="PROIETTI                        "/>
    <s v="ANTONIO           "/>
    <s v="PRTNTN77B11H501P"/>
    <x v="1"/>
    <s v="31"/>
    <x v="1"/>
    <s v="21/05/2009"/>
    <s v="ROMA                   "/>
    <x v="0"/>
    <x v="0"/>
    <s v="I"/>
    <x v="0"/>
    <s v="A  "/>
    <x v="0"/>
    <s v="11/07/2007"/>
    <s v="11/07/2007"/>
    <s v="11/02/1977"/>
    <s v="A"/>
    <s v="A.IN FORZA"/>
    <s v="1  -ASSUNZIONE                1"/>
    <s v=""/>
    <s v=" "/>
    <s v=""/>
    <s v=""/>
    <n v="1665"/>
    <s v="00"/>
    <n v="100"/>
    <s v="FULL TIME      100000000FF100-FULL TIME"/>
    <s v="11/07/2007"/>
    <s v=""/>
    <s v="  "/>
    <s v=""/>
    <s v="EP  "/>
    <s v="    "/>
    <x v="0"/>
    <s v=""/>
    <s v="antonio.proietti@ilsole24ore.com                  "/>
    <s v="F"/>
    <s v="F-FIRMA"/>
    <s v="1 "/>
    <s v="1=5 X 8"/>
    <s v="01/07/2025"/>
    <s v="TEMPO DETERMINATO"/>
    <s v="31/05/2027"/>
    <s v="0015002144                    "/>
    <s v="CORSI FLAVIO"/>
    <n v="48"/>
    <s v="I  "/>
  </r>
  <r>
    <x v="0"/>
    <n v="3072"/>
    <x v="0"/>
    <s v="H           "/>
    <s v="DG SERVIZI PROFESSIONALI E FORMAZIONE"/>
    <x v="32"/>
    <x v="31"/>
    <s v="C12000      "/>
    <s v="C12000  PRODUCT MANAGEMENT"/>
    <s v="SANTINELLI                      "/>
    <s v="CLARA             "/>
    <s v="SNTCLR95M62Z110O"/>
    <x v="0"/>
    <s v="34"/>
    <x v="0"/>
    <s v="11/04/2023"/>
    <s v="MILANO                 "/>
    <x v="0"/>
    <x v="0"/>
    <s v="I"/>
    <x v="0"/>
    <s v="B1 "/>
    <x v="10"/>
    <s v="11/04/2023"/>
    <s v="11/04/2023"/>
    <s v="22/08/1995"/>
    <s v="A"/>
    <s v="A.IN FORZA"/>
    <s v="1  -ASSUNZIONE                1"/>
    <s v=""/>
    <s v=" "/>
    <s v=""/>
    <s v=""/>
    <n v="3072"/>
    <s v="00"/>
    <n v="100"/>
    <s v="FULL TIME      100000000FF100-FULL TIME"/>
    <s v="11/04/2023"/>
    <s v=""/>
    <s v="  "/>
    <s v=""/>
    <s v="EN  "/>
    <s v="    "/>
    <x v="0"/>
    <s v=""/>
    <s v="clara.santinelli@ilsole24ore.com                  "/>
    <s v="T"/>
    <s v="T-TIMBRA"/>
    <s v="1 "/>
    <s v="1=5 X 8"/>
    <s v="01/07/2025"/>
    <s v="TEMPO DETERMINATO"/>
    <s v="31/05/2027"/>
    <s v="0015002144                    "/>
    <s v="CORSI FLAVIO"/>
    <n v="30"/>
    <s v="I  "/>
  </r>
  <r>
    <x v="0"/>
    <n v="3144"/>
    <x v="0"/>
    <s v="H           "/>
    <s v="DG SERVIZI PROFESSIONALI E FORMAZIONE"/>
    <x v="32"/>
    <x v="31"/>
    <s v="G12410      "/>
    <s v="G12410   MARKETING SERVIZI PROFESSIONALI"/>
    <s v="BUCCOLIERO                      "/>
    <s v="MARTA             "/>
    <s v="BCCMRT98A64D869K"/>
    <x v="0"/>
    <s v="34"/>
    <x v="0"/>
    <s v="07/01/2025"/>
    <s v="MILANO                 "/>
    <x v="0"/>
    <x v="0"/>
    <s v="I"/>
    <x v="0"/>
    <s v="B1 "/>
    <x v="10"/>
    <s v="07/01/2025"/>
    <s v="07/01/2025"/>
    <s v="24/01/1998"/>
    <s v="A"/>
    <s v="A.IN FORZA"/>
    <s v="1S-ASSUNZIONE STABILIZZAZIONE 1S"/>
    <s v=""/>
    <s v=" "/>
    <s v=""/>
    <s v=""/>
    <n v="3144"/>
    <s v="00"/>
    <n v="100"/>
    <s v="FULL TIME      100000000FF100-FULL TIME"/>
    <s v="07/01/2025"/>
    <s v=""/>
    <s v="  "/>
    <s v=""/>
    <s v="EN  "/>
    <s v="    "/>
    <x v="0"/>
    <s v=""/>
    <s v="marta.buccoliero@ilsole24ore.com                  "/>
    <s v="F"/>
    <s v="F-FIRMA"/>
    <s v="1 "/>
    <s v="1=5 X 8"/>
    <s v="01/07/2025"/>
    <s v="TEMPO DETERMINATO"/>
    <s v="31/05/2027"/>
    <s v="0015002144                    "/>
    <s v="CORSI FLAVIO"/>
    <n v="28"/>
    <s v="I  "/>
  </r>
  <r>
    <x v="0"/>
    <n v="2144"/>
    <x v="0"/>
    <s v="H           "/>
    <s v="DG SERVIZI PROFESSIONALI E FORMAZIONE"/>
    <x v="32"/>
    <x v="31"/>
    <s v="G12410      "/>
    <s v="G12410   MARKETING SERVIZI PROFESSIONALI"/>
    <s v="CORSI                           "/>
    <s v="FLAVIO            "/>
    <s v="CRSFLV68D02H501P"/>
    <x v="1"/>
    <s v="34"/>
    <x v="0"/>
    <s v="01/04/2021"/>
    <s v="MILANO                 "/>
    <x v="1"/>
    <x v="1"/>
    <s v="D"/>
    <x v="1"/>
    <s v="D  "/>
    <x v="1"/>
    <s v="02/11/2006"/>
    <s v="02/11/2006"/>
    <s v="02/04/1968"/>
    <s v="A"/>
    <s v="A.IN FORZA"/>
    <s v="1  -ASSUNZIONE                1"/>
    <s v=""/>
    <s v=" "/>
    <s v=""/>
    <s v=""/>
    <n v="1618"/>
    <s v="00"/>
    <n v="100"/>
    <s v="FULL TIME      100000000FF100-FULL TIME"/>
    <s v="02/11/2006"/>
    <s v=""/>
    <s v="  "/>
    <s v=""/>
    <s v="DD  "/>
    <s v="    "/>
    <x v="0"/>
    <s v=""/>
    <s v="flavio.corsi@ilsole24ore.com                      "/>
    <s v="E"/>
    <s v="E-ESENTE"/>
    <s v="1 "/>
    <s v="1=5 X 8"/>
    <s v="01/07/2025"/>
    <s v="TEMPO DETERMINATO"/>
    <s v="31/05/2026"/>
    <s v="0015002988                    "/>
    <s v="MINELLA ERALDO"/>
    <n v="57"/>
    <s v="I  "/>
  </r>
  <r>
    <x v="0"/>
    <n v="2431"/>
    <x v="0"/>
    <s v="H           "/>
    <s v="DG SERVIZI PROFESSIONALI E FORMAZIONE"/>
    <x v="32"/>
    <x v="31"/>
    <s v="G1241001    "/>
    <s v="G1241001 ANALISI MKTG E REPORTING - PROF"/>
    <s v="BRAGHIERI                       "/>
    <s v="MAURO             "/>
    <s v="BRGMRA80D24G535U"/>
    <x v="1"/>
    <s v="34"/>
    <x v="0"/>
    <s v="01/04/2021"/>
    <s v="MILANO                 "/>
    <x v="0"/>
    <x v="0"/>
    <s v="I"/>
    <x v="0"/>
    <s v="A  "/>
    <x v="0"/>
    <s v="01/04/2008"/>
    <s v="01/04/2008"/>
    <s v="24/04/1980"/>
    <s v="A"/>
    <s v="A.IN FORZA"/>
    <s v="1  -ASSUNZIONE                1"/>
    <s v=""/>
    <s v=" "/>
    <s v=""/>
    <s v=""/>
    <n v="2431"/>
    <s v="00"/>
    <n v="100"/>
    <s v="FULL TIME      100000000FF100-FULL TIME"/>
    <s v="01/04/2008"/>
    <s v=""/>
    <s v="  "/>
    <s v=""/>
    <s v="EV  "/>
    <s v="    "/>
    <x v="0"/>
    <s v=""/>
    <s v="mauro.braghieri@ilsole24ore.com                   "/>
    <s v="F"/>
    <s v="F-FIRMA"/>
    <s v="1 "/>
    <s v="1=5 X 8"/>
    <s v="01/07/2025"/>
    <s v="TEMPO DETERMINATO"/>
    <s v="31/05/2027"/>
    <s v="0015002144                    "/>
    <s v="CORSI FLAVIO"/>
    <n v="45"/>
    <s v="I  "/>
  </r>
  <r>
    <x v="0"/>
    <n v="1596"/>
    <x v="0"/>
    <s v="H           "/>
    <s v="DG SERVIZI PROFESSIONALI E FORMAZIONE"/>
    <x v="32"/>
    <x v="31"/>
    <s v="G1241001    "/>
    <s v="G1241001 ANALISI MKTG E REPORTING - PROF"/>
    <s v="GATTI                           "/>
    <s v="FEDERICO          "/>
    <s v="GTTFRC71L23H501K"/>
    <x v="1"/>
    <s v="31"/>
    <x v="1"/>
    <s v="21/05/2009"/>
    <s v="ROMA                   "/>
    <x v="0"/>
    <x v="0"/>
    <s v="I"/>
    <x v="0"/>
    <s v="A  "/>
    <x v="0"/>
    <s v="17/07/2000"/>
    <s v="17/07/2000"/>
    <s v="23/07/1971"/>
    <s v="A"/>
    <s v="A.IN FORZA"/>
    <s v="1  -ASSUNZIONE                1"/>
    <s v=""/>
    <s v=" "/>
    <s v=""/>
    <s v=""/>
    <n v="1265"/>
    <s v="00"/>
    <n v="100"/>
    <s v="FULL TIME      100000000FF100-FULL TIME"/>
    <s v="17/07/2000"/>
    <s v=""/>
    <s v="  "/>
    <s v=""/>
    <s v="EP  "/>
    <s v="    "/>
    <x v="0"/>
    <s v=""/>
    <s v="federico.gatti@ilsole24ore.com                    "/>
    <s v="F"/>
    <s v="F-FIRMA"/>
    <s v="1 "/>
    <s v="1=5 X 8"/>
    <s v="01/07/2025"/>
    <s v="TEMPO DETERMINATO"/>
    <s v="31/05/2027"/>
    <s v="0015002144                    "/>
    <s v="CORSI FLAVIO"/>
    <n v="54"/>
    <s v="I  "/>
  </r>
  <r>
    <x v="0"/>
    <n v="3127"/>
    <x v="0"/>
    <s v="H           "/>
    <s v="DG SERVIZI PROFESSIONALI E FORMAZIONE"/>
    <x v="32"/>
    <x v="31"/>
    <s v="G1241001    "/>
    <s v="G1241001 ANALISI MKTG E REPORTING - PROF"/>
    <s v="SABETTA                         "/>
    <s v="FEDERICA          "/>
    <s v="SBTFRC93P59F205O"/>
    <x v="0"/>
    <s v="34"/>
    <x v="0"/>
    <s v="01/07/2024"/>
    <s v="MILANO                 "/>
    <x v="0"/>
    <x v="0"/>
    <s v="I"/>
    <x v="0"/>
    <s v="A  "/>
    <x v="0"/>
    <s v="01/07/2024"/>
    <s v="01/07/2024"/>
    <s v="19/09/1993"/>
    <s v="A"/>
    <s v="A.IN FORZA"/>
    <s v="1  -ASSUNZIONE                1"/>
    <s v=""/>
    <s v=" "/>
    <s v=""/>
    <s v=""/>
    <n v="3127"/>
    <s v="00"/>
    <n v="100"/>
    <s v="FULL TIME      100000000FF100-FULL TIME"/>
    <s v="01/07/2024"/>
    <s v=""/>
    <s v="  "/>
    <s v=""/>
    <s v="EN  "/>
    <s v="    "/>
    <x v="0"/>
    <s v=""/>
    <s v="federica.sabetta@ilsole24ore.com                  "/>
    <s v="F"/>
    <s v="F-FIRMA"/>
    <s v="1 "/>
    <s v="1=5 X 8"/>
    <s v="01/07/2025"/>
    <s v="TEMPO DETERMINATO"/>
    <s v="31/05/2027"/>
    <s v="0015002144                    "/>
    <s v="CORSI FLAVIO"/>
    <n v="32"/>
    <s v="I  "/>
  </r>
  <r>
    <x v="0"/>
    <n v="2093"/>
    <x v="0"/>
    <s v="H           "/>
    <s v="DG SERVIZI PROFESSIONALI E FORMAZIONE"/>
    <x v="32"/>
    <x v="31"/>
    <s v="G1241001    "/>
    <s v="G1241001 ANALISI MKTG E REPORTING - PROF"/>
    <s v="ZINNO                           "/>
    <s v="GIUSEPPE          "/>
    <s v="ZNNGPP75M30G942E"/>
    <x v="1"/>
    <s v="34"/>
    <x v="0"/>
    <s v="01/04/2021"/>
    <s v="MILANO                 "/>
    <x v="0"/>
    <x v="0"/>
    <s v="F"/>
    <x v="2"/>
    <s v="Q  "/>
    <x v="8"/>
    <s v="01/03/2006"/>
    <s v="01/03/2006"/>
    <s v="30/08/1975"/>
    <s v="A"/>
    <s v="A.IN FORZA"/>
    <s v="1  -ASSUNZIONE                1"/>
    <s v=""/>
    <s v=" "/>
    <s v=""/>
    <s v=""/>
    <n v="1581"/>
    <s v="00"/>
    <n v="100"/>
    <s v="FULL TIME      100000000FF100-FULL TIME"/>
    <s v="01/03/2006"/>
    <s v=""/>
    <s v="05"/>
    <s v="INVALIDI CIVILI"/>
    <s v="EP  "/>
    <s v="    "/>
    <x v="0"/>
    <s v=""/>
    <s v="giuseppe.zinno@ilsole24ore.com                    "/>
    <s v="F"/>
    <s v="F-FIRMA"/>
    <s v="1 "/>
    <s v="1=5 X 8"/>
    <s v="01/07/2025"/>
    <s v="TEMPO DETERMINATO"/>
    <s v="31/05/2027"/>
    <s v="0015002144                    "/>
    <s v="CORSI FLAVIO"/>
    <n v="50"/>
    <s v="I  "/>
  </r>
  <r>
    <x v="0"/>
    <n v="3103"/>
    <x v="0"/>
    <s v="H           "/>
    <s v="DG SERVIZI PROFESSIONALI E FORMAZIONE"/>
    <x v="32"/>
    <x v="31"/>
    <s v="G1241002    "/>
    <s v="G1241002 GRAFICI MKTG SERV. PROF E FORM."/>
    <s v="POCOBELLI                       "/>
    <s v="MAURO             "/>
    <s v="PCBMRA89S13F964K"/>
    <x v="1"/>
    <s v="34"/>
    <x v="0"/>
    <s v="02/01/2024"/>
    <s v="MILANO                 "/>
    <x v="0"/>
    <x v="0"/>
    <s v="I"/>
    <x v="0"/>
    <s v="A  "/>
    <x v="0"/>
    <s v="02/01/2024"/>
    <s v="02/01/2024"/>
    <s v="13/11/1989"/>
    <s v="A"/>
    <s v="A.IN FORZA"/>
    <s v="1  -ASSUNZIONE                1"/>
    <s v=""/>
    <s v=" "/>
    <s v=""/>
    <s v=""/>
    <n v="3103"/>
    <s v="00"/>
    <n v="100"/>
    <s v="FULL TIME      100000000FF100-FULL TIME"/>
    <s v="02/01/2024"/>
    <s v=""/>
    <s v="  "/>
    <s v=""/>
    <s v="EN  "/>
    <s v="    "/>
    <x v="0"/>
    <s v=""/>
    <s v="mauro.pocobelli@ilsole24ore.com                   "/>
    <s v="F"/>
    <s v="F-FIRMA"/>
    <s v="1 "/>
    <s v="1=5 X 8"/>
    <s v="01/07/2025"/>
    <s v="TEMPO DETERMINATO"/>
    <s v="31/05/2027"/>
    <s v="0015002144                    "/>
    <s v="CORSI FLAVIO"/>
    <n v="36"/>
    <s v="I  "/>
  </r>
  <r>
    <x v="0"/>
    <n v="1325"/>
    <x v="0"/>
    <s v="H           "/>
    <s v="DG SERVIZI PROFESSIONALI E FORMAZIONE"/>
    <x v="32"/>
    <x v="31"/>
    <s v="G1241002    "/>
    <s v="G1241002 GRAFICI MKTG SERV. PROF E FORM."/>
    <s v="TOMASSETTI                      "/>
    <s v="STEFANO           "/>
    <s v="TMSSFN70M28H501C"/>
    <x v="1"/>
    <s v="34"/>
    <x v="0"/>
    <s v="04/04/2022"/>
    <s v="MILANO                 "/>
    <x v="0"/>
    <x v="0"/>
    <s v="I"/>
    <x v="0"/>
    <s v="B1S"/>
    <x v="11"/>
    <s v="01/11/1999"/>
    <s v="01/11/1999"/>
    <s v="28/08/1970"/>
    <s v="A"/>
    <s v="A.IN FORZA"/>
    <s v="1  -ASSUNZIONE                1"/>
    <s v=""/>
    <s v=" "/>
    <s v=""/>
    <s v=""/>
    <n v="1052"/>
    <s v="00"/>
    <n v="100"/>
    <s v="FULL TIME      100000000FF100-FULL TIME"/>
    <s v="01/11/1999"/>
    <s v=""/>
    <s v="  "/>
    <s v=""/>
    <s v="EP  "/>
    <s v="    "/>
    <x v="0"/>
    <s v="C.I.S.L.           C.I.S.L"/>
    <s v="stefano.tomassetti@ilsole24ore.com                "/>
    <s v="F"/>
    <s v="F-FIRMA"/>
    <s v="1 "/>
    <s v="1=5 X 8"/>
    <s v="01/01/2026"/>
    <s v="TEMPO DETERMINATO"/>
    <s v="30/06/2026"/>
    <s v="0015002144                    "/>
    <s v="CORSI FLAVIO"/>
    <n v="55"/>
    <s v="I  "/>
  </r>
  <r>
    <x v="0"/>
    <n v="841"/>
    <x v="0"/>
    <s v="H           "/>
    <s v="DG SERVIZI PROFESSIONALI E FORMAZIONE"/>
    <x v="33"/>
    <x v="32"/>
    <s v="815100      "/>
    <s v="815100 AREA LEGALE E MERCATI DI SVILUPPO"/>
    <s v="BULGARELLI                      "/>
    <s v="ENNIO             "/>
    <s v="BLGNNE61S14A794G"/>
    <x v="1"/>
    <s v="31"/>
    <x v="1"/>
    <s v="19/05/2009"/>
    <s v="ROMA                   "/>
    <x v="1"/>
    <x v="1"/>
    <s v="D"/>
    <x v="1"/>
    <s v="D  "/>
    <x v="1"/>
    <s v="26/04/1995"/>
    <s v="26/04/1995"/>
    <s v="14/11/1961"/>
    <s v="A"/>
    <s v="A.IN FORZA"/>
    <s v="9  -ALTRE MOTIVAZIONI         9"/>
    <s v=""/>
    <s v=" "/>
    <s v=""/>
    <s v=""/>
    <n v="639"/>
    <s v="00"/>
    <n v="100"/>
    <s v="FULL TIME      100000000FF100-FULL TIME"/>
    <s v="26/04/1995"/>
    <s v=""/>
    <s v="  "/>
    <s v=""/>
    <s v="DD  "/>
    <s v="    "/>
    <x v="0"/>
    <s v=""/>
    <s v="ennio.bulgarelli@ilsole24ore.com                  "/>
    <s v="E"/>
    <s v="E-ESENTE"/>
    <s v="1 "/>
    <s v="1=5 X 8"/>
    <s v="01/07/2025"/>
    <s v="TEMPO DETERMINATO"/>
    <s v="31/05/2026"/>
    <s v="0015002988                    "/>
    <s v="MINELLA ERALDO"/>
    <n v="64"/>
    <s v="I  "/>
  </r>
  <r>
    <x v="0"/>
    <n v="1827"/>
    <x v="0"/>
    <s v="H           "/>
    <s v="DG SERVIZI PROFESSIONALI E FORMAZIONE"/>
    <x v="33"/>
    <x v="32"/>
    <s v="815400      "/>
    <s v="815400   REDAZIONE DIRITTO E FONTI NORM."/>
    <s v="COCCO                           "/>
    <s v="SABRINA           "/>
    <s v="CCCSRN71E55H501M"/>
    <x v="0"/>
    <s v="31"/>
    <x v="1"/>
    <s v="20/05/2009"/>
    <s v="ROMA                   "/>
    <x v="0"/>
    <x v="0"/>
    <s v="I"/>
    <x v="0"/>
    <s v="AS "/>
    <x v="7"/>
    <s v="01/02/2001"/>
    <s v="02/11/2000"/>
    <s v="15/05/1971"/>
    <s v="A"/>
    <s v="A.IN FORZA"/>
    <s v="2  -VARIAZIONE SOCIETARIA     2"/>
    <s v=""/>
    <s v=" "/>
    <s v=""/>
    <s v=""/>
    <n v="1447"/>
    <s v="00"/>
    <n v="100"/>
    <s v="FULL TIME      100000000FF100-FULL TIME"/>
    <s v="01/02/2001"/>
    <s v=""/>
    <s v="  "/>
    <s v=""/>
    <s v="EV  "/>
    <s v="    "/>
    <x v="0"/>
    <s v="C.G.I.L.           C.G.I.L"/>
    <s v="sabrina.cocco@ilsole24ore.com                     "/>
    <s v="F"/>
    <s v="F-FIRMA"/>
    <s v="1 "/>
    <s v="1=5 X 8"/>
    <s v="01/07/2025"/>
    <s v="TEMPO DETERMINATO"/>
    <s v="31/05/2027"/>
    <s v="0015001006                    "/>
    <s v="DE SANCTIS FULVIA PAOLA"/>
    <n v="54"/>
    <s v="I  "/>
  </r>
  <r>
    <x v="0"/>
    <n v="1006"/>
    <x v="0"/>
    <s v="H           "/>
    <s v="DG SERVIZI PROFESSIONALI E FORMAZIONE"/>
    <x v="33"/>
    <x v="32"/>
    <s v="815400      "/>
    <s v="815400   REDAZIONE DIRITTO E FONTI NORM."/>
    <s v="DE SANCTIS                      "/>
    <s v="FULVIA PAOLA      "/>
    <s v="DSNFVP68R55A515V"/>
    <x v="0"/>
    <s v="31"/>
    <x v="1"/>
    <s v="01/01/2017"/>
    <s v="ROMA                   "/>
    <x v="0"/>
    <x v="0"/>
    <s v="F"/>
    <x v="2"/>
    <s v="Q  "/>
    <x v="8"/>
    <s v="17/02/1997"/>
    <s v="17/02/1997"/>
    <s v="15/10/1968"/>
    <s v="A"/>
    <s v="A.IN FORZA"/>
    <s v="1  -ASSUNZIONE                1"/>
    <s v=""/>
    <s v=" "/>
    <s v=""/>
    <s v=""/>
    <n v="778"/>
    <s v="00"/>
    <n v="100"/>
    <s v="FULL TIME      100000000FF100-FULL TIME"/>
    <s v="17/02/1997"/>
    <s v=""/>
    <s v="  "/>
    <s v=""/>
    <s v="EP  "/>
    <s v="    "/>
    <x v="0"/>
    <s v=""/>
    <s v="fulvia.desanctis@ilsole24ore.com                  "/>
    <s v="F"/>
    <s v="F-FIRMA"/>
    <s v="1 "/>
    <s v="1=5 X 8"/>
    <s v="01/07/2025"/>
    <s v="TEMPO DETERMINATO"/>
    <s v="31/05/2027"/>
    <s v="0015000841                    "/>
    <s v="BULGARELLI ENNIO"/>
    <n v="57"/>
    <s v="I  "/>
  </r>
  <r>
    <x v="0"/>
    <n v="854"/>
    <x v="0"/>
    <s v="H           "/>
    <s v="DG SERVIZI PROFESSIONALI E FORMAZIONE"/>
    <x v="33"/>
    <x v="32"/>
    <s v="815400      "/>
    <s v="815400   REDAZIONE DIRITTO E FONTI NORM."/>
    <s v="GIOVANNONI                      "/>
    <s v="DANIELA           "/>
    <s v="GVNDNL61A67H501U"/>
    <x v="0"/>
    <s v="31"/>
    <x v="1"/>
    <s v="20/05/2009"/>
    <s v="ROMA                   "/>
    <x v="0"/>
    <x v="0"/>
    <s v="I"/>
    <x v="0"/>
    <s v="AS "/>
    <x v="7"/>
    <s v="01/07/1995"/>
    <s v="01/07/1995"/>
    <s v="27/01/1961"/>
    <s v="A"/>
    <s v="A.IN FORZA"/>
    <s v="1  -ASSUNZIONE                1"/>
    <s v=""/>
    <s v=" "/>
    <s v=""/>
    <s v=""/>
    <n v="650"/>
    <s v="00"/>
    <n v="100"/>
    <s v="FULL TIME      100000000FF100-FULL TIME"/>
    <s v="01/07/1995"/>
    <s v=""/>
    <s v="  "/>
    <s v=""/>
    <s v="EP  "/>
    <s v="    "/>
    <x v="0"/>
    <s v=""/>
    <s v="daniela.giovannoni@ilsole24ore.com                "/>
    <s v="F"/>
    <s v="F-FIRMA"/>
    <s v="1 "/>
    <s v="1=5 X 8"/>
    <s v="01/07/2025"/>
    <s v="TEMPO DETERMINATO"/>
    <s v="31/05/2027"/>
    <s v="0015001006                    "/>
    <s v="DE SANCTIS FULVIA PAOLA"/>
    <n v="65"/>
    <s v="I  "/>
  </r>
  <r>
    <x v="0"/>
    <n v="2045"/>
    <x v="0"/>
    <s v="H           "/>
    <s v="DG SERVIZI PROFESSIONALI E FORMAZIONE"/>
    <x v="33"/>
    <x v="32"/>
    <s v="815400      "/>
    <s v="815400   REDAZIONE DIRITTO E FONTI NORM."/>
    <s v="INGRETOLLI                      "/>
    <s v="MARIA DANIELA     "/>
    <s v="NGRMDN66M64H501K"/>
    <x v="0"/>
    <s v="31"/>
    <x v="1"/>
    <s v="19/05/2009"/>
    <s v="ROMA                   "/>
    <x v="0"/>
    <x v="0"/>
    <s v="I"/>
    <x v="0"/>
    <s v="AS "/>
    <x v="7"/>
    <s v="13/12/2004"/>
    <s v="13/12/2004"/>
    <s v="24/08/1966"/>
    <s v="A"/>
    <s v="A.IN FORZA"/>
    <s v="1  -ASSUNZIONE                1"/>
    <s v=""/>
    <s v=" "/>
    <s v=""/>
    <s v=""/>
    <n v="1566"/>
    <s v="00"/>
    <n v="100"/>
    <s v="FULL TIME      100000000FF100-FULL TIME"/>
    <s v="13/12/2004"/>
    <s v=""/>
    <s v="  "/>
    <s v=""/>
    <s v="EV  "/>
    <s v="    "/>
    <x v="0"/>
    <s v=""/>
    <s v="daniela.ingretolli@ilsole24ore.com                "/>
    <s v="F"/>
    <s v="F-FIRMA"/>
    <s v="1 "/>
    <s v="1=5 X 8"/>
    <s v="01/07/2025"/>
    <s v="TEMPO DETERMINATO"/>
    <s v="31/05/2027"/>
    <s v="0015001006                    "/>
    <s v="DE SANCTIS FULVIA PAOLA"/>
    <n v="59"/>
    <s v="I  "/>
  </r>
  <r>
    <x v="0"/>
    <n v="3102"/>
    <x v="0"/>
    <s v="H           "/>
    <s v="DG SERVIZI PROFESSIONALI E FORMAZIONE"/>
    <x v="33"/>
    <x v="32"/>
    <s v="815400      "/>
    <s v="815400   REDAZIONE DIRITTO E FONTI NORM."/>
    <s v="MATTIACCI                       "/>
    <s v="BEATRICE          "/>
    <s v="MTTBRC93R58H501I"/>
    <x v="0"/>
    <s v="31"/>
    <x v="1"/>
    <s v="04/12/2023"/>
    <s v="ROMA                   "/>
    <x v="0"/>
    <x v="0"/>
    <s v="I"/>
    <x v="0"/>
    <s v="A  "/>
    <x v="0"/>
    <s v="04/12/2023"/>
    <s v="04/12/2023"/>
    <s v="18/10/1993"/>
    <s v="C"/>
    <s v="C.MATERN.OBBLIG."/>
    <s v="1  -ASSUNZIONE                1"/>
    <s v=""/>
    <s v=" "/>
    <s v=""/>
    <s v=""/>
    <n v="3102"/>
    <s v="00"/>
    <n v="100"/>
    <s v="FULL TIME      100000000FF100-FULL TIME"/>
    <s v="04/12/2023"/>
    <s v=""/>
    <s v="  "/>
    <s v=""/>
    <s v="EN  "/>
    <s v="    "/>
    <x v="0"/>
    <s v="C.G.I.L.           C.G.I.L"/>
    <s v="beatrice.mattiacci@ilsole24ore.com                "/>
    <s v="F"/>
    <s v="F-FIRMA"/>
    <s v="1 "/>
    <s v="1=5 X 8"/>
    <s v="01/07/2025"/>
    <s v="TEMPO DETERMINATO"/>
    <s v="31/05/2027"/>
    <s v="0015001006                    "/>
    <s v="DE SANCTIS FULVIA PAOLA"/>
    <n v="32"/>
    <s v="I  "/>
  </r>
  <r>
    <x v="0"/>
    <n v="1217"/>
    <x v="0"/>
    <s v="H           "/>
    <s v="DG SERVIZI PROFESSIONALI E FORMAZIONE"/>
    <x v="33"/>
    <x v="32"/>
    <s v="815400      "/>
    <s v="815400   REDAZIONE DIRITTO E FONTI NORM."/>
    <s v="MELONI                          "/>
    <s v="MARCO             "/>
    <s v="MLNMRC67A15H501Y"/>
    <x v="1"/>
    <s v="31"/>
    <x v="1"/>
    <s v="19/05/2009"/>
    <s v="ROMA                   "/>
    <x v="0"/>
    <x v="0"/>
    <s v="I"/>
    <x v="0"/>
    <s v="AS "/>
    <x v="7"/>
    <s v="11/01/1999"/>
    <s v="11/01/1999"/>
    <s v="15/01/1967"/>
    <s v="A"/>
    <s v="A.IN FORZA"/>
    <s v="1  -ASSUNZIONE                1"/>
    <s v=""/>
    <s v=" "/>
    <s v=""/>
    <s v=""/>
    <n v="960"/>
    <s v="00"/>
    <n v="100"/>
    <s v="FULL TIME      100000000FF100-FULL TIME"/>
    <s v="11/01/1999"/>
    <s v=""/>
    <s v="  "/>
    <s v=""/>
    <s v="EP  "/>
    <s v="    "/>
    <x v="0"/>
    <s v="C.G.I.L.           C.G.I.L"/>
    <s v="marco.meloni@ilsole24ore.com                      "/>
    <s v="F"/>
    <s v="F-FIRMA"/>
    <s v="1 "/>
    <s v="1=5 X 8"/>
    <s v="01/07/2025"/>
    <s v="TEMPO DETERMINATO"/>
    <s v="31/05/2027"/>
    <s v="0015001006                    "/>
    <s v="DE SANCTIS FULVIA PAOLA"/>
    <n v="59"/>
    <s v="I  "/>
  </r>
  <r>
    <x v="0"/>
    <n v="2155"/>
    <x v="0"/>
    <s v="H           "/>
    <s v="DG SERVIZI PROFESSIONALI E FORMAZIONE"/>
    <x v="33"/>
    <x v="32"/>
    <s v="815400      "/>
    <s v="815400   REDAZIONE DIRITTO E FONTI NORM."/>
    <s v="MILANI                          "/>
    <s v="FABIANA           "/>
    <s v="MLNFBN74B59H501E"/>
    <x v="0"/>
    <s v="31"/>
    <x v="1"/>
    <s v="19/05/2009"/>
    <s v="ROMA                   "/>
    <x v="0"/>
    <x v="0"/>
    <s v="I"/>
    <x v="0"/>
    <s v="AS "/>
    <x v="7"/>
    <s v="02/01/2007"/>
    <s v="02/01/2007"/>
    <s v="19/02/1974"/>
    <s v="A"/>
    <s v="A.IN FORZA"/>
    <s v="1  -ASSUNZIONE                1"/>
    <s v=""/>
    <s v=" "/>
    <s v=""/>
    <s v=""/>
    <n v="1626"/>
    <s v="00"/>
    <n v="100"/>
    <s v="FULL TIME      100000000FF100-FULL TIME"/>
    <s v="02/01/2007"/>
    <s v=""/>
    <s v="  "/>
    <s v=""/>
    <s v="EP  "/>
    <s v="    "/>
    <x v="0"/>
    <s v=""/>
    <s v="fabiana.milani@ilsole24ore.com                    "/>
    <s v="F"/>
    <s v="F-FIRMA"/>
    <s v="1 "/>
    <s v="1=5 X 8"/>
    <s v="07/01/2026"/>
    <s v="TEMPO DETERMINATO"/>
    <s v="31/01/2026"/>
    <s v="0015001006                    "/>
    <s v="DE SANCTIS FULVIA PAOLA"/>
    <n v="51"/>
    <s v="I  "/>
  </r>
  <r>
    <x v="0"/>
    <n v="833"/>
    <x v="0"/>
    <s v="H           "/>
    <s v="DG SERVIZI PROFESSIONALI E FORMAZIONE"/>
    <x v="33"/>
    <x v="32"/>
    <s v="815400      "/>
    <s v="815400   REDAZIONE DIRITTO E FONTI NORM."/>
    <s v="MOLLO                           "/>
    <s v="MARIA ELISA       "/>
    <s v="MLLMLS63L67H183E"/>
    <x v="0"/>
    <s v="31"/>
    <x v="1"/>
    <s v="20/05/2009"/>
    <s v="ROMA                   "/>
    <x v="0"/>
    <x v="0"/>
    <s v="I"/>
    <x v="0"/>
    <s v="A  "/>
    <x v="0"/>
    <s v="01/03/1995"/>
    <s v="01/03/1995"/>
    <s v="27/07/1963"/>
    <s v="A"/>
    <s v="A.IN FORZA"/>
    <s v="1  -ASSUNZIONE                1"/>
    <s v=""/>
    <s v=" "/>
    <s v=""/>
    <s v=""/>
    <n v="632"/>
    <s v="00"/>
    <n v="100"/>
    <s v="FULL TIME      100000000FF100-FULL TIME"/>
    <s v="01/03/1995"/>
    <s v=""/>
    <s v="  "/>
    <s v=""/>
    <s v="EP  "/>
    <s v="    "/>
    <x v="0"/>
    <s v=""/>
    <s v="mariaelisa.mollo@ilsole24ore.com                  "/>
    <s v="F"/>
    <s v="F-FIRMA"/>
    <s v="1 "/>
    <s v="1=5 X 8"/>
    <s v="01/07/2025"/>
    <s v="TEMPO DETERMINATO"/>
    <s v="31/05/2027"/>
    <s v="0015001006                    "/>
    <s v="DE SANCTIS FULVIA PAOLA"/>
    <n v="62"/>
    <s v="I  "/>
  </r>
  <r>
    <x v="0"/>
    <n v="3162"/>
    <x v="0"/>
    <s v="H           "/>
    <s v="DG SERVIZI PROFESSIONALI E FORMAZIONE"/>
    <x v="33"/>
    <x v="32"/>
    <s v="815400      "/>
    <s v="815400   REDAZIONE DIRITTO E FONTI NORM."/>
    <s v="ONOFRI                          "/>
    <s v="SILVIA EMANUELA   "/>
    <s v="NFRSVM65R57H501N"/>
    <x v="0"/>
    <s v="31"/>
    <x v="1"/>
    <s v="21/10/2025"/>
    <s v="ROMA                   "/>
    <x v="0"/>
    <x v="0"/>
    <s v="I"/>
    <x v="0"/>
    <s v="A  "/>
    <x v="0"/>
    <s v="21/10/2025"/>
    <s v="21/10/2025"/>
    <s v="17/10/1965"/>
    <s v="A"/>
    <s v="A.IN FORZA"/>
    <s v="1  -ASSUNZIONE                1"/>
    <s v=""/>
    <s v="A"/>
    <s v="30/09/2026"/>
    <s v=""/>
    <n v="3162"/>
    <s v="00"/>
    <n v="100"/>
    <s v="FULL TIME      100000000FF100-FULL TIME"/>
    <s v="21/10/2025"/>
    <s v=""/>
    <s v="  "/>
    <s v=""/>
    <s v="EN  "/>
    <s v="    "/>
    <x v="0"/>
    <s v=""/>
    <s v="silvia.onofri@ilsole24ore.com                     "/>
    <s v="F"/>
    <s v="F-FIRMA"/>
    <s v="1 "/>
    <s v="1=5 X 8"/>
    <s v="27/10/2025"/>
    <s v="TEMPO DETERMINATO"/>
    <s v="31/05/2027"/>
    <s v="0015001006                    "/>
    <s v="DE SANCTIS FULVIA PAOLA"/>
    <n v="60"/>
    <s v="I  "/>
  </r>
  <r>
    <x v="0"/>
    <n v="1166"/>
    <x v="0"/>
    <s v="H           "/>
    <s v="DG SERVIZI PROFESSIONALI E FORMAZIONE"/>
    <x v="33"/>
    <x v="32"/>
    <s v="815400      "/>
    <s v="815400   REDAZIONE DIRITTO E FONTI NORM."/>
    <s v="PICCIOCCHI                      "/>
    <s v="PAOLA             "/>
    <s v="PCCPLA66P63H501I"/>
    <x v="0"/>
    <s v="31"/>
    <x v="1"/>
    <s v="20/05/2009"/>
    <s v="ROMA                   "/>
    <x v="0"/>
    <x v="0"/>
    <s v="I"/>
    <x v="0"/>
    <s v="A  "/>
    <x v="0"/>
    <s v="01/09/1998"/>
    <s v="01/09/1998"/>
    <s v="23/09/1966"/>
    <s v="A"/>
    <s v="A.IN FORZA"/>
    <s v="1  -ASSUNZIONE                1"/>
    <s v=""/>
    <s v=" "/>
    <s v=""/>
    <s v=""/>
    <n v="919"/>
    <s v="00"/>
    <n v="100"/>
    <s v="FULL TIME      100000000FF100-FULL TIME"/>
    <s v="01/09/2018"/>
    <s v=""/>
    <s v="  "/>
    <s v=""/>
    <s v="EP  "/>
    <s v="    "/>
    <x v="0"/>
    <s v="C.G.I.L.           C.G.I.L"/>
    <s v="paola.picciocchi@ilsole24ore.com                  "/>
    <s v="F"/>
    <s v="F-FIRMA"/>
    <s v="1 "/>
    <s v="1=5 X 8"/>
    <s v="01/07/2025"/>
    <s v="TEMPO DETERMINATO"/>
    <s v="31/05/2027"/>
    <s v="0015001006                    "/>
    <s v="DE SANCTIS FULVIA PAOLA"/>
    <n v="59"/>
    <s v="I  "/>
  </r>
  <r>
    <x v="0"/>
    <n v="1971"/>
    <x v="0"/>
    <s v="H           "/>
    <s v="DG SERVIZI PROFESSIONALI E FORMAZIONE"/>
    <x v="33"/>
    <x v="32"/>
    <s v="815400      "/>
    <s v="815400   REDAZIONE DIRITTO E FONTI NORM."/>
    <s v="SANTOLAMAZZA                    "/>
    <s v="BARBARA           "/>
    <s v="SNTBBR72C69L182C"/>
    <x v="0"/>
    <s v="31"/>
    <x v="1"/>
    <s v="20/05/2009"/>
    <s v="ROMA                   "/>
    <x v="0"/>
    <x v="0"/>
    <s v="I"/>
    <x v="0"/>
    <s v="AS "/>
    <x v="7"/>
    <s v="01/09/2003"/>
    <s v="01/09/2003"/>
    <s v="29/03/1972"/>
    <s v="A"/>
    <s v="A.IN FORZA"/>
    <s v="1  -ASSUNZIONE                1"/>
    <s v=""/>
    <s v=" "/>
    <s v=""/>
    <s v=""/>
    <n v="1537"/>
    <s v="00"/>
    <n v="100"/>
    <s v="FULL TIME      100000000FF100-FULL TIME"/>
    <s v="01/09/2003"/>
    <s v=""/>
    <s v="  "/>
    <s v=""/>
    <s v="EP  "/>
    <s v="    "/>
    <x v="0"/>
    <s v=""/>
    <s v="barbara.santolamazza@ilsole24ore.com              "/>
    <s v="F"/>
    <s v="F-FIRMA"/>
    <s v="1 "/>
    <s v="1=5 X 8"/>
    <s v="01/07/2025"/>
    <s v="TEMPO DETERMINATO"/>
    <s v="31/05/2027"/>
    <s v="0015001006                    "/>
    <s v="DE SANCTIS FULVIA PAOLA"/>
    <n v="53"/>
    <s v="I  "/>
  </r>
  <r>
    <x v="0"/>
    <n v="918"/>
    <x v="0"/>
    <s v="H           "/>
    <s v="DG SERVIZI PROFESSIONALI E FORMAZIONE"/>
    <x v="33"/>
    <x v="32"/>
    <s v="815400      "/>
    <s v="815400   REDAZIONE DIRITTO E FONTI NORM."/>
    <s v="TRALDI                          "/>
    <s v="BARBARA           "/>
    <s v="TRLBBR73B46H501I"/>
    <x v="0"/>
    <s v="31"/>
    <x v="1"/>
    <s v="20/05/2009"/>
    <s v="ROMA                   "/>
    <x v="0"/>
    <x v="0"/>
    <s v="I"/>
    <x v="0"/>
    <s v="AS "/>
    <x v="7"/>
    <s v="01/09/1996"/>
    <s v="01/09/1996"/>
    <s v="06/02/1973"/>
    <s v="A"/>
    <s v="A.IN FORZA"/>
    <s v="1  -ASSUNZIONE                1"/>
    <s v=""/>
    <s v=" "/>
    <s v=""/>
    <s v=""/>
    <n v="707"/>
    <s v="00"/>
    <n v="100"/>
    <s v="FULL TIME      100000000FF100-FULL TIME"/>
    <s v="01/09/1996"/>
    <s v=""/>
    <s v="  "/>
    <s v=""/>
    <s v="EP  "/>
    <s v="    "/>
    <x v="0"/>
    <s v="C.G.I.L.           C.G.I.L"/>
    <s v="barbara.traldi@ilsole24ore.com                    "/>
    <s v="F"/>
    <s v="F-FIRMA"/>
    <s v="1 "/>
    <s v="1=5 X 8"/>
    <s v="01/07/2025"/>
    <s v="TEMPO DETERMINATO"/>
    <s v="31/05/2027"/>
    <s v="0015001006                    "/>
    <s v="DE SANCTIS FULVIA PAOLA"/>
    <n v="52"/>
    <s v="I  "/>
  </r>
  <r>
    <x v="0"/>
    <n v="2154"/>
    <x v="0"/>
    <s v="H           "/>
    <s v="DG SERVIZI PROFESSIONALI E FORMAZIONE"/>
    <x v="33"/>
    <x v="32"/>
    <s v="G12000      "/>
    <s v="G12000   REDAZIONE AREE TECNICHE E P.A."/>
    <s v="ASCIONE                         "/>
    <s v="ISABELLA          "/>
    <s v="SCNSLL74T64I838K"/>
    <x v="0"/>
    <s v="31"/>
    <x v="1"/>
    <s v="20/05/2009"/>
    <s v="ROMA                   "/>
    <x v="0"/>
    <x v="0"/>
    <s v="F"/>
    <x v="2"/>
    <s v="Q  "/>
    <x v="8"/>
    <s v="02/01/2007"/>
    <s v="02/01/2007"/>
    <s v="24/12/1974"/>
    <s v="A"/>
    <s v="A.IN FORZA"/>
    <s v="1  -ASSUNZIONE                1"/>
    <s v=""/>
    <s v=" "/>
    <s v=""/>
    <s v=""/>
    <n v="1625"/>
    <s v="00"/>
    <n v="100"/>
    <s v="FULL TIME      100000000FF100-FULL TIME"/>
    <s v="02/01/2007"/>
    <s v=""/>
    <s v="  "/>
    <s v=""/>
    <s v="EP  "/>
    <s v="    "/>
    <x v="0"/>
    <s v=""/>
    <s v="isabella.ascione@ilsole24ore.com                  "/>
    <s v="F"/>
    <s v="F-FIRMA"/>
    <s v="1 "/>
    <s v="1=5 X 8"/>
    <s v="01/07/2025"/>
    <s v="TEMPO DETERMINATO"/>
    <s v="31/05/2027"/>
    <s v="0015000841                    "/>
    <s v="BULGARELLI ENNIO"/>
    <n v="51"/>
    <s v="I  "/>
  </r>
  <r>
    <x v="0"/>
    <n v="2098"/>
    <x v="0"/>
    <s v="H           "/>
    <s v="DG SERVIZI PROFESSIONALI E FORMAZIONE"/>
    <x v="33"/>
    <x v="32"/>
    <s v="G12000      "/>
    <s v="G12000   REDAZIONE AREE TECNICHE E P.A."/>
    <s v="FURNO                           "/>
    <s v="PAOLA             "/>
    <s v="FRNPLA71P56B963P"/>
    <x v="0"/>
    <s v="34"/>
    <x v="0"/>
    <s v="01/04/2021"/>
    <s v="MILANO                 "/>
    <x v="0"/>
    <x v="0"/>
    <s v="I"/>
    <x v="0"/>
    <s v="AS "/>
    <x v="7"/>
    <s v="01/04/2006"/>
    <s v="01/04/2006"/>
    <s v="16/09/1971"/>
    <s v="A"/>
    <s v="A.IN FORZA"/>
    <s v="1  -ASSUNZIONE                1"/>
    <s v=""/>
    <s v=" "/>
    <s v=""/>
    <s v=""/>
    <n v="1586"/>
    <s v="00"/>
    <n v="100"/>
    <s v="FULL TIME      100000000FF100-FULL TIME"/>
    <s v="01/04/2006"/>
    <s v=""/>
    <s v="  "/>
    <s v=""/>
    <s v="EP  "/>
    <s v="    "/>
    <x v="0"/>
    <s v=""/>
    <s v="paola.furno@ilsole24ore.com                       "/>
    <s v="F"/>
    <s v="F-FIRMA"/>
    <s v="1 "/>
    <s v="1=5 X 8"/>
    <s v="01/07/2025"/>
    <s v="TEMPO DETERMINATO"/>
    <s v="31/05/2027"/>
    <s v="0015002154                    "/>
    <s v="ASCIONE ISABELLA"/>
    <n v="54"/>
    <s v="I  "/>
  </r>
  <r>
    <x v="0"/>
    <n v="2044"/>
    <x v="0"/>
    <s v="H           "/>
    <s v="DG SERVIZI PROFESSIONALI E FORMAZIONE"/>
    <x v="33"/>
    <x v="32"/>
    <s v="G12000      "/>
    <s v="G12000   REDAZIONE AREE TECNICHE E P.A."/>
    <s v="LALLI                           "/>
    <s v="MARIA IDA         "/>
    <s v="LLLMRD72E41A345U"/>
    <x v="0"/>
    <s v="31"/>
    <x v="1"/>
    <s v="20/05/2009"/>
    <s v="ROMA                   "/>
    <x v="0"/>
    <x v="0"/>
    <s v="I"/>
    <x v="0"/>
    <s v="AS "/>
    <x v="7"/>
    <s v="13/12/2004"/>
    <s v="13/12/2004"/>
    <s v="01/05/1972"/>
    <s v="A"/>
    <s v="A.IN FORZA"/>
    <s v="1  -ASSUNZIONE                1"/>
    <s v=""/>
    <s v=" "/>
    <s v=""/>
    <s v=""/>
    <n v="1565"/>
    <s v="00"/>
    <n v="100"/>
    <s v="FULL TIME      100000000FF100-FULL TIME"/>
    <s v="01/04/2013"/>
    <s v=""/>
    <s v="  "/>
    <s v=""/>
    <s v="EV  "/>
    <s v="    "/>
    <x v="0"/>
    <s v="C.G.I.L.           C.G.I.L"/>
    <s v="mariaIda.lalli@ilsole24ore.com                    "/>
    <s v="F"/>
    <s v="F-FIRMA"/>
    <s v="1 "/>
    <s v="1=5 X 8"/>
    <s v="01/07/2025"/>
    <s v="TEMPO DETERMINATO"/>
    <s v="31/05/2027"/>
    <s v="0015002154                    "/>
    <s v="ASCIONE ISABELLA"/>
    <n v="53"/>
    <s v="I  "/>
  </r>
  <r>
    <x v="0"/>
    <n v="3126"/>
    <x v="0"/>
    <s v="H           "/>
    <s v="DG SERVIZI PROFESSIONALI E FORMAZIONE"/>
    <x v="33"/>
    <x v="32"/>
    <s v="G12000      "/>
    <s v="G12000   REDAZIONE AREE TECNICHE E P.A."/>
    <s v="RAMPULLA                        "/>
    <s v="VALENTINA         "/>
    <s v="RMPVNT86R42H501P"/>
    <x v="0"/>
    <s v="31"/>
    <x v="1"/>
    <s v="03/06/2024"/>
    <s v="ROMA                   "/>
    <x v="0"/>
    <x v="0"/>
    <s v="I"/>
    <x v="0"/>
    <s v="A  "/>
    <x v="0"/>
    <s v="03/06/2024"/>
    <s v="03/06/2024"/>
    <s v="02/10/1986"/>
    <s v="A"/>
    <s v="A.IN FORZA"/>
    <s v="1  -ASSUNZIONE                1"/>
    <s v=""/>
    <s v=" "/>
    <s v=""/>
    <s v=""/>
    <n v="3126"/>
    <s v="00"/>
    <n v="100"/>
    <s v="FULL TIME      100000000FF100-FULL TIME"/>
    <s v="03/06/2024"/>
    <s v=""/>
    <s v="  "/>
    <s v=""/>
    <s v="EN  "/>
    <s v="    "/>
    <x v="0"/>
    <s v=""/>
    <s v="valentina.rampulla@ilsole24ore.com                "/>
    <s v="F"/>
    <s v="F-FIRMA"/>
    <s v="1 "/>
    <s v="1=5 X 8"/>
    <s v="01/07/2025"/>
    <s v="TEMPO DETERMINATO"/>
    <s v="31/05/2027"/>
    <s v="0015002154                    "/>
    <s v="ASCIONE ISABELLA"/>
    <n v="39"/>
    <s v="I  "/>
  </r>
  <r>
    <x v="0"/>
    <n v="1460"/>
    <x v="0"/>
    <s v="H           "/>
    <s v="DG SERVIZI PROFESSIONALI E FORMAZIONE"/>
    <x v="33"/>
    <x v="32"/>
    <s v="G12000      "/>
    <s v="G12000   REDAZIONE AREE TECNICHE E P.A."/>
    <s v="TUDINI                          "/>
    <s v="MONICA            "/>
    <s v="TDNMNC71L42H501S"/>
    <x v="0"/>
    <s v="31"/>
    <x v="1"/>
    <s v="20/05/2009"/>
    <s v="ROMA                   "/>
    <x v="0"/>
    <x v="0"/>
    <s v="I"/>
    <x v="0"/>
    <s v="AS "/>
    <x v="7"/>
    <s v="17/01/2000"/>
    <s v="17/01/2000"/>
    <s v="02/07/1971"/>
    <s v="A"/>
    <s v="A.IN FORZA"/>
    <s v="1  -ASSUNZIONE                1"/>
    <s v=""/>
    <s v=" "/>
    <s v=""/>
    <s v=""/>
    <n v="1155"/>
    <s v="00"/>
    <n v="100"/>
    <s v="FULL TIME      100000000FF100-FULL TIME"/>
    <s v="01/07/2018"/>
    <s v=""/>
    <s v="  "/>
    <s v=""/>
    <s v="EP  "/>
    <s v="    "/>
    <x v="0"/>
    <s v=""/>
    <s v="monica.tudini@ilsole24ore.com                     "/>
    <s v="F"/>
    <s v="F-FIRMA"/>
    <s v="1 "/>
    <s v="1=5 X 8"/>
    <s v="01/07/2025"/>
    <s v="TEMPO DETERMINATO"/>
    <s v="31/05/2027"/>
    <s v="0015002154                    "/>
    <s v="ASCIONE ISABELLA"/>
    <n v="54"/>
    <s v="I  "/>
  </r>
  <r>
    <x v="0"/>
    <n v="1500"/>
    <x v="0"/>
    <s v="H           "/>
    <s v="DG SERVIZI PROFESSIONALI E FORMAZIONE"/>
    <x v="33"/>
    <x v="32"/>
    <s v="G1200010    "/>
    <s v="G1200010 REDAZIONE AZIENDE"/>
    <s v="SALAPARUTA                      "/>
    <s v="CORINNA           "/>
    <s v="SLPCNN70M42H501V"/>
    <x v="0"/>
    <s v="31"/>
    <x v="1"/>
    <s v="20/05/2009"/>
    <s v="ROMA                   "/>
    <x v="0"/>
    <x v="0"/>
    <s v="I"/>
    <x v="0"/>
    <s v="AS "/>
    <x v="7"/>
    <s v="06/03/2000"/>
    <s v="06/03/2000"/>
    <s v="02/08/1970"/>
    <s v="A"/>
    <s v="A.IN FORZA"/>
    <s v="1  -ASSUNZIONE                1"/>
    <s v=""/>
    <s v=" "/>
    <s v=""/>
    <s v=""/>
    <n v="1188"/>
    <s v="00"/>
    <n v="100"/>
    <s v="FULL TIME      100000000FF100-FULL TIME"/>
    <s v="06/03/2000"/>
    <s v=""/>
    <s v="  "/>
    <s v=""/>
    <s v="EP  "/>
    <s v="    "/>
    <x v="0"/>
    <s v=""/>
    <s v="corinna.salaparuta@ilsole24ore.com                "/>
    <s v="F"/>
    <s v="F-FIRMA"/>
    <s v="1 "/>
    <s v="1=5 X 8"/>
    <s v="01/07/2025"/>
    <s v="TEMPO DETERMINATO"/>
    <s v="31/05/2027"/>
    <s v="0015000841                    "/>
    <s v="BULGARELLI ENNIO"/>
    <n v="55"/>
    <s v="I  "/>
  </r>
  <r>
    <x v="0"/>
    <n v="3118"/>
    <x v="0"/>
    <s v="H           "/>
    <s v="DG SERVIZI PROFESSIONALI E FORMAZIONE"/>
    <x v="34"/>
    <x v="33"/>
    <s v="E11000      "/>
    <s v="E11000  AREA FINANCIAL SERVICES &amp; PATNER"/>
    <s v="SCIARAFFA                       "/>
    <s v="PASQUALE          "/>
    <s v="SCRPQL91T06F104P"/>
    <x v="1"/>
    <s v="34"/>
    <x v="0"/>
    <s v="15/04/2024"/>
    <s v="MILANO                 "/>
    <x v="0"/>
    <x v="0"/>
    <s v="I"/>
    <x v="0"/>
    <s v="AS "/>
    <x v="7"/>
    <s v="15/04/2024"/>
    <s v="15/04/2024"/>
    <s v="06/12/1991"/>
    <s v="A"/>
    <s v="A.IN FORZA"/>
    <s v="1  -ASSUNZIONE                1"/>
    <s v=""/>
    <s v=" "/>
    <s v=""/>
    <s v=""/>
    <n v="3118"/>
    <s v="00"/>
    <n v="100"/>
    <s v="FULL TIME      100000000FF100-FULL TIME"/>
    <s v="15/04/2024"/>
    <s v=""/>
    <s v="  "/>
    <s v=""/>
    <s v="EN  "/>
    <s v="    "/>
    <x v="0"/>
    <s v=""/>
    <s v="pasquale.sciaraffa@ilsole24ore.com                "/>
    <s v="F"/>
    <s v="F-FIRMA"/>
    <s v="1 "/>
    <s v="1=5 X 8"/>
    <s v="01/07/2025"/>
    <s v="TEMPO DETERMINATO"/>
    <s v="31/05/2027"/>
    <s v="0015003060                    "/>
    <s v="TRECCARICHI GIUSEPPE WILLIAM"/>
    <n v="34"/>
    <s v="I  "/>
  </r>
  <r>
    <x v="0"/>
    <n v="3060"/>
    <x v="0"/>
    <s v="H           "/>
    <s v="DG SERVIZI PROFESSIONALI E FORMAZIONE"/>
    <x v="34"/>
    <x v="33"/>
    <s v="E11000      "/>
    <s v="E11000  AREA FINANCIAL SERVICES &amp; PATNER"/>
    <s v="TRECCARICHI                     "/>
    <s v="GIUSEPPE WILLIAM  "/>
    <s v="TRCGPP87T22B202O"/>
    <x v="1"/>
    <s v="34"/>
    <x v="0"/>
    <s v="16/11/2022"/>
    <s v="MILANO                 "/>
    <x v="0"/>
    <x v="0"/>
    <s v="F"/>
    <x v="2"/>
    <s v="Q  "/>
    <x v="8"/>
    <s v="16/11/2022"/>
    <s v="16/11/2022"/>
    <s v="22/12/1987"/>
    <s v="A"/>
    <s v="A.IN FORZA"/>
    <s v="1  -ASSUNZIONE                1"/>
    <s v=""/>
    <s v=" "/>
    <s v=""/>
    <s v=""/>
    <n v="3060"/>
    <s v="00"/>
    <n v="100"/>
    <s v="FULL TIME      100000000FF100-FULL TIME"/>
    <s v="16/11/2022"/>
    <s v=""/>
    <s v="  "/>
    <s v=""/>
    <s v="EN  "/>
    <s v="    "/>
    <x v="0"/>
    <s v=""/>
    <s v="giuseppe.treccarichi@ilsole24ore.com              "/>
    <s v="F"/>
    <s v="F-FIRMA"/>
    <s v="1 "/>
    <s v="1=5 X 8"/>
    <s v="01/07/2025"/>
    <s v="TEMPO DETERMINATO"/>
    <s v="31/05/2027"/>
    <s v="0015002988                    "/>
    <s v="MINELLA ERALDO"/>
    <n v="38"/>
    <s v="I  "/>
  </r>
  <r>
    <x v="0"/>
    <n v="1809"/>
    <x v="0"/>
    <s v="H           "/>
    <s v="DG SERVIZI PROFESSIONALI E FORMAZIONE"/>
    <x v="34"/>
    <x v="33"/>
    <s v="F1500010    "/>
    <s v="F1500010 STUDI E ANALISI"/>
    <s v="GIANOTTI                        "/>
    <s v="ANDREA            "/>
    <s v="GNTNDR74A12A940D"/>
    <x v="1"/>
    <s v="34"/>
    <x v="0"/>
    <s v="01/04/2021"/>
    <s v="MILANO                 "/>
    <x v="0"/>
    <x v="0"/>
    <s v="F"/>
    <x v="2"/>
    <s v="Q  "/>
    <x v="8"/>
    <s v="03/04/2000"/>
    <s v="01/03/2000"/>
    <s v="12/01/1974"/>
    <s v="A"/>
    <s v="A.IN FORZA"/>
    <s v="1  -ASSUNZIONE                1"/>
    <s v=""/>
    <s v=" "/>
    <s v=""/>
    <s v=""/>
    <n v="1429"/>
    <s v="00"/>
    <n v="100"/>
    <s v="FULL TIME      100000000FF100-FULL TIME"/>
    <s v="03/04/2000"/>
    <s v=""/>
    <s v="  "/>
    <s v=""/>
    <s v="EV  "/>
    <s v="    "/>
    <x v="0"/>
    <s v=""/>
    <s v="andrea.gianotti@ilsole24ore.com                   "/>
    <s v="F"/>
    <s v="F-FIRMA"/>
    <s v="1 "/>
    <s v="1=5 X 8"/>
    <s v="01/07/2025"/>
    <s v="TEMPO DETERMINATO"/>
    <s v="31/05/2027"/>
    <s v="0015003060                    "/>
    <s v="TRECCARICHI GIUSEPPE WILLIAM"/>
    <n v="52"/>
    <s v="I  "/>
  </r>
  <r>
    <x v="0"/>
    <n v="2249"/>
    <x v="0"/>
    <s v="H           "/>
    <s v="DG SERVIZI PROFESSIONALI E FORMAZIONE"/>
    <x v="34"/>
    <x v="33"/>
    <s v="F1500010    "/>
    <s v="F1500010 STUDI E ANALISI"/>
    <s v="GUERRA                          "/>
    <s v="MARCO             "/>
    <s v="GRRMRC77H05C933T"/>
    <x v="1"/>
    <s v="34"/>
    <x v="0"/>
    <s v="01/04/2021"/>
    <s v="MILANO                 "/>
    <x v="3"/>
    <x v="3"/>
    <s v="I"/>
    <x v="0"/>
    <s v="08 "/>
    <x v="13"/>
    <s v="01/11/2007"/>
    <s v="01/11/2007"/>
    <s v="05/06/1977"/>
    <s v="A"/>
    <s v="A.IN FORZA"/>
    <s v="1  -ASSUNZIONE                1"/>
    <s v=""/>
    <s v=" "/>
    <s v=""/>
    <s v=""/>
    <n v="1685"/>
    <s v="00"/>
    <n v="100"/>
    <s v="FULL TIME      100000000FF100-FULL TIME"/>
    <s v="01/11/2007"/>
    <s v=""/>
    <s v="  "/>
    <s v=""/>
    <s v="PSO "/>
    <s v="    "/>
    <x v="0"/>
    <s v="U.I.L.             U.I.L"/>
    <s v="marco.guerra@ilsole24ore.com                      "/>
    <s v="F"/>
    <s v="F-FIRMA"/>
    <s v="3 "/>
    <s v="3=5 X 7"/>
    <s v="01/07/2025"/>
    <s v="TEMPO DETERMINATO"/>
    <s v="31/05/2027"/>
    <s v="0015001809                    "/>
    <s v="GIANOTTI ANDREA"/>
    <n v="48"/>
    <s v="I  "/>
  </r>
  <r>
    <x v="0"/>
    <n v="1866"/>
    <x v="0"/>
    <s v="H           "/>
    <s v="DG SERVIZI PROFESSIONALI E FORMAZIONE"/>
    <x v="34"/>
    <x v="33"/>
    <s v="F1500010    "/>
    <s v="F1500010 STUDI E ANALISI"/>
    <s v="MONTEVERDI                      "/>
    <s v="ANDREA            "/>
    <s v="MNTNDR74M28F205J"/>
    <x v="1"/>
    <s v="34"/>
    <x v="0"/>
    <s v="01/04/2021"/>
    <s v="MILANO                 "/>
    <x v="3"/>
    <x v="3"/>
    <s v="I"/>
    <x v="0"/>
    <s v="08 "/>
    <x v="13"/>
    <s v="04/02/2002"/>
    <s v="04/02/2002"/>
    <s v="28/08/1974"/>
    <s v="A"/>
    <s v="A.IN FORZA"/>
    <s v="1  -ASSUNZIONE                1"/>
    <s v=""/>
    <s v=" "/>
    <s v=""/>
    <s v=""/>
    <n v="1478"/>
    <s v="00"/>
    <n v="100"/>
    <s v="FULL TIME      100000000FF100-FULL TIME"/>
    <s v="04/02/2002"/>
    <s v=""/>
    <s v="  "/>
    <s v=""/>
    <s v="PSO "/>
    <s v="    "/>
    <x v="0"/>
    <s v=""/>
    <s v="andrea.monteverdi@ilsole24ore.com                 "/>
    <s v="F"/>
    <s v="F-FIRMA"/>
    <s v="3 "/>
    <s v="3=5 X 7"/>
    <s v="01/07/2025"/>
    <s v="TEMPO DETERMINATO"/>
    <s v="31/05/2027"/>
    <s v="0015001809                    "/>
    <s v="GIANOTTI ANDREA"/>
    <n v="51"/>
    <s v="I  "/>
  </r>
  <r>
    <x v="0"/>
    <n v="1211"/>
    <x v="0"/>
    <s v="H           "/>
    <s v="DG SERVIZI PROFESSIONALI E FORMAZIONE"/>
    <x v="34"/>
    <x v="33"/>
    <s v="F1500010    "/>
    <s v="F1500010 STUDI E ANALISI"/>
    <s v="MOSCATELLI                      "/>
    <s v="ELISABETTA        "/>
    <s v="MSCLBT67P61F205V"/>
    <x v="0"/>
    <s v="34"/>
    <x v="0"/>
    <s v="01/04/2021"/>
    <s v="MILANO                 "/>
    <x v="3"/>
    <x v="3"/>
    <s v="I"/>
    <x v="0"/>
    <s v="08 "/>
    <x v="13"/>
    <s v="04/01/1999"/>
    <s v="04/01/1999"/>
    <s v="21/09/1967"/>
    <s v="A"/>
    <s v="A.IN FORZA"/>
    <s v="1  -ASSUNZIONE                1"/>
    <s v=""/>
    <s v=" "/>
    <s v=""/>
    <s v=""/>
    <n v="955"/>
    <s v="00"/>
    <n v="100"/>
    <s v="FULL TIME      100000000FF100-FULL TIME"/>
    <s v="04/01/1999"/>
    <s v=""/>
    <s v="  "/>
    <s v=""/>
    <s v="PSO "/>
    <s v="    "/>
    <x v="0"/>
    <s v=""/>
    <s v="elisabetta.moscatelli@ilsole24ore.com             "/>
    <s v="F"/>
    <s v="F-FIRMA"/>
    <s v="3 "/>
    <s v="3=5 X 7"/>
    <s v="01/07/2025"/>
    <s v="TEMPO DETERMINATO"/>
    <s v="31/05/2027"/>
    <s v="0015001809                    "/>
    <s v="GIANOTTI ANDREA"/>
    <n v="58"/>
    <s v="I  "/>
  </r>
  <r>
    <x v="0"/>
    <n v="1251"/>
    <x v="0"/>
    <s v="H           "/>
    <s v="DG SERVIZI PROFESSIONALI E FORMAZIONE"/>
    <x v="34"/>
    <x v="33"/>
    <s v="F1500010    "/>
    <s v="F1500010 STUDI E ANALISI"/>
    <s v="NOVELLINI                       "/>
    <s v="VALERIA           "/>
    <s v="NVLVLR62P67B110D"/>
    <x v="0"/>
    <s v="34"/>
    <x v="0"/>
    <s v="01/04/2021"/>
    <s v="MILANO                 "/>
    <x v="0"/>
    <x v="0"/>
    <s v="I"/>
    <x v="0"/>
    <s v="A  "/>
    <x v="0"/>
    <s v="19/04/1999"/>
    <s v="19/04/1999"/>
    <s v="27/09/1962"/>
    <s v="A"/>
    <s v="A.IN FORZA"/>
    <s v="1  -ASSUNZIONE                1"/>
    <s v=""/>
    <s v=" "/>
    <s v=""/>
    <s v=""/>
    <n v="990"/>
    <s v="00"/>
    <n v="100"/>
    <s v="FULL TIME      100000000FF100-FULL TIME"/>
    <s v="19/04/1999"/>
    <s v=""/>
    <s v="  "/>
    <s v=""/>
    <s v="EV  "/>
    <s v="    "/>
    <x v="0"/>
    <s v=""/>
    <s v="valeria.novellini@ilsole24ore.com                 "/>
    <s v="F"/>
    <s v="F-FIRMA"/>
    <s v="1 "/>
    <s v="1=5 X 8"/>
    <s v=""/>
    <s v=""/>
    <s v=""/>
    <s v="0015001809                    "/>
    <s v="GIANOTTI ANDREA"/>
    <n v="63"/>
    <s v="I  "/>
  </r>
  <r>
    <x v="0"/>
    <n v="2162"/>
    <x v="0"/>
    <s v="H           "/>
    <s v="DG SERVIZI PROFESSIONALI E FORMAZIONE"/>
    <x v="34"/>
    <x v="33"/>
    <s v="F1500010    "/>
    <s v="F1500010 STUDI E ANALISI"/>
    <s v="TANTARDINI                      "/>
    <s v="CINZIA LEONIA     "/>
    <s v="TNTCZL61R43L319W"/>
    <x v="0"/>
    <s v="34"/>
    <x v="0"/>
    <s v="01/04/2021"/>
    <s v="MILANO                 "/>
    <x v="0"/>
    <x v="0"/>
    <s v="I"/>
    <x v="0"/>
    <s v="B1 "/>
    <x v="10"/>
    <s v="08/01/2007"/>
    <s v="08/01/2007"/>
    <s v="03/10/1961"/>
    <s v="A"/>
    <s v="A.IN FORZA"/>
    <s v="1  -ASSUNZIONE                1"/>
    <s v=""/>
    <s v=" "/>
    <s v=""/>
    <s v=""/>
    <n v="1631"/>
    <s v="00"/>
    <n v="100"/>
    <s v="FULL TIME      100000000FF100-FULL TIME"/>
    <s v="08/01/2007"/>
    <s v=""/>
    <s v="  "/>
    <s v=""/>
    <s v="EV  "/>
    <s v="    "/>
    <x v="0"/>
    <s v=""/>
    <s v="cinzia.tantardini@ilsole24ore.com                 "/>
    <s v="F"/>
    <s v="F-FIRMA"/>
    <s v="1 "/>
    <s v="1=5 X 8"/>
    <s v="01/07/2025"/>
    <s v="TEMPO DETERMINATO"/>
    <s v="31/05/2027"/>
    <s v="0015001809                    "/>
    <s v="GIANOTTI ANDREA"/>
    <n v="64"/>
    <s v="I  "/>
  </r>
  <r>
    <x v="0"/>
    <n v="3128"/>
    <x v="0"/>
    <s v="H           "/>
    <s v="DG SERVIZI PROFESSIONALI E FORMAZIONE"/>
    <x v="35"/>
    <x v="34"/>
    <s v="81800010    "/>
    <s v="81800010 AREA PARTNER 24 ORE e COMM.DEVE"/>
    <s v="BENOTTI                         "/>
    <s v="MONICA            "/>
    <s v="BNTMNC93C62E514Y"/>
    <x v="0"/>
    <s v="34"/>
    <x v="0"/>
    <s v="01/07/2024"/>
    <s v="MILANO                 "/>
    <x v="0"/>
    <x v="0"/>
    <s v="I"/>
    <x v="0"/>
    <s v="B1 "/>
    <x v="10"/>
    <s v="01/07/2024"/>
    <s v="01/07/2024"/>
    <s v="22/03/1993"/>
    <s v="A"/>
    <s v="A.IN FORZA"/>
    <s v="1  -ASSUNZIONE                1"/>
    <s v=""/>
    <s v=" "/>
    <s v=""/>
    <s v=""/>
    <n v="3128"/>
    <s v="00"/>
    <n v="100"/>
    <s v="FULL TIME      100000000FF100-FULL TIME"/>
    <s v="01/07/2024"/>
    <s v=""/>
    <s v="  "/>
    <s v=""/>
    <s v="EN  "/>
    <s v="    "/>
    <x v="0"/>
    <s v=""/>
    <s v="monica.benotti@ilsole24ore.com                    "/>
    <s v="F"/>
    <s v="F-FIRMA"/>
    <s v="1 "/>
    <s v="1=5 X 8"/>
    <s v="01/07/2025"/>
    <s v="TEMPO DETERMINATO"/>
    <s v="31/05/2027"/>
    <s v="0015002991                    "/>
    <s v="POLVERE VANNA"/>
    <n v="32"/>
    <s v="I  "/>
  </r>
  <r>
    <x v="0"/>
    <n v="3062"/>
    <x v="0"/>
    <s v="H           "/>
    <s v="DG SERVIZI PROFESSIONALI E FORMAZIONE"/>
    <x v="35"/>
    <x v="34"/>
    <s v="81800010    "/>
    <s v="81800010 AREA PARTNER 24 ORE e COMM.DEVE"/>
    <s v="MARCHIONI                       "/>
    <s v="VALENTINA MARIA   "/>
    <s v="MRCVNT79C63F205L"/>
    <x v="0"/>
    <s v="34"/>
    <x v="0"/>
    <s v="02/01/2023"/>
    <s v="MILANO                 "/>
    <x v="0"/>
    <x v="0"/>
    <s v="I"/>
    <x v="0"/>
    <s v="A  "/>
    <x v="0"/>
    <s v="02/01/2023"/>
    <s v="02/01/2023"/>
    <s v="23/03/1979"/>
    <s v="A"/>
    <s v="A.IN FORZA"/>
    <s v="1  -ASSUNZIONE                1"/>
    <s v=""/>
    <s v=" "/>
    <s v=""/>
    <s v=""/>
    <n v="3062"/>
    <s v="00"/>
    <n v="100"/>
    <s v="FULL TIME      100000000FF100-FULL TIME"/>
    <s v="02/01/2023"/>
    <s v=""/>
    <s v="  "/>
    <s v=""/>
    <s v="EN  "/>
    <s v="    "/>
    <x v="0"/>
    <s v=""/>
    <s v="valentina.marchioni@ilsole24ore.com               "/>
    <s v="F"/>
    <s v="F-FIRMA"/>
    <s v="1 "/>
    <s v="1=5 X 8"/>
    <s v="01/07/2025"/>
    <s v="TEMPO DETERMINATO"/>
    <s v="31/05/2027"/>
    <s v="0015002991                    "/>
    <s v="POLVERE VANNA"/>
    <n v="46"/>
    <s v="I  "/>
  </r>
  <r>
    <x v="0"/>
    <n v="2991"/>
    <x v="0"/>
    <s v="H           "/>
    <s v="DG SERVIZI PROFESSIONALI E FORMAZIONE"/>
    <x v="35"/>
    <x v="34"/>
    <s v="81800010    "/>
    <s v="81800010 AREA PARTNER 24 ORE e COMM.DEVE"/>
    <s v="POLVERE                         "/>
    <s v="VANNA             "/>
    <s v="PLVVNN70A52F205Z"/>
    <x v="0"/>
    <s v="34"/>
    <x v="0"/>
    <s v="01/04/2021"/>
    <s v="MILANO                 "/>
    <x v="1"/>
    <x v="1"/>
    <s v="D"/>
    <x v="1"/>
    <s v="D  "/>
    <x v="1"/>
    <s v="02/01/2020"/>
    <s v="02/01/2020"/>
    <s v="12/01/1970"/>
    <s v="A"/>
    <s v="A.IN FORZA"/>
    <s v="1  -ASSUNZIONE                1"/>
    <s v=""/>
    <s v=" "/>
    <s v=""/>
    <s v=""/>
    <n v="2991"/>
    <s v="00"/>
    <n v="100"/>
    <s v="FULL TIME      100000000FF100-FULL TIME"/>
    <s v="02/01/2020"/>
    <s v=""/>
    <s v="  "/>
    <s v=""/>
    <s v="DD  "/>
    <s v="    "/>
    <x v="0"/>
    <s v=""/>
    <s v="vanna.polvere@ilsole24ore.com                     "/>
    <s v="F"/>
    <s v="F-FIRMA"/>
    <s v="1 "/>
    <s v="1=5 X 8"/>
    <s v="01/07/2025"/>
    <s v="TEMPO DETERMINATO"/>
    <s v="31/05/2026"/>
    <s v="0015002988                    "/>
    <s v="MINELLA ERALDO"/>
    <n v="56"/>
    <s v="I  "/>
  </r>
  <r>
    <x v="0"/>
    <n v="3114"/>
    <x v="0"/>
    <s v="I           "/>
    <s v="AFFARI LEGALI E SOCIETARI"/>
    <x v="36"/>
    <x v="35"/>
    <s v="012000      "/>
    <s v="012000   AFFARI LEGALI E SOCIETARI"/>
    <s v="ALTEI                           "/>
    <s v="ALESSANDRO        "/>
    <s v="LTALSN82R17F839Z"/>
    <x v="1"/>
    <s v="34"/>
    <x v="0"/>
    <s v="18/03/2024"/>
    <s v="MILANO                 "/>
    <x v="1"/>
    <x v="1"/>
    <s v="D"/>
    <x v="1"/>
    <s v="D  "/>
    <x v="1"/>
    <s v="18/03/2024"/>
    <s v="18/03/2024"/>
    <s v="17/10/1982"/>
    <s v="A"/>
    <s v="A.IN FORZA"/>
    <s v="1  -ASSUNZIONE                1"/>
    <s v=""/>
    <s v=" "/>
    <s v=""/>
    <s v=""/>
    <n v="3114"/>
    <s v="00"/>
    <n v="100"/>
    <s v="FULL TIME      100000000FF100-FULL TIME"/>
    <s v="18/03/2024"/>
    <s v=""/>
    <s v="  "/>
    <s v=""/>
    <s v="DD  "/>
    <s v="    "/>
    <x v="0"/>
    <s v=""/>
    <s v="alessandro.altei@ilsole24ore.com                  "/>
    <s v="E"/>
    <s v="E-ESENTE"/>
    <s v="1 "/>
    <s v="1=5 X 8"/>
    <s v="01/09/2025"/>
    <s v="TEMPO DETERMINATO"/>
    <s v="31/05/2026"/>
    <s v="0015002960                    "/>
    <s v="SILVESTRI FEDERICO"/>
    <n v="43"/>
    <s v="I  "/>
  </r>
  <r>
    <x v="0"/>
    <n v="3143"/>
    <x v="0"/>
    <s v="I           "/>
    <s v="AFFARI LEGALI E SOCIETARI"/>
    <x v="36"/>
    <x v="35"/>
    <s v="012000      "/>
    <s v="012000   AFFARI LEGALI E SOCIETARI"/>
    <s v="DI MARIA                        "/>
    <s v="SILVIA            "/>
    <s v="DMRSLV88S63G273R"/>
    <x v="0"/>
    <s v="34"/>
    <x v="0"/>
    <s v="07/01/2025"/>
    <s v="MILANO                 "/>
    <x v="0"/>
    <x v="0"/>
    <s v="F"/>
    <x v="2"/>
    <s v="Q  "/>
    <x v="8"/>
    <s v="07/01/2025"/>
    <s v="07/01/2025"/>
    <s v="23/11/1988"/>
    <s v="A"/>
    <s v="A.IN FORZA"/>
    <s v="1C-ASSUNZIONE CONTR. A TERMINE1"/>
    <s v=""/>
    <s v="D"/>
    <s v="31/12/2025"/>
    <s v=""/>
    <n v="3143"/>
    <s v="00"/>
    <n v="100"/>
    <s v="FULL TIME      100000000FF100-FULL TIME"/>
    <s v="07/01/2025"/>
    <s v=""/>
    <s v="  "/>
    <s v=""/>
    <s v="EN  "/>
    <s v="    "/>
    <x v="0"/>
    <s v=""/>
    <s v="silvia.dimaria@ilsole24ore.com                    "/>
    <s v=" "/>
    <s v=""/>
    <s v="  "/>
    <s v=""/>
    <s v="01/07/2025"/>
    <s v="TEMPO DETERMINATO"/>
    <s v="31/05/2027"/>
    <s v="0015003114                    "/>
    <s v="ALTEI ALESSANDRO"/>
    <n v="37"/>
    <s v="I  "/>
  </r>
  <r>
    <x v="0"/>
    <n v="2981"/>
    <x v="0"/>
    <s v="I           "/>
    <s v="AFFARI LEGALI E SOCIETARI"/>
    <x v="36"/>
    <x v="35"/>
    <s v="012000      "/>
    <s v="012000   AFFARI LEGALI E SOCIETARI"/>
    <s v="SANSONE                         "/>
    <s v="MARCO ANIELLO     "/>
    <s v="SNSMCN82P05F205X"/>
    <x v="1"/>
    <s v="34"/>
    <x v="0"/>
    <s v="01/04/2021"/>
    <s v="MILANO                 "/>
    <x v="0"/>
    <x v="0"/>
    <s v="F"/>
    <x v="2"/>
    <s v="Q  "/>
    <x v="8"/>
    <s v="16/09/2019"/>
    <s v="16/09/2019"/>
    <s v="05/09/1982"/>
    <s v="A"/>
    <s v="A.IN FORZA"/>
    <s v="1  -ASSUNZIONE                1"/>
    <s v=""/>
    <s v=" "/>
    <s v=""/>
    <s v=""/>
    <n v="2981"/>
    <s v="00"/>
    <n v="100"/>
    <s v="FULL TIME      100000000FF100-FULL TIME"/>
    <s v="16/09/2019"/>
    <s v=""/>
    <s v="  "/>
    <s v=""/>
    <s v="EV  "/>
    <s v="    "/>
    <x v="0"/>
    <s v=""/>
    <s v="marco.sansone@ilsole24ore.com                     "/>
    <s v="F"/>
    <s v="F-FIRMA"/>
    <s v="1 "/>
    <s v="1=5 X 8"/>
    <s v="01/07/2025"/>
    <s v="TEMPO DETERMINATO"/>
    <s v="31/05/2027"/>
    <s v="0015003114                    "/>
    <s v="ALTEI ALESSANDRO"/>
    <n v="43"/>
    <s v="I  "/>
  </r>
  <r>
    <x v="0"/>
    <n v="2022"/>
    <x v="0"/>
    <s v="I           "/>
    <s v="AFFARI LEGALI E SOCIETARI"/>
    <x v="36"/>
    <x v="35"/>
    <s v="016110      "/>
    <s v="016110  PRIVACY E SICUREZZA DATI"/>
    <s v="GAMBUSERA                       "/>
    <s v="CHIARA            "/>
    <s v="GMBCHR73H63F205G"/>
    <x v="0"/>
    <s v="34"/>
    <x v="0"/>
    <s v="01/04/2021"/>
    <s v="MILANO                 "/>
    <x v="0"/>
    <x v="0"/>
    <s v="F"/>
    <x v="2"/>
    <s v="Q  "/>
    <x v="8"/>
    <s v="01/07/2004"/>
    <s v="01/07/2004"/>
    <s v="23/06/1973"/>
    <s v="A"/>
    <s v="A.IN FORZA"/>
    <s v="1  -ASSUNZIONE                1"/>
    <s v=""/>
    <s v=" "/>
    <s v=""/>
    <s v=""/>
    <n v="1551"/>
    <s v="00"/>
    <n v="100"/>
    <s v="FULL TIME      100000000FF100-FULL TIME"/>
    <s v="01/07/2004"/>
    <s v=""/>
    <s v="  "/>
    <s v=""/>
    <s v="EV  "/>
    <s v="    "/>
    <x v="0"/>
    <s v=""/>
    <s v="chiara.gambusera@ilsole24ore.com                  "/>
    <s v="F"/>
    <s v="F-FIRMA"/>
    <s v="1 "/>
    <s v="1=5 X 8"/>
    <s v="01/07/2025"/>
    <s v="TEMPO DETERMINATO"/>
    <s v="31/05/2027"/>
    <s v="0015003114                    "/>
    <s v="ALTEI ALESSANDRO"/>
    <n v="52"/>
    <s v="I  "/>
  </r>
  <r>
    <x v="0"/>
    <n v="3059"/>
    <x v="0"/>
    <s v="K           "/>
    <s v="REDAZIONI GIORNALISTICHE"/>
    <x v="37"/>
    <x v="36"/>
    <s v="514000      "/>
    <s v="514000   DIREZIONE QUOTIDIANO"/>
    <s v="BELLASIO                        "/>
    <s v="DANIELE           "/>
    <s v="BLLDNL74R26F205O"/>
    <x v="1"/>
    <s v="34"/>
    <x v="0"/>
    <s v="03/10/2022"/>
    <s v="MILANO                 "/>
    <x v="4"/>
    <x v="4"/>
    <s v="G"/>
    <x v="3"/>
    <s v="AV "/>
    <x v="19"/>
    <s v="03/10/2022"/>
    <s v="03/10/2022"/>
    <s v="26/10/1974"/>
    <s v="A"/>
    <s v="A.IN FORZA"/>
    <s v="1  -ASSUNZIONE                1"/>
    <s v=""/>
    <s v=" "/>
    <s v=""/>
    <s v=""/>
    <n v="3059"/>
    <s v="00"/>
    <n v="100"/>
    <s v="FULL TIME      100000000FF100-FULL TIME"/>
    <s v="03/10/2022"/>
    <s v=""/>
    <s v="  "/>
    <s v=""/>
    <s v="GBM "/>
    <s v="L21 "/>
    <x v="1"/>
    <s v=""/>
    <s v="daniele.bellasio@ilsole24ore.com                  "/>
    <s v="E"/>
    <s v="E-ESENTE"/>
    <s v="2 "/>
    <s v="2=6 X 6"/>
    <s v="01/07/2025"/>
    <s v="TEMPO DETERMINATO"/>
    <s v="31/05/2027"/>
    <s v="0015003154                    "/>
    <s v="TAMBURINI FABIO ANTONIO"/>
    <n v="51"/>
    <s v="I  "/>
  </r>
  <r>
    <x v="0"/>
    <n v="3154"/>
    <x v="0"/>
    <s v="K           "/>
    <s v="REDAZIONI GIORNALISTICHE"/>
    <x v="37"/>
    <x v="36"/>
    <s v="514000      "/>
    <s v="514000   DIREZIONE QUOTIDIANO"/>
    <s v="TAMBURINI                       "/>
    <s v="FABIO ANTONIO     "/>
    <s v="TMBFNT54H23F205G"/>
    <x v="1"/>
    <s v="34"/>
    <x v="0"/>
    <s v="01/06/2025"/>
    <s v="MILANO                 "/>
    <x v="4"/>
    <x v="4"/>
    <s v="G"/>
    <x v="3"/>
    <s v="A  "/>
    <x v="20"/>
    <s v="01/06/2025"/>
    <s v="01/06/2025"/>
    <s v="23/06/1954"/>
    <s v="A"/>
    <s v="A.IN FORZA"/>
    <s v="1R-ASS.RINNOVO CONTR.A TERMINE1R"/>
    <s v=""/>
    <s v="D"/>
    <s v="31/05/2028"/>
    <s v=""/>
    <n v="3154"/>
    <s v="00"/>
    <n v="100"/>
    <s v="FULL TIME      100000000FF100-FULL TIME"/>
    <s v="01/06/2025"/>
    <s v=""/>
    <s v="  "/>
    <s v=""/>
    <s v="GSS "/>
    <s v="L20 "/>
    <x v="2"/>
    <s v=""/>
    <s v="fabio.tamburini@ilsole24ore.com                   "/>
    <s v="E"/>
    <s v="E-ESENTE"/>
    <s v="2 "/>
    <s v="2=6 X 6"/>
    <s v=""/>
    <s v=""/>
    <s v=""/>
    <s v="0015002960                    "/>
    <s v="SILVESTRI FEDERICO"/>
    <n v="71"/>
    <s v="I  "/>
  </r>
  <r>
    <x v="0"/>
    <n v="1987"/>
    <x v="0"/>
    <s v="K           "/>
    <s v="REDAZIONI GIORNALISTICHE"/>
    <x v="37"/>
    <x v="36"/>
    <s v="514100      "/>
    <s v="514100   REDAZIONI ITALIA"/>
    <s v="AMADORE                         "/>
    <s v="ANTONINO          "/>
    <s v="MDRNNN67P02I199N"/>
    <x v="1"/>
    <s v="72"/>
    <x v="4"/>
    <s v="01/01/2004"/>
    <s v="PALERMO                "/>
    <x v="4"/>
    <x v="4"/>
    <s v="G"/>
    <x v="3"/>
    <s v="RM2"/>
    <x v="21"/>
    <s v="24/11/2003"/>
    <s v="24/11/2003"/>
    <s v="02/09/1967"/>
    <s v="A"/>
    <s v="A.IN FORZA"/>
    <s v="1  -ASSUNZIONE                1"/>
    <s v=""/>
    <s v=" "/>
    <s v=""/>
    <s v=""/>
    <n v="418"/>
    <s v="00"/>
    <n v="100"/>
    <s v="FULL TIME      100000000FF100-FULL TIME"/>
    <s v="24/11/2003"/>
    <s v=""/>
    <s v="  "/>
    <s v=""/>
    <s v="GSS "/>
    <s v="L17 "/>
    <x v="3"/>
    <s v="SIND.GIORN.        SINDACATO GIORNALISTI"/>
    <s v="nino.amadore@ilsole24ore.com                      "/>
    <s v="E"/>
    <s v="E-ESENTE"/>
    <s v="3 "/>
    <s v="3=5 X 7"/>
    <s v="01/07/2025"/>
    <s v="TEMPO DETERMINATO"/>
    <s v="31/05/2027"/>
    <s v="0015001979                    "/>
    <s v="DI PILLO LAURA"/>
    <n v="58"/>
    <s v="I  "/>
  </r>
  <r>
    <x v="0"/>
    <n v="2156"/>
    <x v="0"/>
    <s v="K           "/>
    <s v="REDAZIONI GIORNALISTICHE"/>
    <x v="37"/>
    <x v="36"/>
    <s v="514100      "/>
    <s v="514100   REDAZIONI ITALIA"/>
    <s v="DE FORCADE DE BIAIX MARGOTTA    "/>
    <s v="RAOUL             "/>
    <s v="DFRRLA66P09D969H"/>
    <x v="1"/>
    <s v="80"/>
    <x v="5"/>
    <s v="30/09/2013"/>
    <s v="GENOVA                 "/>
    <x v="4"/>
    <x v="4"/>
    <s v="G"/>
    <x v="3"/>
    <s v="RM2"/>
    <x v="21"/>
    <s v="02/01/2007"/>
    <s v="02/01/2007"/>
    <s v="09/09/1966"/>
    <s v="A"/>
    <s v="A.IN FORZA"/>
    <s v="1  -ASSUNZIONE                1"/>
    <s v=""/>
    <s v=" "/>
    <s v=""/>
    <s v=""/>
    <n v="503"/>
    <s v="00"/>
    <n v="100"/>
    <s v="FULL TIME      100000000FF100-FULL TIME"/>
    <s v="02/01/2007"/>
    <s v=""/>
    <s v="  "/>
    <s v=""/>
    <s v="GSS "/>
    <s v="L17 "/>
    <x v="3"/>
    <s v="SIND.GIORN.        SINDACATO GIORNALISTI"/>
    <s v="raoul.deforcade@ilsole24ore.com                   "/>
    <s v="E"/>
    <s v="E-ESENTE"/>
    <s v="2 "/>
    <s v="2=6 X 6"/>
    <s v="01/07/2025"/>
    <s v="TEMPO DETERMINATO"/>
    <s v="31/05/2027"/>
    <s v="0015001979                    "/>
    <s v="DI PILLO LAURA"/>
    <n v="59"/>
    <s v="I  "/>
  </r>
  <r>
    <x v="0"/>
    <n v="1912"/>
    <x v="0"/>
    <s v="K           "/>
    <s v="REDAZIONI GIORNALISTICHE"/>
    <x v="37"/>
    <x v="36"/>
    <s v="514100      "/>
    <s v="514100   REDAZIONI ITALIA"/>
    <s v="GANZ                            "/>
    <s v="BARBARA           "/>
    <s v="GNZBBR69S49L565R"/>
    <x v="0"/>
    <s v="81"/>
    <x v="6"/>
    <s v="01/08/2025"/>
    <s v="VENEZIA                "/>
    <x v="4"/>
    <x v="4"/>
    <s v="G"/>
    <x v="3"/>
    <s v="RM2"/>
    <x v="21"/>
    <s v="28/10/2002"/>
    <s v="28/10/2002"/>
    <s v="09/11/1969"/>
    <s v="A"/>
    <s v="A.IN FORZA"/>
    <s v="1  -ASSUNZIONE                1"/>
    <s v=""/>
    <s v=" "/>
    <s v=""/>
    <s v=""/>
    <n v="373"/>
    <s v="00"/>
    <n v="100"/>
    <s v="FULL TIME      100000000FF100-FULL TIME"/>
    <s v="28/10/2002"/>
    <s v=""/>
    <s v="  "/>
    <s v=""/>
    <s v="GSS "/>
    <s v="L17 "/>
    <x v="3"/>
    <s v="SIND.GIORN.        SINDACATO GIORNALISTI"/>
    <s v="barbara.ganz@ilsole24ore.com                      "/>
    <s v="E"/>
    <s v="E-ESENTE"/>
    <s v="3 "/>
    <s v="3=5 X 7"/>
    <s v=""/>
    <s v=""/>
    <s v=""/>
    <s v="0015001979                    "/>
    <s v="DI PILLO LAURA"/>
    <n v="56"/>
    <s v="I  "/>
  </r>
  <r>
    <x v="0"/>
    <n v="1955"/>
    <x v="0"/>
    <s v="K           "/>
    <s v="REDAZIONI GIORNALISTICHE"/>
    <x v="37"/>
    <x v="36"/>
    <s v="514100      "/>
    <s v="514100   REDAZIONI ITALIA"/>
    <s v="GRECO                           "/>
    <s v="FILOMENA          "/>
    <s v="GRCFMN73L65B180W"/>
    <x v="0"/>
    <s v="52"/>
    <x v="7"/>
    <s v="01/08/2023"/>
    <s v="TORINO                 "/>
    <x v="4"/>
    <x v="4"/>
    <s v="G"/>
    <x v="3"/>
    <s v="RM2"/>
    <x v="21"/>
    <s v="01/06/2003"/>
    <s v="01/06/2003"/>
    <s v="25/07/1973"/>
    <s v="A"/>
    <s v="A.IN FORZA"/>
    <s v="1  -ASSUNZIONE                1"/>
    <s v="01/12/2024"/>
    <s v=" "/>
    <s v=""/>
    <s v=""/>
    <n v="400"/>
    <s v="00"/>
    <n v="100"/>
    <s v="FULL TIME      100000000FF100-FULL TIME"/>
    <s v="01/06/2003"/>
    <s v=""/>
    <s v="  "/>
    <s v=""/>
    <s v="GSS "/>
    <s v="L17 "/>
    <x v="3"/>
    <s v="SIND.GIORN.        SINDACATO GIORNALISTI"/>
    <s v="filomena.greco@ilsole24ore.com                    "/>
    <s v="E"/>
    <s v="E-ESENTE"/>
    <s v="1 "/>
    <s v="1=5 X 8"/>
    <s v="01/07/2025"/>
    <s v="TEMPO DETERMINATO"/>
    <s v="31/05/2027"/>
    <s v="0015001979                    "/>
    <s v="DI PILLO LAURA"/>
    <n v="52"/>
    <s v="I  "/>
  </r>
  <r>
    <x v="0"/>
    <n v="1983"/>
    <x v="0"/>
    <s v="K           "/>
    <s v="REDAZIONI GIORNALISTICHE"/>
    <x v="37"/>
    <x v="36"/>
    <s v="514100      "/>
    <s v="514100   REDAZIONI ITALIA"/>
    <s v="VIOLA                           "/>
    <s v="VERA              "/>
    <s v="VLIVRE63C60F839V"/>
    <x v="0"/>
    <s v="79"/>
    <x v="8"/>
    <s v="21/09/2021"/>
    <s v="NAPOLI                 "/>
    <x v="4"/>
    <x v="4"/>
    <s v="G"/>
    <x v="3"/>
    <s v="CSV"/>
    <x v="22"/>
    <s v="03/11/2003"/>
    <s v="03/11/2003"/>
    <s v="20/03/1963"/>
    <s v="A"/>
    <s v="A.IN FORZA"/>
    <s v="1  -ASSUNZIONE                1"/>
    <s v=""/>
    <s v=" "/>
    <s v=""/>
    <s v=""/>
    <n v="415"/>
    <s v="00"/>
    <n v="100"/>
    <s v="FULL TIME      100000000FF100-FULL TIME"/>
    <s v="03/11/2003"/>
    <s v=""/>
    <s v="  "/>
    <s v=""/>
    <s v="GSS "/>
    <s v="L17 "/>
    <x v="3"/>
    <s v="SIND.GIORN.        SINDACATO GIORNALISTI"/>
    <s v="vera.viola@ilsole24ore.com                        "/>
    <s v="E"/>
    <s v="E-ESENTE"/>
    <s v="3 "/>
    <s v="3=5 X 7"/>
    <s v="01/07/2025"/>
    <s v="TEMPO DETERMINATO"/>
    <s v="31/05/2027"/>
    <s v="0015001979                    "/>
    <s v="DI PILLO LAURA"/>
    <n v="62"/>
    <s v="I  "/>
  </r>
  <r>
    <x v="0"/>
    <n v="1168"/>
    <x v="0"/>
    <s v="K           "/>
    <s v="REDAZIONI GIORNALISTICHE"/>
    <x v="37"/>
    <x v="36"/>
    <s v="514210      "/>
    <s v="514210   REDAZIONE E CORRISP BRUXELLES"/>
    <s v="ROMANO                          "/>
    <s v="BEDA              "/>
    <s v="RMNBDE67D08H501Q"/>
    <x v="1"/>
    <s v="34"/>
    <x v="0"/>
    <s v="01/04/2021"/>
    <s v="MILANO                 "/>
    <x v="4"/>
    <x v="4"/>
    <s v="G"/>
    <x v="3"/>
    <s v="CS "/>
    <x v="18"/>
    <s v="07/09/1998"/>
    <s v="07/09/1998"/>
    <s v="08/04/1967"/>
    <s v="A"/>
    <s v="A.IN FORZA"/>
    <s v="1  -ASSUNZIONE                1"/>
    <s v=""/>
    <s v=" "/>
    <s v=""/>
    <s v=""/>
    <n v="250"/>
    <s v="00"/>
    <n v="100"/>
    <s v="FULL TIME      100000000FF100-FULL TIME"/>
    <s v="07/09/1998"/>
    <s v=""/>
    <s v="  "/>
    <s v=""/>
    <s v="GSS "/>
    <s v="L19 "/>
    <x v="4"/>
    <s v=""/>
    <s v="beda.romano@ilsole24ore.com                       "/>
    <s v="E"/>
    <s v="E-ESENTE"/>
    <s v="2 "/>
    <s v="2=6 X 6"/>
    <s v="01/07/2024"/>
    <s v="TEMPO DETERMINATO"/>
    <s v="30/06/2025"/>
    <s v="0015000700                    "/>
    <s v=""/>
    <n v="58"/>
    <s v="I  "/>
  </r>
  <r>
    <x v="0"/>
    <n v="2016"/>
    <x v="0"/>
    <s v="K           "/>
    <s v="REDAZIONI GIORNALISTICHE"/>
    <x v="37"/>
    <x v="36"/>
    <s v="514300      "/>
    <s v="514300   REDAZIONE MILANO"/>
    <s v="ANNICCHIARICO                   "/>
    <s v="ALBERTO           "/>
    <s v="NNCLRT62C24A662F"/>
    <x v="1"/>
    <s v="34"/>
    <x v="0"/>
    <s v="01/04/2021"/>
    <s v="MILANO                 "/>
    <x v="4"/>
    <x v="4"/>
    <s v="G"/>
    <x v="3"/>
    <s v="CSV"/>
    <x v="22"/>
    <s v="01/06/2004"/>
    <s v="01/06/2004"/>
    <s v="24/03/1962"/>
    <s v="A"/>
    <s v="A.IN FORZA"/>
    <s v="1  -ASSUNZIONE                1"/>
    <s v=""/>
    <s v=" "/>
    <s v=""/>
    <s v=""/>
    <n v="438"/>
    <s v="00"/>
    <n v="100"/>
    <s v="FULL TIME      100000000FF100-FULL TIME"/>
    <s v="01/06/2004"/>
    <s v=""/>
    <s v="05"/>
    <s v="INVALIDI CIVILI"/>
    <s v="GSS "/>
    <s v="L07 "/>
    <x v="5"/>
    <s v="SIND.GIORN.        SINDACATO GIORNALISTI"/>
    <s v="alberto.annicchiarico@ilsole24ore.com             "/>
    <s v="E"/>
    <s v="E-ESENTE"/>
    <s v="3 "/>
    <s v="3=5 X 7"/>
    <s v="01/07/2025"/>
    <s v="TEMPO DETERMINATO"/>
    <s v="31/05/2027"/>
    <s v="0015002010                    "/>
    <s v="GRASSANI ALBERTO"/>
    <n v="63"/>
    <s v="I  "/>
  </r>
  <r>
    <x v="0"/>
    <n v="2911"/>
    <x v="0"/>
    <s v="K           "/>
    <s v="REDAZIONI GIORNALISTICHE"/>
    <x v="37"/>
    <x v="36"/>
    <s v="514300      "/>
    <s v="514300   REDAZIONE MILANO"/>
    <s v="AQUARO                          "/>
    <s v="DARIO RAFFAELE    "/>
    <s v="QRADRF80M21E986X"/>
    <x v="1"/>
    <s v="34"/>
    <x v="0"/>
    <s v="01/04/2021"/>
    <s v="MILANO                 "/>
    <x v="4"/>
    <x v="4"/>
    <s v="G"/>
    <x v="3"/>
    <s v="RM2"/>
    <x v="21"/>
    <s v="13/04/2017"/>
    <s v="13/04/2017"/>
    <s v="21/08/1980"/>
    <s v="A"/>
    <s v="A.IN FORZA"/>
    <s v="1  -ASSUNZIONE                1"/>
    <s v=""/>
    <s v=" "/>
    <s v=""/>
    <s v=""/>
    <n v="2911"/>
    <s v="00"/>
    <n v="100"/>
    <s v="FULL TIME      100000000FF100-FULL TIME"/>
    <s v="13/04/2017"/>
    <s v=""/>
    <s v="  "/>
    <s v=""/>
    <s v="GBM "/>
    <s v="L23 "/>
    <x v="6"/>
    <s v=""/>
    <s v="dario.aquaro@ilsole24ore.com                      "/>
    <s v="E"/>
    <s v="E-ESENTE"/>
    <s v="2 "/>
    <s v="2=6 X 6"/>
    <s v="01/07/2025"/>
    <s v="TEMPO DETERMINATO"/>
    <s v="31/05/2027"/>
    <s v="0015000700                    "/>
    <s v=""/>
    <n v="45"/>
    <s v="I  "/>
  </r>
  <r>
    <x v="0"/>
    <n v="2276"/>
    <x v="0"/>
    <s v="K           "/>
    <s v="REDAZIONI GIORNALISTICHE"/>
    <x v="37"/>
    <x v="36"/>
    <s v="514300      "/>
    <s v="514300   REDAZIONE MILANO"/>
    <s v="ATTUS                           "/>
    <s v="ADRIANO           "/>
    <s v="TTSDRN71P21I138S"/>
    <x v="1"/>
    <s v="34"/>
    <x v="0"/>
    <s v="01/04/2021"/>
    <s v="MILANO                 "/>
    <x v="4"/>
    <x v="4"/>
    <s v="G"/>
    <x v="3"/>
    <s v="CRV"/>
    <x v="23"/>
    <s v="01/04/2008"/>
    <s v="01/04/2008"/>
    <s v="21/09/1971"/>
    <s v="A"/>
    <s v="A.IN FORZA"/>
    <s v="1  -ASSUNZIONE                1"/>
    <s v=""/>
    <s v=" "/>
    <s v=""/>
    <s v=""/>
    <n v="548"/>
    <s v="00"/>
    <n v="100"/>
    <s v="FULL TIME      100000000FF100-FULL TIME"/>
    <s v="01/04/2008"/>
    <s v=""/>
    <s v="  "/>
    <s v=""/>
    <s v="GSS "/>
    <s v="L06 "/>
    <x v="7"/>
    <s v=""/>
    <s v="adriano.attus@ilsole24ore.com                     "/>
    <s v="E"/>
    <s v="E-ESENTE"/>
    <s v="2 "/>
    <s v="2=6 X 6"/>
    <s v="01/07/2025"/>
    <s v="TEMPO DETERMINATO"/>
    <s v="31/05/2027"/>
    <s v="0015000700                    "/>
    <s v=""/>
    <n v="54"/>
    <s v="I  "/>
  </r>
  <r>
    <x v="0"/>
    <n v="526"/>
    <x v="0"/>
    <s v="K           "/>
    <s v="REDAZIONI GIORNALISTICHE"/>
    <x v="37"/>
    <x v="36"/>
    <s v="514300      "/>
    <s v="514300   REDAZIONE MILANO"/>
    <s v="BARBIERO                        "/>
    <s v="MARIA FRANCESCA   "/>
    <s v="BRBMFR63D68F839B"/>
    <x v="0"/>
    <s v="34"/>
    <x v="0"/>
    <s v="01/04/2021"/>
    <s v="MILANO                 "/>
    <x v="4"/>
    <x v="4"/>
    <s v="G"/>
    <x v="3"/>
    <s v="RM2"/>
    <x v="21"/>
    <s v="02/04/1991"/>
    <s v="02/04/1991"/>
    <s v="28/04/1963"/>
    <s v="A"/>
    <s v="A.IN FORZA"/>
    <s v="1  -ASSUNZIONE                1"/>
    <s v=""/>
    <s v=" "/>
    <s v=""/>
    <s v=""/>
    <n v="156"/>
    <s v="00"/>
    <n v="100"/>
    <s v="FULL TIME      100000000FF100-FULL TIME"/>
    <s v="02/04/1991"/>
    <s v=""/>
    <s v="  "/>
    <s v=""/>
    <s v="GSS "/>
    <s v="L14 "/>
    <x v="8"/>
    <s v="SIND.GIORN.        SINDACATO GIORNALISTI"/>
    <s v="francesca.barbiero@ilsole24ore.com                "/>
    <s v="E"/>
    <s v="E-ESENTE"/>
    <s v="2 "/>
    <s v="2=6 X 6"/>
    <s v="01/07/2025"/>
    <s v="TEMPO DETERMINATO"/>
    <s v="31/05/2027"/>
    <s v="0015000700                    "/>
    <s v=""/>
    <n v="62"/>
    <s v="I  "/>
  </r>
  <r>
    <x v="0"/>
    <n v="1424"/>
    <x v="0"/>
    <s v="K           "/>
    <s v="REDAZIONI GIORNALISTICHE"/>
    <x v="37"/>
    <x v="36"/>
    <s v="514300      "/>
    <s v="514300   REDAZIONE MILANO"/>
    <s v="BARTOLONI                       "/>
    <s v="MARZIO            "/>
    <s v="BRTMRZ71C13H501X"/>
    <x v="1"/>
    <s v="31"/>
    <x v="1"/>
    <s v="25/05/2009"/>
    <s v="ROMA                   "/>
    <x v="4"/>
    <x v="4"/>
    <s v="G"/>
    <x v="3"/>
    <s v="CS "/>
    <x v="18"/>
    <s v="01/12/1999"/>
    <s v="01/12/1999"/>
    <s v="13/03/1971"/>
    <s v="A"/>
    <s v="A.IN FORZA"/>
    <s v="1  -ASSUNZIONE                1"/>
    <s v=""/>
    <s v=" "/>
    <s v=""/>
    <s v=""/>
    <n v="295"/>
    <s v="00"/>
    <n v="100"/>
    <s v="FULL TIME      100000000FF100-FULL TIME"/>
    <s v="01/12/1999"/>
    <s v=""/>
    <s v="  "/>
    <s v=""/>
    <s v="GSS "/>
    <s v="L27 "/>
    <x v="9"/>
    <s v="SIND.GIORN.        SINDACATO GIORNALISTI"/>
    <s v="marzio.bartoloni@ilsole24ore.com                  "/>
    <s v="E"/>
    <s v="E-ESENTE"/>
    <s v="1 "/>
    <s v="1=5 X 8"/>
    <s v="01/07/2025"/>
    <s v="TEMPO DETERMINATO"/>
    <s v="31/05/2027"/>
    <s v="0015000754                    "/>
    <s v="CARDUCCI ARTENISIO FABIO"/>
    <n v="54"/>
    <s v="I  "/>
  </r>
  <r>
    <x v="0"/>
    <n v="2068"/>
    <x v="0"/>
    <s v="K           "/>
    <s v="REDAZIONI GIORNALISTICHE"/>
    <x v="37"/>
    <x v="36"/>
    <s v="514300      "/>
    <s v="514300   REDAZIONE MILANO"/>
    <s v="BATTOCLETTI                     "/>
    <s v="MARIA CRISTINA    "/>
    <s v="BTTMCR72L55L483N"/>
    <x v="0"/>
    <s v="34"/>
    <x v="0"/>
    <s v="01/04/2021"/>
    <s v="MILANO                 "/>
    <x v="4"/>
    <x v="4"/>
    <s v="G"/>
    <x v="3"/>
    <s v="CS "/>
    <x v="18"/>
    <s v="25/05/2005"/>
    <s v="25/05/2005"/>
    <s v="15/07/1972"/>
    <s v="A"/>
    <s v="A.IN FORZA"/>
    <s v="2  -VARIAZIONE SOCIETARIA     2"/>
    <s v=""/>
    <s v=" "/>
    <s v=""/>
    <s v=""/>
    <n v="465"/>
    <s v="00"/>
    <n v="100"/>
    <s v="FULL TIME      100000000FF100-FULL TIME"/>
    <s v="01/05/2021"/>
    <s v=""/>
    <s v="  "/>
    <s v=""/>
    <s v="GSS "/>
    <s v="L14 "/>
    <x v="8"/>
    <s v="SIND.GIORN.        SINDACATO GIORNALISTI"/>
    <s v="cristina.battocletti@ilsole24ore.com              "/>
    <s v="E"/>
    <s v="E-ESENTE"/>
    <s v="2 "/>
    <s v="2=6 X 6"/>
    <s v="01/07/2025"/>
    <s v="TEMPO DETERMINATO"/>
    <s v="31/05/2027"/>
    <s v="0015000700                    "/>
    <s v=""/>
    <n v="53"/>
    <s v="I  "/>
  </r>
  <r>
    <x v="0"/>
    <n v="2065"/>
    <x v="0"/>
    <s v="K           "/>
    <s v="REDAZIONI GIORNALISTICHE"/>
    <x v="37"/>
    <x v="36"/>
    <s v="514300      "/>
    <s v="514300   REDAZIONE MILANO"/>
    <s v="BELLINAZZO                      "/>
    <s v="MARCO             "/>
    <s v="BLLMRC74D20F839M"/>
    <x v="1"/>
    <s v="34"/>
    <x v="0"/>
    <s v="01/04/2021"/>
    <s v="MILANO                 "/>
    <x v="4"/>
    <x v="4"/>
    <s v="G"/>
    <x v="3"/>
    <s v="CS "/>
    <x v="18"/>
    <s v="16/05/2005"/>
    <s v="16/05/2005"/>
    <s v="20/04/1974"/>
    <s v="A"/>
    <s v="A.IN FORZA"/>
    <s v="1  -ASSUNZIONE                1"/>
    <s v=""/>
    <s v=" "/>
    <s v=""/>
    <s v=""/>
    <n v="462"/>
    <s v="00"/>
    <n v="100"/>
    <s v="FULL TIME      100000000FF100-FULL TIME"/>
    <s v="16/05/2005"/>
    <s v=""/>
    <s v="  "/>
    <s v=""/>
    <s v="GSS "/>
    <s v="L03 "/>
    <x v="10"/>
    <s v=""/>
    <s v="marco.bellinazzo@ilsole24ore.com                  "/>
    <s v="E"/>
    <s v="E-ESENTE"/>
    <s v="2 "/>
    <s v="2=6 X 6"/>
    <s v="01/07/2025"/>
    <s v="TEMPO DETERMINATO"/>
    <s v="31/05/2027"/>
    <s v="0015001979                    "/>
    <s v="DI PILLO LAURA"/>
    <n v="51"/>
    <s v="I  "/>
  </r>
  <r>
    <x v="0"/>
    <n v="2057"/>
    <x v="0"/>
    <s v="K           "/>
    <s v="REDAZIONI GIORNALISTICHE"/>
    <x v="37"/>
    <x v="36"/>
    <s v="514300      "/>
    <s v="514300   REDAZIONE MILANO"/>
    <s v="BELLOMO                         "/>
    <s v="ROSA MARIA        "/>
    <s v="BLLRMR69A41L219E"/>
    <x v="0"/>
    <s v="34"/>
    <x v="0"/>
    <s v="01/04/2021"/>
    <s v="MILANO                 "/>
    <x v="4"/>
    <x v="4"/>
    <s v="G"/>
    <x v="3"/>
    <s v="CS "/>
    <x v="18"/>
    <s v="01/03/2005"/>
    <s v="01/03/2005"/>
    <s v="01/01/1969"/>
    <s v="A"/>
    <s v="A.IN FORZA"/>
    <s v="1  -ASSUNZIONE                1"/>
    <s v=""/>
    <s v=" "/>
    <s v=""/>
    <s v=""/>
    <n v="455"/>
    <s v="00"/>
    <n v="100"/>
    <s v="FULL TIME      100000000FF100-FULL TIME"/>
    <s v="01/03/2005"/>
    <s v=""/>
    <s v="  "/>
    <s v=""/>
    <s v="GSS "/>
    <s v="L07 "/>
    <x v="5"/>
    <s v=""/>
    <s v="sissi.bellomo@ilsole24ore.com                     "/>
    <s v="E"/>
    <s v="E-ESENTE"/>
    <s v="3 "/>
    <s v="3=5 X 7"/>
    <s v="01/07/2025"/>
    <s v="TEMPO DETERMINATO"/>
    <s v="31/05/2027"/>
    <s v="0015002010                    "/>
    <s v="GRASSANI ALBERTO"/>
    <n v="57"/>
    <s v="I  "/>
  </r>
  <r>
    <x v="0"/>
    <n v="1901"/>
    <x v="0"/>
    <s v="K           "/>
    <s v="REDAZIONI GIORNALISTICHE"/>
    <x v="37"/>
    <x v="36"/>
    <s v="514300      "/>
    <s v="514300   REDAZIONE MILANO"/>
    <s v="BENECCHI                        "/>
    <s v="LUCA              "/>
    <s v="BNCLCU65E14H186T"/>
    <x v="1"/>
    <s v="34"/>
    <x v="0"/>
    <s v="01/04/2021"/>
    <s v="MILANO                 "/>
    <x v="4"/>
    <x v="4"/>
    <s v="G"/>
    <x v="3"/>
    <s v="CR "/>
    <x v="24"/>
    <s v="01/07/2002"/>
    <s v="01/07/2002"/>
    <s v="14/05/1965"/>
    <s v="A"/>
    <s v="A.IN FORZA"/>
    <s v="1  -ASSUNZIONE                1"/>
    <s v=""/>
    <s v=" "/>
    <s v=""/>
    <s v=""/>
    <n v="368"/>
    <s v="00"/>
    <n v="100"/>
    <s v="FULL TIME      100000000FF100-FULL TIME"/>
    <s v="01/07/2002"/>
    <s v=""/>
    <s v="  "/>
    <s v=""/>
    <s v="GSS "/>
    <s v="L08 "/>
    <x v="11"/>
    <s v="SIND.GIORN.        SINDACATO GIORNALISTI"/>
    <s v="luca.benecchi@ilsole24ore.com                     "/>
    <s v="E"/>
    <s v="E-ESENTE"/>
    <s v="2 "/>
    <s v="2=6 X 6"/>
    <s v=""/>
    <s v=""/>
    <s v=""/>
    <s v="0015000700                    "/>
    <s v=""/>
    <n v="60"/>
    <s v="I  "/>
  </r>
  <r>
    <x v="0"/>
    <n v="2067"/>
    <x v="0"/>
    <s v="K           "/>
    <s v="REDAZIONI GIORNALISTICHE"/>
    <x v="37"/>
    <x v="36"/>
    <s v="514300      "/>
    <s v="514300   REDAZIONE MILANO"/>
    <s v="BIOLCHINI                       "/>
    <s v="STEFANO           "/>
    <s v="BLCSFN70E04B354N"/>
    <x v="1"/>
    <s v="34"/>
    <x v="0"/>
    <s v="01/04/2021"/>
    <s v="MILANO                 "/>
    <x v="4"/>
    <x v="4"/>
    <s v="G"/>
    <x v="3"/>
    <s v="RE "/>
    <x v="25"/>
    <s v="25/05/2005"/>
    <s v="25/05/2005"/>
    <s v="04/05/1970"/>
    <s v="A"/>
    <s v="A.IN FORZA"/>
    <s v="1  -ASSUNZIONE                1"/>
    <s v=""/>
    <s v=" "/>
    <s v=""/>
    <s v=""/>
    <n v="464"/>
    <s v="00"/>
    <n v="100"/>
    <s v="FULL TIME      100000000FF100-FULL TIME"/>
    <s v="25/05/2005"/>
    <s v=""/>
    <s v="  "/>
    <s v=""/>
    <s v="GSS "/>
    <s v="L14 "/>
    <x v="8"/>
    <s v="FIGEC CISAL        FIGEC CISAL"/>
    <s v="stefano.biolchini@ilsole24ore.com                 "/>
    <s v="E"/>
    <s v="E-ESENTE"/>
    <s v="2 "/>
    <s v="2=6 X 6"/>
    <s v="01/07/2025"/>
    <s v="TEMPO DETERMINATO"/>
    <s v="31/05/2027"/>
    <s v="0015000700                    "/>
    <s v=""/>
    <n v="55"/>
    <s v="I  "/>
  </r>
  <r>
    <x v="0"/>
    <n v="1953"/>
    <x v="0"/>
    <s v="K           "/>
    <s v="REDAZIONI GIORNALISTICHE"/>
    <x v="37"/>
    <x v="36"/>
    <s v="514300      "/>
    <s v="514300   REDAZIONE MILANO"/>
    <s v="BIONDI                          "/>
    <s v="ANDREA            "/>
    <s v="BNDNDR76T01A773V"/>
    <x v="1"/>
    <s v="34"/>
    <x v="0"/>
    <s v="01/04/2021"/>
    <s v="MILANO                 "/>
    <x v="4"/>
    <x v="4"/>
    <s v="G"/>
    <x v="3"/>
    <s v="CSV"/>
    <x v="22"/>
    <s v="01/06/2003"/>
    <s v="01/06/2003"/>
    <s v="01/12/1976"/>
    <s v="A"/>
    <s v="A.IN FORZA"/>
    <s v="1  -ASSUNZIONE                1"/>
    <s v=""/>
    <s v=" "/>
    <s v=""/>
    <s v=""/>
    <n v="398"/>
    <s v="00"/>
    <n v="100"/>
    <s v="FULL TIME      100000000FF100-FULL TIME"/>
    <s v="01/06/2003"/>
    <s v=""/>
    <s v="  "/>
    <s v=""/>
    <s v="GSS "/>
    <s v="L08 "/>
    <x v="11"/>
    <s v="SIND.GIORN.        SINDACATO GIORNALISTI"/>
    <s v="andrea.biondi@ilsole24ore.com                     "/>
    <s v="E"/>
    <s v="E-ESENTE"/>
    <s v="1 "/>
    <s v="1=5 X 8"/>
    <s v="01/07/2025"/>
    <s v="TEMPO DETERMINATO"/>
    <s v="31/05/2027"/>
    <s v="0015001979                    "/>
    <s v="DI PILLO LAURA"/>
    <n v="49"/>
    <s v="I  "/>
  </r>
  <r>
    <x v="0"/>
    <n v="1884"/>
    <x v="0"/>
    <s v="K           "/>
    <s v="REDAZIONI GIORNALISTICHE"/>
    <x v="37"/>
    <x v="36"/>
    <s v="514300      "/>
    <s v="514300   REDAZIONE MILANO"/>
    <s v="BONGIORNI                       "/>
    <s v="ROBERTO           "/>
    <s v="BNGRRT71E11F205T"/>
    <x v="1"/>
    <s v="34"/>
    <x v="0"/>
    <s v="01/04/2021"/>
    <s v="MILANO                 "/>
    <x v="4"/>
    <x v="4"/>
    <s v="G"/>
    <x v="3"/>
    <s v="RM2"/>
    <x v="21"/>
    <s v="01/05/2002"/>
    <s v="01/05/2002"/>
    <s v="11/05/1971"/>
    <s v="A"/>
    <s v="A.IN FORZA"/>
    <s v="1  -ASSUNZIONE                1"/>
    <s v=""/>
    <s v=" "/>
    <s v=""/>
    <s v=""/>
    <n v="365"/>
    <s v="00"/>
    <n v="100"/>
    <s v="FULL TIME      100000000FF100-FULL TIME"/>
    <s v="01/05/2002"/>
    <s v=""/>
    <s v="  "/>
    <s v=""/>
    <s v="GSS "/>
    <s v="L16 "/>
    <x v="12"/>
    <s v="SIND.GIORN.        SINDACATO GIORNALISTI"/>
    <s v="roberto.bongiorni@ilsole24ore.com                 "/>
    <s v="E"/>
    <s v="E-ESENTE"/>
    <s v="3 "/>
    <s v="3=5 X 7"/>
    <s v=""/>
    <s v=""/>
    <s v=""/>
    <s v="0015000700                    "/>
    <s v=""/>
    <n v="54"/>
    <s v="I  "/>
  </r>
  <r>
    <x v="0"/>
    <n v="2232"/>
    <x v="0"/>
    <s v="K           "/>
    <s v="REDAZIONI GIORNALISTICHE"/>
    <x v="37"/>
    <x v="36"/>
    <s v="514300      "/>
    <s v="514300   REDAZIONE MILANO"/>
    <s v="BRICCO                          "/>
    <s v="PAOLO             "/>
    <s v="BRCPLA73D20E379G"/>
    <x v="1"/>
    <s v="34"/>
    <x v="0"/>
    <s v="01/04/2021"/>
    <s v="MILANO                 "/>
    <x v="4"/>
    <x v="4"/>
    <s v="G"/>
    <x v="3"/>
    <s v="RM2"/>
    <x v="21"/>
    <s v="01/10/2007"/>
    <s v="01/10/2007"/>
    <s v="20/04/1973"/>
    <s v="A"/>
    <s v="A.IN FORZA"/>
    <s v="1  -ASSUNZIONE                1"/>
    <s v=""/>
    <s v=" "/>
    <s v=""/>
    <s v=""/>
    <n v="529"/>
    <s v="00"/>
    <n v="100"/>
    <s v="FULL TIME      100000000FF100-FULL TIME"/>
    <s v="01/10/2007"/>
    <s v=""/>
    <s v="  "/>
    <s v=""/>
    <s v="GSS "/>
    <s v="L16 "/>
    <x v="12"/>
    <s v=""/>
    <s v="paolo.bricco@ilsole24ore.com                      "/>
    <s v="E"/>
    <s v="E-ESENTE"/>
    <s v="3 "/>
    <s v="3=5 X 7"/>
    <s v=""/>
    <s v=""/>
    <s v=""/>
    <s v="0015000700                    "/>
    <s v=""/>
    <n v="52"/>
    <s v="I  "/>
  </r>
  <r>
    <x v="0"/>
    <n v="1749"/>
    <x v="0"/>
    <s v="K           "/>
    <s v="REDAZIONI GIORNALISTICHE"/>
    <x v="37"/>
    <x v="36"/>
    <s v="514300      "/>
    <s v="514300   REDAZIONE MILANO"/>
    <s v="BUSSI                           "/>
    <s v="CHIARA            "/>
    <s v="BSSCHR71H41A479M"/>
    <x v="0"/>
    <s v="34"/>
    <x v="0"/>
    <s v="01/04/2021"/>
    <s v="MILANO                 "/>
    <x v="4"/>
    <x v="4"/>
    <s v="G"/>
    <x v="3"/>
    <s v="RM2"/>
    <x v="21"/>
    <s v="01/03/2001"/>
    <s v="01/03/2001"/>
    <s v="01/06/1971"/>
    <s v="A"/>
    <s v="A.IN FORZA"/>
    <s v="1  -ASSUNZIONE                1"/>
    <s v=""/>
    <s v=" "/>
    <s v=""/>
    <s v=""/>
    <n v="345"/>
    <s v="27"/>
    <n v="75"/>
    <s v="27 H O GIORNALI075000000PP27.0/36- PT 75.00-P"/>
    <s v="01/01/2012"/>
    <s v="31/12/2026"/>
    <s v="  "/>
    <s v=""/>
    <s v="GSS "/>
    <s v="L15 "/>
    <x v="13"/>
    <s v=""/>
    <s v="chiara.bussi@ilsole24ore.com                      "/>
    <s v="E"/>
    <s v="E-ESENTE"/>
    <s v="3 "/>
    <s v="3=5 X 7"/>
    <s v="01/07/2025"/>
    <s v="TEMPO DETERMINATO"/>
    <s v="31/05/2027"/>
    <s v="0015000700                    "/>
    <s v=""/>
    <n v="54"/>
    <s v="I  "/>
  </r>
  <r>
    <x v="0"/>
    <n v="2698"/>
    <x v="0"/>
    <s v="K           "/>
    <s v="REDAZIONI GIORNALISTICHE"/>
    <x v="37"/>
    <x v="36"/>
    <s v="514300      "/>
    <s v="514300   REDAZIONE MILANO"/>
    <s v="CALANDRA                        "/>
    <s v="RAFFAELLA         "/>
    <s v="CLNRFL76S47A783J"/>
    <x v="0"/>
    <s v="34"/>
    <x v="0"/>
    <s v="01/04/2021"/>
    <s v="MILANO                 "/>
    <x v="4"/>
    <x v="4"/>
    <s v="G"/>
    <x v="3"/>
    <s v="RM2"/>
    <x v="21"/>
    <s v="01/01/2014"/>
    <s v="13/09/2001"/>
    <s v="07/11/1976"/>
    <s v="P"/>
    <s v="P.POST PARTUM"/>
    <s v="1  -ASSUNZIONE                1"/>
    <s v=""/>
    <s v=" "/>
    <s v=""/>
    <s v=""/>
    <n v="2698"/>
    <s v="00"/>
    <n v="100"/>
    <s v="FULL TIME      100000000FF100-FULL TIME"/>
    <s v="13/09/2001"/>
    <s v=""/>
    <s v="  "/>
    <s v=""/>
    <s v="GSS "/>
    <s v="L08 "/>
    <x v="11"/>
    <s v="SIND.GIORN.        SINDACATO GIORNALISTI"/>
    <s v="raffaella.calandra@ilsole24ore.com                "/>
    <s v="E"/>
    <s v="E-ESENTE"/>
    <s v="3 "/>
    <s v="3=5 X 7"/>
    <s v=""/>
    <s v=""/>
    <s v=""/>
    <s v="0015000700                    "/>
    <s v=""/>
    <n v="49"/>
    <s v="I  "/>
  </r>
  <r>
    <x v="0"/>
    <n v="1374"/>
    <x v="0"/>
    <s v="K           "/>
    <s v="REDAZIONI GIORNALISTICHE"/>
    <x v="37"/>
    <x v="36"/>
    <s v="514300      "/>
    <s v="514300   REDAZIONE MILANO"/>
    <s v="CANDIDI                         "/>
    <s v="ANDREA MARIA      "/>
    <s v="CNDNRM63A03L182E"/>
    <x v="1"/>
    <s v="34"/>
    <x v="0"/>
    <s v="01/04/2021"/>
    <s v="MILANO                 "/>
    <x v="4"/>
    <x v="4"/>
    <s v="G"/>
    <x v="3"/>
    <s v="CS "/>
    <x v="18"/>
    <s v="15/06/1994"/>
    <s v="15/06/1994"/>
    <s v="03/01/1963"/>
    <s v="A"/>
    <s v="A.IN FORZA"/>
    <s v="1  -ASSUNZIONE                1"/>
    <s v=""/>
    <s v=" "/>
    <s v=""/>
    <s v=""/>
    <n v="280"/>
    <s v="00"/>
    <n v="100"/>
    <s v="FULL TIME      100000000FF100-FULL TIME"/>
    <s v="15/06/1994"/>
    <s v=""/>
    <s v="  "/>
    <s v=""/>
    <s v="GSS "/>
    <s v="L05 "/>
    <x v="14"/>
    <s v="SIND.GIORN.        SINDACATO GIORNALISTI"/>
    <s v="andreamaria.candidi@ilsole24ore.com               "/>
    <s v="E"/>
    <s v="E-ESENTE"/>
    <s v="2 "/>
    <s v="2=6 X 6"/>
    <s v="01/07/2025"/>
    <s v="TEMPO DETERMINATO"/>
    <s v="31/05/2027"/>
    <s v="0015000739                    "/>
    <s v="DECESARI SEVERINA"/>
    <n v="63"/>
    <s v="I  "/>
  </r>
  <r>
    <x v="0"/>
    <n v="1741"/>
    <x v="0"/>
    <s v="K           "/>
    <s v="REDAZIONI GIORNALISTICHE"/>
    <x v="37"/>
    <x v="36"/>
    <s v="514300      "/>
    <s v="514300   REDAZIONE MILANO"/>
    <s v="CAPPELLINI                      "/>
    <s v="MICAELA           "/>
    <s v="CPPMCL75S59M126K"/>
    <x v="0"/>
    <s v="34"/>
    <x v="0"/>
    <s v="01/04/2021"/>
    <s v="MILANO                 "/>
    <x v="4"/>
    <x v="4"/>
    <s v="G"/>
    <x v="3"/>
    <s v="RM2"/>
    <x v="21"/>
    <s v="15/02/2001"/>
    <s v="15/02/2001"/>
    <s v="19/11/1975"/>
    <s v="A"/>
    <s v="A.IN FORZA"/>
    <s v="1  -ASSUNZIONE                1"/>
    <s v=""/>
    <s v=" "/>
    <s v=""/>
    <s v=""/>
    <n v="338"/>
    <s v="00"/>
    <n v="100"/>
    <s v="FULL TIME      100000000FF100-FULL TIME"/>
    <s v="15/02/2001"/>
    <s v=""/>
    <s v="  "/>
    <s v=""/>
    <s v="GSS "/>
    <s v="L10 "/>
    <x v="15"/>
    <s v="SIND.GIORN.        SINDACATO GIORNALISTI"/>
    <s v="micaela.cappellini@ilsole24ore.com                "/>
    <s v="E"/>
    <s v="E-ESENTE"/>
    <s v="2 "/>
    <s v="2=6 X 6"/>
    <s v="01/07/2025"/>
    <s v="TEMPO DETERMINATO"/>
    <s v="31/05/2027"/>
    <s v="                              "/>
    <s v=""/>
    <n v="50"/>
    <s v="I  "/>
  </r>
  <r>
    <x v="0"/>
    <n v="1982"/>
    <x v="0"/>
    <s v="K           "/>
    <s v="REDAZIONI GIORNALISTICHE"/>
    <x v="37"/>
    <x v="36"/>
    <s v="514300      "/>
    <s v="514300   REDAZIONE MILANO"/>
    <s v="CAPRINO                         "/>
    <s v="MAURIZIO          "/>
    <s v="CPRMRZ68D28F158X"/>
    <x v="1"/>
    <s v="34"/>
    <x v="0"/>
    <s v="01/04/2021"/>
    <s v="MILANO                 "/>
    <x v="4"/>
    <x v="4"/>
    <s v="G"/>
    <x v="3"/>
    <s v="CSV"/>
    <x v="22"/>
    <s v="03/11/2003"/>
    <s v="03/11/2003"/>
    <s v="28/04/1968"/>
    <s v="A"/>
    <s v="A.IN FORZA"/>
    <s v="1  -ASSUNZIONE                1"/>
    <s v=""/>
    <s v=" "/>
    <s v=""/>
    <s v=""/>
    <n v="414"/>
    <s v="00"/>
    <n v="100"/>
    <s v="FULL TIME      100000000FF100-FULL TIME"/>
    <s v="03/11/2003"/>
    <s v=""/>
    <s v="  "/>
    <s v=""/>
    <s v="GSS "/>
    <s v="L05 "/>
    <x v="14"/>
    <s v="SIND.GIORN.        SINDACATO GIORNALISTI"/>
    <s v="maurizio.caprino@ilsole24ore.com                  "/>
    <s v="E"/>
    <s v="E-ESENTE"/>
    <s v="3 "/>
    <s v="3=5 X 7"/>
    <s v="01/07/2025"/>
    <s v="TEMPO DETERMINATO"/>
    <s v="31/05/2027"/>
    <s v="0015000739                    "/>
    <s v="DECESARI SEVERINA"/>
    <n v="57"/>
    <s v="I  "/>
  </r>
  <r>
    <x v="0"/>
    <n v="2259"/>
    <x v="0"/>
    <s v="K           "/>
    <s v="REDAZIONI GIORNALISTICHE"/>
    <x v="37"/>
    <x v="36"/>
    <s v="514300      "/>
    <s v="514300   REDAZIONE MILANO"/>
    <s v="CARLINI                         "/>
    <s v="VITTORIO          "/>
    <s v="CRLVTR68L04D969J"/>
    <x v="1"/>
    <s v="34"/>
    <x v="0"/>
    <s v="01/04/2021"/>
    <s v="MILANO                 "/>
    <x v="4"/>
    <x v="4"/>
    <s v="G"/>
    <x v="3"/>
    <s v="RM2"/>
    <x v="21"/>
    <s v="19/11/2007"/>
    <s v="19/11/2007"/>
    <s v="04/07/1968"/>
    <s v="A"/>
    <s v="A.IN FORZA"/>
    <s v="1  -ASSUNZIONE                1"/>
    <s v=""/>
    <s v=" "/>
    <s v=""/>
    <s v=""/>
    <n v="540"/>
    <s v="00"/>
    <n v="100"/>
    <s v="FULL TIME      100000000FF100-FULL TIME"/>
    <s v="19/11/2007"/>
    <s v=""/>
    <s v="  "/>
    <s v=""/>
    <s v="GSS "/>
    <s v="L07 "/>
    <x v="5"/>
    <s v=""/>
    <s v="vittorio.carlini@ilsole24ore.com                  "/>
    <s v="E"/>
    <s v="E-ESENTE"/>
    <s v="3 "/>
    <s v="3=5 X 7"/>
    <s v="01/07/2025"/>
    <s v="TEMPO DETERMINATO"/>
    <s v="31/05/2027"/>
    <s v="0015002010                    "/>
    <s v="GRASSANI ALBERTO"/>
    <n v="57"/>
    <s v="I  "/>
  </r>
  <r>
    <x v="0"/>
    <n v="2082"/>
    <x v="0"/>
    <s v="K           "/>
    <s v="REDAZIONI GIORNALISTICHE"/>
    <x v="37"/>
    <x v="36"/>
    <s v="514300      "/>
    <s v="514300   REDAZIONE MILANO"/>
    <s v="CASADEI                         "/>
    <s v="CRISTINA          "/>
    <s v="CSDCST76E52I304Z"/>
    <x v="0"/>
    <s v="34"/>
    <x v="0"/>
    <s v="01/04/2021"/>
    <s v="MILANO                 "/>
    <x v="4"/>
    <x v="4"/>
    <s v="G"/>
    <x v="3"/>
    <s v="CSV"/>
    <x v="22"/>
    <s v="15/09/2005"/>
    <s v="15/09/2005"/>
    <s v="12/05/1976"/>
    <s v="A"/>
    <s v="A.IN FORZA"/>
    <s v="1  -ASSUNZIONE                1"/>
    <s v=""/>
    <s v=" "/>
    <s v=""/>
    <s v=""/>
    <n v="480"/>
    <s v="00"/>
    <n v="100"/>
    <s v="FULL TIME      100000000FF100-FULL TIME"/>
    <s v="15/09/2005"/>
    <s v=""/>
    <s v="  "/>
    <s v=""/>
    <s v="GSS "/>
    <s v="L08 "/>
    <x v="11"/>
    <s v="NON ISCRITTO       NON ISCRITTO"/>
    <s v="cristina.casadei@ilsole24ore.com                  "/>
    <s v="E"/>
    <s v="E-ESENTE"/>
    <s v="2 "/>
    <s v="2=6 X 6"/>
    <s v="01/07/2025"/>
    <s v="TEMPO DETERMINATO"/>
    <s v="31/05/2027"/>
    <s v="0015001979                    "/>
    <s v="DI PILLO LAURA"/>
    <n v="49"/>
    <s v="I  "/>
  </r>
  <r>
    <x v="0"/>
    <n v="2935"/>
    <x v="0"/>
    <s v="K           "/>
    <s v="REDAZIONI GIORNALISTICHE"/>
    <x v="37"/>
    <x v="36"/>
    <s v="514300      "/>
    <s v="514300   REDAZIONE MILANO"/>
    <s v="CASADEI                         "/>
    <s v="MARTA             "/>
    <s v="CSDMRT83T63G388C"/>
    <x v="0"/>
    <s v="34"/>
    <x v="0"/>
    <s v="01/04/2021"/>
    <s v="MILANO                 "/>
    <x v="4"/>
    <x v="4"/>
    <s v="G"/>
    <x v="3"/>
    <s v="RM2"/>
    <x v="21"/>
    <s v="22/12/2017"/>
    <s v="22/12/2017"/>
    <s v="23/12/1983"/>
    <s v="C"/>
    <s v="C.MATERN.OBBLIG."/>
    <s v="1  -ASSUNZIONE                1"/>
    <s v=""/>
    <s v=" "/>
    <s v=""/>
    <s v=""/>
    <n v="2935"/>
    <s v="00"/>
    <n v="100"/>
    <s v="FULL TIME      100000000FF100-FULL TIME"/>
    <s v="22/12/2017"/>
    <s v=""/>
    <s v="  "/>
    <s v=""/>
    <s v="GBM "/>
    <s v="L09 "/>
    <x v="16"/>
    <s v=""/>
    <s v="marta.casadei@ilsole24ore.com                     "/>
    <s v="E"/>
    <s v="E-ESENTE"/>
    <s v="3 "/>
    <s v="3=5 X 7"/>
    <s v="01/07/2025"/>
    <s v="TEMPO DETERMINATO"/>
    <s v="31/05/2027"/>
    <s v="0015000700                    "/>
    <s v=""/>
    <n v="42"/>
    <s v="I  "/>
  </r>
  <r>
    <x v="0"/>
    <n v="2564"/>
    <x v="0"/>
    <s v="K           "/>
    <s v="REDAZIONI GIORNALISTICHE"/>
    <x v="37"/>
    <x v="36"/>
    <s v="514300      "/>
    <s v="514300   REDAZIONE MILANO"/>
    <s v="CATTANEO                        "/>
    <s v="LAURA             "/>
    <s v="CTTLRA79A58I628W"/>
    <x v="0"/>
    <s v="34"/>
    <x v="0"/>
    <s v="01/04/2021"/>
    <s v="MILANO                 "/>
    <x v="4"/>
    <x v="4"/>
    <s v="G"/>
    <x v="3"/>
    <s v="RM2"/>
    <x v="21"/>
    <s v="07/06/2010"/>
    <s v="07/06/2010"/>
    <s v="18/01/1979"/>
    <s v="A"/>
    <s v="A.IN FORZA"/>
    <s v="1  -ASSUNZIONE                1"/>
    <s v=""/>
    <s v=" "/>
    <s v=""/>
    <s v=""/>
    <n v="2564"/>
    <s v="00"/>
    <n v="100"/>
    <s v="FULL TIME      100000000FF100-FULL TIME"/>
    <s v="07/06/2010"/>
    <s v=""/>
    <s v="  "/>
    <s v=""/>
    <s v="GSS "/>
    <s v="L06 "/>
    <x v="7"/>
    <s v=""/>
    <s v="laura.cattaneo@ilsole24ore.com                    "/>
    <s v="E"/>
    <s v="E-ESENTE"/>
    <s v="3 "/>
    <s v="3=5 X 7"/>
    <s v="01/07/2025"/>
    <s v="TEMPO DETERMINATO"/>
    <s v="31/05/2027"/>
    <s v="0015000700                    "/>
    <s v=""/>
    <n v="47"/>
    <s v="I  "/>
  </r>
  <r>
    <x v="0"/>
    <n v="1951"/>
    <x v="0"/>
    <s v="K           "/>
    <s v="REDAZIONI GIORNALISTICHE"/>
    <x v="37"/>
    <x v="36"/>
    <s v="514300      "/>
    <s v="514300   REDAZIONE MILANO"/>
    <s v="CAVESTRI                        "/>
    <s v="LAURA             "/>
    <s v="CVSLRA74M52L219O"/>
    <x v="0"/>
    <s v="34"/>
    <x v="0"/>
    <s v="01/04/2021"/>
    <s v="MILANO                 "/>
    <x v="4"/>
    <x v="4"/>
    <s v="G"/>
    <x v="3"/>
    <s v="RM2"/>
    <x v="21"/>
    <s v="01/06/2003"/>
    <s v="01/06/2003"/>
    <s v="12/08/1974"/>
    <s v="A"/>
    <s v="A.IN FORZA"/>
    <s v="1  -ASSUNZIONE                1"/>
    <s v=""/>
    <s v=" "/>
    <s v=""/>
    <s v=""/>
    <n v="396"/>
    <s v="00"/>
    <n v="100"/>
    <s v="FULL TIME      100000000FF100-FULL TIME"/>
    <s v="01/06/2003"/>
    <s v=""/>
    <s v="  "/>
    <s v=""/>
    <s v="GSS "/>
    <s v="L07 "/>
    <x v="5"/>
    <s v=""/>
    <s v="laura.cavestri@ilsole24ore.com                    "/>
    <s v="E"/>
    <s v="E-ESENTE"/>
    <s v="2 "/>
    <s v="2=6 X 6"/>
    <s v="01/07/2025"/>
    <s v="TEMPO DETERMINATO"/>
    <s v="31/05/2027"/>
    <s v="0015002010                    "/>
    <s v="GRASSANI ALBERTO"/>
    <n v="51"/>
    <s v="I  "/>
  </r>
  <r>
    <x v="0"/>
    <n v="1558"/>
    <x v="0"/>
    <s v="K           "/>
    <s v="REDAZIONI GIORNALISTICHE"/>
    <x v="37"/>
    <x v="36"/>
    <s v="514300      "/>
    <s v="514300   REDAZIONE MILANO"/>
    <s v="CELLINO                         "/>
    <s v="MAXIMILIAN        "/>
    <s v="CLLMML70C23H501I"/>
    <x v="1"/>
    <s v="34"/>
    <x v="0"/>
    <s v="01/04/2021"/>
    <s v="MILANO                 "/>
    <x v="4"/>
    <x v="4"/>
    <s v="G"/>
    <x v="3"/>
    <s v="RM2"/>
    <x v="21"/>
    <s v="01/06/2000"/>
    <s v="01/06/2000"/>
    <s v="23/03/1970"/>
    <s v="A"/>
    <s v="A.IN FORZA"/>
    <s v="1  -ASSUNZIONE                1"/>
    <s v=""/>
    <s v=" "/>
    <s v=""/>
    <s v=""/>
    <n v="315"/>
    <s v="00"/>
    <n v="100"/>
    <s v="FULL TIME      100000000FF100-FULL TIME"/>
    <s v="01/06/2000"/>
    <s v=""/>
    <s v="  "/>
    <s v=""/>
    <s v="GSS "/>
    <s v="L07 "/>
    <x v="5"/>
    <s v=""/>
    <s v="maximilian.cellino@ilsole24ore.com                "/>
    <s v="E"/>
    <s v="E-ESENTE"/>
    <s v="2 "/>
    <s v="2=6 X 6"/>
    <s v="01/07/2025"/>
    <s v="TEMPO DETERMINATO"/>
    <s v="31/05/2027"/>
    <s v="0015002010                    "/>
    <s v="GRASSANI ALBERTO"/>
    <n v="55"/>
    <s v="I  "/>
  </r>
  <r>
    <x v="0"/>
    <n v="789"/>
    <x v="0"/>
    <s v="K           "/>
    <s v="REDAZIONI GIORNALISTICHE"/>
    <x v="37"/>
    <x v="36"/>
    <s v="514300      "/>
    <s v="514300   REDAZIONE MILANO"/>
    <s v="CEPPETELLI CAPRINI              "/>
    <s v="BALDUINO          "/>
    <s v="CPPBDN62D17H501C"/>
    <x v="1"/>
    <s v="34"/>
    <x v="0"/>
    <s v="01/04/2021"/>
    <s v="MILANO                 "/>
    <x v="4"/>
    <x v="4"/>
    <s v="G"/>
    <x v="3"/>
    <s v="CS "/>
    <x v="18"/>
    <s v="01/07/1994"/>
    <s v="01/07/1994"/>
    <s v="17/04/1962"/>
    <s v="A"/>
    <s v="A.IN FORZA"/>
    <s v="1  -ASSUNZIONE                1"/>
    <s v=""/>
    <s v=" "/>
    <s v=""/>
    <s v=""/>
    <n v="196"/>
    <s v="00"/>
    <n v="100"/>
    <s v="FULL TIME      100000000FF100-FULL TIME"/>
    <s v="01/07/1994"/>
    <s v=""/>
    <s v="  "/>
    <s v=""/>
    <s v="GSS "/>
    <s v="L02 "/>
    <x v="17"/>
    <s v=""/>
    <s v="balduino.ceppetelli@ilsole24ore.com               "/>
    <s v="E"/>
    <s v="E-ESENTE"/>
    <s v="2 "/>
    <s v="2=6 X 6"/>
    <s v="01/07/2025"/>
    <s v="TEMPO DETERMINATO"/>
    <s v="31/05/2027"/>
    <s v="0015000700                    "/>
    <s v=""/>
    <n v="63"/>
    <s v="I  "/>
  </r>
  <r>
    <x v="0"/>
    <n v="337"/>
    <x v="0"/>
    <s v="K           "/>
    <s v="REDAZIONI GIORNALISTICHE"/>
    <x v="37"/>
    <x v="36"/>
    <s v="514300      "/>
    <s v="514300   REDAZIONE MILANO"/>
    <s v="CHIERCHIA                       "/>
    <s v="VINCENZO          "/>
    <s v="CHRVCN60T03L245Y"/>
    <x v="1"/>
    <s v="34"/>
    <x v="0"/>
    <s v="01/04/2021"/>
    <s v="MILANO                 "/>
    <x v="4"/>
    <x v="4"/>
    <s v="G"/>
    <x v="3"/>
    <s v="CRV"/>
    <x v="23"/>
    <s v="02/05/1988"/>
    <s v="02/05/1988"/>
    <s v="03/12/1960"/>
    <s v="A"/>
    <s v="A.IN FORZA"/>
    <s v="1  -ASSUNZIONE                1"/>
    <s v=""/>
    <s v=" "/>
    <s v=""/>
    <s v=""/>
    <n v="97"/>
    <s v="00"/>
    <n v="100"/>
    <s v="FULL TIME      100000000FF100-FULL TIME"/>
    <s v="02/05/1988"/>
    <s v=""/>
    <s v="  "/>
    <s v=""/>
    <s v="GSS "/>
    <s v="L08 "/>
    <x v="11"/>
    <s v="SIND.GIORN.        SINDACATO GIORNALISTI"/>
    <s v="vincenzo.chierchia@ilsole24ore.com                "/>
    <s v="E"/>
    <s v="E-ESENTE"/>
    <s v="7 "/>
    <s v="7=5 X 7.20"/>
    <s v="01/07/2025"/>
    <s v="TEMPO DETERMINATO"/>
    <s v="31/05/2027"/>
    <s v="0015001979                    "/>
    <s v="DI PILLO LAURA"/>
    <n v="65"/>
    <s v="I  "/>
  </r>
  <r>
    <x v="0"/>
    <n v="1256"/>
    <x v="0"/>
    <s v="K           "/>
    <s v="REDAZIONI GIORNALISTICHE"/>
    <x v="37"/>
    <x v="36"/>
    <s v="514300      "/>
    <s v="514300   REDAZIONE MILANO"/>
    <s v="COLLEDANI                       "/>
    <s v="MARIA LUISA       "/>
    <s v="CLLMLS72R44I904C"/>
    <x v="0"/>
    <s v="34"/>
    <x v="0"/>
    <s v="01/04/2021"/>
    <s v="MILANO                 "/>
    <x v="4"/>
    <x v="4"/>
    <s v="G"/>
    <x v="3"/>
    <s v="CS "/>
    <x v="18"/>
    <s v="03/05/1999"/>
    <s v="03/05/1999"/>
    <s v="04/10/1972"/>
    <s v="A"/>
    <s v="A.IN FORZA"/>
    <s v="1  -ASSUNZIONE                1"/>
    <s v=""/>
    <s v=" "/>
    <s v=""/>
    <s v=""/>
    <n v="264"/>
    <s v="00"/>
    <n v="100"/>
    <s v="FULL TIME      100000000FF100-FULL TIME"/>
    <s v="03/05/1999"/>
    <s v=""/>
    <s v="  "/>
    <s v=""/>
    <s v="GSS "/>
    <s v="L14 "/>
    <x v="8"/>
    <s v="FIGEC CISAL        FIGEC CISAL"/>
    <s v="marialuisa.colledani@ilsole24ore.com              "/>
    <s v="E"/>
    <s v="E-ESENTE"/>
    <s v="2 "/>
    <s v="2=6 X 6"/>
    <s v="12/01/2026"/>
    <s v="TEMPO DETERMINATO"/>
    <s v="11/04/2026"/>
    <s v="0015000700                    "/>
    <s v=""/>
    <n v="53"/>
    <s v="I  "/>
  </r>
  <r>
    <x v="0"/>
    <n v="1386"/>
    <x v="0"/>
    <s v="K           "/>
    <s v="REDAZIONI GIORNALISTICHE"/>
    <x v="37"/>
    <x v="36"/>
    <s v="514300      "/>
    <s v="514300   REDAZIONE MILANO"/>
    <s v="CRISCIONE                       "/>
    <s v="ANTONIO           "/>
    <s v="CRSNTN64C30A755H"/>
    <x v="1"/>
    <s v="34"/>
    <x v="0"/>
    <s v="01/04/2021"/>
    <s v="MILANO                 "/>
    <x v="4"/>
    <x v="4"/>
    <s v="G"/>
    <x v="3"/>
    <s v="CSV"/>
    <x v="22"/>
    <s v="01/10/1994"/>
    <s v="01/10/1994"/>
    <s v="30/03/1964"/>
    <s v="A"/>
    <s v="A.IN FORZA"/>
    <s v="1  -ASSUNZIONE                1"/>
    <s v=""/>
    <s v=" "/>
    <s v=""/>
    <s v=""/>
    <n v="282"/>
    <s v="00"/>
    <n v="100"/>
    <s v="FULL TIME      100000000FF100-FULL TIME"/>
    <s v="01/10/1994"/>
    <s v=""/>
    <s v="  "/>
    <s v=""/>
    <s v="GSS "/>
    <s v="L09 "/>
    <x v="16"/>
    <s v="FIGEC CISAL        FIGEC CISAL"/>
    <s v="antonio.criscione@ilsole24ore.com                 "/>
    <s v="E"/>
    <s v="E-ESENTE"/>
    <s v="2 "/>
    <s v="2=6 X 6"/>
    <s v="01/07/2025"/>
    <s v="TEMPO DETERMINATO"/>
    <s v="31/05/2027"/>
    <s v="0015000700                    "/>
    <s v=""/>
    <n v="61"/>
    <s v="I  "/>
  </r>
  <r>
    <x v="0"/>
    <n v="1603"/>
    <x v="0"/>
    <s v="K           "/>
    <s v="REDAZIONI GIORNALISTICHE"/>
    <x v="37"/>
    <x v="36"/>
    <s v="514300      "/>
    <s v="514300   REDAZIONE MILANO"/>
    <s v="CRIVELLI                        "/>
    <s v="GIULIA VALENTINA  "/>
    <s v="CRVGVL69R61F205Q"/>
    <x v="0"/>
    <s v="34"/>
    <x v="0"/>
    <s v="01/04/2021"/>
    <s v="MILANO                 "/>
    <x v="4"/>
    <x v="4"/>
    <s v="G"/>
    <x v="3"/>
    <s v="CRV"/>
    <x v="23"/>
    <s v="01/08/2000"/>
    <s v="01/08/2000"/>
    <s v="21/10/1969"/>
    <s v="A"/>
    <s v="A.IN FORZA"/>
    <s v="1  -ASSUNZIONE                1"/>
    <s v=""/>
    <s v=" "/>
    <s v=""/>
    <s v=""/>
    <n v="317"/>
    <s v="00"/>
    <n v="100"/>
    <s v="FULL TIME      100000000FF100-FULL TIME"/>
    <s v="01/08/2000"/>
    <s v=""/>
    <s v="  "/>
    <s v=""/>
    <s v="GSS "/>
    <s v="L18 "/>
    <x v="18"/>
    <s v="SIND.GIORN.        SINDACATO GIORNALISTI"/>
    <s v="giulia.crivelli@ilsole24ore.com                   "/>
    <s v="E"/>
    <s v="E-ESENTE"/>
    <s v="1 "/>
    <s v="1=5 X 8"/>
    <s v="01/07/2025"/>
    <s v="TEMPO DETERMINATO"/>
    <s v="31/05/2027"/>
    <s v="0015000700                    "/>
    <s v=""/>
    <n v="56"/>
    <s v="I  "/>
  </r>
  <r>
    <x v="0"/>
    <n v="3046"/>
    <x v="0"/>
    <s v="K           "/>
    <s v="REDAZIONI GIORNALISTICHE"/>
    <x v="37"/>
    <x v="36"/>
    <s v="514300      "/>
    <s v="514300   REDAZIONE MILANO"/>
    <s v="CURCIO                          "/>
    <s v="CAMILLA           "/>
    <s v="CRCCLL92P46H919J"/>
    <x v="0"/>
    <s v="34"/>
    <x v="0"/>
    <s v="20/06/2022"/>
    <s v="MILANO                 "/>
    <x v="4"/>
    <x v="4"/>
    <s v="G"/>
    <x v="3"/>
    <s v="RM2"/>
    <x v="21"/>
    <s v="20/06/2022"/>
    <s v="20/06/2022"/>
    <s v="06/09/1992"/>
    <s v="A"/>
    <s v="A.IN FORZA"/>
    <s v="1  -ASSUNZIONE                1"/>
    <s v=""/>
    <s v=" "/>
    <s v=""/>
    <s v=""/>
    <n v="3046"/>
    <s v="00"/>
    <n v="100"/>
    <s v="FULL TIME      100000000FF100-FULL TIME"/>
    <s v="20/06/2022"/>
    <s v=""/>
    <s v="  "/>
    <s v=""/>
    <s v="GBM "/>
    <s v="L05 "/>
    <x v="14"/>
    <s v=""/>
    <s v="camilla.curcio@ilsole24ore.com                    "/>
    <s v="E"/>
    <s v="E-ESENTE"/>
    <s v="7 "/>
    <s v="7=5 X 7.20"/>
    <s v="01/07/2025"/>
    <s v="TEMPO DETERMINATO"/>
    <s v="31/05/2027"/>
    <s v="0015000739                    "/>
    <s v="DECESARI SEVERINA"/>
    <n v="33"/>
    <s v="I  "/>
  </r>
  <r>
    <x v="0"/>
    <n v="2710"/>
    <x v="0"/>
    <s v="K           "/>
    <s v="REDAZIONI GIORNALISTICHE"/>
    <x v="37"/>
    <x v="36"/>
    <s v="514300      "/>
    <s v="514300   REDAZIONE MILANO"/>
    <s v="D'AMBROSIO                      "/>
    <s v="ANNARITA          "/>
    <s v="DMBNRT68T51F839T"/>
    <x v="0"/>
    <s v="34"/>
    <x v="0"/>
    <s v="01/04/2021"/>
    <s v="MILANO                 "/>
    <x v="4"/>
    <x v="4"/>
    <s v="G"/>
    <x v="3"/>
    <s v="CS "/>
    <x v="18"/>
    <s v="01/01/2014"/>
    <s v="20/05/2002"/>
    <s v="11/12/1968"/>
    <s v="A"/>
    <s v="A.IN FORZA"/>
    <s v="1  -ASSUNZIONE                1"/>
    <s v=""/>
    <s v=" "/>
    <s v=""/>
    <s v=""/>
    <n v="2710"/>
    <s v="00"/>
    <n v="100"/>
    <s v="FULL TIME      100000000FF100-FULL TIME"/>
    <s v="01/01/2004"/>
    <s v=""/>
    <s v="  "/>
    <s v=""/>
    <s v="GN  "/>
    <s v="L05 "/>
    <x v="14"/>
    <s v="SIND.GIORN.        SINDACATO GIORNALISTI"/>
    <s v="annarita.dambrosio@ilsole24ore.com                "/>
    <s v="E"/>
    <s v="E-ESENTE"/>
    <s v="3 "/>
    <s v="3=5 X 7"/>
    <s v="01/07/2025"/>
    <s v="TEMPO DETERMINATO"/>
    <s v="31/05/2027"/>
    <s v="0015000739                    "/>
    <s v="DECESARI SEVERINA"/>
    <n v="57"/>
    <s v="I  "/>
  </r>
  <r>
    <x v="0"/>
    <n v="2079"/>
    <x v="0"/>
    <s v="K           "/>
    <s v="REDAZIONI GIORNALISTICHE"/>
    <x v="37"/>
    <x v="36"/>
    <s v="514300      "/>
    <s v="514300   REDAZIONE MILANO"/>
    <s v="D'ANGERIO                       "/>
    <s v="VITALIANO         "/>
    <s v="DNGVLN67H27I073Y"/>
    <x v="1"/>
    <s v="34"/>
    <x v="0"/>
    <s v="01/04/2021"/>
    <s v="MILANO                 "/>
    <x v="4"/>
    <x v="4"/>
    <s v="G"/>
    <x v="3"/>
    <s v="RM2"/>
    <x v="21"/>
    <s v="01/09/2005"/>
    <s v="01/09/2005"/>
    <s v="27/06/1967"/>
    <s v="A"/>
    <s v="A.IN FORZA"/>
    <s v="1  -ASSUNZIONE                1"/>
    <s v=""/>
    <s v=" "/>
    <s v=""/>
    <s v=""/>
    <n v="477"/>
    <s v="00"/>
    <n v="100"/>
    <s v="FULL TIME      100000000FF100-FULL TIME"/>
    <s v="01/09/2005"/>
    <s v=""/>
    <s v="  "/>
    <s v=""/>
    <s v="GSS "/>
    <s v="L09 "/>
    <x v="16"/>
    <s v="SIND.GIORN.        SINDACATO GIORNALISTI"/>
    <s v="vitaliano.dangerio@ilsole24ore.com                "/>
    <s v="E"/>
    <s v="E-ESENTE"/>
    <s v="2 "/>
    <s v="2=6 X 6"/>
    <s v="01/07/2025"/>
    <s v="TEMPO DETERMINATO"/>
    <s v="31/05/2027"/>
    <s v="0015000700                    "/>
    <s v=""/>
    <n v="58"/>
    <s v="I  "/>
  </r>
  <r>
    <x v="0"/>
    <n v="1978"/>
    <x v="0"/>
    <s v="K           "/>
    <s v="REDAZIONI GIORNALISTICHE"/>
    <x v="37"/>
    <x v="36"/>
    <s v="514300      "/>
    <s v="514300   REDAZIONE MILANO"/>
    <s v="D'ASCENZO                       "/>
    <s v="MONICA            "/>
    <s v="DSCMNC71D64F205X"/>
    <x v="0"/>
    <s v="34"/>
    <x v="0"/>
    <s v="01/04/2021"/>
    <s v="MILANO                 "/>
    <x v="4"/>
    <x v="4"/>
    <s v="G"/>
    <x v="3"/>
    <s v="CSV"/>
    <x v="22"/>
    <s v="01/10/2003"/>
    <s v="01/10/2003"/>
    <s v="24/04/1971"/>
    <s v="A"/>
    <s v="A.IN FORZA"/>
    <s v="1  -ASSUNZIONE                1"/>
    <s v=""/>
    <s v=" "/>
    <s v=""/>
    <s v=""/>
    <n v="410"/>
    <s v="00"/>
    <n v="100"/>
    <s v="FULL TIME      100000000FF100-FULL TIME"/>
    <s v="01/10/2003"/>
    <s v=""/>
    <s v="  "/>
    <s v=""/>
    <s v="GSS "/>
    <s v="L07 "/>
    <x v="5"/>
    <s v="SIND.GIORN.        SINDACATO GIORNALISTI"/>
    <s v="monica.dascenzo@ilsole24ore.com                   "/>
    <s v="E"/>
    <s v="E-ESENTE"/>
    <s v="1 "/>
    <s v="1=5 X 8"/>
    <s v="01/02/2026"/>
    <s v="TEMPO DETERMINATO"/>
    <s v="31/05/2027"/>
    <s v="0015002010                    "/>
    <s v="GRASSANI ALBERTO"/>
    <n v="54"/>
    <s v="I  "/>
  </r>
  <r>
    <x v="0"/>
    <n v="455"/>
    <x v="0"/>
    <s v="K           "/>
    <s v="REDAZIONI GIORNALISTICHE"/>
    <x v="37"/>
    <x v="36"/>
    <s v="514300      "/>
    <s v="514300   REDAZIONE MILANO"/>
    <s v="DA RIN BETTINA                  "/>
    <s v="ROBERTO           "/>
    <s v="DRNRRT60M07F205F"/>
    <x v="1"/>
    <s v="34"/>
    <x v="0"/>
    <s v="01/04/2021"/>
    <s v="MILANO                 "/>
    <x v="4"/>
    <x v="4"/>
    <s v="G"/>
    <x v="3"/>
    <s v="RM2"/>
    <x v="21"/>
    <s v="01/01/1990"/>
    <s v="01/01/1990"/>
    <s v="07/08/1960"/>
    <s v="A"/>
    <s v="A.IN FORZA"/>
    <s v="1  -ASSUNZIONE                1"/>
    <s v=""/>
    <s v=" "/>
    <s v=""/>
    <s v=""/>
    <n v="128"/>
    <s v="00"/>
    <n v="100"/>
    <s v="FULL TIME      100000000FF100-FULL TIME"/>
    <s v="01/01/1990"/>
    <s v=""/>
    <s v="  "/>
    <s v=""/>
    <s v="GSS "/>
    <s v="L10 "/>
    <x v="15"/>
    <s v="SIND.GIORN.        SINDACATO GIORNALISTI"/>
    <s v="roberto.darin@ilsole24ore.com                     "/>
    <s v="E"/>
    <s v="E-ESENTE"/>
    <s v="2 "/>
    <s v="2=6 X 6"/>
    <s v="01/07/2025"/>
    <s v="TEMPO DETERMINATO"/>
    <s v="31/05/2027"/>
    <s v="0015000700                    "/>
    <s v=""/>
    <n v="65"/>
    <s v="I  "/>
  </r>
  <r>
    <x v="0"/>
    <n v="2604"/>
    <x v="0"/>
    <s v="K           "/>
    <s v="REDAZIONI GIORNALISTICHE"/>
    <x v="37"/>
    <x v="36"/>
    <s v="514300      "/>
    <s v="514300   REDAZIONE MILANO"/>
    <s v="DAVI                            "/>
    <s v="LUCA              "/>
    <s v="DVALCU81A03D969O"/>
    <x v="1"/>
    <s v="34"/>
    <x v="0"/>
    <s v="01/04/2021"/>
    <s v="MILANO                 "/>
    <x v="4"/>
    <x v="4"/>
    <s v="G"/>
    <x v="3"/>
    <s v="RM2"/>
    <x v="21"/>
    <s v="30/01/2012"/>
    <s v="30/01/2012"/>
    <s v="03/01/1981"/>
    <s v="A"/>
    <s v="A.IN FORZA"/>
    <s v="2  -VARIAZIONE SOCIETARIA     2"/>
    <s v=""/>
    <s v=" "/>
    <s v=""/>
    <s v=""/>
    <n v="2604"/>
    <s v="00"/>
    <n v="100"/>
    <s v="FULL TIME      100000000FF100-FULL TIME"/>
    <s v="30/01/2012"/>
    <s v=""/>
    <s v="  "/>
    <s v=""/>
    <s v="GSS "/>
    <s v="L07 "/>
    <x v="5"/>
    <s v="SIND.GIORN.        SINDACATO GIORNALISTI"/>
    <s v="luca.davi@ilsole24ore.com                         "/>
    <s v="E"/>
    <s v="E-ESENTE"/>
    <s v="3 "/>
    <s v="3=5 X 7"/>
    <s v="01/07/2025"/>
    <s v="TEMPO DETERMINATO"/>
    <s v="31/05/2027"/>
    <s v="0015002010                    "/>
    <s v="GRASSANI ALBERTO"/>
    <n v="45"/>
    <s v="I  "/>
  </r>
  <r>
    <x v="0"/>
    <n v="739"/>
    <x v="0"/>
    <s v="K           "/>
    <s v="REDAZIONI GIORNALISTICHE"/>
    <x v="37"/>
    <x v="36"/>
    <s v="514300      "/>
    <s v="514300   REDAZIONE MILANO"/>
    <s v="DECESARI                        "/>
    <s v="SEVERINA          "/>
    <s v="DCSSRN62C56F952I"/>
    <x v="0"/>
    <s v="34"/>
    <x v="0"/>
    <s v="01/04/2021"/>
    <s v="MILANO                 "/>
    <x v="4"/>
    <x v="4"/>
    <s v="G"/>
    <x v="3"/>
    <s v="CR "/>
    <x v="24"/>
    <s v="08/02/1994"/>
    <s v="08/02/1994"/>
    <s v="16/03/1962"/>
    <s v="A"/>
    <s v="A.IN FORZA"/>
    <s v="1  -ASSUNZIONE                1"/>
    <s v=""/>
    <s v=" "/>
    <s v=""/>
    <s v=""/>
    <n v="189"/>
    <s v="00"/>
    <n v="100"/>
    <s v="FULL TIME      100000000FF100-FULL TIME"/>
    <s v="08/02/1994"/>
    <s v=""/>
    <s v="  "/>
    <s v=""/>
    <s v="GSS "/>
    <s v="L05 "/>
    <x v="14"/>
    <s v="FIGEC CISAL        FIGEC CISAL"/>
    <s v="mariacarla.decesari@ilsole24ore.com               "/>
    <s v="E"/>
    <s v="E-ESENTE"/>
    <s v="2 "/>
    <s v="2=6 X 6"/>
    <s v="01/07/2025"/>
    <s v="TEMPO DETERMINATO"/>
    <s v="31/05/2027"/>
    <s v="0015003154                    "/>
    <s v="TAMBURINI FABIO ANTONIO"/>
    <n v="63"/>
    <s v="I  "/>
  </r>
  <r>
    <x v="0"/>
    <n v="2320"/>
    <x v="0"/>
    <s v="K           "/>
    <s v="REDAZIONI GIORNALISTICHE"/>
    <x v="37"/>
    <x v="36"/>
    <s v="514300      "/>
    <s v="514300   REDAZIONE MILANO"/>
    <s v="DEGANELLO                       "/>
    <s v="SARA              "/>
    <s v="DGNSRA81H61I531W"/>
    <x v="0"/>
    <s v="34"/>
    <x v="0"/>
    <s v="01/04/2021"/>
    <s v="MILANO                 "/>
    <x v="4"/>
    <x v="4"/>
    <s v="G"/>
    <x v="3"/>
    <s v="CSV"/>
    <x v="22"/>
    <s v="01/08/2008"/>
    <s v="01/08/2008"/>
    <s v="21/06/1981"/>
    <s v="A"/>
    <s v="A.IN FORZA"/>
    <s v="1  -ASSUNZIONE                1"/>
    <s v=""/>
    <s v=" "/>
    <s v=""/>
    <s v=""/>
    <n v="568"/>
    <s v="00"/>
    <n v="100"/>
    <s v="FULL TIME      100000000FF100-FULL TIME"/>
    <s v="01/08/2008"/>
    <s v=""/>
    <s v="  "/>
    <s v=""/>
    <s v="GBM "/>
    <s v="L08 "/>
    <x v="11"/>
    <s v="SIND.GIORN.        SINDACATO GIORNALISTI"/>
    <s v="sara.deganello@ilsole24ore.com                    "/>
    <s v="E"/>
    <s v="E-ESENTE"/>
    <s v="3 "/>
    <s v="3=5 X 7"/>
    <s v="01/07/2025"/>
    <s v="TEMPO DETERMINATO"/>
    <s v="31/05/2027"/>
    <s v="0015001979                    "/>
    <s v="DI PILLO LAURA"/>
    <n v="44"/>
    <s v="I  "/>
  </r>
  <r>
    <x v="0"/>
    <n v="956"/>
    <x v="0"/>
    <s v="K           "/>
    <s v="REDAZIONI GIORNALISTICHE"/>
    <x v="37"/>
    <x v="36"/>
    <s v="514300      "/>
    <s v="514300   REDAZIONE MILANO"/>
    <s v="DEL BO                          "/>
    <s v="JEAN MARIE        "/>
    <s v="DLBJMR66A03Z110O"/>
    <x v="1"/>
    <s v="34"/>
    <x v="0"/>
    <s v="01/04/2021"/>
    <s v="MILANO                 "/>
    <x v="4"/>
    <x v="4"/>
    <s v="G"/>
    <x v="3"/>
    <s v="AV "/>
    <x v="19"/>
    <s v="29/11/1996"/>
    <s v="29/11/1996"/>
    <s v="03/01/1966"/>
    <s v="A"/>
    <s v="A.IN FORZA"/>
    <s v="1  -ASSUNZIONE                1"/>
    <s v=""/>
    <s v=" "/>
    <s v=""/>
    <s v=""/>
    <n v="223"/>
    <s v="00"/>
    <n v="100"/>
    <s v="FULL TIME      100000000FF100-FULL TIME"/>
    <s v="29/11/1996"/>
    <s v=""/>
    <s v="  "/>
    <s v=""/>
    <s v="GSS "/>
    <s v="L05 "/>
    <x v="14"/>
    <s v="SIND.GIORN.        SINDACATO GIORNALISTI"/>
    <s v="jean.delbo@ilsole24ore.com                        "/>
    <s v="E"/>
    <s v="E-ESENTE"/>
    <s v="2 "/>
    <s v="2=6 X 6"/>
    <s v="01/07/2025"/>
    <s v="TEMPO DETERMINATO"/>
    <s v="31/05/2027"/>
    <s v="0015003154                    "/>
    <s v="TAMBURINI FABIO ANTONIO"/>
    <n v="60"/>
    <s v="I  "/>
  </r>
  <r>
    <x v="0"/>
    <n v="513"/>
    <x v="0"/>
    <s v="K           "/>
    <s v="REDAZIONI GIORNALISTICHE"/>
    <x v="37"/>
    <x v="36"/>
    <s v="514300      "/>
    <s v="514300   REDAZIONE MILANO"/>
    <s v="DELLA VALLE                     "/>
    <s v="MARIA ISABELLA    "/>
    <s v="DLLMSB67B43Z401K"/>
    <x v="0"/>
    <s v="34"/>
    <x v="0"/>
    <s v="01/04/2021"/>
    <s v="MILANO                 "/>
    <x v="4"/>
    <x v="4"/>
    <s v="G"/>
    <x v="3"/>
    <s v="CS "/>
    <x v="18"/>
    <s v="07/01/1991"/>
    <s v="07/01/1991"/>
    <s v="03/02/1967"/>
    <s v="A"/>
    <s v="A.IN FORZA"/>
    <s v="1  -ASSUNZIONE                1"/>
    <s v=""/>
    <s v=" "/>
    <s v=""/>
    <s v=""/>
    <n v="296"/>
    <s v="00"/>
    <n v="100"/>
    <s v="FULL TIME      100000000FF100-FULL TIME"/>
    <s v="07/01/1991"/>
    <s v=""/>
    <s v="  "/>
    <s v=""/>
    <s v="GSS "/>
    <s v="L09 "/>
    <x v="16"/>
    <s v=""/>
    <s v="isabella.dellavalle@ilsole24ore.com               "/>
    <s v="E"/>
    <s v="E-ESENTE"/>
    <s v="2 "/>
    <s v="2=6 X 6"/>
    <s v="01/07/2025"/>
    <s v="TEMPO DETERMINATO"/>
    <s v="31/05/2027"/>
    <s v="0015000700                    "/>
    <s v=""/>
    <n v="58"/>
    <s v="I  "/>
  </r>
  <r>
    <x v="0"/>
    <n v="1922"/>
    <x v="0"/>
    <s v="K           "/>
    <s v="REDAZIONI GIORNALISTICHE"/>
    <x v="37"/>
    <x v="36"/>
    <s v="514300      "/>
    <s v="514300   REDAZIONE MILANO"/>
    <s v="DI CARO                         "/>
    <s v="ELIANA            "/>
    <s v="DCRLNE72E70F052A"/>
    <x v="0"/>
    <s v="34"/>
    <x v="0"/>
    <s v="01/04/2021"/>
    <s v="MILANO                 "/>
    <x v="4"/>
    <x v="4"/>
    <s v="G"/>
    <x v="3"/>
    <s v="CSV"/>
    <x v="22"/>
    <s v="21/02/2000"/>
    <s v="21/02/2000"/>
    <s v="30/05/1972"/>
    <s v="A"/>
    <s v="A.IN FORZA"/>
    <s v="1  -ASSUNZIONE                1"/>
    <s v=""/>
    <s v=" "/>
    <s v=""/>
    <s v=""/>
    <n v="381"/>
    <s v="00"/>
    <n v="100"/>
    <s v="FULL TIME      100000000FF100-FULL TIME"/>
    <s v="31/05/2020"/>
    <s v=""/>
    <s v="  "/>
    <s v=""/>
    <s v="GSS "/>
    <s v="L14 "/>
    <x v="8"/>
    <s v=""/>
    <s v="eliana.dicaro@ilsole24ore.com                     "/>
    <s v="E"/>
    <s v="E-ESENTE"/>
    <s v="3 "/>
    <s v="3=5 X 7"/>
    <s v="01/07/2025"/>
    <s v="TEMPO DETERMINATO"/>
    <s v="31/05/2027"/>
    <s v="0015000700                    "/>
    <s v=""/>
    <n v="53"/>
    <s v="I  "/>
  </r>
  <r>
    <x v="0"/>
    <n v="1773"/>
    <x v="0"/>
    <s v="K           "/>
    <s v="REDAZIONI GIORNALISTICHE"/>
    <x v="37"/>
    <x v="36"/>
    <s v="514300      "/>
    <s v="514300   REDAZIONE MILANO"/>
    <s v="DI DONFRANCESCO                 "/>
    <s v="GIANLUCA          "/>
    <s v="DDNGLC72L04E388I"/>
    <x v="1"/>
    <s v="34"/>
    <x v="0"/>
    <s v="01/04/2021"/>
    <s v="MILANO                 "/>
    <x v="4"/>
    <x v="4"/>
    <s v="G"/>
    <x v="3"/>
    <s v="RM2"/>
    <x v="21"/>
    <s v="15/05/2001"/>
    <s v="15/05/2001"/>
    <s v="04/07/1972"/>
    <s v="A"/>
    <s v="A.IN FORZA"/>
    <s v="1  -ASSUNZIONE                1"/>
    <s v=""/>
    <s v=" "/>
    <s v=""/>
    <s v=""/>
    <n v="349"/>
    <s v="00"/>
    <n v="100"/>
    <s v="FULL TIME      100000000FF100-FULL TIME"/>
    <s v="15/05/2001"/>
    <s v=""/>
    <s v="  "/>
    <s v=""/>
    <s v="GSS "/>
    <s v="L10 "/>
    <x v="15"/>
    <s v="SIND.GIORN.        SINDACATO GIORNALISTI"/>
    <s v="gianluca.didonfrancesco@ilsole24ore.com           "/>
    <s v="E"/>
    <s v="E-ESENTE"/>
    <s v="3 "/>
    <s v="3=5 X 7"/>
    <s v="01/07/2025"/>
    <s v="TEMPO DETERMINATO"/>
    <s v="31/05/2027"/>
    <s v="0015000700                    "/>
    <s v=""/>
    <n v="53"/>
    <s v="I  "/>
  </r>
  <r>
    <x v="0"/>
    <n v="1979"/>
    <x v="0"/>
    <s v="K           "/>
    <s v="REDAZIONI GIORNALISTICHE"/>
    <x v="37"/>
    <x v="36"/>
    <s v="514300      "/>
    <s v="514300   REDAZIONE MILANO"/>
    <s v="DI PILLO                        "/>
    <s v="LAURA             "/>
    <s v="DPLLRA68B61A345U"/>
    <x v="0"/>
    <s v="34"/>
    <x v="0"/>
    <s v="01/10/2023"/>
    <s v="MILANO                 "/>
    <x v="4"/>
    <x v="4"/>
    <s v="G"/>
    <x v="3"/>
    <s v="CR "/>
    <x v="24"/>
    <s v="01/10/2003"/>
    <s v="01/10/2003"/>
    <s v="21/02/1968"/>
    <s v="A"/>
    <s v="A.IN FORZA"/>
    <s v="1  -ASSUNZIONE                1"/>
    <s v=""/>
    <s v=" "/>
    <s v=""/>
    <s v=""/>
    <n v="411"/>
    <s v="00"/>
    <n v="100"/>
    <s v="FULL TIME      100000000FF100-FULL TIME"/>
    <s v="01/10/2003"/>
    <s v=""/>
    <s v="  "/>
    <s v=""/>
    <s v="GSS "/>
    <s v="L08 "/>
    <x v="11"/>
    <s v=""/>
    <s v="laura.dipillo@ilsole24ore.com                     "/>
    <s v="E"/>
    <s v="E-ESENTE"/>
    <s v="2 "/>
    <s v="2=6 X 6"/>
    <s v="01/07/2025"/>
    <s v="TEMPO DETERMINATO"/>
    <s v="31/05/2027"/>
    <s v="0015003154                    "/>
    <s v="TAMBURINI FABIO ANTONIO"/>
    <n v="57"/>
    <s v="I  "/>
  </r>
  <r>
    <x v="0"/>
    <n v="2075"/>
    <x v="0"/>
    <s v="K           "/>
    <s v="REDAZIONI GIORNALISTICHE"/>
    <x v="37"/>
    <x v="36"/>
    <s v="514300      "/>
    <s v="514300   REDAZIONE MILANO"/>
    <s v="ELLI                            "/>
    <s v="STEFANO           "/>
    <s v="LLESFN62E25F205C"/>
    <x v="1"/>
    <s v="34"/>
    <x v="0"/>
    <s v="01/04/2021"/>
    <s v="MILANO                 "/>
    <x v="4"/>
    <x v="4"/>
    <s v="G"/>
    <x v="3"/>
    <s v="RM2"/>
    <x v="21"/>
    <s v="01/08/2005"/>
    <s v="01/08/2005"/>
    <s v="25/05/1962"/>
    <s v="A"/>
    <s v="A.IN FORZA"/>
    <s v="1  -ASSUNZIONE                1"/>
    <s v=""/>
    <s v=" "/>
    <s v=""/>
    <s v=""/>
    <n v="473"/>
    <s v="00"/>
    <n v="100"/>
    <s v="FULL TIME      100000000FF100-FULL TIME"/>
    <s v="01/08/2005"/>
    <s v=""/>
    <s v="  "/>
    <s v=""/>
    <s v="GSS "/>
    <s v="L09 "/>
    <x v="16"/>
    <s v="SIND.GIORN.        SINDACATO GIORNALISTI"/>
    <s v="stefano.elli@ilsole24ore.com                      "/>
    <s v="E"/>
    <s v="E-ESENTE"/>
    <s v="2 "/>
    <s v="2=6 X 6"/>
    <s v="01/07/2025"/>
    <s v="TEMPO DETERMINATO"/>
    <s v="31/05/2027"/>
    <s v="0015000700                    "/>
    <s v=""/>
    <n v="63"/>
    <s v="I  "/>
  </r>
  <r>
    <x v="0"/>
    <n v="1961"/>
    <x v="0"/>
    <s v="K           "/>
    <s v="REDAZIONI GIORNALISTICHE"/>
    <x v="37"/>
    <x v="36"/>
    <s v="514300      "/>
    <s v="514300   REDAZIONE MILANO"/>
    <s v="FESTA                           "/>
    <s v="CARLO             "/>
    <s v="FSTCRL66L10F205M"/>
    <x v="1"/>
    <s v="34"/>
    <x v="0"/>
    <s v="01/04/2021"/>
    <s v="MILANO                 "/>
    <x v="4"/>
    <x v="4"/>
    <s v="G"/>
    <x v="3"/>
    <s v="CSV"/>
    <x v="22"/>
    <s v="01/07/2003"/>
    <s v="01/07/2003"/>
    <s v="10/07/1966"/>
    <s v="A"/>
    <s v="A.IN FORZA"/>
    <s v="1  -ASSUNZIONE                1"/>
    <s v=""/>
    <s v=" "/>
    <s v=""/>
    <s v=""/>
    <n v="403"/>
    <s v="00"/>
    <n v="100"/>
    <s v="FULL TIME      100000000FF100-FULL TIME"/>
    <s v="01/07/2003"/>
    <s v=""/>
    <s v="  "/>
    <s v=""/>
    <s v="GSS "/>
    <s v="L07 "/>
    <x v="5"/>
    <s v=""/>
    <s v="carlo.festa@ilsole24ore.com                       "/>
    <s v="E"/>
    <s v="E-ESENTE"/>
    <s v="2 "/>
    <s v="2=6 X 6"/>
    <s v="01/07/2025"/>
    <s v="TEMPO DETERMINATO"/>
    <s v="31/05/2027"/>
    <s v="0015002010                    "/>
    <s v="GRASSANI ALBERTO"/>
    <n v="59"/>
    <s v="I  "/>
  </r>
  <r>
    <x v="0"/>
    <n v="866"/>
    <x v="0"/>
    <s v="K           "/>
    <s v="REDAZIONI GIORNALISTICHE"/>
    <x v="37"/>
    <x v="36"/>
    <s v="514300      "/>
    <s v="514300   REDAZIONE MILANO"/>
    <s v="FRISONE                         "/>
    <s v="MARCELLO          "/>
    <s v="FRSMCL66T04F158N"/>
    <x v="1"/>
    <s v="34"/>
    <x v="0"/>
    <s v="01/04/2021"/>
    <s v="MILANO                 "/>
    <x v="4"/>
    <x v="4"/>
    <s v="G"/>
    <x v="3"/>
    <s v="RM2"/>
    <x v="21"/>
    <s v="16/10/1995"/>
    <s v="16/10/1995"/>
    <s v="04/12/1966"/>
    <s v="A"/>
    <s v="A.IN FORZA"/>
    <s v="1  -ASSUNZIONE                1"/>
    <s v=""/>
    <s v=" "/>
    <s v=""/>
    <s v=""/>
    <n v="205"/>
    <s v="00"/>
    <n v="100"/>
    <s v="FULL TIME      100000000FF100-FULL TIME"/>
    <s v="16/10/1995"/>
    <s v=""/>
    <s v="  "/>
    <s v=""/>
    <s v="GSS "/>
    <s v="L09 "/>
    <x v="16"/>
    <s v="SIND.GIORN.        SINDACATO GIORNALISTI"/>
    <s v="marcello.frisone@ilsole24ore.com                  "/>
    <s v="E"/>
    <s v="E-ESENTE"/>
    <s v="2 "/>
    <s v="2=6 X 6"/>
    <s v="01/07/2025"/>
    <s v="TEMPO DETERMINATO"/>
    <s v="31/05/2027"/>
    <s v="0015000700                    "/>
    <s v=""/>
    <n v="59"/>
    <s v="I  "/>
  </r>
  <r>
    <x v="0"/>
    <n v="2264"/>
    <x v="0"/>
    <s v="K           "/>
    <s v="REDAZIONI GIORNALISTICHE"/>
    <x v="37"/>
    <x v="36"/>
    <s v="514300      "/>
    <s v="514300   REDAZIONE MILANO"/>
    <s v="GALIMBERTI                      "/>
    <s v="ALESSANDRO        "/>
    <s v="GLMLSN66H27I625T"/>
    <x v="1"/>
    <s v="34"/>
    <x v="0"/>
    <s v="01/04/2021"/>
    <s v="MILANO                 "/>
    <x v="4"/>
    <x v="4"/>
    <s v="G"/>
    <x v="3"/>
    <s v="CS "/>
    <x v="18"/>
    <s v="03/12/2007"/>
    <s v="03/12/2007"/>
    <s v="27/06/1966"/>
    <s v="A"/>
    <s v="A.IN FORZA"/>
    <s v="1  -ASSUNZIONE                1"/>
    <s v=""/>
    <s v=" "/>
    <s v=""/>
    <s v=""/>
    <n v="541"/>
    <s v="00"/>
    <n v="100"/>
    <s v="FULL TIME      100000000FF100-FULL TIME"/>
    <s v="03/12/2007"/>
    <s v=""/>
    <s v="  "/>
    <s v=""/>
    <s v="GSS "/>
    <s v="L05 "/>
    <x v="14"/>
    <s v="FIGEC CISAL        FIGEC CISAL"/>
    <s v="alessandro.galimberti@ilsole24ore.com             "/>
    <s v="E"/>
    <s v="E-ESENTE"/>
    <s v="2 "/>
    <s v="2=6 X 6"/>
    <s v="01/07/2025"/>
    <s v="TEMPO DETERMINATO"/>
    <s v="31/05/2027"/>
    <s v="0015000739                    "/>
    <s v="DECESARI SEVERINA"/>
    <n v="59"/>
    <s v="I  "/>
  </r>
  <r>
    <x v="0"/>
    <n v="2241"/>
    <x v="0"/>
    <s v="K           "/>
    <s v="REDAZIONI GIORNALISTICHE"/>
    <x v="37"/>
    <x v="36"/>
    <s v="514300      "/>
    <s v="514300   REDAZIONE MILANO"/>
    <s v="GALVAGNI                        "/>
    <s v="LAURA             "/>
    <s v="GLVLRA75R47E565M"/>
    <x v="0"/>
    <s v="34"/>
    <x v="0"/>
    <s v="01/04/2021"/>
    <s v="MILANO                 "/>
    <x v="4"/>
    <x v="4"/>
    <s v="G"/>
    <x v="3"/>
    <s v="CRV"/>
    <x v="23"/>
    <s v="22/10/2007"/>
    <s v="22/10/2007"/>
    <s v="07/10/1975"/>
    <s v="A"/>
    <s v="A.IN FORZA"/>
    <s v="1  -ASSUNZIONE                1"/>
    <s v=""/>
    <s v=" "/>
    <s v=""/>
    <s v=""/>
    <n v="535"/>
    <s v="00"/>
    <n v="100"/>
    <s v="FULL TIME      100000000FF100-FULL TIME"/>
    <s v="22/10/2007"/>
    <s v=""/>
    <s v="  "/>
    <s v=""/>
    <s v="GSS "/>
    <s v="L08 "/>
    <x v="11"/>
    <s v=""/>
    <s v="laura.galvagni@ilsole24ore.com                    "/>
    <s v="E"/>
    <s v="E-ESENTE"/>
    <s v="3 "/>
    <s v="3=5 X 7"/>
    <s v="01/07/2025"/>
    <s v="TEMPO DETERMINATO"/>
    <s v="31/05/2027"/>
    <s v="0015001979                    "/>
    <s v="DI PILLO LAURA"/>
    <n v="50"/>
    <s v="I  "/>
  </r>
  <r>
    <x v="0"/>
    <n v="1906"/>
    <x v="0"/>
    <s v="K           "/>
    <s v="REDAZIONI GIORNALISTICHE"/>
    <x v="37"/>
    <x v="36"/>
    <s v="514300      "/>
    <s v="514300   REDAZIONE MILANO"/>
    <s v="GAMBA                           "/>
    <s v="CRISTIANA         "/>
    <s v="GMBCST68C47G388T"/>
    <x v="0"/>
    <s v="34"/>
    <x v="0"/>
    <s v="01/04/2021"/>
    <s v="MILANO                 "/>
    <x v="4"/>
    <x v="4"/>
    <s v="G"/>
    <x v="3"/>
    <s v="CS "/>
    <x v="18"/>
    <s v="19/09/2002"/>
    <s v="19/09/2002"/>
    <s v="07/03/1968"/>
    <s v="A"/>
    <s v="A.IN FORZA"/>
    <s v="1  -ASSUNZIONE                1"/>
    <s v=""/>
    <s v=" "/>
    <s v=""/>
    <s v=""/>
    <n v="369"/>
    <s v="00"/>
    <n v="100"/>
    <s v="FULL TIME      100000000FF100-FULL TIME"/>
    <s v="19/09/2002"/>
    <s v=""/>
    <s v="  "/>
    <s v=""/>
    <s v="GSS "/>
    <s v="L08 "/>
    <x v="11"/>
    <s v="SIND.GIORN.        SINDACATO GIORNALISTI"/>
    <s v="cristiana.gamba@ilsole24ore.com                   "/>
    <s v="E"/>
    <s v="E-ESENTE"/>
    <s v="2 "/>
    <s v="2=6 X 6"/>
    <s v="01/07/2025"/>
    <s v="TEMPO DETERMINATO"/>
    <s v="31/05/2027"/>
    <s v="0015001979                    "/>
    <s v="DI PILLO LAURA"/>
    <n v="57"/>
    <s v="I  "/>
  </r>
  <r>
    <x v="0"/>
    <n v="1446"/>
    <x v="0"/>
    <s v="K           "/>
    <s v="REDAZIONI GIORNALISTICHE"/>
    <x v="37"/>
    <x v="36"/>
    <s v="514300      "/>
    <s v="514300   REDAZIONE MILANO"/>
    <s v="GENNAI                          "/>
    <s v="ANDREA            "/>
    <s v="GNNNDR69P07G702B"/>
    <x v="1"/>
    <s v="34"/>
    <x v="0"/>
    <s v="01/04/2021"/>
    <s v="MILANO                 "/>
    <x v="4"/>
    <x v="4"/>
    <s v="G"/>
    <x v="3"/>
    <s v="T1 "/>
    <x v="26"/>
    <s v="27/12/1999"/>
    <s v="01/01/2000"/>
    <s v="07/09/1969"/>
    <s v="A"/>
    <s v="A.IN FORZA"/>
    <s v="1  -ASSUNZIONE                1"/>
    <s v=""/>
    <s v=" "/>
    <s v=""/>
    <s v=""/>
    <n v="297"/>
    <s v="00"/>
    <n v="100"/>
    <s v="FULL TIME      100000000FF100-FULL TIME"/>
    <s v="27/12/1999"/>
    <s v=""/>
    <s v="  "/>
    <s v=""/>
    <s v="GSS "/>
    <s v="L09 "/>
    <x v="16"/>
    <s v="SIND.GIORN.        SINDACATO GIORNALISTI"/>
    <s v="andrea.gennai@ilsole24ore.com                     "/>
    <s v="E"/>
    <s v="E-ESENTE"/>
    <s v="3 "/>
    <s v="3=5 X 7"/>
    <s v=""/>
    <s v=""/>
    <s v=""/>
    <s v="0015000700                    "/>
    <s v=""/>
    <n v="56"/>
    <s v="I  "/>
  </r>
  <r>
    <x v="0"/>
    <n v="1731"/>
    <x v="0"/>
    <s v="K           "/>
    <s v="REDAZIONI GIORNALISTICHE"/>
    <x v="37"/>
    <x v="36"/>
    <s v="514300      "/>
    <s v="514300   REDAZIONE MILANO"/>
    <s v="GERVASIO                        "/>
    <s v="MARIA             "/>
    <s v="GRVMRA73H61C495I"/>
    <x v="0"/>
    <s v="34"/>
    <x v="0"/>
    <s v="01/04/2021"/>
    <s v="MILANO                 "/>
    <x v="4"/>
    <x v="4"/>
    <s v="G"/>
    <x v="3"/>
    <s v="RM2"/>
    <x v="21"/>
    <s v="01/02/2001"/>
    <s v="01/02/2001"/>
    <s v="21/06/1973"/>
    <s v="A"/>
    <s v="A.IN FORZA"/>
    <s v="1  -ASSUNZIONE                1"/>
    <s v=""/>
    <s v=" "/>
    <s v=""/>
    <s v=""/>
    <n v="336"/>
    <s v="00"/>
    <n v="100"/>
    <s v="FULL TIME      100000000FF100-FULL TIME"/>
    <s v="01/10/2020"/>
    <s v=""/>
    <s v="  "/>
    <s v=""/>
    <s v="GSS "/>
    <s v="L18 "/>
    <x v="18"/>
    <s v="SIND.GIORN.        SINDACATO GIORNALISTI"/>
    <s v="marika.gervasio@ilsole24ore.com                   "/>
    <s v="E"/>
    <s v="E-ESENTE"/>
    <s v="2 "/>
    <s v="2=6 X 6"/>
    <s v="01/07/2025"/>
    <s v="TEMPO DETERMINATO"/>
    <s v="31/05/2027"/>
    <s v="0015000700                    "/>
    <s v=""/>
    <n v="52"/>
    <s v="I  "/>
  </r>
  <r>
    <x v="0"/>
    <n v="2179"/>
    <x v="0"/>
    <s v="K           "/>
    <s v="REDAZIONI GIORNALISTICHE"/>
    <x v="37"/>
    <x v="36"/>
    <s v="514300      "/>
    <s v="514300   REDAZIONE MILANO"/>
    <s v="GIAMMARIOLI                     "/>
    <s v="CLAUDIO           "/>
    <s v="GMMCLD74D24G478E"/>
    <x v="1"/>
    <s v="34"/>
    <x v="0"/>
    <s v="01/04/2021"/>
    <s v="MILANO                 "/>
    <x v="4"/>
    <x v="4"/>
    <s v="G"/>
    <x v="3"/>
    <s v="CS "/>
    <x v="18"/>
    <s v="01/04/2007"/>
    <s v="01/04/2007"/>
    <s v="24/04/1974"/>
    <s v="A"/>
    <s v="A.IN FORZA"/>
    <s v="1  -ASSUNZIONE                1"/>
    <s v=""/>
    <s v=" "/>
    <s v=""/>
    <s v=""/>
    <n v="513"/>
    <s v="00"/>
    <n v="100"/>
    <s v="FULL TIME      100000000FF100-FULL TIME"/>
    <s v="01/04/2007"/>
    <s v=""/>
    <s v="  "/>
    <s v=""/>
    <s v="GSS "/>
    <s v="L02 "/>
    <x v="17"/>
    <s v=""/>
    <s v="claudio.giammarioli@ilsole24ore.com               "/>
    <s v="E"/>
    <s v="E-ESENTE"/>
    <s v="2 "/>
    <s v="2=6 X 6"/>
    <s v="01/07/2025"/>
    <s v="TEMPO DETERMINATO"/>
    <s v="31/05/2027"/>
    <s v="                              "/>
    <s v=""/>
    <n v="51"/>
    <s v="I  "/>
  </r>
  <r>
    <x v="0"/>
    <n v="2010"/>
    <x v="0"/>
    <s v="K           "/>
    <s v="REDAZIONI GIORNALISTICHE"/>
    <x v="37"/>
    <x v="36"/>
    <s v="514300      "/>
    <s v="514300   REDAZIONE MILANO"/>
    <s v="GRASSANI                        "/>
    <s v="ALBERTO           "/>
    <s v="GRSLRT70H22F205Q"/>
    <x v="1"/>
    <s v="34"/>
    <x v="0"/>
    <s v="01/04/2021"/>
    <s v="MILANO                 "/>
    <x v="4"/>
    <x v="4"/>
    <s v="G"/>
    <x v="3"/>
    <s v="CR "/>
    <x v="24"/>
    <s v="17/05/2004"/>
    <s v="17/05/2004"/>
    <s v="22/06/1970"/>
    <s v="A"/>
    <s v="A.IN FORZA"/>
    <s v="1  -ASSUNZIONE                1"/>
    <s v=""/>
    <s v=" "/>
    <s v=""/>
    <s v=""/>
    <n v="433"/>
    <s v="00"/>
    <n v="100"/>
    <s v="FULL TIME      100000000FF100-FULL TIME"/>
    <s v="17/05/2004"/>
    <s v=""/>
    <s v="  "/>
    <s v=""/>
    <s v="GSS "/>
    <s v="L03 "/>
    <x v="10"/>
    <s v=""/>
    <s v="alberto.grassani@ilsole24ore.com                  "/>
    <s v="E"/>
    <s v="E-ESENTE"/>
    <s v="2 "/>
    <s v="2=6 X 6"/>
    <s v="01/07/2025"/>
    <s v="TEMPO DETERMINATO"/>
    <s v="31/05/2027"/>
    <s v="0015003154                    "/>
    <s v="TAMBURINI FABIO ANTONIO"/>
    <n v="55"/>
    <s v="I  "/>
  </r>
  <r>
    <x v="0"/>
    <n v="683"/>
    <x v="0"/>
    <s v="K           "/>
    <s v="REDAZIONI GIORNALISTICHE"/>
    <x v="37"/>
    <x v="36"/>
    <s v="514300      "/>
    <s v="514300   REDAZIONE MILANO"/>
    <s v="GRATTAGLIANO                    "/>
    <s v="FABIO             "/>
    <s v="GRTFBA69E22C975E"/>
    <x v="1"/>
    <s v="34"/>
    <x v="0"/>
    <s v="01/04/2021"/>
    <s v="MILANO                 "/>
    <x v="4"/>
    <x v="4"/>
    <s v="G"/>
    <x v="3"/>
    <s v="CS "/>
    <x v="18"/>
    <s v="01/04/1993"/>
    <s v="01/04/1993"/>
    <s v="22/05/1969"/>
    <s v="A"/>
    <s v="A.IN FORZA"/>
    <s v="1  -ASSUNZIONE                1"/>
    <s v=""/>
    <s v=" "/>
    <s v=""/>
    <s v=""/>
    <n v="182"/>
    <s v="00"/>
    <n v="100"/>
    <s v="FULL TIME      100000000FF100-FULL TIME"/>
    <s v="01/04/1993"/>
    <s v=""/>
    <s v="  "/>
    <s v=""/>
    <s v="GSS "/>
    <s v="L08 "/>
    <x v="11"/>
    <s v=""/>
    <s v="fabio.grattagliano@ilsole24ore.com                "/>
    <s v="E"/>
    <s v="E-ESENTE"/>
    <s v="2 "/>
    <s v="2=6 X 6"/>
    <s v="01/07/2025"/>
    <s v="TEMPO DETERMINATO"/>
    <s v="31/05/2027"/>
    <s v="0015000700                    "/>
    <s v=""/>
    <n v="56"/>
    <s v="I  "/>
  </r>
  <r>
    <x v="0"/>
    <n v="1269"/>
    <x v="0"/>
    <s v="K           "/>
    <s v="REDAZIONI GIORNALISTICHE"/>
    <x v="37"/>
    <x v="36"/>
    <s v="514300      "/>
    <s v="514300   REDAZIONE MILANO"/>
    <s v="GRAZIANI                        "/>
    <s v="ALESSANDRO        "/>
    <s v="GRZLSN64P10D612J"/>
    <x v="1"/>
    <s v="34"/>
    <x v="0"/>
    <s v="01/04/2021"/>
    <s v="MILANO                 "/>
    <x v="4"/>
    <x v="4"/>
    <s v="G"/>
    <x v="3"/>
    <s v="CRV"/>
    <x v="23"/>
    <s v="05/07/1999"/>
    <s v="05/07/1999"/>
    <s v="10/09/1964"/>
    <s v="A"/>
    <s v="A.IN FORZA"/>
    <s v="1  -ASSUNZIONE                1"/>
    <s v=""/>
    <s v=" "/>
    <s v=""/>
    <s v=""/>
    <n v="270"/>
    <s v="00"/>
    <n v="100"/>
    <s v="FULL TIME      100000000FF100-FULL TIME"/>
    <s v="05/07/1999"/>
    <s v=""/>
    <s v="  "/>
    <s v=""/>
    <s v="GSS "/>
    <s v="L07 "/>
    <x v="5"/>
    <s v=""/>
    <s v="alessandro.graziani@ilsole24ore.com               "/>
    <s v="E"/>
    <s v="E-ESENTE"/>
    <s v="2 "/>
    <s v="2=6 X 6"/>
    <s v="01/07/2025"/>
    <s v="TEMPO DETERMINATO"/>
    <s v="31/05/2027"/>
    <s v="0015002010                    "/>
    <s v="GRASSANI ALBERTO"/>
    <n v="61"/>
    <s v="I  "/>
  </r>
  <r>
    <x v="0"/>
    <n v="1493"/>
    <x v="0"/>
    <s v="K           "/>
    <s v="REDAZIONI GIORNALISTICHE"/>
    <x v="37"/>
    <x v="36"/>
    <s v="514300      "/>
    <s v="514300   REDAZIONE MILANO"/>
    <s v="INCORVATI                       "/>
    <s v="LUCILLA           "/>
    <s v="NCRLLL64T47C632F"/>
    <x v="0"/>
    <s v="34"/>
    <x v="0"/>
    <s v="01/04/2021"/>
    <s v="MILANO                 "/>
    <x v="4"/>
    <x v="4"/>
    <s v="G"/>
    <x v="3"/>
    <s v="RM2"/>
    <x v="21"/>
    <s v="01/03/2000"/>
    <s v="01/03/2000"/>
    <s v="07/12/1964"/>
    <s v="A"/>
    <s v="A.IN FORZA"/>
    <s v="1  -ASSUNZIONE                1"/>
    <s v=""/>
    <s v=" "/>
    <s v=""/>
    <s v=""/>
    <n v="306"/>
    <s v="00"/>
    <n v="100"/>
    <s v="FULL TIME      100000000FF100-FULL TIME"/>
    <s v="01/12/2019"/>
    <s v=""/>
    <s v="  "/>
    <s v=""/>
    <s v="GSS "/>
    <s v="L09 "/>
    <x v="16"/>
    <s v="SIND.GIORN.        SINDACATO GIORNALISTI"/>
    <s v="lucilla.incorvati@ilsole24ore.com                 "/>
    <s v="E"/>
    <s v="E-ESENTE"/>
    <s v="3 "/>
    <s v="3=5 X 7"/>
    <s v="01/07/2025"/>
    <s v="TEMPO DETERMINATO"/>
    <s v="31/05/2027"/>
    <s v="0015000700                    "/>
    <s v=""/>
    <n v="61"/>
    <s v="I  "/>
  </r>
  <r>
    <x v="0"/>
    <n v="924"/>
    <x v="0"/>
    <s v="K           "/>
    <s v="REDAZIONI GIORNALISTICHE"/>
    <x v="37"/>
    <x v="36"/>
    <s v="514300      "/>
    <s v="514300   REDAZIONE MILANO"/>
    <s v="IOTTI                           "/>
    <s v="ROBERTO           "/>
    <s v="TTIRRT62C27C933O"/>
    <x v="1"/>
    <s v="34"/>
    <x v="0"/>
    <s v="01/04/2021"/>
    <s v="MILANO                 "/>
    <x v="4"/>
    <x v="4"/>
    <s v="G"/>
    <x v="3"/>
    <s v="AV "/>
    <x v="19"/>
    <s v="02/09/1996"/>
    <s v="02/09/1996"/>
    <s v="27/03/1962"/>
    <s v="A"/>
    <s v="A.IN FORZA"/>
    <s v="1  -ASSUNZIONE                1"/>
    <s v=""/>
    <s v=" "/>
    <s v=""/>
    <s v=""/>
    <n v="215"/>
    <s v="00"/>
    <n v="100"/>
    <s v="FULL TIME      100000000FF100-FULL TIME"/>
    <s v="02/09/1996"/>
    <s v=""/>
    <s v="  "/>
    <s v=""/>
    <s v="GSS "/>
    <s v="L02 "/>
    <x v="17"/>
    <s v=""/>
    <s v="roberto.iotti@ilsole24ore.com                     "/>
    <s v="E"/>
    <s v="E-ESENTE"/>
    <s v="3 "/>
    <s v="3=5 X 7"/>
    <s v=""/>
    <s v=""/>
    <s v=""/>
    <s v="0015003154                    "/>
    <s v="TAMBURINI FABIO ANTONIO"/>
    <n v="63"/>
    <s v="I  "/>
  </r>
  <r>
    <x v="0"/>
    <n v="1090"/>
    <x v="0"/>
    <s v="K           "/>
    <s v="REDAZIONI GIORNALISTICHE"/>
    <x v="37"/>
    <x v="36"/>
    <s v="514300      "/>
    <s v="514300   REDAZIONE MILANO"/>
    <s v="LA POSTA                        "/>
    <s v="LAURA             "/>
    <s v="LPSLRA69L59F839W"/>
    <x v="0"/>
    <s v="34"/>
    <x v="0"/>
    <s v="01/04/2021"/>
    <s v="MILANO                 "/>
    <x v="4"/>
    <x v="4"/>
    <s v="G"/>
    <x v="3"/>
    <s v="CR "/>
    <x v="24"/>
    <s v="04/12/1997"/>
    <s v="04/12/1997"/>
    <s v="19/07/1969"/>
    <s v="A"/>
    <s v="A.IN FORZA"/>
    <s v="1  -ASSUNZIONE                1"/>
    <s v=""/>
    <s v=" "/>
    <s v=""/>
    <s v=""/>
    <n v="236"/>
    <s v="00"/>
    <n v="100"/>
    <s v="FULL TIME      100000000FF100-FULL TIME"/>
    <s v="04/12/1997"/>
    <s v=""/>
    <s v="  "/>
    <s v=""/>
    <s v="GSS "/>
    <s v="L15 "/>
    <x v="13"/>
    <s v="FIGEC CISAL        FIGEC CISAL"/>
    <s v="laura.laposta@ilsole24ore.com                     "/>
    <s v="E"/>
    <s v="E-ESENTE"/>
    <s v="2 "/>
    <s v="2=6 X 6"/>
    <s v="01/07/2025"/>
    <s v="TEMPO DETERMINATO"/>
    <s v="31/05/2027"/>
    <s v="0015000700                    "/>
    <s v=""/>
    <n v="56"/>
    <s v="I  "/>
  </r>
  <r>
    <x v="0"/>
    <n v="2941"/>
    <x v="0"/>
    <s v="K           "/>
    <s v="REDAZIONI GIORNALISTICHE"/>
    <x v="37"/>
    <x v="36"/>
    <s v="514300      "/>
    <s v="514300   REDAZIONE MILANO"/>
    <s v="LATOUR                          "/>
    <s v="GIUSEPPE          "/>
    <s v="LTRGPP81L27H703Z"/>
    <x v="1"/>
    <s v="34"/>
    <x v="0"/>
    <s v="01/04/2021"/>
    <s v="MILANO                 "/>
    <x v="4"/>
    <x v="4"/>
    <s v="G"/>
    <x v="3"/>
    <s v="RM2"/>
    <x v="21"/>
    <s v="24/01/2018"/>
    <s v="24/01/2018"/>
    <s v="27/07/1981"/>
    <s v="A"/>
    <s v="A.IN FORZA"/>
    <s v="1  -ASSUNZIONE                1"/>
    <s v=""/>
    <s v=" "/>
    <s v=""/>
    <s v=""/>
    <n v="2941"/>
    <s v="00"/>
    <n v="100"/>
    <s v="FULL TIME      100000000FF100-FULL TIME"/>
    <s v="24/01/2018"/>
    <s v=""/>
    <s v="  "/>
    <s v=""/>
    <s v="GBM "/>
    <s v="L05 "/>
    <x v="14"/>
    <s v=""/>
    <s v="giuseppe.latour@ilsole24ore.com                   "/>
    <s v="E"/>
    <s v="E-ESENTE"/>
    <s v="3 "/>
    <s v="3=5 X 7"/>
    <s v="01/07/2025"/>
    <s v="TEMPO DETERMINATO"/>
    <s v="31/05/2027"/>
    <s v="0015000739                    "/>
    <s v="DECESARI SEVERINA"/>
    <n v="44"/>
    <s v="I  "/>
  </r>
  <r>
    <x v="0"/>
    <n v="1729"/>
    <x v="0"/>
    <s v="K           "/>
    <s v="REDAZIONI GIORNALISTICHE"/>
    <x v="37"/>
    <x v="36"/>
    <s v="514300      "/>
    <s v="514300   REDAZIONE MILANO"/>
    <s v="LONGO                           "/>
    <s v="MORYA             "/>
    <s v="LNGMRY75T04F205O"/>
    <x v="1"/>
    <s v="34"/>
    <x v="0"/>
    <s v="01/04/2021"/>
    <s v="MILANO                 "/>
    <x v="4"/>
    <x v="4"/>
    <s v="G"/>
    <x v="3"/>
    <s v="CS "/>
    <x v="18"/>
    <s v="01/02/2001"/>
    <s v="01/02/2001"/>
    <s v="04/12/1975"/>
    <s v="A"/>
    <s v="A.IN FORZA"/>
    <s v="1  -ASSUNZIONE                1"/>
    <s v=""/>
    <s v=" "/>
    <s v=""/>
    <s v=""/>
    <n v="334"/>
    <s v="00"/>
    <n v="100"/>
    <s v="FULL TIME      100000000FF100-FULL TIME"/>
    <s v="01/02/2001"/>
    <s v=""/>
    <s v="  "/>
    <s v=""/>
    <s v="GSS "/>
    <s v="L07 "/>
    <x v="5"/>
    <s v=""/>
    <s v="morya.longo@ilsole24ore.com                       "/>
    <s v="E"/>
    <s v="E-ESENTE"/>
    <s v="2 "/>
    <s v="2=6 X 6"/>
    <s v="01/07/2025"/>
    <s v="TEMPO DETERMINATO"/>
    <s v="31/05/2027"/>
    <s v="0015002010                    "/>
    <s v="GRASSANI ALBERTO"/>
    <n v="50"/>
    <s v="I  "/>
  </r>
  <r>
    <x v="0"/>
    <n v="2140"/>
    <x v="0"/>
    <s v="K           "/>
    <s v="REDAZIONI GIORNALISTICHE"/>
    <x v="37"/>
    <x v="36"/>
    <s v="514300      "/>
    <s v="514300   REDAZIONE MILANO"/>
    <s v="LOPS                            "/>
    <s v="VITO              "/>
    <s v="LPSVTI78H30A285Q"/>
    <x v="1"/>
    <s v="34"/>
    <x v="0"/>
    <s v="01/04/2021"/>
    <s v="MILANO                 "/>
    <x v="4"/>
    <x v="4"/>
    <s v="G"/>
    <x v="3"/>
    <s v="RM2"/>
    <x v="21"/>
    <s v="23/10/2006"/>
    <s v="23/10/2006"/>
    <s v="30/06/1978"/>
    <s v="A"/>
    <s v="A.IN FORZA"/>
    <s v="1  -ASSUNZIONE                1"/>
    <s v=""/>
    <s v=" "/>
    <s v=""/>
    <s v=""/>
    <n v="496"/>
    <s v="00"/>
    <n v="100"/>
    <s v="FULL TIME      100000000FF100-FULL TIME"/>
    <s v="23/10/2006"/>
    <s v=""/>
    <s v="  "/>
    <s v=""/>
    <s v="GSS "/>
    <s v="L07 "/>
    <x v="5"/>
    <s v=""/>
    <s v="vito.lops@ilsole24ore.com                         "/>
    <s v="E"/>
    <s v="E-ESENTE"/>
    <s v="3 "/>
    <s v="3=5 X 7"/>
    <s v="01/07/2025"/>
    <s v="TEMPO DETERMINATO"/>
    <s v="31/05/2027"/>
    <s v="0015002010                    "/>
    <s v="GRASSANI ALBERTO"/>
    <n v="47"/>
    <s v="I  "/>
  </r>
  <r>
    <x v="0"/>
    <n v="1413"/>
    <x v="0"/>
    <s v="K           "/>
    <s v="REDAZIONI GIORNALISTICHE"/>
    <x v="37"/>
    <x v="36"/>
    <s v="514300      "/>
    <s v="514300   REDAZIONE MILANO"/>
    <s v="MACIOCCHI                       "/>
    <s v="PATRIZIA          "/>
    <s v="MCCPRZ60C69H501K"/>
    <x v="0"/>
    <s v="31"/>
    <x v="1"/>
    <s v="25/05/2009"/>
    <s v="ROMA                   "/>
    <x v="4"/>
    <x v="4"/>
    <s v="G"/>
    <x v="3"/>
    <s v="RM2"/>
    <x v="21"/>
    <s v="01/03/1999"/>
    <s v="01/03/1999"/>
    <s v="29/03/1960"/>
    <s v="A"/>
    <s v="A.IN FORZA"/>
    <s v="1  -ASSUNZIONE                1"/>
    <s v=""/>
    <s v=" "/>
    <s v=""/>
    <s v=""/>
    <n v="289"/>
    <s v="00"/>
    <n v="100"/>
    <s v="FULL TIME      100000000FF100-FULL TIME"/>
    <s v="01/03/1999"/>
    <s v=""/>
    <s v="  "/>
    <s v=""/>
    <s v="GSS "/>
    <s v="L05 "/>
    <x v="14"/>
    <s v="SIND.GIORN.        SINDACATO GIORNALISTI"/>
    <s v="patrizia.maciocchi@ilsole24ore.com                "/>
    <s v="E"/>
    <s v="E-ESENTE"/>
    <s v="2 "/>
    <s v="2=6 X 6"/>
    <s v="01/07/2025"/>
    <s v="TEMPO DETERMINATO"/>
    <s v="31/05/2027"/>
    <s v="0015000739                    "/>
    <s v="DECESARI SEVERINA"/>
    <n v="65"/>
    <s v="I  "/>
  </r>
  <r>
    <x v="0"/>
    <n v="2293"/>
    <x v="0"/>
    <s v="K           "/>
    <s v="REDAZIONI GIORNALISTICHE"/>
    <x v="37"/>
    <x v="36"/>
    <s v="514300      "/>
    <s v="514300   REDAZIONE MILANO"/>
    <s v="MANCINI                         "/>
    <s v="GIOVANNA          "/>
    <s v="MNCGNN78E48L736W"/>
    <x v="0"/>
    <s v="34"/>
    <x v="0"/>
    <s v="01/04/2021"/>
    <s v="MILANO                 "/>
    <x v="4"/>
    <x v="4"/>
    <s v="G"/>
    <x v="3"/>
    <s v="RM2"/>
    <x v="21"/>
    <s v="02/05/2008"/>
    <s v="02/05/2008"/>
    <s v="08/05/1978"/>
    <s v="A"/>
    <s v="A.IN FORZA"/>
    <s v="1  -ASSUNZIONE                1"/>
    <s v=""/>
    <s v=" "/>
    <s v=""/>
    <s v=""/>
    <n v="551"/>
    <s v="00"/>
    <n v="100"/>
    <s v="FULL TIME      100000000FF100-FULL TIME"/>
    <s v="01/06/2020"/>
    <s v=""/>
    <s v="  "/>
    <s v=""/>
    <s v="GSS "/>
    <s v="L15 "/>
    <x v="13"/>
    <s v="SIND.GIORN.        SINDACATO GIORNALISTI"/>
    <s v="giovanna.mancini@ilsole24ore.com                  "/>
    <s v="E"/>
    <s v="E-ESENTE"/>
    <s v="2 "/>
    <s v="2=6 X 6"/>
    <s v="01/07/2025"/>
    <s v="TEMPO DETERMINATO"/>
    <s v="31/05/2027"/>
    <s v="0015001979                    "/>
    <s v="DI PILLO LAURA"/>
    <n v="47"/>
    <s v="I  "/>
  </r>
  <r>
    <x v="0"/>
    <n v="2081"/>
    <x v="0"/>
    <s v="K           "/>
    <s v="REDAZIONI GIORNALISTICHE"/>
    <x v="37"/>
    <x v="36"/>
    <s v="514300      "/>
    <s v="514300   REDAZIONE MILANO"/>
    <s v="MANGANO                         "/>
    <s v="MARIGIA           "/>
    <s v="MNGMRG75R42A662H"/>
    <x v="0"/>
    <s v="34"/>
    <x v="0"/>
    <s v="01/04/2021"/>
    <s v="MILANO                 "/>
    <x v="4"/>
    <x v="4"/>
    <s v="G"/>
    <x v="3"/>
    <s v="RM2"/>
    <x v="21"/>
    <s v="01/09/2005"/>
    <s v="01/09/2005"/>
    <s v="02/10/1975"/>
    <s v="A"/>
    <s v="A.IN FORZA"/>
    <s v="1  -ASSUNZIONE                1"/>
    <s v=""/>
    <s v=" "/>
    <s v=""/>
    <s v=""/>
    <n v="479"/>
    <s v="00"/>
    <n v="100"/>
    <s v="FULL TIME      100000000FF100-FULL TIME"/>
    <s v="01/03/2020"/>
    <s v=""/>
    <s v="  "/>
    <s v=""/>
    <s v="GSS "/>
    <s v="L16 "/>
    <x v="12"/>
    <s v=""/>
    <s v="marigia.mangano@ilsole24ore.com                   "/>
    <s v="E"/>
    <s v="E-ESENTE"/>
    <s v="2 "/>
    <s v="2=6 X 6"/>
    <s v="01/03/2019"/>
    <s v=""/>
    <s v=""/>
    <s v="0015000700                    "/>
    <s v=""/>
    <n v="50"/>
    <s v="I  "/>
  </r>
  <r>
    <x v="0"/>
    <n v="2634"/>
    <x v="0"/>
    <s v="K           "/>
    <s v="REDAZIONI GIORNALISTICHE"/>
    <x v="37"/>
    <x v="36"/>
    <s v="514300      "/>
    <s v="514300   REDAZIONE MILANO"/>
    <s v="MASCIAGA                        "/>
    <s v="MARCO             "/>
    <s v="MSCMRC73P30E379Z"/>
    <x v="1"/>
    <s v="34"/>
    <x v="0"/>
    <s v="01/04/2021"/>
    <s v="MILANO                 "/>
    <x v="4"/>
    <x v="4"/>
    <s v="G"/>
    <x v="3"/>
    <s v="RM2"/>
    <x v="21"/>
    <s v="03/12/2012"/>
    <s v="03/12/2012"/>
    <s v="30/09/1973"/>
    <s v="A"/>
    <s v="A.IN FORZA"/>
    <s v="1  -ASSUNZIONE                1"/>
    <s v=""/>
    <s v=" "/>
    <s v=""/>
    <s v=""/>
    <n v="2634"/>
    <s v="00"/>
    <n v="100"/>
    <s v="FULL TIME      100000000FF100-FULL TIME"/>
    <s v="03/12/2012"/>
    <s v=""/>
    <s v="  "/>
    <s v=""/>
    <s v="GSS "/>
    <s v="L11 "/>
    <x v="19"/>
    <s v="SIND.GIORN.        SINDACATO GIORNALISTI"/>
    <s v="marco.masciaga@ilsole24ore.com                    "/>
    <s v="E"/>
    <s v="E-ESENTE"/>
    <s v="7 "/>
    <s v="7=5 X 7.20"/>
    <s v="01/06/2023"/>
    <s v="TEMPO DETERMINATO"/>
    <s v="30/06/2024"/>
    <s v="0015000700                    "/>
    <s v=""/>
    <n v="52"/>
    <s v="I  "/>
  </r>
  <r>
    <x v="0"/>
    <n v="2236"/>
    <x v="0"/>
    <s v="K           "/>
    <s v="REDAZIONI GIORNALISTICHE"/>
    <x v="37"/>
    <x v="36"/>
    <s v="514300      "/>
    <s v="514300   REDAZIONE MILANO"/>
    <s v="MENEGHELLO                      "/>
    <s v="MATTEO            "/>
    <s v="MNGMTT76M13B157H"/>
    <x v="1"/>
    <s v="34"/>
    <x v="0"/>
    <s v="01/04/2021"/>
    <s v="MILANO                 "/>
    <x v="4"/>
    <x v="4"/>
    <s v="G"/>
    <x v="3"/>
    <s v="RM2"/>
    <x v="21"/>
    <s v="15/10/2007"/>
    <s v="15/10/2007"/>
    <s v="13/08/1976"/>
    <s v="A"/>
    <s v="A.IN FORZA"/>
    <s v="1  -ASSUNZIONE                1"/>
    <s v=""/>
    <s v=" "/>
    <s v=""/>
    <s v=""/>
    <n v="532"/>
    <s v="00"/>
    <n v="100"/>
    <s v="FULL TIME      100000000FF100-FULL TIME"/>
    <s v="15/10/2007"/>
    <s v=""/>
    <s v="  "/>
    <s v=""/>
    <s v="GSS "/>
    <s v="L07 "/>
    <x v="5"/>
    <s v=""/>
    <s v="matteo.meneghello@ilsole24ore.com                 "/>
    <s v="E"/>
    <s v="E-ESENTE"/>
    <s v="3 "/>
    <s v="3=5 X 7"/>
    <s v="01/07/2025"/>
    <s v="TEMPO DETERMINATO"/>
    <s v="31/05/2027"/>
    <s v="0015002010                    "/>
    <s v="GRASSANI ALBERTO"/>
    <n v="49"/>
    <s v="I  "/>
  </r>
  <r>
    <x v="0"/>
    <n v="2071"/>
    <x v="0"/>
    <s v="K           "/>
    <s v="REDAZIONI GIORNALISTICHE"/>
    <x v="37"/>
    <x v="36"/>
    <s v="514300      "/>
    <s v="514300   REDAZIONE MILANO"/>
    <s v="MICARDI                         "/>
    <s v="FEDERICA          "/>
    <s v="MCRFRC68L70F205X"/>
    <x v="0"/>
    <s v="34"/>
    <x v="0"/>
    <s v="01/04/2021"/>
    <s v="MILANO                 "/>
    <x v="4"/>
    <x v="4"/>
    <s v="G"/>
    <x v="3"/>
    <s v="RM2"/>
    <x v="21"/>
    <s v="01/06/2005"/>
    <s v="01/06/2005"/>
    <s v="30/07/1968"/>
    <s v="A"/>
    <s v="A.IN FORZA"/>
    <s v="1  -ASSUNZIONE                1"/>
    <s v=""/>
    <s v=" "/>
    <s v=""/>
    <s v=""/>
    <n v="468"/>
    <s v="00"/>
    <n v="100"/>
    <s v="FULL TIME      100000000FF100-FULL TIME"/>
    <s v="01/06/2005"/>
    <s v=""/>
    <s v="  "/>
    <s v=""/>
    <s v="GSS "/>
    <s v="L05 "/>
    <x v="14"/>
    <s v="SIND.GIORN.        SINDACATO GIORNALISTI"/>
    <s v="federica.micardi@ilsole24ore.com                  "/>
    <s v="E"/>
    <s v="E-ESENTE"/>
    <s v="2 "/>
    <s v="2=6 X 6"/>
    <s v="01/07/2025"/>
    <s v="TEMPO DETERMINATO"/>
    <s v="31/05/2027"/>
    <s v="0015000739                    "/>
    <s v="DECESARI SEVERINA"/>
    <n v="57"/>
    <s v="I  "/>
  </r>
  <r>
    <x v="0"/>
    <n v="673"/>
    <x v="0"/>
    <s v="K           "/>
    <s v="REDAZIONI GIORNALISTICHE"/>
    <x v="37"/>
    <x v="36"/>
    <s v="514300      "/>
    <s v="514300   REDAZIONE MILANO"/>
    <s v="MINCIOTTI                       "/>
    <s v="GUIDO             "/>
    <s v="MNCGDU67D26D969K"/>
    <x v="1"/>
    <s v="34"/>
    <x v="0"/>
    <s v="01/04/2021"/>
    <s v="MILANO                 "/>
    <x v="4"/>
    <x v="4"/>
    <s v="G"/>
    <x v="3"/>
    <s v="CS "/>
    <x v="18"/>
    <s v="01/03/1993"/>
    <s v="01/03/1993"/>
    <s v="26/04/1967"/>
    <s v="A"/>
    <s v="A.IN FORZA"/>
    <s v="1  -ASSUNZIONE                1"/>
    <s v=""/>
    <s v=" "/>
    <s v=""/>
    <s v=""/>
    <n v="181"/>
    <s v="00"/>
    <n v="100"/>
    <s v="FULL TIME      100000000FF100-FULL TIME"/>
    <s v="01/03/1993"/>
    <s v=""/>
    <s v="  "/>
    <s v=""/>
    <s v="GSS "/>
    <s v="L06 "/>
    <x v="7"/>
    <s v="NON ISCRITTO       NON ISCRITTO"/>
    <s v="guido.minciotti@ilsole24ore.com                   "/>
    <s v="E"/>
    <s v="E-ESENTE"/>
    <s v="2 "/>
    <s v="2=6 X 6"/>
    <s v="01/07/2025"/>
    <s v="TEMPO DETERMINATO"/>
    <s v="31/05/2027"/>
    <s v="0015000700                    "/>
    <s v=""/>
    <n v="58"/>
    <s v="I  "/>
  </r>
  <r>
    <x v="0"/>
    <n v="441"/>
    <x v="0"/>
    <s v="K           "/>
    <s v="REDAZIONI GIORNALISTICHE"/>
    <x v="37"/>
    <x v="36"/>
    <s v="514300      "/>
    <s v="514300   REDAZIONE MILANO"/>
    <s v="MIRAGLIA                        "/>
    <s v="ROBERTA           "/>
    <s v="MRGRRT64T42B157D"/>
    <x v="0"/>
    <s v="34"/>
    <x v="0"/>
    <s v="01/04/2021"/>
    <s v="MILANO                 "/>
    <x v="4"/>
    <x v="4"/>
    <s v="G"/>
    <x v="3"/>
    <s v="CRV"/>
    <x v="23"/>
    <s v="02/10/1989"/>
    <s v="02/10/1989"/>
    <s v="02/12/1964"/>
    <s v="A"/>
    <s v="A.IN FORZA"/>
    <s v="1  -ASSUNZIONE                1"/>
    <s v=""/>
    <s v=" "/>
    <s v=""/>
    <s v=""/>
    <n v="121"/>
    <s v="00"/>
    <n v="100"/>
    <s v="FULL TIME      100000000FF100-FULL TIME"/>
    <s v="02/10/1989"/>
    <s v=""/>
    <s v="  "/>
    <s v=""/>
    <s v="GSS "/>
    <s v="L10 "/>
    <x v="15"/>
    <s v="NON ISCRITTO       NON ISCRITTO"/>
    <s v="roberta.miraglia@ilsole24ore.com                  "/>
    <s v="E"/>
    <s v="E-ESENTE"/>
    <s v="2 "/>
    <s v="2=6 X 6"/>
    <s v="01/07/2025"/>
    <s v="TEMPO DETERMINATO"/>
    <s v="31/05/2027"/>
    <s v="0015000700                    "/>
    <s v=""/>
    <n v="61"/>
    <s v="I  "/>
  </r>
  <r>
    <x v="0"/>
    <n v="649"/>
    <x v="0"/>
    <s v="K           "/>
    <s v="REDAZIONI GIORNALISTICHE"/>
    <x v="37"/>
    <x v="36"/>
    <s v="514300      "/>
    <s v="514300   REDAZIONE MILANO"/>
    <s v="MISSIERI                        "/>
    <s v="ANTONIO           "/>
    <s v="MSSNTN68B13G535Y"/>
    <x v="1"/>
    <s v="34"/>
    <x v="0"/>
    <s v="01/04/2021"/>
    <s v="MILANO                 "/>
    <x v="4"/>
    <x v="4"/>
    <s v="G"/>
    <x v="3"/>
    <s v="CS "/>
    <x v="18"/>
    <s v="04/01/1993"/>
    <s v="04/01/1993"/>
    <s v="13/02/1968"/>
    <s v="A"/>
    <s v="A.IN FORZA"/>
    <s v="1  -ASSUNZIONE                1"/>
    <s v=""/>
    <s v=" "/>
    <s v=""/>
    <s v=""/>
    <n v="177"/>
    <s v="00"/>
    <n v="100"/>
    <s v="FULL TIME      100000000FF100-FULL TIME"/>
    <s v="04/01/1993"/>
    <s v=""/>
    <s v="  "/>
    <s v=""/>
    <s v="GSS "/>
    <s v="L06 "/>
    <x v="7"/>
    <s v="SIND.GIORN.        SINDACATO GIORNALISTI"/>
    <s v="antonio.missieri@ilsole24ore.com                  "/>
    <s v="E"/>
    <s v="E-ESENTE"/>
    <s v="2 "/>
    <s v="2=6 X 6"/>
    <s v="01/07/2025"/>
    <s v="TEMPO DETERMINATO"/>
    <s v="31/05/2027"/>
    <s v="0015000700                    "/>
    <s v=""/>
    <n v="57"/>
    <s v="I  "/>
  </r>
  <r>
    <x v="0"/>
    <n v="2242"/>
    <x v="0"/>
    <s v="K           "/>
    <s v="REDAZIONI GIORNALISTICHE"/>
    <x v="37"/>
    <x v="36"/>
    <s v="514300      "/>
    <s v="514300   REDAZIONE MILANO"/>
    <s v="MONACI                          "/>
    <s v="SARA              "/>
    <s v="MNCSRA77P69E202A"/>
    <x v="0"/>
    <s v="34"/>
    <x v="0"/>
    <s v="01/04/2021"/>
    <s v="MILANO                 "/>
    <x v="4"/>
    <x v="4"/>
    <s v="G"/>
    <x v="3"/>
    <s v="RM2"/>
    <x v="21"/>
    <s v="22/10/2007"/>
    <s v="22/10/2007"/>
    <s v="29/09/1977"/>
    <s v="A"/>
    <s v="A.IN FORZA"/>
    <s v="1  -ASSUNZIONE                1"/>
    <s v=""/>
    <s v=" "/>
    <s v=""/>
    <s v=""/>
    <n v="536"/>
    <s v="00"/>
    <n v="100"/>
    <s v="FULL TIME      100000000FF100-FULL TIME"/>
    <s v="22/10/2007"/>
    <s v=""/>
    <s v="  "/>
    <s v=""/>
    <s v="GSS "/>
    <s v="L08 "/>
    <x v="11"/>
    <s v="SIND.GIORN.        SINDACATO GIORNALISTI"/>
    <s v="sara.monaci@ilsole24ore.com                       "/>
    <s v="E"/>
    <s v="E-ESENTE"/>
    <s v="3 "/>
    <s v="3=5 X 7"/>
    <s v="01/07/2025"/>
    <s v="TEMPO DETERMINATO"/>
    <s v="31/05/2027"/>
    <s v="0015001979                    "/>
    <s v="DI PILLO LAURA"/>
    <n v="48"/>
    <s v="I  "/>
  </r>
  <r>
    <x v="0"/>
    <n v="1883"/>
    <x v="0"/>
    <s v="K           "/>
    <s v="REDAZIONI GIORNALISTICHE"/>
    <x v="37"/>
    <x v="36"/>
    <s v="514300      "/>
    <s v="514300   REDAZIONE MILANO"/>
    <s v="MONTI                           "/>
    <s v="MARA              "/>
    <s v="MNTMRA62B68A944L"/>
    <x v="0"/>
    <s v="34"/>
    <x v="0"/>
    <s v="01/04/2021"/>
    <s v="MILANO                 "/>
    <x v="4"/>
    <x v="4"/>
    <s v="G"/>
    <x v="3"/>
    <s v="RM2"/>
    <x v="21"/>
    <s v="01/05/2002"/>
    <s v="01/05/2002"/>
    <s v="28/02/1962"/>
    <s v="A"/>
    <s v="A.IN FORZA"/>
    <s v="1  -ASSUNZIONE                1"/>
    <s v=""/>
    <s v=" "/>
    <s v=""/>
    <s v=""/>
    <n v="364"/>
    <s v="00"/>
    <n v="100"/>
    <s v="FULL TIME      100000000FF100-FULL TIME"/>
    <s v="01/09/2019"/>
    <s v=""/>
    <s v="  "/>
    <s v=""/>
    <s v="GSS "/>
    <s v="L07 "/>
    <x v="5"/>
    <s v=""/>
    <s v="mara.monti@ilsole24ore.com                        "/>
    <s v="E"/>
    <s v="E-ESENTE"/>
    <s v="2 "/>
    <s v="2=6 X 6"/>
    <s v="01/07/2025"/>
    <s v="TEMPO DETERMINATO"/>
    <s v="31/05/2027"/>
    <s v="0015002010                    "/>
    <s v="GRASSANI ALBERTO"/>
    <n v="63"/>
    <s v="I  "/>
  </r>
  <r>
    <x v="0"/>
    <n v="465"/>
    <x v="0"/>
    <s v="K           "/>
    <s v="REDAZIONI GIORNALISTICHE"/>
    <x v="37"/>
    <x v="36"/>
    <s v="514300      "/>
    <s v="514300   REDAZIONE MILANO"/>
    <s v="MORINO                          "/>
    <s v="MARCO VITTORIO    "/>
    <s v="MRNMCV63S23H570E"/>
    <x v="1"/>
    <s v="34"/>
    <x v="0"/>
    <s v="01/04/2021"/>
    <s v="MILANO                 "/>
    <x v="4"/>
    <x v="4"/>
    <s v="G"/>
    <x v="3"/>
    <s v="CRV"/>
    <x v="23"/>
    <s v="01/02/1990"/>
    <s v="01/02/1990"/>
    <s v="23/11/1963"/>
    <s v="A"/>
    <s v="A.IN FORZA"/>
    <s v="1  -ASSUNZIONE                1"/>
    <s v=""/>
    <s v=" "/>
    <s v=""/>
    <s v=""/>
    <n v="134"/>
    <s v="00"/>
    <n v="100"/>
    <s v="FULL TIME      100000000FF100-FULL TIME"/>
    <s v="01/02/1990"/>
    <s v=""/>
    <s v="  "/>
    <s v=""/>
    <s v="GSS "/>
    <s v="L15 "/>
    <x v="13"/>
    <s v="SIND.GIORN.        SINDACATO GIORNALISTI"/>
    <s v="marco.morino@ilsole24ore.com                      "/>
    <s v="E"/>
    <s v="E-ESENTE"/>
    <s v="2 "/>
    <s v="2=6 X 6"/>
    <s v="01/07/2025"/>
    <s v="TEMPO DETERMINATO"/>
    <s v="31/05/2027"/>
    <s v="0015000700                    "/>
    <s v=""/>
    <n v="62"/>
    <s v="I  "/>
  </r>
  <r>
    <x v="0"/>
    <n v="823"/>
    <x v="0"/>
    <s v="K           "/>
    <s v="REDAZIONI GIORNALISTICHE"/>
    <x v="37"/>
    <x v="36"/>
    <s v="514300      "/>
    <s v="514300   REDAZIONE MILANO"/>
    <s v="NARRACCI                        "/>
    <s v="FRANCESCO         "/>
    <s v="NRRFNC66H28C975S"/>
    <x v="1"/>
    <s v="34"/>
    <x v="0"/>
    <s v="01/04/2021"/>
    <s v="MILANO                 "/>
    <x v="4"/>
    <x v="4"/>
    <s v="G"/>
    <x v="3"/>
    <s v="CR "/>
    <x v="24"/>
    <s v="01/01/1995"/>
    <s v="01/10/1993"/>
    <s v="28/06/1966"/>
    <s v="A"/>
    <s v="A.IN FORZA"/>
    <s v="1  -ASSUNZIONE                1"/>
    <s v=""/>
    <s v=" "/>
    <s v=""/>
    <s v=""/>
    <n v="200"/>
    <s v="00"/>
    <n v="100"/>
    <s v="FULL TIME      100000000FF100-FULL TIME"/>
    <s v="01/01/1995"/>
    <s v=""/>
    <s v="  "/>
    <s v=""/>
    <s v="GSS "/>
    <s v="L06 "/>
    <x v="7"/>
    <s v=""/>
    <s v="francesco.narracci@ilsole24ore.com                "/>
    <s v="E"/>
    <s v="E-ESENTE"/>
    <s v="2 "/>
    <s v="2=6 X 6"/>
    <s v="01/07/2025"/>
    <s v="TEMPO DETERMINATO"/>
    <s v="31/05/2027"/>
    <s v="0015000700                    "/>
    <s v=""/>
    <n v="59"/>
    <s v="I  "/>
  </r>
  <r>
    <x v="0"/>
    <n v="997"/>
    <x v="0"/>
    <s v="K           "/>
    <s v="REDAZIONI GIORNALISTICHE"/>
    <x v="37"/>
    <x v="36"/>
    <s v="514300      "/>
    <s v="514300   REDAZIONE MILANO"/>
    <s v="NASO                            "/>
    <s v="GESUELE           "/>
    <s v="NSAGSL67M05H224O"/>
    <x v="1"/>
    <s v="34"/>
    <x v="0"/>
    <s v="01/04/2021"/>
    <s v="MILANO                 "/>
    <x v="4"/>
    <x v="4"/>
    <s v="G"/>
    <x v="3"/>
    <s v="CR "/>
    <x v="24"/>
    <s v="01/02/1997"/>
    <s v="01/02/1997"/>
    <s v="05/08/1967"/>
    <s v="A"/>
    <s v="A.IN FORZA"/>
    <s v="1  -ASSUNZIONE                1"/>
    <s v=""/>
    <s v=" "/>
    <s v=""/>
    <s v=""/>
    <n v="225"/>
    <s v="00"/>
    <n v="100"/>
    <s v="FULL TIME      100000000FF100-FULL TIME"/>
    <s v="01/02/1997"/>
    <s v=""/>
    <s v="  "/>
    <s v=""/>
    <s v="GSS "/>
    <s v="L15 "/>
    <x v="13"/>
    <s v="SIND.GIORN.        SINDACATO GIORNALISTI"/>
    <s v="lello.naso@ilsole24ore.com                        "/>
    <s v="E"/>
    <s v="E-ESENTE"/>
    <s v="3 "/>
    <s v="3=5 X 7"/>
    <s v=""/>
    <s v=""/>
    <s v=""/>
    <s v="0015000700                    "/>
    <s v=""/>
    <n v="58"/>
    <s v="I  "/>
  </r>
  <r>
    <x v="0"/>
    <n v="616"/>
    <x v="0"/>
    <s v="K           "/>
    <s v="REDAZIONI GIORNALISTICHE"/>
    <x v="37"/>
    <x v="36"/>
    <s v="514300      "/>
    <s v="514300   REDAZIONE MILANO"/>
    <s v="NEGRI                           "/>
    <s v="GIOVANNI          "/>
    <s v="NGRGNN65M08F205X"/>
    <x v="1"/>
    <s v="34"/>
    <x v="0"/>
    <s v="01/04/2021"/>
    <s v="MILANO                 "/>
    <x v="4"/>
    <x v="4"/>
    <s v="G"/>
    <x v="3"/>
    <s v="CS "/>
    <x v="18"/>
    <s v="01/04/1992"/>
    <s v="01/04/1992"/>
    <s v="08/08/1965"/>
    <s v="A"/>
    <s v="A.IN FORZA"/>
    <s v="1  -ASSUNZIONE                1"/>
    <s v=""/>
    <s v=" "/>
    <s v=""/>
    <s v=""/>
    <n v="174"/>
    <s v="00"/>
    <n v="100"/>
    <s v="FULL TIME      100000000FF100-FULL TIME"/>
    <s v="01/04/1992"/>
    <s v=""/>
    <s v="  "/>
    <s v=""/>
    <s v="GSS "/>
    <s v="L05 "/>
    <x v="14"/>
    <s v="SIND.GIORN.        SINDACATO GIORNALISTI"/>
    <s v="giovanni.negri@ilsole24ore.com                    "/>
    <s v="E"/>
    <s v="E-ESENTE"/>
    <s v="2 "/>
    <s v="2=6 X 6"/>
    <s v="01/07/2025"/>
    <s v="TEMPO DETERMINATO"/>
    <s v="31/05/2027"/>
    <s v="0015000739                    "/>
    <s v="DECESARI SEVERINA"/>
    <n v="60"/>
    <s v="I  "/>
  </r>
  <r>
    <x v="0"/>
    <n v="1514"/>
    <x v="0"/>
    <s v="K           "/>
    <s v="REDAZIONI GIORNALISTICHE"/>
    <x v="37"/>
    <x v="36"/>
    <s v="514300      "/>
    <s v="514300   REDAZIONE MILANO"/>
    <s v="NETTI                           "/>
    <s v="ENRICO CAIO MAURO "/>
    <s v="NTTNCC59S09F205V"/>
    <x v="1"/>
    <s v="34"/>
    <x v="0"/>
    <s v="01/04/2021"/>
    <s v="MILANO                 "/>
    <x v="4"/>
    <x v="4"/>
    <s v="G"/>
    <x v="3"/>
    <s v="RM2"/>
    <x v="21"/>
    <s v="03/04/2000"/>
    <s v="03/04/2000"/>
    <s v="09/11/1959"/>
    <s v="A"/>
    <s v="A.IN FORZA"/>
    <s v="1  -ASSUNZIONE                1"/>
    <s v=""/>
    <s v=" "/>
    <s v=""/>
    <s v=""/>
    <n v="312"/>
    <s v="00"/>
    <n v="100"/>
    <s v="FULL TIME      100000000FF100-FULL TIME"/>
    <s v="03/04/2000"/>
    <s v=""/>
    <s v="  "/>
    <s v=""/>
    <s v="GSS "/>
    <s v="L03 "/>
    <x v="10"/>
    <s v=""/>
    <s v="enrico.netti@ilsole24ore.com                      "/>
    <s v="E"/>
    <s v="E-ESENTE"/>
    <s v="3 "/>
    <s v="3=5 X 7"/>
    <s v="01/07/2025"/>
    <s v="TEMPO DETERMINATO"/>
    <s v="31/05/2027"/>
    <s v="0015001979                    "/>
    <s v="DI PILLO LAURA"/>
    <n v="66"/>
    <s v="I  "/>
  </r>
  <r>
    <x v="0"/>
    <n v="398"/>
    <x v="0"/>
    <s v="K           "/>
    <s v="REDAZIONI GIORNALISTICHE"/>
    <x v="37"/>
    <x v="36"/>
    <s v="514300      "/>
    <s v="514300   REDAZIONE MILANO"/>
    <s v="OLIVIERI                        "/>
    <s v="ANTONELLA         "/>
    <s v="LVRNNL60A44F205Z"/>
    <x v="0"/>
    <s v="34"/>
    <x v="0"/>
    <s v="01/04/2021"/>
    <s v="MILANO                 "/>
    <x v="4"/>
    <x v="4"/>
    <s v="G"/>
    <x v="3"/>
    <s v="CS "/>
    <x v="18"/>
    <s v="16/01/1989"/>
    <s v="16/01/1989"/>
    <s v="04/01/1960"/>
    <s v="A"/>
    <s v="A.IN FORZA"/>
    <s v="1  -ASSUNZIONE                1"/>
    <s v=""/>
    <s v=" "/>
    <s v=""/>
    <s v=""/>
    <n v="109"/>
    <s v="00"/>
    <n v="100"/>
    <s v="FULL TIME      100000000FF100-FULL TIME"/>
    <s v="16/01/1989"/>
    <s v=""/>
    <s v="  "/>
    <s v=""/>
    <s v="GSS "/>
    <s v="L16 "/>
    <x v="12"/>
    <s v="SIND.GIORN.        SINDACATO GIORNALISTI"/>
    <s v="antonella.olivieri@ilsole24ore.com                "/>
    <s v="E"/>
    <s v="E-ESENTE"/>
    <s v="7 "/>
    <s v="7=5 X 7.20"/>
    <s v=""/>
    <s v=""/>
    <s v=""/>
    <s v="0015000700                    "/>
    <s v=""/>
    <n v="66"/>
    <s v="I  "/>
  </r>
  <r>
    <x v="0"/>
    <n v="2060"/>
    <x v="0"/>
    <s v="K           "/>
    <s v="REDAZIONI GIORNALISTICHE"/>
    <x v="37"/>
    <x v="36"/>
    <s v="514300      "/>
    <s v="514300   REDAZIONE MILANO"/>
    <s v="ORLANDO                         "/>
    <s v="LUCA ENRICO       "/>
    <s v="RLNLNR66A09F205X"/>
    <x v="1"/>
    <s v="34"/>
    <x v="0"/>
    <s v="01/04/2021"/>
    <s v="MILANO                 "/>
    <x v="4"/>
    <x v="4"/>
    <s v="G"/>
    <x v="3"/>
    <s v="CR "/>
    <x v="24"/>
    <s v="01/03/2005"/>
    <s v="01/03/2005"/>
    <s v="09/01/1966"/>
    <s v="A"/>
    <s v="A.IN FORZA"/>
    <s v="1  -ASSUNZIONE                1"/>
    <s v=""/>
    <s v=" "/>
    <s v=""/>
    <s v=""/>
    <n v="458"/>
    <s v="00"/>
    <n v="100"/>
    <s v="FULL TIME      100000000FF100-FULL TIME"/>
    <s v="01/03/2005"/>
    <s v=""/>
    <s v="  "/>
    <s v=""/>
    <s v="GSS "/>
    <s v="L16 "/>
    <x v="12"/>
    <s v="SIND.GIORN.        SINDACATO GIORNALISTI"/>
    <s v="luca.orlando@ilsole24ore.com                      "/>
    <s v="E"/>
    <s v="E-ESENTE"/>
    <s v="2 "/>
    <s v="2=6 X 6"/>
    <s v=""/>
    <s v=""/>
    <s v=""/>
    <s v="0015000700                    "/>
    <s v=""/>
    <n v="60"/>
    <s v="I  "/>
  </r>
  <r>
    <x v="0"/>
    <n v="1998"/>
    <x v="0"/>
    <s v="K           "/>
    <s v="REDAZIONI GIORNALISTICHE"/>
    <x v="37"/>
    <x v="36"/>
    <s v="514300      "/>
    <s v="514300   REDAZIONE MILANO"/>
    <s v="PATERNOSTER                     "/>
    <s v="MADDALENA         "/>
    <s v="PTRMDL77D47A662I"/>
    <x v="0"/>
    <s v="34"/>
    <x v="0"/>
    <s v="01/04/2021"/>
    <s v="MILANO                 "/>
    <x v="4"/>
    <x v="4"/>
    <s v="G"/>
    <x v="3"/>
    <s v="RM2"/>
    <x v="21"/>
    <s v="05/02/2004"/>
    <s v="05/02/2004"/>
    <s v="07/04/1977"/>
    <s v="A"/>
    <s v="A.IN FORZA"/>
    <s v="1  -ASSUNZIONE                1"/>
    <s v=""/>
    <s v=" "/>
    <s v=""/>
    <s v=""/>
    <n v="424"/>
    <s v="00"/>
    <n v="100"/>
    <s v="FULL TIME      100000000FF100-FULL TIME"/>
    <s v="05/02/2004"/>
    <s v=""/>
    <s v="  "/>
    <s v=""/>
    <s v="GBM "/>
    <s v="L06 "/>
    <x v="7"/>
    <s v=""/>
    <s v="madda.paternoster@ilsole24ore.com                 "/>
    <s v="E"/>
    <s v="E-ESENTE"/>
    <s v="1 "/>
    <s v="1=5 X 8"/>
    <s v="01/07/2025"/>
    <s v="TEMPO DETERMINATO"/>
    <s v="31/05/2027"/>
    <s v="0015000700                    "/>
    <s v=""/>
    <n v="48"/>
    <s v="I  "/>
  </r>
  <r>
    <x v="0"/>
    <n v="1668"/>
    <x v="0"/>
    <s v="K           "/>
    <s v="REDAZIONI GIORNALISTICHE"/>
    <x v="37"/>
    <x v="36"/>
    <s v="514300      "/>
    <s v="514300   REDAZIONE MILANO"/>
    <s v="PEZZATTI                        "/>
    <s v="FEDERICA          "/>
    <s v="PZZFRC69T61F205D"/>
    <x v="0"/>
    <s v="34"/>
    <x v="0"/>
    <s v="01/04/2021"/>
    <s v="MILANO                 "/>
    <x v="4"/>
    <x v="4"/>
    <s v="G"/>
    <x v="3"/>
    <s v="RM2"/>
    <x v="21"/>
    <s v="02/11/2000"/>
    <s v="02/11/2000"/>
    <s v="21/12/1969"/>
    <s v="A"/>
    <s v="A.IN FORZA"/>
    <s v="1  -ASSUNZIONE                1"/>
    <s v=""/>
    <s v=" "/>
    <s v=""/>
    <s v=""/>
    <n v="323"/>
    <s v="00"/>
    <n v="100"/>
    <s v="FULL TIME      100000000FF100-FULL TIME"/>
    <s v="02/11/2000"/>
    <s v=""/>
    <s v="  "/>
    <s v=""/>
    <s v="GSS "/>
    <s v="L09 "/>
    <x v="16"/>
    <s v="SIND.GIORN.        SINDACATO GIORNALISTI"/>
    <s v="federica.pezzatti@ilsole24ore.com                 "/>
    <s v="E"/>
    <s v="E-ESENTE"/>
    <s v="2 "/>
    <s v="2=6 X 6"/>
    <s v="01/07/2025"/>
    <s v="TEMPO DETERMINATO"/>
    <s v="31/05/2027"/>
    <s v="0015000700                    "/>
    <s v=""/>
    <n v="56"/>
    <s v="I  "/>
  </r>
  <r>
    <x v="0"/>
    <n v="2180"/>
    <x v="0"/>
    <s v="K           "/>
    <s v="REDAZIONI GIORNALISTICHE"/>
    <x v="37"/>
    <x v="36"/>
    <s v="514300      "/>
    <s v="514300   REDAZIONE MILANO"/>
    <s v="PIGNATELLI                      "/>
    <s v="MICHELE           "/>
    <s v="PGNMHL70C03L872K"/>
    <x v="1"/>
    <s v="34"/>
    <x v="0"/>
    <s v="01/04/2021"/>
    <s v="MILANO                 "/>
    <x v="4"/>
    <x v="4"/>
    <s v="G"/>
    <x v="3"/>
    <s v="CS "/>
    <x v="18"/>
    <s v="01/04/2007"/>
    <s v="01/04/2007"/>
    <s v="03/03/1970"/>
    <s v="A"/>
    <s v="A.IN FORZA"/>
    <s v="1  -ASSUNZIONE                1"/>
    <s v=""/>
    <s v=" "/>
    <s v=""/>
    <s v=""/>
    <n v="514"/>
    <s v="00"/>
    <n v="100"/>
    <s v="FULL TIME      100000000FF100-FULL TIME"/>
    <s v="01/04/2007"/>
    <s v=""/>
    <s v="  "/>
    <s v=""/>
    <s v="GSS "/>
    <s v="L10 "/>
    <x v="15"/>
    <s v="SIND.GIORN.        SINDACATO GIORNALISTI"/>
    <s v="michele.pignatelli@ilsole24ore.com                "/>
    <s v="E"/>
    <s v="E-ESENTE"/>
    <s v="2 "/>
    <s v="2=6 X 6"/>
    <s v="01/07/2025"/>
    <s v="TEMPO DETERMINATO"/>
    <s v="31/05/2027"/>
    <s v="0015000700                    "/>
    <s v=""/>
    <n v="55"/>
    <s v="I  "/>
  </r>
  <r>
    <x v="0"/>
    <n v="1867"/>
    <x v="0"/>
    <s v="K           "/>
    <s v="REDAZIONI GIORNALISTICHE"/>
    <x v="37"/>
    <x v="36"/>
    <s v="514300      "/>
    <s v="514300   REDAZIONE MILANO"/>
    <s v="PIRRELLI                        "/>
    <s v="MARILENA          "/>
    <s v="PRRMLN63R45A662W"/>
    <x v="0"/>
    <s v="34"/>
    <x v="0"/>
    <s v="01/04/2021"/>
    <s v="MILANO                 "/>
    <x v="4"/>
    <x v="4"/>
    <s v="G"/>
    <x v="3"/>
    <s v="CSV"/>
    <x v="22"/>
    <s v="04/02/2002"/>
    <s v="04/02/2002"/>
    <s v="05/10/1963"/>
    <s v="A"/>
    <s v="A.IN FORZA"/>
    <s v="1  -ASSUNZIONE                1"/>
    <s v=""/>
    <s v=" "/>
    <s v=""/>
    <s v=""/>
    <n v="361"/>
    <s v="00"/>
    <n v="100"/>
    <s v="FULL TIME      100000000FF100-FULL TIME"/>
    <s v="01/02/2019"/>
    <s v=""/>
    <s v="05"/>
    <s v="INVALIDI CIVILI"/>
    <s v="GSS "/>
    <s v="L09 "/>
    <x v="16"/>
    <s v="SIND.GIORN.        SINDACATO GIORNALISTI"/>
    <s v="marilena.pirrelli@ilsole24ore.com                 "/>
    <s v="E"/>
    <s v="E-ESENTE"/>
    <s v="3 "/>
    <s v="3=5 X 7"/>
    <s v="01/07/2025"/>
    <s v="TEMPO DETERMINATO"/>
    <s v="31/05/2027"/>
    <s v="0015000700                    "/>
    <s v=""/>
    <n v="62"/>
    <s v="I  "/>
  </r>
  <r>
    <x v="0"/>
    <n v="1969"/>
    <x v="0"/>
    <s v="K           "/>
    <s v="REDAZIONI GIORNALISTICHE"/>
    <x v="37"/>
    <x v="36"/>
    <s v="514300      "/>
    <s v="514300   REDAZIONE MILANO"/>
    <s v="PIZZIN                          "/>
    <s v="MAURO             "/>
    <s v="PZZMRA63R10L424A"/>
    <x v="1"/>
    <s v="34"/>
    <x v="0"/>
    <s v="01/04/2021"/>
    <s v="MILANO                 "/>
    <x v="4"/>
    <x v="4"/>
    <s v="G"/>
    <x v="3"/>
    <s v="RM2"/>
    <x v="21"/>
    <s v="01/09/2003"/>
    <s v="01/09/2003"/>
    <s v="10/10/1963"/>
    <s v="A"/>
    <s v="A.IN FORZA"/>
    <s v="1  -ASSUNZIONE                1"/>
    <s v=""/>
    <s v=" "/>
    <s v=""/>
    <s v=""/>
    <n v="405"/>
    <s v="00"/>
    <n v="100"/>
    <s v="FULL TIME      100000000FF100-FULL TIME"/>
    <s v="01/09/2003"/>
    <s v=""/>
    <s v="  "/>
    <s v=""/>
    <s v="GSS "/>
    <s v="L05 "/>
    <x v="14"/>
    <s v=""/>
    <s v="mauro.pizzin@ilsole24ore.com                      "/>
    <s v="E"/>
    <s v="E-ESENTE"/>
    <s v="1 "/>
    <s v="1=5 X 8"/>
    <s v="01/07/2025"/>
    <s v="TEMPO DETERMINATO"/>
    <s v="31/05/2027"/>
    <s v="0015000739                    "/>
    <s v="DECESARI SEVERINA"/>
    <n v="62"/>
    <s v="I  "/>
  </r>
  <r>
    <x v="0"/>
    <n v="2240"/>
    <x v="0"/>
    <s v="K           "/>
    <s v="REDAZIONI GIORNALISTICHE"/>
    <x v="37"/>
    <x v="36"/>
    <s v="514300      "/>
    <s v="514300   REDAZIONE MILANO"/>
    <s v="PRIOSCHI                        "/>
    <s v="MATTEO            "/>
    <s v="PRSMTT71D02I441Y"/>
    <x v="1"/>
    <s v="34"/>
    <x v="0"/>
    <s v="01/04/2021"/>
    <s v="MILANO                 "/>
    <x v="4"/>
    <x v="4"/>
    <s v="G"/>
    <x v="3"/>
    <s v="RM2"/>
    <x v="21"/>
    <s v="22/10/2007"/>
    <s v="22/10/2007"/>
    <s v="02/04/1971"/>
    <s v="A"/>
    <s v="A.IN FORZA"/>
    <s v="1  -ASSUNZIONE                1"/>
    <s v=""/>
    <s v=" "/>
    <s v=""/>
    <s v=""/>
    <n v="534"/>
    <s v="00"/>
    <n v="100"/>
    <s v="FULL TIME      100000000FF100-FULL TIME"/>
    <s v="22/10/2007"/>
    <s v=""/>
    <s v="  "/>
    <s v=""/>
    <s v="GSS "/>
    <s v="L05 "/>
    <x v="14"/>
    <s v=""/>
    <s v="matteo.prioschi@ilsole24ore.com                   "/>
    <s v="E"/>
    <s v="E-ESENTE"/>
    <s v="3 "/>
    <s v="3=5 X 7"/>
    <s v="01/07/2025"/>
    <s v="TEMPO DETERMINATO"/>
    <s v="31/05/2027"/>
    <s v="0015000739                    "/>
    <s v="DECESARI SEVERINA"/>
    <n v="54"/>
    <s v="I  "/>
  </r>
  <r>
    <x v="0"/>
    <n v="2920"/>
    <x v="0"/>
    <s v="K           "/>
    <s v="REDAZIONI GIORNALISTICHE"/>
    <x v="37"/>
    <x v="36"/>
    <s v="514300      "/>
    <s v="514300   REDAZIONE MILANO"/>
    <s v="REDAELLI                        "/>
    <s v="MARZIA            "/>
    <s v="RDLMRZ66A52A940O"/>
    <x v="0"/>
    <s v="34"/>
    <x v="0"/>
    <s v="01/04/2021"/>
    <s v="MILANO                 "/>
    <x v="4"/>
    <x v="4"/>
    <s v="G"/>
    <x v="3"/>
    <s v="RM2"/>
    <x v="21"/>
    <s v="22/06/2017"/>
    <s v="20/04/2000"/>
    <s v="12/01/1966"/>
    <s v="A"/>
    <s v="A.IN FORZA"/>
    <s v="1  -ASSUNZIONE                1"/>
    <s v=""/>
    <s v=" "/>
    <s v=""/>
    <s v=""/>
    <n v="2920"/>
    <s v="00"/>
    <n v="100"/>
    <s v="FULL TIME      100000000FF100-FULL TIME"/>
    <s v="22/06/2017"/>
    <s v=""/>
    <s v="  "/>
    <s v=""/>
    <s v="GBM "/>
    <s v="L09 "/>
    <x v="16"/>
    <s v=""/>
    <s v="marzia.redaelli@ilsole24ore.com                   "/>
    <s v="E"/>
    <s v="E-ESENTE"/>
    <s v="2 "/>
    <s v="2=6 X 6"/>
    <s v="01/07/2025"/>
    <s v="TEMPO DETERMINATO"/>
    <s v="31/05/2027"/>
    <s v="0015000700                    "/>
    <s v=""/>
    <n v="60"/>
    <s v="I  "/>
  </r>
  <r>
    <x v="0"/>
    <n v="1512"/>
    <x v="0"/>
    <s v="K           "/>
    <s v="REDAZIONI GIORNALISTICHE"/>
    <x v="37"/>
    <x v="36"/>
    <s v="514300      "/>
    <s v="514300   REDAZIONE MILANO"/>
    <s v="RICCI                           "/>
    <s v="LARA ALESSANDRA   "/>
    <s v="RCCLLS76M54Z401H"/>
    <x v="0"/>
    <s v="34"/>
    <x v="0"/>
    <s v="01/04/2021"/>
    <s v="MILANO                 "/>
    <x v="4"/>
    <x v="4"/>
    <s v="G"/>
    <x v="3"/>
    <s v="CSV"/>
    <x v="22"/>
    <s v="03/04/2000"/>
    <s v="03/04/2000"/>
    <s v="14/08/1976"/>
    <s v="A"/>
    <s v="A.IN FORZA"/>
    <s v="1  -ASSUNZIONE                1"/>
    <s v=""/>
    <s v=" "/>
    <s v=""/>
    <s v=""/>
    <n v="310"/>
    <s v="00"/>
    <n v="100"/>
    <s v="FULL TIME      100000000FF100-FULL TIME"/>
    <s v="01/12/2020"/>
    <s v=""/>
    <s v="  "/>
    <s v=""/>
    <s v="GSS "/>
    <s v="L14 "/>
    <x v="8"/>
    <s v="SIND.GIORN.        SINDACATO GIORNALISTI"/>
    <s v="lara.ricci@ilsole24ore.com                        "/>
    <s v="E"/>
    <s v="E-ESENTE"/>
    <s v="3 "/>
    <s v="3=5 X 7"/>
    <s v="01/07/2025"/>
    <s v="TEMPO DETERMINATO"/>
    <s v="31/05/2027"/>
    <s v="0015000700                    "/>
    <s v=""/>
    <n v="49"/>
    <s v="I  "/>
  </r>
  <r>
    <x v="0"/>
    <n v="1780"/>
    <x v="0"/>
    <s v="K           "/>
    <s v="REDAZIONI GIORNALISTICHE"/>
    <x v="37"/>
    <x v="36"/>
    <s v="514300      "/>
    <s v="514300   REDAZIONE MILANO"/>
    <s v="SALIS                           "/>
    <s v="STEFANO           "/>
    <s v="SLSSFN70T06B745E"/>
    <x v="1"/>
    <s v="34"/>
    <x v="0"/>
    <s v="01/04/2021"/>
    <s v="MILANO                 "/>
    <x v="4"/>
    <x v="4"/>
    <s v="G"/>
    <x v="3"/>
    <s v="CR "/>
    <x v="24"/>
    <s v="02/07/2001"/>
    <s v="02/07/2001"/>
    <s v="06/12/1970"/>
    <s v="A"/>
    <s v="A.IN FORZA"/>
    <s v="1  -ASSUNZIONE                1"/>
    <s v=""/>
    <s v=" "/>
    <s v=""/>
    <s v=""/>
    <n v="350"/>
    <s v="00"/>
    <n v="100"/>
    <s v="FULL TIME      100000000FF100-FULL TIME"/>
    <s v="02/07/2001"/>
    <s v=""/>
    <s v="  "/>
    <s v=""/>
    <s v="GSS "/>
    <s v="L14 "/>
    <x v="8"/>
    <s v="SIND.GIORN.        SINDACATO GIORNALISTI"/>
    <s v="stefano.salis@ilsole24ore.com                     "/>
    <s v="E"/>
    <s v="E-ESENTE"/>
    <s v="2 "/>
    <s v="2=6 X 6"/>
    <s v="01/07/2025"/>
    <s v="TEMPO DETERMINATO"/>
    <s v="31/05/2027"/>
    <s v="0015000700                    "/>
    <s v=""/>
    <n v="55"/>
    <s v="I  "/>
  </r>
  <r>
    <x v="0"/>
    <n v="1631"/>
    <x v="0"/>
    <s v="K           "/>
    <s v="REDAZIONI GIORNALISTICHE"/>
    <x v="37"/>
    <x v="36"/>
    <s v="514300      "/>
    <s v="514300   REDAZIONE MILANO"/>
    <s v="SGAMBATO                        "/>
    <s v="EMILIANO          "/>
    <s v="SGMMLN73C23B963E"/>
    <x v="1"/>
    <s v="34"/>
    <x v="0"/>
    <s v="01/04/2021"/>
    <s v="MILANO                 "/>
    <x v="4"/>
    <x v="4"/>
    <s v="G"/>
    <x v="3"/>
    <s v="CSV"/>
    <x v="22"/>
    <s v="16/10/2000"/>
    <s v="16/10/2000"/>
    <s v="23/03/1973"/>
    <s v="A"/>
    <s v="A.IN FORZA"/>
    <s v="1  -ASSUNZIONE                1"/>
    <s v=""/>
    <s v=" "/>
    <s v=""/>
    <s v=""/>
    <n v="322"/>
    <s v="00"/>
    <n v="100"/>
    <s v="FULL TIME      100000000FF100-FULL TIME"/>
    <s v="16/10/2000"/>
    <s v=""/>
    <s v="  "/>
    <s v=""/>
    <s v="GSS "/>
    <s v="L22 "/>
    <x v="20"/>
    <s v="SIND.GIORN.        SINDACATO GIORNALISTI"/>
    <s v="emiliano.sgambato@ilsole24ore.com                 "/>
    <s v="E"/>
    <s v="E-ESENTE"/>
    <s v="3 "/>
    <s v="3=5 X 7"/>
    <s v="01/07/2025"/>
    <s v="TEMPO DETERMINATO"/>
    <s v="31/05/2027"/>
    <s v="0015000700                    "/>
    <s v=""/>
    <n v="52"/>
    <s v="I  "/>
  </r>
  <r>
    <x v="0"/>
    <n v="3044"/>
    <x v="0"/>
    <s v="K           "/>
    <s v="REDAZIONI GIORNALISTICHE"/>
    <x v="37"/>
    <x v="36"/>
    <s v="514300      "/>
    <s v="514300   REDAZIONE MILANO"/>
    <s v="SIMONETTA                       "/>
    <s v="BIAGIO            "/>
    <s v="SMNBGI80T23D086H"/>
    <x v="1"/>
    <s v="34"/>
    <x v="0"/>
    <s v="06/06/2022"/>
    <s v="MILANO                 "/>
    <x v="4"/>
    <x v="4"/>
    <s v="G"/>
    <x v="3"/>
    <s v="RM2"/>
    <x v="21"/>
    <s v="06/06/2022"/>
    <s v="06/06/2022"/>
    <s v="23/12/1980"/>
    <s v="A"/>
    <s v="A.IN FORZA"/>
    <s v="1  -ASSUNZIONE                1"/>
    <s v=""/>
    <s v=" "/>
    <s v=""/>
    <s v=""/>
    <n v="3044"/>
    <s v="00"/>
    <n v="100"/>
    <s v="FULL TIME      100000000FF100-FULL TIME"/>
    <s v="06/06/2022"/>
    <s v=""/>
    <s v="  "/>
    <s v=""/>
    <s v="GBM "/>
    <s v="L07 "/>
    <x v="5"/>
    <s v=""/>
    <s v="biagio.simonetta@ilsole24ore.com                  "/>
    <s v="E"/>
    <s v="E-ESENTE"/>
    <s v="7 "/>
    <s v="7=5 X 7.20"/>
    <s v="01/07/2025"/>
    <s v="TEMPO DETERMINATO"/>
    <s v="31/05/2027"/>
    <s v="0015002010                    "/>
    <s v="GRASSANI ALBERTO"/>
    <n v="45"/>
    <s v="I  "/>
  </r>
  <r>
    <x v="0"/>
    <n v="597"/>
    <x v="0"/>
    <s v="K           "/>
    <s v="REDAZIONI GIORNALISTICHE"/>
    <x v="37"/>
    <x v="36"/>
    <s v="514300      "/>
    <s v="514300   REDAZIONE MILANO"/>
    <s v="SORRENTINO                      "/>
    <s v="RICCARDO          "/>
    <s v="SRRRCR64B27L259A"/>
    <x v="1"/>
    <s v="34"/>
    <x v="0"/>
    <s v="01/04/2021"/>
    <s v="MILANO                 "/>
    <x v="4"/>
    <x v="4"/>
    <s v="G"/>
    <x v="3"/>
    <s v="RM2"/>
    <x v="21"/>
    <s v="02/01/1992"/>
    <s v="02/01/1992"/>
    <s v="27/02/1964"/>
    <s v="A"/>
    <s v="A.IN FORZA"/>
    <s v="1  -ASSUNZIONE                1"/>
    <s v=""/>
    <s v=" "/>
    <s v=""/>
    <s v=""/>
    <n v="170"/>
    <s v="00"/>
    <n v="100"/>
    <s v="FULL TIME      100000000FF100-FULL TIME"/>
    <s v="02/01/1992"/>
    <s v=""/>
    <s v="  "/>
    <s v=""/>
    <s v="GSS "/>
    <s v="L10 "/>
    <x v="15"/>
    <s v=""/>
    <s v="riccardo.sorrentino@ilsole24ore.com               "/>
    <s v="E"/>
    <s v="E-ESENTE"/>
    <s v="2 "/>
    <s v="2=6 X 6"/>
    <s v="01/07/2025"/>
    <s v="TEMPO DETERMINATO"/>
    <s v="31/05/2027"/>
    <s v="0015000700                    "/>
    <s v=""/>
    <n v="61"/>
    <s v="I  "/>
  </r>
  <r>
    <x v="0"/>
    <n v="853"/>
    <x v="0"/>
    <s v="K           "/>
    <s v="REDAZIONI GIORNALISTICHE"/>
    <x v="37"/>
    <x v="36"/>
    <s v="514300      "/>
    <s v="514300   REDAZIONE MILANO"/>
    <s v="URSINO                          "/>
    <s v="GIANFRANCO        "/>
    <s v="RSNGFR68A30D969F"/>
    <x v="1"/>
    <s v="34"/>
    <x v="0"/>
    <s v="01/04/2021"/>
    <s v="MILANO                 "/>
    <x v="4"/>
    <x v="4"/>
    <s v="G"/>
    <x v="3"/>
    <s v="CR "/>
    <x v="24"/>
    <s v="27/06/1995"/>
    <s v="27/06/1995"/>
    <s v="30/01/1968"/>
    <s v="A"/>
    <s v="A.IN FORZA"/>
    <s v="1  -ASSUNZIONE                1"/>
    <s v=""/>
    <s v=" "/>
    <s v=""/>
    <s v=""/>
    <n v="469"/>
    <s v="00"/>
    <n v="100"/>
    <s v="FULL TIME      100000000FF100-FULL TIME"/>
    <s v="27/06/1995"/>
    <s v=""/>
    <s v="  "/>
    <s v=""/>
    <s v="GSS "/>
    <s v="L09 "/>
    <x v="16"/>
    <s v="FIGEC CISAL        FIGEC CISAL"/>
    <s v="gianfranco.ursino@ilsole24ore.com                 "/>
    <s v="E"/>
    <s v="E-ESENTE"/>
    <s v="2 "/>
    <s v="2=6 X 6"/>
    <s v="01/07/2025"/>
    <s v="TEMPO DETERMINATO"/>
    <s v="31/05/2027"/>
    <s v="0015000700                    "/>
    <s v=""/>
    <n v="58"/>
    <s v="I  "/>
  </r>
  <r>
    <x v="0"/>
    <n v="1001"/>
    <x v="0"/>
    <s v="K           "/>
    <s v="REDAZIONI GIORNALISTICHE"/>
    <x v="37"/>
    <x v="36"/>
    <s v="514300      "/>
    <s v="514300   REDAZIONE MILANO"/>
    <s v="VALSANIA                        "/>
    <s v="MARCO             "/>
    <s v="VLSMRC61S10L219T"/>
    <x v="1"/>
    <s v="34"/>
    <x v="0"/>
    <s v="01/04/2021"/>
    <s v="MILANO                 "/>
    <x v="4"/>
    <x v="4"/>
    <s v="G"/>
    <x v="3"/>
    <s v="CS "/>
    <x v="18"/>
    <s v="01/02/1997"/>
    <s v="01/02/1997"/>
    <s v="10/11/1961"/>
    <s v="A"/>
    <s v="A.IN FORZA"/>
    <s v="1  -ASSUNZIONE                1"/>
    <s v=""/>
    <s v=" "/>
    <s v=""/>
    <s v=""/>
    <n v="228"/>
    <s v="00"/>
    <n v="100"/>
    <s v="FULL TIME      100000000FF100-FULL TIME"/>
    <s v="01/02/1997"/>
    <s v=""/>
    <s v="  "/>
    <s v=""/>
    <s v="GSS "/>
    <s v="L19 "/>
    <x v="4"/>
    <s v="SIND.GIORN.        SINDACATO GIORNALISTI"/>
    <s v="marco.valsania@ilsole24ore.com                    "/>
    <s v="E"/>
    <s v="E-ESENTE"/>
    <s v="2 "/>
    <s v="2=6 X 6"/>
    <s v=""/>
    <s v=""/>
    <s v=""/>
    <s v="0015000700                    "/>
    <s v=""/>
    <n v="64"/>
    <s v="I  "/>
  </r>
  <r>
    <x v="0"/>
    <n v="1909"/>
    <x v="0"/>
    <s v="K           "/>
    <s v="REDAZIONI GIORNALISTICHE"/>
    <x v="37"/>
    <x v="36"/>
    <s v="514300      "/>
    <s v="514300   REDAZIONE MILANO"/>
    <s v="VERONESE                        "/>
    <s v="LUCA              "/>
    <s v="VRNLCU71E05H620S"/>
    <x v="1"/>
    <s v="34"/>
    <x v="0"/>
    <s v="01/04/2021"/>
    <s v="MILANO                 "/>
    <x v="4"/>
    <x v="4"/>
    <s v="G"/>
    <x v="3"/>
    <s v="CSV"/>
    <x v="22"/>
    <s v="01/10/2002"/>
    <s v="01/10/2002"/>
    <s v="05/05/1971"/>
    <s v="A"/>
    <s v="A.IN FORZA"/>
    <s v="2  -VARIAZIONE SOCIETARIA     2"/>
    <s v=""/>
    <s v=" "/>
    <s v=""/>
    <s v=""/>
    <n v="372"/>
    <s v="00"/>
    <n v="100"/>
    <s v="FULL TIME      100000000FF100-FULL TIME"/>
    <s v="01/10/2002"/>
    <s v=""/>
    <s v="  "/>
    <s v=""/>
    <s v="GSS "/>
    <s v="L10 "/>
    <x v="15"/>
    <s v=""/>
    <s v="luca.veronese@ilsole24ore.com                     "/>
    <s v="E"/>
    <s v="E-ESENTE"/>
    <s v="3 "/>
    <s v="3=5 X 7"/>
    <s v="01/07/2025"/>
    <s v="TEMPO DETERMINATO"/>
    <s v="31/05/2027"/>
    <s v="0015000700                    "/>
    <s v=""/>
    <n v="54"/>
    <s v="I  "/>
  </r>
  <r>
    <x v="0"/>
    <n v="1263"/>
    <x v="0"/>
    <s v="K           "/>
    <s v="REDAZIONI GIORNALISTICHE"/>
    <x v="37"/>
    <x v="36"/>
    <s v="514400      "/>
    <s v="514400   NOVA 24"/>
    <s v="MACCAFERRI                      "/>
    <s v="ALESSIA           "/>
    <s v="MCCLSS72M69A944I"/>
    <x v="0"/>
    <s v="34"/>
    <x v="0"/>
    <s v="01/04/2021"/>
    <s v="MILANO                 "/>
    <x v="4"/>
    <x v="4"/>
    <s v="G"/>
    <x v="3"/>
    <s v="CS "/>
    <x v="18"/>
    <s v="10/06/1999"/>
    <s v="10/06/1999"/>
    <s v="29/08/1972"/>
    <s v="A"/>
    <s v="A.IN FORZA"/>
    <s v="1  -ASSUNZIONE                1"/>
    <s v=""/>
    <s v=" "/>
    <s v=""/>
    <s v=""/>
    <n v="266"/>
    <s v="00"/>
    <n v="100"/>
    <s v="FULL TIME      100000000FF100-FULL TIME"/>
    <s v="01/11/2014"/>
    <s v=""/>
    <s v="  "/>
    <s v=""/>
    <s v="GSS "/>
    <s v="L25 "/>
    <x v="21"/>
    <s v="SIND.GIORN.        SINDACATO GIORNALISTI"/>
    <s v="alessia.maccaferri@ilsole24ore.com                "/>
    <s v="E"/>
    <s v="E-ESENTE"/>
    <s v="2 "/>
    <s v="2=6 X 6"/>
    <s v="01/07/2025"/>
    <s v="TEMPO DETERMINATO"/>
    <s v="31/05/2027"/>
    <s v="0015000700                    "/>
    <s v=""/>
    <n v="53"/>
    <s v="I  "/>
  </r>
  <r>
    <x v="0"/>
    <n v="1976"/>
    <x v="0"/>
    <s v="K           "/>
    <s v="REDAZIONI GIORNALISTICHE"/>
    <x v="37"/>
    <x v="36"/>
    <s v="514400      "/>
    <s v="514400   NOVA 24"/>
    <s v="TREMOLADA                       "/>
    <s v="LUCA STEFANO      "/>
    <s v="TRMLST70B05D969Q"/>
    <x v="1"/>
    <s v="34"/>
    <x v="0"/>
    <s v="01/04/2021"/>
    <s v="MILANO                 "/>
    <x v="4"/>
    <x v="4"/>
    <s v="G"/>
    <x v="3"/>
    <s v="RM2"/>
    <x v="21"/>
    <s v="01/10/2003"/>
    <s v="01/10/2003"/>
    <s v="05/02/1970"/>
    <s v="A"/>
    <s v="A.IN FORZA"/>
    <s v="1  -ASSUNZIONE                1"/>
    <s v=""/>
    <s v=" "/>
    <s v=""/>
    <s v=""/>
    <n v="408"/>
    <s v="00"/>
    <n v="100"/>
    <s v="FULL TIME      100000000FF100-FULL TIME"/>
    <s v="01/10/2003"/>
    <s v=""/>
    <s v="  "/>
    <s v=""/>
    <s v="GSS "/>
    <s v="L25 "/>
    <x v="21"/>
    <s v="SIND.GIORN.        SINDACATO GIORNALISTI"/>
    <s v="luca.tremolada@ilsole24ore.com                    "/>
    <s v="E"/>
    <s v="E-ESENTE"/>
    <s v="2 "/>
    <s v="2=6 X 6"/>
    <s v="01/07/2025"/>
    <s v="TEMPO DETERMINATO"/>
    <s v="31/05/2027"/>
    <s v="0015000700                    "/>
    <s v=""/>
    <n v="55"/>
    <s v="I  "/>
  </r>
  <r>
    <x v="0"/>
    <n v="2085"/>
    <x v="0"/>
    <s v="K           "/>
    <s v="REDAZIONI GIORNALISTICHE"/>
    <x v="37"/>
    <x v="36"/>
    <s v="514500      "/>
    <s v="514500  LUNEDI'"/>
    <s v="BRUNO                           "/>
    <s v="EUGENIO           "/>
    <s v="BRNGNE74S13H501Y"/>
    <x v="1"/>
    <s v="31"/>
    <x v="1"/>
    <s v="01/06/2009"/>
    <s v="ROMA                   "/>
    <x v="4"/>
    <x v="4"/>
    <s v="G"/>
    <x v="3"/>
    <s v="CSV"/>
    <x v="22"/>
    <s v="10/10/2005"/>
    <s v="10/10/2005"/>
    <s v="13/11/1974"/>
    <s v="A"/>
    <s v="A.IN FORZA"/>
    <s v="1  -ASSUNZIONE                1"/>
    <s v=""/>
    <s v=" "/>
    <s v=""/>
    <s v=""/>
    <n v="482"/>
    <s v="00"/>
    <n v="100"/>
    <s v="FULL TIME      100000000FF100-FULL TIME"/>
    <s v="10/10/2005"/>
    <s v=""/>
    <s v="  "/>
    <s v=""/>
    <s v="GSS "/>
    <s v="L23 "/>
    <x v="6"/>
    <s v="SIND.GIORN.        SINDACATO GIORNALISTI"/>
    <s v="eugenio.bruno@ilsole24ore.com                     "/>
    <s v="E"/>
    <s v="E-ESENTE"/>
    <s v="2 "/>
    <s v="2=6 X 6"/>
    <s v="01/07/2025"/>
    <s v="TEMPO DETERMINATO"/>
    <s v="31/05/2027"/>
    <s v="0015000754                    "/>
    <s v="CARDUCCI ARTENISIO FABIO"/>
    <n v="51"/>
    <s v="I  "/>
  </r>
  <r>
    <x v="0"/>
    <n v="3045"/>
    <x v="0"/>
    <s v="K           "/>
    <s v="REDAZIONI GIORNALISTICHE"/>
    <x v="37"/>
    <x v="36"/>
    <s v="514500      "/>
    <s v="514500  LUNEDI'"/>
    <s v="CECI                            "/>
    <s v="MARGHERITA        "/>
    <s v="CCEMGH98H67L781Z"/>
    <x v="0"/>
    <s v="34"/>
    <x v="0"/>
    <s v="06/06/2022"/>
    <s v="MILANO                 "/>
    <x v="4"/>
    <x v="4"/>
    <s v="G"/>
    <x v="3"/>
    <s v="RP2"/>
    <x v="27"/>
    <s v="06/06/2022"/>
    <s v="06/06/2022"/>
    <s v="27/06/1998"/>
    <s v="A"/>
    <s v="A.IN FORZA"/>
    <s v="1  -ASSUNZIONE                1"/>
    <s v=""/>
    <s v=" "/>
    <s v=""/>
    <s v=""/>
    <n v="3045"/>
    <s v="00"/>
    <n v="100"/>
    <s v="FULL TIME      100000000FF100-FULL TIME"/>
    <s v="06/06/2022"/>
    <s v=""/>
    <s v="  "/>
    <s v=""/>
    <s v="GBM "/>
    <s v="L05 "/>
    <x v="14"/>
    <s v="SIND.GIORN.        SINDACATO GIORNALISTI"/>
    <s v="margherita.ceci@ilsole24ore.com                   "/>
    <s v="E"/>
    <s v="E-ESENTE"/>
    <s v="7 "/>
    <s v="7=5 X 7.20"/>
    <s v="01/07/2025"/>
    <s v="TEMPO DETERMINATO"/>
    <s v="31/05/2027"/>
    <s v="0015000700                    "/>
    <s v=""/>
    <n v="27"/>
    <s v="I  "/>
  </r>
  <r>
    <x v="0"/>
    <n v="3069"/>
    <x v="0"/>
    <s v="K           "/>
    <s v="REDAZIONI GIORNALISTICHE"/>
    <x v="37"/>
    <x v="36"/>
    <s v="514500      "/>
    <s v="514500  LUNEDI'"/>
    <s v="COLOMBO                         "/>
    <s v="CAMILLA ILARIA    "/>
    <s v="CLMCLL89M65I577F"/>
    <x v="0"/>
    <s v="34"/>
    <x v="0"/>
    <s v="13/03/2023"/>
    <s v="MILANO                 "/>
    <x v="4"/>
    <x v="4"/>
    <s v="G"/>
    <x v="3"/>
    <s v="RM2"/>
    <x v="21"/>
    <s v="13/03/2023"/>
    <s v="13/03/2023"/>
    <s v="25/08/1989"/>
    <s v="A"/>
    <s v="A.IN FORZA"/>
    <s v="1  -ASSUNZIONE                1"/>
    <s v=""/>
    <s v=" "/>
    <s v=""/>
    <s v=""/>
    <n v="3069"/>
    <s v="00"/>
    <n v="100"/>
    <s v="FULL TIME      100000000FF100-FULL TIME"/>
    <s v="13/03/2023"/>
    <s v=""/>
    <s v="  "/>
    <s v=""/>
    <s v="GBM "/>
    <s v="L23 "/>
    <x v="6"/>
    <s v=""/>
    <s v="camilla.colombo@ilsole24ore.com                   "/>
    <s v="E"/>
    <s v="E-ESENTE"/>
    <s v="7 "/>
    <s v="7=5 X 7.20"/>
    <s v="01/07/2025"/>
    <s v="TEMPO DETERMINATO"/>
    <s v="31/05/2027"/>
    <s v="0015000739                    "/>
    <s v="DECESARI SEVERINA"/>
    <n v="36"/>
    <s v="I  "/>
  </r>
  <r>
    <x v="0"/>
    <n v="2141"/>
    <x v="0"/>
    <s v="K           "/>
    <s v="REDAZIONI GIORNALISTICHE"/>
    <x v="37"/>
    <x v="36"/>
    <s v="514500      "/>
    <s v="514500  LUNEDI'"/>
    <s v="DELL'OSTE                       "/>
    <s v="CRISTIANO         "/>
    <s v="DLLCST77L30B885Y"/>
    <x v="1"/>
    <s v="34"/>
    <x v="0"/>
    <s v="01/04/2021"/>
    <s v="MILANO                 "/>
    <x v="4"/>
    <x v="4"/>
    <s v="G"/>
    <x v="3"/>
    <s v="CS "/>
    <x v="18"/>
    <s v="23/10/2006"/>
    <s v="23/10/2006"/>
    <s v="30/07/1977"/>
    <s v="A"/>
    <s v="A.IN FORZA"/>
    <s v="1  -ASSUNZIONE                1"/>
    <s v=""/>
    <s v=" "/>
    <s v=""/>
    <s v=""/>
    <n v="497"/>
    <s v="00"/>
    <n v="100"/>
    <s v="FULL TIME      100000000FF100-FULL TIME"/>
    <s v="23/10/2006"/>
    <s v=""/>
    <s v="  "/>
    <s v=""/>
    <s v="GSS "/>
    <s v="L23 "/>
    <x v="6"/>
    <s v=""/>
    <s v="cristiano.delloste@ilsole24ore.com                "/>
    <s v="E"/>
    <s v="E-ESENTE"/>
    <s v="2 "/>
    <s v="2=6 X 6"/>
    <s v="01/07/2025"/>
    <s v="TEMPO DETERMINATO"/>
    <s v="31/05/2027"/>
    <s v="0015000700                    "/>
    <s v=""/>
    <n v="48"/>
    <s v="I  "/>
  </r>
  <r>
    <x v="0"/>
    <n v="2021"/>
    <x v="0"/>
    <s v="K           "/>
    <s v="REDAZIONI GIORNALISTICHE"/>
    <x v="37"/>
    <x v="36"/>
    <s v="514500      "/>
    <s v="514500  LUNEDI'"/>
    <s v="DEZZA                           "/>
    <s v="PAOLA             "/>
    <s v="DZZPLA68L69F205V"/>
    <x v="0"/>
    <s v="34"/>
    <x v="0"/>
    <s v="01/04/2021"/>
    <s v="MILANO                 "/>
    <x v="4"/>
    <x v="4"/>
    <s v="G"/>
    <x v="3"/>
    <s v="CR "/>
    <x v="24"/>
    <s v="01/07/2004"/>
    <s v="01/07/2004"/>
    <s v="29/07/1968"/>
    <s v="A"/>
    <s v="A.IN FORZA"/>
    <s v="1  -ASSUNZIONE                1"/>
    <s v=""/>
    <s v=" "/>
    <s v=""/>
    <s v=""/>
    <n v="442"/>
    <s v="00"/>
    <n v="100"/>
    <s v="FULL TIME      100000000FF100-FULL TIME"/>
    <s v="01/03/2019"/>
    <s v=""/>
    <s v="  "/>
    <s v=""/>
    <s v="GSS "/>
    <s v="L07 "/>
    <x v="5"/>
    <s v="FIGEC CISAL        FIGEC CISAL"/>
    <s v="paola.dezza@ilsole24ore.com                       "/>
    <s v="E"/>
    <s v="E-ESENTE"/>
    <s v="2 "/>
    <s v="2=6 X 6"/>
    <s v="01/07/2025"/>
    <s v="TEMPO DETERMINATO"/>
    <s v="31/05/2027"/>
    <s v="0015000700                    "/>
    <s v=""/>
    <n v="57"/>
    <s v="I  "/>
  </r>
  <r>
    <x v="0"/>
    <n v="2594"/>
    <x v="0"/>
    <s v="K           "/>
    <s v="REDAZIONI GIORNALISTICHE"/>
    <x v="37"/>
    <x v="36"/>
    <s v="514500      "/>
    <s v="514500  LUNEDI'"/>
    <s v="FINIZIO                         "/>
    <s v="MICHELA           "/>
    <s v="FNZMHL82R56G224E"/>
    <x v="0"/>
    <s v="34"/>
    <x v="0"/>
    <s v="01/04/2021"/>
    <s v="MILANO                 "/>
    <x v="4"/>
    <x v="4"/>
    <s v="G"/>
    <x v="3"/>
    <s v="CSV"/>
    <x v="22"/>
    <s v="01/08/2011"/>
    <s v="01/08/2011"/>
    <s v="16/10/1982"/>
    <s v="A"/>
    <s v="A.IN FORZA"/>
    <s v="2  -VARIAZIONE SOCIETARIA     2"/>
    <s v=""/>
    <s v=" "/>
    <s v=""/>
    <s v=""/>
    <n v="2594"/>
    <s v="00"/>
    <n v="100"/>
    <s v="FULL TIME      100000000FF100-FULL TIME"/>
    <s v="01/08/2011"/>
    <s v=""/>
    <s v="  "/>
    <s v=""/>
    <s v="GSS "/>
    <s v="L23 "/>
    <x v="6"/>
    <s v="SIND.GIORN.        SINDACATO GIORNALISTI"/>
    <s v="michela.finizio@ilsole24ore.com                   "/>
    <s v="E"/>
    <s v="E-ESENTE"/>
    <s v="3 "/>
    <s v="3=5 X 7"/>
    <s v="01/07/2025"/>
    <s v="TEMPO DETERMINATO"/>
    <s v="31/05/2027"/>
    <s v="                              "/>
    <s v=""/>
    <n v="43"/>
    <s v="I  "/>
  </r>
  <r>
    <x v="0"/>
    <n v="1962"/>
    <x v="0"/>
    <s v="K           "/>
    <s v="REDAZIONI GIORNALISTICHE"/>
    <x v="37"/>
    <x v="36"/>
    <s v="514500      "/>
    <s v="514500  LUNEDI'"/>
    <s v="ILLIANO                         "/>
    <s v="LUIGI             "/>
    <s v="LLNLGU63S21L259Z"/>
    <x v="1"/>
    <s v="31"/>
    <x v="1"/>
    <s v="01/08/2020"/>
    <s v="ROMA                   "/>
    <x v="4"/>
    <x v="4"/>
    <s v="G"/>
    <x v="3"/>
    <s v="CSV"/>
    <x v="22"/>
    <s v="01/07/2003"/>
    <s v="01/07/2003"/>
    <s v="21/11/1963"/>
    <s v="A"/>
    <s v="A.IN FORZA"/>
    <s v="1  -ASSUNZIONE                1"/>
    <s v=""/>
    <s v=" "/>
    <s v=""/>
    <s v=""/>
    <n v="404"/>
    <s v="00"/>
    <n v="100"/>
    <s v="FULL TIME      100000000FF100-FULL TIME"/>
    <s v="01/07/2003"/>
    <s v=""/>
    <s v="  "/>
    <s v=""/>
    <s v="GSS "/>
    <s v="L23 "/>
    <x v="6"/>
    <s v="SIND.GIORN.        SINDACATO GIORNALISTI"/>
    <s v="luigi.illiano@ilsole24ore.com                     "/>
    <s v="E"/>
    <s v="E-ESENTE"/>
    <s v="1 "/>
    <s v="1=5 X 8"/>
    <s v="15/09/2025"/>
    <s v="TEMPO DETERMINATO"/>
    <s v="31/03/2026"/>
    <s v="0015000754                    "/>
    <s v="CARDUCCI ARTENISIO FABIO"/>
    <n v="62"/>
    <s v="I  "/>
  </r>
  <r>
    <x v="0"/>
    <n v="2272"/>
    <x v="0"/>
    <s v="K           "/>
    <s v="REDAZIONI GIORNALISTICHE"/>
    <x v="37"/>
    <x v="36"/>
    <s v="514500      "/>
    <s v="514500  LUNEDI'"/>
    <s v="MAGLIONE                        "/>
    <s v="VALENTINA         "/>
    <s v="MGLVNT77H41E379Q"/>
    <x v="0"/>
    <s v="34"/>
    <x v="0"/>
    <s v="01/04/2021"/>
    <s v="MILANO                 "/>
    <x v="4"/>
    <x v="4"/>
    <s v="G"/>
    <x v="3"/>
    <s v="RM2"/>
    <x v="21"/>
    <s v="21/01/2008"/>
    <s v="21/01/2008"/>
    <s v="01/06/1977"/>
    <s v="A"/>
    <s v="A.IN FORZA"/>
    <s v="1  -ASSUNZIONE                1"/>
    <s v=""/>
    <s v=" "/>
    <s v=""/>
    <s v=""/>
    <n v="544"/>
    <s v="00"/>
    <n v="100"/>
    <s v="FULL TIME      100000000FF100-FULL TIME"/>
    <s v="01/12/2020"/>
    <s v=""/>
    <s v="  "/>
    <s v=""/>
    <s v="GSS "/>
    <s v="L23 "/>
    <x v="6"/>
    <s v="SIND.GIORN.        SINDACATO GIORNALISTI"/>
    <s v="valentina.maglione@ilsole24ore.com                "/>
    <s v="E"/>
    <s v="E-ESENTE"/>
    <s v="2 "/>
    <s v="2=6 X 6"/>
    <s v="01/07/2025"/>
    <s v="TEMPO DETERMINATO"/>
    <s v="31/05/2027"/>
    <s v="0015000700                    "/>
    <s v=""/>
    <n v="48"/>
    <s v="I  "/>
  </r>
  <r>
    <x v="0"/>
    <n v="1008"/>
    <x v="0"/>
    <s v="K           "/>
    <s v="REDAZIONI GIORNALISTICHE"/>
    <x v="37"/>
    <x v="36"/>
    <s v="514500      "/>
    <s v="514500  LUNEDI'"/>
    <s v="MAZZEI                          "/>
    <s v="BIANCA LUCIA      "/>
    <s v="MZZBCL66T71B496D"/>
    <x v="0"/>
    <s v="31"/>
    <x v="1"/>
    <s v="25/05/2009"/>
    <s v="ROMA                   "/>
    <x v="4"/>
    <x v="4"/>
    <s v="G"/>
    <x v="3"/>
    <s v="RM2"/>
    <x v="21"/>
    <s v="01/03/1997"/>
    <s v="01/03/1997"/>
    <s v="31/12/1966"/>
    <s v="A"/>
    <s v="A.IN FORZA"/>
    <s v="1  -ASSUNZIONE                1"/>
    <s v=""/>
    <s v=" "/>
    <s v=""/>
    <s v=""/>
    <n v="229"/>
    <s v="00"/>
    <n v="100"/>
    <s v="FULL TIME      100000000FF100-FULL TIME"/>
    <s v="01/06/2020"/>
    <s v=""/>
    <s v="  "/>
    <s v=""/>
    <s v="GSS "/>
    <s v="L23 "/>
    <x v="6"/>
    <s v="SIND.GIORN.        SINDACATO GIORNALISTI"/>
    <s v="biancalucia.mazzei@ilsole24ore.com                "/>
    <s v="E"/>
    <s v="E-ESENTE"/>
    <s v="3 "/>
    <s v="3=5 X 7"/>
    <s v="01/07/2025"/>
    <s v="TEMPO DETERMINATO"/>
    <s v="31/05/2027"/>
    <s v="0015000754                    "/>
    <s v="CARDUCCI ARTENISIO FABIO"/>
    <n v="59"/>
    <s v="I  "/>
  </r>
  <r>
    <x v="0"/>
    <n v="2069"/>
    <x v="0"/>
    <s v="K           "/>
    <s v="REDAZIONI GIORNALISTICHE"/>
    <x v="37"/>
    <x v="36"/>
    <s v="514500      "/>
    <s v="514500  LUNEDI'"/>
    <s v="MELIS                           "/>
    <s v="VALENTINA MARIA   "/>
    <s v="MLSVNT75B41D969W"/>
    <x v="0"/>
    <s v="34"/>
    <x v="0"/>
    <s v="01/04/2021"/>
    <s v="MILANO                 "/>
    <x v="4"/>
    <x v="4"/>
    <s v="G"/>
    <x v="3"/>
    <s v="RM2"/>
    <x v="21"/>
    <s v="25/05/2005"/>
    <s v="25/05/2005"/>
    <s v="01/02/1975"/>
    <s v="A"/>
    <s v="A.IN FORZA"/>
    <s v="2  -VARIAZIONE SOCIETARIA     2"/>
    <s v=""/>
    <s v=" "/>
    <s v=""/>
    <s v=""/>
    <n v="466"/>
    <s v="00"/>
    <n v="100"/>
    <s v="FULL TIME      100000000FF100-FULL TIME"/>
    <s v="01/04/2021"/>
    <s v=""/>
    <s v="  "/>
    <s v=""/>
    <s v="GSS "/>
    <s v="L23 "/>
    <x v="6"/>
    <s v="SIND.GIORN.        SINDACATO GIORNALISTI"/>
    <s v="valentina.melis@ilsole24ore.com                   "/>
    <s v="E"/>
    <s v="E-ESENTE"/>
    <s v="2 "/>
    <s v="2=6 X 6"/>
    <s v="01/07/2025"/>
    <s v="TEMPO DETERMINATO"/>
    <s v="31/05/2027"/>
    <s v="0015000700                    "/>
    <s v=""/>
    <n v="50"/>
    <s v="I  "/>
  </r>
  <r>
    <x v="0"/>
    <n v="3061"/>
    <x v="0"/>
    <s v="K           "/>
    <s v="REDAZIONI GIORNALISTICHE"/>
    <x v="37"/>
    <x v="36"/>
    <s v="514500      "/>
    <s v="514500  LUNEDI'"/>
    <s v="PAPARO                          "/>
    <s v="ALEXIS BENEDICTA  "/>
    <s v="PPRLSB88L66E202M"/>
    <x v="0"/>
    <s v="34"/>
    <x v="0"/>
    <s v="01/12/2022"/>
    <s v="MILANO                 "/>
    <x v="4"/>
    <x v="4"/>
    <s v="G"/>
    <x v="3"/>
    <s v="CSV"/>
    <x v="22"/>
    <s v="01/12/2022"/>
    <s v="01/12/2022"/>
    <s v="26/07/1988"/>
    <s v="C"/>
    <s v="C.MATERN.OBBLIG."/>
    <s v="1  -ASSUNZIONE                1"/>
    <s v=""/>
    <s v=" "/>
    <s v=""/>
    <s v=""/>
    <n v="3061"/>
    <s v="00"/>
    <n v="100"/>
    <s v="FULL TIME      100000000FF100-FULL TIME"/>
    <s v="01/12/2022"/>
    <s v=""/>
    <s v="  "/>
    <s v=""/>
    <s v="GBM "/>
    <s v="L23 "/>
    <x v="6"/>
    <s v="FIGEC CISAL        FIGEC CISAL"/>
    <s v="alexis.paparo@ilsole24ore.com                     "/>
    <s v="E"/>
    <s v="E-ESENTE"/>
    <s v="7 "/>
    <s v="7=5 X 7.20"/>
    <s v="01/07/2025"/>
    <s v="TEMPO DETERMINATO"/>
    <s v="31/05/2027"/>
    <s v="0015000700                    "/>
    <s v=""/>
    <n v="37"/>
    <s v="I  "/>
  </r>
  <r>
    <x v="0"/>
    <n v="1748"/>
    <x v="0"/>
    <s v="K           "/>
    <s v="REDAZIONI GIORNALISTICHE"/>
    <x v="37"/>
    <x v="36"/>
    <s v="514500      "/>
    <s v="514500  LUNEDI'"/>
    <s v="UCCELLO                         "/>
    <s v="MARIA             "/>
    <s v="CCLMRA72R68G273E"/>
    <x v="0"/>
    <s v="34"/>
    <x v="0"/>
    <s v="01/04/2021"/>
    <s v="MILANO                 "/>
    <x v="4"/>
    <x v="4"/>
    <s v="G"/>
    <x v="3"/>
    <s v="CSV"/>
    <x v="22"/>
    <s v="01/03/2001"/>
    <s v="01/03/2001"/>
    <s v="28/10/1972"/>
    <s v="A"/>
    <s v="A.IN FORZA"/>
    <s v="1  -ASSUNZIONE                1"/>
    <s v=""/>
    <s v=" "/>
    <s v=""/>
    <s v=""/>
    <n v="344"/>
    <s v="00"/>
    <n v="100"/>
    <s v="FULL TIME      100000000FF100-FULL TIME"/>
    <s v="01/03/2001"/>
    <s v=""/>
    <s v="  "/>
    <s v=""/>
    <s v="GSS "/>
    <s v="L23 "/>
    <x v="6"/>
    <s v=""/>
    <s v="serena.uccello@ilsole24ore.com                    "/>
    <s v="E"/>
    <s v="E-ESENTE"/>
    <s v="2 "/>
    <s v="2=6 X 6"/>
    <s v="01/07/2025"/>
    <s v="TEMPO DETERMINATO"/>
    <s v="31/05/2027"/>
    <s v="0015000700                    "/>
    <s v=""/>
    <n v="53"/>
    <s v="I  "/>
  </r>
  <r>
    <x v="0"/>
    <n v="2196"/>
    <x v="0"/>
    <s v="K           "/>
    <s v="REDAZIONI GIORNALISTICHE"/>
    <x v="37"/>
    <x v="36"/>
    <s v="514700      "/>
    <s v="514700   REDAZIONE ROMA"/>
    <s v="BEGHELLI                        "/>
    <s v="CHIARA            "/>
    <s v="BGHCHR78D51D653W"/>
    <x v="0"/>
    <s v="31"/>
    <x v="1"/>
    <s v="01/09/2013"/>
    <s v="ROMA                   "/>
    <x v="4"/>
    <x v="4"/>
    <s v="G"/>
    <x v="3"/>
    <s v="RM2"/>
    <x v="21"/>
    <s v="01/06/2007"/>
    <s v="01/06/2007"/>
    <s v="11/04/1978"/>
    <s v="A"/>
    <s v="A.IN FORZA"/>
    <s v="1  -ASSUNZIONE                1"/>
    <s v=""/>
    <s v=" "/>
    <s v=""/>
    <s v=""/>
    <n v="519"/>
    <s v="00"/>
    <n v="100"/>
    <s v="FULL TIME      100000000FF100-FULL TIME"/>
    <s v="01/06/2007"/>
    <s v=""/>
    <s v="  "/>
    <s v=""/>
    <s v="GSS "/>
    <s v="L27 "/>
    <x v="9"/>
    <s v=""/>
    <s v="chiara.beghelli@ilsole24ore.com                   "/>
    <s v="E"/>
    <s v="E-ESENTE"/>
    <s v="2 "/>
    <s v="2=6 X 6"/>
    <s v="01/07/2025"/>
    <s v="TEMPO DETERMINATO"/>
    <s v="31/05/2027"/>
    <s v="0015000754                    "/>
    <s v="CARDUCCI ARTENISIO FABIO"/>
    <n v="47"/>
    <s v="I  "/>
  </r>
  <r>
    <x v="0"/>
    <n v="754"/>
    <x v="0"/>
    <s v="K           "/>
    <s v="REDAZIONI GIORNALISTICHE"/>
    <x v="37"/>
    <x v="36"/>
    <s v="514700      "/>
    <s v="514700   REDAZIONE ROMA"/>
    <s v="CARDUCCI ARTENISIO              "/>
    <s v="FABIO             "/>
    <s v="CRDFBA64L24H501K"/>
    <x v="1"/>
    <s v="31"/>
    <x v="1"/>
    <s v="01/06/2009"/>
    <s v="ROMA                   "/>
    <x v="4"/>
    <x v="4"/>
    <s v="G"/>
    <x v="3"/>
    <s v="CR "/>
    <x v="24"/>
    <s v="21/03/1994"/>
    <s v="21/03/1994"/>
    <s v="24/07/1964"/>
    <s v="A"/>
    <s v="A.IN FORZA"/>
    <s v="1  -ASSUNZIONE                1"/>
    <s v=""/>
    <s v=" "/>
    <s v=""/>
    <s v=""/>
    <n v="190"/>
    <s v="00"/>
    <n v="100"/>
    <s v="FULL TIME      100000000FF100-FULL TIME"/>
    <s v="21/03/1994"/>
    <s v=""/>
    <s v="  "/>
    <s v=""/>
    <s v="GSS "/>
    <s v="L27 "/>
    <x v="9"/>
    <s v="SIND.GIORN.        SINDACATO GIORNALISTI"/>
    <s v="fabio.carducci@ilsole24ore.com                    "/>
    <s v="E"/>
    <s v="E-ESENTE"/>
    <s v="2 "/>
    <s v="2=6 X 6"/>
    <s v="01/07/2025"/>
    <s v="TEMPO DETERMINATO"/>
    <s v="31/05/2027"/>
    <s v="0015003107                    "/>
    <s v=""/>
    <n v="61"/>
    <s v="I  "/>
  </r>
  <r>
    <x v="0"/>
    <n v="2282"/>
    <x v="0"/>
    <s v="K           "/>
    <s v="REDAZIONI GIORNALISTICHE"/>
    <x v="37"/>
    <x v="36"/>
    <s v="514700      "/>
    <s v="514700   REDAZIONE ROMA"/>
    <s v="CARLI                           "/>
    <s v="ANDREA            "/>
    <s v="CRLNDR78B17H501W"/>
    <x v="1"/>
    <s v="31"/>
    <x v="1"/>
    <s v="10/02/2012"/>
    <s v="ROMA                   "/>
    <x v="4"/>
    <x v="4"/>
    <s v="G"/>
    <x v="3"/>
    <s v="RM2"/>
    <x v="21"/>
    <s v="01/04/2008"/>
    <s v="01/04/2008"/>
    <s v="17/02/1978"/>
    <s v="A"/>
    <s v="A.IN FORZA"/>
    <s v="1  -ASSUNZIONE                1"/>
    <s v=""/>
    <s v=" "/>
    <s v=""/>
    <s v=""/>
    <n v="549"/>
    <s v="00"/>
    <n v="100"/>
    <s v="FULL TIME      100000000FF100-FULL TIME"/>
    <s v="01/04/2008"/>
    <s v=""/>
    <s v="  "/>
    <s v=""/>
    <s v="GSS "/>
    <s v="L27 "/>
    <x v="9"/>
    <s v="SIND.GIORN.        SINDACATO GIORNALISTI"/>
    <s v="andrea.carli@ilsole24ore.com                      "/>
    <s v="E"/>
    <s v="E-ESENTE"/>
    <s v="3 "/>
    <s v="3=5 X 7"/>
    <s v="01/07/2025"/>
    <s v="TEMPO DETERMINATO"/>
    <s v="31/05/2027"/>
    <s v="0015000754                    "/>
    <s v="CARDUCCI ARTENISIO FABIO"/>
    <n v="47"/>
    <s v="I  "/>
  </r>
  <r>
    <x v="0"/>
    <n v="2928"/>
    <x v="0"/>
    <s v="K           "/>
    <s v="REDAZIONI GIORNALISTICHE"/>
    <x v="37"/>
    <x v="36"/>
    <s v="514700      "/>
    <s v="514700   REDAZIONE ROMA"/>
    <s v="CIMMARUSTI                      "/>
    <s v="IVAN              "/>
    <s v="CMMVNI78M12A662D"/>
    <x v="1"/>
    <s v="31"/>
    <x v="1"/>
    <s v="23/10/2017"/>
    <s v="ROMA                   "/>
    <x v="4"/>
    <x v="4"/>
    <s v="G"/>
    <x v="3"/>
    <s v="RM2"/>
    <x v="21"/>
    <s v="23/10/2017"/>
    <s v="23/10/2017"/>
    <s v="12/08/1978"/>
    <s v="A"/>
    <s v="A.IN FORZA"/>
    <s v="1  -ASSUNZIONE                1"/>
    <s v=""/>
    <s v=" "/>
    <s v=""/>
    <s v=""/>
    <n v="2928"/>
    <s v="00"/>
    <n v="100"/>
    <s v="FULL TIME      100000000FF100-FULL TIME"/>
    <s v="23/10/2017"/>
    <s v=""/>
    <s v="  "/>
    <s v=""/>
    <s v="GBM "/>
    <s v="L27 "/>
    <x v="9"/>
    <s v=""/>
    <s v="ivan.cimmarusti@ilsole24ore.com                   "/>
    <s v="E"/>
    <s v="E-ESENTE"/>
    <s v="2 "/>
    <s v="2=6 X 6"/>
    <s v="01/07/2025"/>
    <s v="TEMPO DETERMINATO"/>
    <s v="31/05/2027"/>
    <s v="0015000754                    "/>
    <s v="CARDUCCI ARTENISIO FABIO"/>
    <n v="47"/>
    <s v="I  "/>
  </r>
  <r>
    <x v="0"/>
    <n v="2178"/>
    <x v="0"/>
    <s v="K           "/>
    <s v="REDAZIONI GIORNALISTICHE"/>
    <x v="37"/>
    <x v="36"/>
    <s v="514700      "/>
    <s v="514700   REDAZIONE ROMA"/>
    <s v="COLOMBO                         "/>
    <s v="DAVIDE            "/>
    <s v="CLMDVD63P30E514Y"/>
    <x v="1"/>
    <s v="31"/>
    <x v="1"/>
    <s v="01/06/2009"/>
    <s v="ROMA                   "/>
    <x v="4"/>
    <x v="4"/>
    <s v="G"/>
    <x v="3"/>
    <s v="RE "/>
    <x v="25"/>
    <s v="01/04/2007"/>
    <s v="01/04/2007"/>
    <s v="30/09/1963"/>
    <s v="I"/>
    <s v="I.ASPETT. PERSON."/>
    <s v="1  -ASSUNZIONE                1"/>
    <s v="30/04/2027"/>
    <s v=" "/>
    <s v=""/>
    <s v=""/>
    <n v="512"/>
    <s v="00"/>
    <n v="100"/>
    <s v="FULL TIME      100000000FF100-FULL TIME"/>
    <s v="01/04/2007"/>
    <s v=""/>
    <s v="  "/>
    <s v=""/>
    <s v="GSS "/>
    <s v="L27 "/>
    <x v="9"/>
    <s v=""/>
    <s v="davide.colombo@ilsole24ore.com                    "/>
    <s v="E"/>
    <s v="E-ESENTE"/>
    <s v="2 "/>
    <s v="2=6 X 6"/>
    <s v="01/05/2021"/>
    <s v=""/>
    <s v=""/>
    <s v="0015000754                    "/>
    <s v="CARDUCCI ARTENISIO FABIO"/>
    <n v="62"/>
    <s v="I  "/>
  </r>
  <r>
    <x v="0"/>
    <n v="2563"/>
    <x v="0"/>
    <s v="K           "/>
    <s v="REDAZIONI GIORNALISTICHE"/>
    <x v="37"/>
    <x v="36"/>
    <s v="514700      "/>
    <s v="514700   REDAZIONE ROMA"/>
    <s v="DOMINELLI                       "/>
    <s v="CELESTINA         "/>
    <s v="DMNCST77L64D976F"/>
    <x v="0"/>
    <s v="31"/>
    <x v="1"/>
    <s v="07/06/2010"/>
    <s v="ROMA                   "/>
    <x v="4"/>
    <x v="4"/>
    <s v="G"/>
    <x v="3"/>
    <s v="CS "/>
    <x v="18"/>
    <s v="07/06/2010"/>
    <s v="07/06/2010"/>
    <s v="24/07/1977"/>
    <s v="A"/>
    <s v="A.IN FORZA"/>
    <s v="1  -ASSUNZIONE                1"/>
    <s v=""/>
    <s v=" "/>
    <s v=""/>
    <s v=""/>
    <n v="2563"/>
    <s v="00"/>
    <n v="100"/>
    <s v="FULL TIME      100000000FF100-FULL TIME"/>
    <s v="07/06/2010"/>
    <s v=""/>
    <s v="  "/>
    <s v=""/>
    <s v="GSS "/>
    <s v="L27 "/>
    <x v="9"/>
    <s v="SIND.GIORN.        SINDACATO GIORNALISTI"/>
    <s v="celestina.dominelli@ilsole24ore.com               "/>
    <s v="E"/>
    <s v="E-ESENTE"/>
    <s v="3 "/>
    <s v="3=5 X 7"/>
    <s v="01/07/2025"/>
    <s v="TEMPO DETERMINATO"/>
    <s v="31/05/2027"/>
    <s v="0015000754                    "/>
    <s v="CARDUCCI ARTENISIO FABIO"/>
    <n v="48"/>
    <s v="I  "/>
  </r>
  <r>
    <x v="0"/>
    <n v="1985"/>
    <x v="0"/>
    <s v="K           "/>
    <s v="REDAZIONI GIORNALISTICHE"/>
    <x v="37"/>
    <x v="36"/>
    <s v="514700      "/>
    <s v="514700   REDAZIONE ROMA"/>
    <s v="FERRAZZA                        "/>
    <s v="RICCARDO          "/>
    <s v="FRRRCR74L25H501H"/>
    <x v="1"/>
    <s v="31"/>
    <x v="1"/>
    <s v="01/06/2009"/>
    <s v="ROMA                   "/>
    <x v="4"/>
    <x v="4"/>
    <s v="G"/>
    <x v="3"/>
    <s v="CSV"/>
    <x v="22"/>
    <s v="17/11/2003"/>
    <s v="17/11/2003"/>
    <s v="25/07/1974"/>
    <s v="A"/>
    <s v="A.IN FORZA"/>
    <s v="1  -ASSUNZIONE                1"/>
    <s v=""/>
    <s v=" "/>
    <s v=""/>
    <s v=""/>
    <n v="417"/>
    <s v="00"/>
    <n v="100"/>
    <s v="FULL TIME      100000000FF100-FULL TIME"/>
    <s v="17/11/2003"/>
    <s v=""/>
    <s v="  "/>
    <s v=""/>
    <s v="GSS "/>
    <s v="L27 "/>
    <x v="9"/>
    <s v="NON ISCRITTO       NON ISCRITTO"/>
    <s v="riccardo.ferrazza@ilsole24ore.com                 "/>
    <s v="E"/>
    <s v="E-ESENTE"/>
    <s v="2 "/>
    <s v="2=6 X 6"/>
    <s v="01/07/2025"/>
    <s v="TEMPO DETERMINATO"/>
    <s v="31/05/2027"/>
    <s v="0015000754                    "/>
    <s v="CARDUCCI ARTENISIO FABIO"/>
    <n v="51"/>
    <s v="I  "/>
  </r>
  <r>
    <x v="0"/>
    <n v="1675"/>
    <x v="0"/>
    <s v="K           "/>
    <s v="REDAZIONI GIORNALISTICHE"/>
    <x v="37"/>
    <x v="36"/>
    <s v="514700      "/>
    <s v="514700   REDAZIONE ROMA"/>
    <s v="FOTINA                          "/>
    <s v="CARMINE           "/>
    <s v="FTNCMN75P19F839Y"/>
    <x v="1"/>
    <s v="31"/>
    <x v="1"/>
    <s v="01/06/2009"/>
    <s v="ROMA                   "/>
    <x v="4"/>
    <x v="4"/>
    <s v="G"/>
    <x v="3"/>
    <s v="CSV"/>
    <x v="22"/>
    <s v="06/11/2000"/>
    <s v="06/11/2000"/>
    <s v="19/09/1975"/>
    <s v="A"/>
    <s v="A.IN FORZA"/>
    <s v="1  -ASSUNZIONE                1"/>
    <s v=""/>
    <s v=" "/>
    <s v=""/>
    <s v=""/>
    <n v="324"/>
    <s v="00"/>
    <n v="100"/>
    <s v="FULL TIME      100000000FF100-FULL TIME"/>
    <s v="06/11/2000"/>
    <s v=""/>
    <s v="  "/>
    <s v=""/>
    <s v="GSS "/>
    <s v="L27 "/>
    <x v="9"/>
    <s v=""/>
    <s v="carmine.fotina@ilsole24ore.com                    "/>
    <s v="E"/>
    <s v="E-ESENTE"/>
    <s v="2 "/>
    <s v="2=6 X 6"/>
    <s v=""/>
    <s v=""/>
    <s v=""/>
    <s v="0015000754                    "/>
    <s v="CARDUCCI ARTENISIO FABIO"/>
    <n v="50"/>
    <s v="I  "/>
  </r>
  <r>
    <x v="0"/>
    <n v="2226"/>
    <x v="0"/>
    <s v="K           "/>
    <s v="REDAZIONI GIORNALISTICHE"/>
    <x v="37"/>
    <x v="36"/>
    <s v="514700      "/>
    <s v="514700   REDAZIONE ROMA"/>
    <s v="GAGLIARDI                       "/>
    <s v="ANDREA            "/>
    <s v="GGLNDR71T22F839T"/>
    <x v="1"/>
    <s v="31"/>
    <x v="1"/>
    <s v="01/06/2009"/>
    <s v="ROMA                   "/>
    <x v="4"/>
    <x v="4"/>
    <s v="G"/>
    <x v="3"/>
    <s v="RM2"/>
    <x v="21"/>
    <s v="18/09/2007"/>
    <s v="18/09/2007"/>
    <s v="22/12/1971"/>
    <s v="A"/>
    <s v="A.IN FORZA"/>
    <s v="1  -ASSUNZIONE                1"/>
    <s v=""/>
    <s v=" "/>
    <s v=""/>
    <s v=""/>
    <n v="526"/>
    <s v="00"/>
    <n v="100"/>
    <s v="FULL TIME      100000000FF100-FULL TIME"/>
    <s v="18/09/2007"/>
    <s v=""/>
    <s v="  "/>
    <s v=""/>
    <s v="GSS "/>
    <s v="L27 "/>
    <x v="9"/>
    <s v=""/>
    <s v="andrea.gagliardi@ilsole24ore.com                  "/>
    <s v="E"/>
    <s v="E-ESENTE"/>
    <s v="3 "/>
    <s v="3=5 X 7"/>
    <s v="01/07/2025"/>
    <s v="TEMPO DETERMINATO"/>
    <s v="31/05/2027"/>
    <s v="0015000754                    "/>
    <s v="CARDUCCI ARTENISIO FABIO"/>
    <n v="54"/>
    <s v="I  "/>
  </r>
  <r>
    <x v="0"/>
    <n v="1739"/>
    <x v="0"/>
    <s v="K           "/>
    <s v="REDAZIONI GIORNALISTICHE"/>
    <x v="37"/>
    <x v="36"/>
    <s v="514700      "/>
    <s v="514700   REDAZIONE ROMA"/>
    <s v="LANDOLFI                        "/>
    <s v="FLAVIA            "/>
    <s v="LNDFLV69P62H501I"/>
    <x v="0"/>
    <s v="31"/>
    <x v="1"/>
    <s v="25/05/2009"/>
    <s v="ROMA                   "/>
    <x v="4"/>
    <x v="4"/>
    <s v="G"/>
    <x v="3"/>
    <s v="RM2"/>
    <x v="21"/>
    <s v="12/02/2001"/>
    <s v="12/02/2001"/>
    <s v="22/09/1969"/>
    <s v="A"/>
    <s v="A.IN FORZA"/>
    <s v="1  -ASSUNZIONE                1"/>
    <s v=""/>
    <s v=" "/>
    <s v=""/>
    <s v=""/>
    <n v="337"/>
    <s v="00"/>
    <n v="100"/>
    <s v="FULL TIME      100000000FF100-FULL TIME"/>
    <s v="12/02/2001"/>
    <s v=""/>
    <s v="  "/>
    <s v=""/>
    <s v="GSS "/>
    <s v="    "/>
    <x v="0"/>
    <s v="SIND.GIORN.        SINDACATO GIORNALISTI"/>
    <s v="flavia.landolfi@ilsole24ore.com                   "/>
    <s v="E"/>
    <s v="E-ESENTE"/>
    <s v="3 "/>
    <s v="3=5 X 7"/>
    <s v="01/07/2025"/>
    <s v="TEMPO DETERMINATO"/>
    <s v="31/05/2027"/>
    <s v="0015000754                    "/>
    <s v="CARDUCCI ARTENISIO FABIO"/>
    <n v="56"/>
    <s v="I  "/>
  </r>
  <r>
    <x v="0"/>
    <n v="2225"/>
    <x v="0"/>
    <s v="K           "/>
    <s v="REDAZIONI GIORNALISTICHE"/>
    <x v="37"/>
    <x v="36"/>
    <s v="514700      "/>
    <s v="514700   REDAZIONE ROMA"/>
    <s v="MARINI                          "/>
    <s v="ANDREA            "/>
    <s v="MRNNDR77H03G535T"/>
    <x v="1"/>
    <s v="31"/>
    <x v="1"/>
    <s v="01/06/2009"/>
    <s v="ROMA                   "/>
    <x v="4"/>
    <x v="4"/>
    <s v="G"/>
    <x v="3"/>
    <s v="RM2"/>
    <x v="21"/>
    <s v="17/09/2007"/>
    <s v="17/09/2007"/>
    <s v="03/06/1977"/>
    <s v="A"/>
    <s v="A.IN FORZA"/>
    <s v="1  -ASSUNZIONE                1"/>
    <s v=""/>
    <s v=" "/>
    <s v=""/>
    <s v=""/>
    <n v="525"/>
    <s v="00"/>
    <n v="100"/>
    <s v="FULL TIME      100000000FF100-FULL TIME"/>
    <s v="17/09/2007"/>
    <s v=""/>
    <s v="  "/>
    <s v=""/>
    <s v="GSS "/>
    <s v="L27 "/>
    <x v="9"/>
    <s v=""/>
    <s v="andrea.marini@ilsole24ore.com                     "/>
    <s v="E"/>
    <s v="E-ESENTE"/>
    <s v="3 "/>
    <s v="3=5 X 7"/>
    <s v="01/07/2025"/>
    <s v="TEMPO DETERMINATO"/>
    <s v="31/05/2027"/>
    <s v="0015000754                    "/>
    <s v="CARDUCCI ARTENISIO FABIO"/>
    <n v="48"/>
    <s v="I  "/>
  </r>
  <r>
    <x v="0"/>
    <n v="483"/>
    <x v="0"/>
    <s v="K           "/>
    <s v="REDAZIONI GIORNALISTICHE"/>
    <x v="37"/>
    <x v="36"/>
    <s v="514700      "/>
    <s v="514700   REDAZIONE ROMA"/>
    <s v="MARRONI                         "/>
    <s v="CARLO             "/>
    <s v="MRRCRL61M21I726M"/>
    <x v="1"/>
    <s v="31"/>
    <x v="1"/>
    <s v="01/06/2009"/>
    <s v="ROMA                   "/>
    <x v="4"/>
    <x v="4"/>
    <s v="G"/>
    <x v="3"/>
    <s v="CR "/>
    <x v="24"/>
    <s v="01/06/1990"/>
    <s v="01/01/1996"/>
    <s v="21/08/1961"/>
    <s v="A"/>
    <s v="A.IN FORZA"/>
    <s v="1  -ASSUNZIONE                1"/>
    <s v=""/>
    <s v=" "/>
    <s v=""/>
    <s v=""/>
    <n v="140"/>
    <s v="00"/>
    <n v="100"/>
    <s v="FULL TIME      100000000FF100-FULL TIME"/>
    <s v="01/06/1990"/>
    <s v=""/>
    <s v="  "/>
    <s v=""/>
    <s v="GSS "/>
    <s v="L27 "/>
    <x v="9"/>
    <s v="SIND.GIORN.        SINDACATO GIORNALISTI"/>
    <s v="carlo.marroni@ilsole24ore.com                     "/>
    <s v="E"/>
    <s v="E-ESENTE"/>
    <s v="2 "/>
    <s v="2=6 X 6"/>
    <s v=""/>
    <s v=""/>
    <s v=""/>
    <s v="0015000754                    "/>
    <s v="CARDUCCI ARTENISIO FABIO"/>
    <n v="64"/>
    <s v="I  "/>
  </r>
  <r>
    <x v="0"/>
    <n v="1341"/>
    <x v="0"/>
    <s v="K           "/>
    <s v="REDAZIONI GIORNALISTICHE"/>
    <x v="37"/>
    <x v="36"/>
    <s v="514700      "/>
    <s v="514700   REDAZIONE ROMA"/>
    <s v="MOBILI                          "/>
    <s v="MARCO             "/>
    <s v="MBLMRC63P20H501L"/>
    <x v="1"/>
    <s v="31"/>
    <x v="1"/>
    <s v="01/06/2009"/>
    <s v="ROMA                   "/>
    <x v="4"/>
    <x v="4"/>
    <s v="G"/>
    <x v="3"/>
    <s v="CR "/>
    <x v="24"/>
    <s v="07/10/1991"/>
    <s v="07/10/1991"/>
    <s v="20/09/1963"/>
    <s v="A"/>
    <s v="A.IN FORZA"/>
    <s v="1  -ASSUNZIONE                1"/>
    <s v=""/>
    <s v=" "/>
    <s v=""/>
    <s v=""/>
    <n v="276"/>
    <s v="00"/>
    <n v="100"/>
    <s v="FULL TIME      100000000FF100-FULL TIME"/>
    <s v="07/10/1991"/>
    <s v=""/>
    <s v="  "/>
    <s v=""/>
    <s v="GSS "/>
    <s v="L27 "/>
    <x v="9"/>
    <s v=""/>
    <s v="marco.mobili@ilsole24ore.com                      "/>
    <s v="E"/>
    <s v="E-ESENTE"/>
    <s v="2 "/>
    <s v="2=6 X 6"/>
    <s v=""/>
    <s v=""/>
    <s v=""/>
    <s v="0015000754                    "/>
    <s v="CARDUCCI ARTENISIO FABIO"/>
    <n v="62"/>
    <s v="I  "/>
  </r>
  <r>
    <x v="0"/>
    <n v="3167"/>
    <x v="0"/>
    <s v="K           "/>
    <s v="REDAZIONI GIORNALISTICHE"/>
    <x v="37"/>
    <x v="36"/>
    <s v="514700      "/>
    <s v="514700   REDAZIONE ROMA"/>
    <s v="PACE                            "/>
    <s v="LORENZO           "/>
    <s v="PCALNZ02P24G273A"/>
    <x v="1"/>
    <s v="31"/>
    <x v="1"/>
    <s v="07/01/2026"/>
    <s v="ROMA                   "/>
    <x v="4"/>
    <x v="4"/>
    <e v="#N/A"/>
    <x v="4"/>
    <s v="PM2"/>
    <x v="28"/>
    <s v="07/01/2026"/>
    <s v="07/01/2026"/>
    <s v="24/09/2002"/>
    <s v="A"/>
    <s v="A.IN FORZA"/>
    <s v="1  -ASSUNZIONE                1"/>
    <s v=""/>
    <s v=" "/>
    <s v=""/>
    <s v=""/>
    <n v="3167"/>
    <s v="00"/>
    <n v="100"/>
    <s v="FULL TIME      100000000FF100-FULL TIME"/>
    <s v="07/01/2026"/>
    <s v=""/>
    <s v="  "/>
    <s v=""/>
    <s v="GBM "/>
    <s v="L27 "/>
    <x v="9"/>
    <s v=""/>
    <s v="lorenzo.pace@ilsole24ore.com                      "/>
    <s v="E"/>
    <s v="E-ESENTE"/>
    <s v="7 "/>
    <s v="7=5 X 7.20"/>
    <s v=""/>
    <s v=""/>
    <s v=""/>
    <s v="0015003059                    "/>
    <s v="BELLASIO DANIELE"/>
    <n v="23"/>
    <s v="I  "/>
  </r>
  <r>
    <x v="0"/>
    <n v="842"/>
    <x v="0"/>
    <s v="K           "/>
    <s v="REDAZIONI GIORNALISTICHE"/>
    <x v="37"/>
    <x v="36"/>
    <s v="514700      "/>
    <s v="514700   REDAZIONE ROMA"/>
    <s v="PALMERINI                       "/>
    <s v="LINA              "/>
    <s v="PLMLNI65H60A345J"/>
    <x v="0"/>
    <s v="31"/>
    <x v="1"/>
    <s v="01/06/2009"/>
    <s v="ROMA                   "/>
    <x v="4"/>
    <x v="4"/>
    <s v="G"/>
    <x v="3"/>
    <s v="CS "/>
    <x v="18"/>
    <s v="01/05/1995"/>
    <s v="01/05/1995"/>
    <s v="20/06/1965"/>
    <s v="A"/>
    <s v="A.IN FORZA"/>
    <s v="1  -ASSUNZIONE                1"/>
    <s v=""/>
    <s v=" "/>
    <s v=""/>
    <s v=""/>
    <n v="203"/>
    <s v="00"/>
    <n v="100"/>
    <s v="FULL TIME      100000000FF100-FULL TIME"/>
    <s v="01/05/1995"/>
    <s v=""/>
    <s v="  "/>
    <s v=""/>
    <s v="GSS "/>
    <s v="L27 "/>
    <x v="9"/>
    <s v="SIND.GIORN.        SINDACATO GIORNALISTI"/>
    <s v="lina.palmerini@ilsole24ore.com                    "/>
    <s v="E"/>
    <s v="E-ESENTE"/>
    <s v="2 "/>
    <s v="2=6 X 6"/>
    <s v=""/>
    <s v=""/>
    <s v=""/>
    <s v="0015000754                    "/>
    <s v="CARDUCCI ARTENISIO FABIO"/>
    <n v="60"/>
    <s v="I  "/>
  </r>
  <r>
    <x v="0"/>
    <n v="2377"/>
    <x v="0"/>
    <s v="K           "/>
    <s v="REDAZIONI GIORNALISTICHE"/>
    <x v="37"/>
    <x v="36"/>
    <s v="514700      "/>
    <s v="514700   REDAZIONE ROMA"/>
    <s v="PARENTE                         "/>
    <s v="GIOVANNI          "/>
    <s v="PRNGNN77H12G596N"/>
    <x v="1"/>
    <s v="31"/>
    <x v="1"/>
    <s v="17/06/2015"/>
    <s v="ROMA                   "/>
    <x v="4"/>
    <x v="4"/>
    <s v="G"/>
    <x v="3"/>
    <s v="CSV"/>
    <x v="22"/>
    <s v="23/12/2009"/>
    <s v="23/12/2009"/>
    <s v="12/06/1977"/>
    <s v="A"/>
    <s v="A.IN FORZA"/>
    <s v="1  -ASSUNZIONE                1"/>
    <s v=""/>
    <s v=" "/>
    <s v=""/>
    <s v=""/>
    <n v="585"/>
    <s v="00"/>
    <n v="100"/>
    <s v="FULL TIME      100000000FF100-FULL TIME"/>
    <s v="23/12/2009"/>
    <s v=""/>
    <s v="  "/>
    <s v=""/>
    <s v="GSS "/>
    <s v="L27 "/>
    <x v="9"/>
    <s v=""/>
    <s v="giovanni.parente@ilsole24ore.com                  "/>
    <s v="E"/>
    <s v="E-ESENTE"/>
    <s v="3 "/>
    <s v="3=5 X 7"/>
    <s v="01/07/2025"/>
    <s v="TEMPO DETERMINATO"/>
    <s v="31/05/2027"/>
    <s v="0015000739                    "/>
    <s v="DECESARI SEVERINA"/>
    <n v="48"/>
    <s v="I  "/>
  </r>
  <r>
    <x v="0"/>
    <n v="1459"/>
    <x v="0"/>
    <s v="K           "/>
    <s v="REDAZIONI GIORNALISTICHE"/>
    <x v="37"/>
    <x v="36"/>
    <s v="514700      "/>
    <s v="514700   REDAZIONE ROMA"/>
    <s v="PATTA                           "/>
    <s v="EMILIA ALZIRA     "/>
    <s v="PTTMLZ69B49H501Q"/>
    <x v="0"/>
    <s v="31"/>
    <x v="1"/>
    <s v="01/06/2009"/>
    <s v="ROMA                   "/>
    <x v="4"/>
    <x v="4"/>
    <s v="G"/>
    <x v="3"/>
    <s v="CS "/>
    <x v="18"/>
    <s v="14/01/2000"/>
    <s v="14/01/2000"/>
    <s v="09/02/1969"/>
    <s v="A"/>
    <s v="A.IN FORZA"/>
    <s v="1  -ASSUNZIONE                1"/>
    <s v=""/>
    <s v=" "/>
    <s v=""/>
    <s v=""/>
    <n v="300"/>
    <s v="00"/>
    <n v="100"/>
    <s v="FULL TIME      100000000FF100-FULL TIME"/>
    <s v="14/01/2000"/>
    <s v=""/>
    <s v="  "/>
    <s v=""/>
    <s v="GSS "/>
    <s v="L27 "/>
    <x v="9"/>
    <s v=""/>
    <s v="emilia.patta@ilsole24ore.com                      "/>
    <s v="E"/>
    <s v="E-ESENTE"/>
    <s v="2 "/>
    <s v="2=6 X 6"/>
    <s v=""/>
    <s v=""/>
    <s v=""/>
    <s v="0015000754                    "/>
    <s v="CARDUCCI ARTENISIO FABIO"/>
    <n v="56"/>
    <s v="I  "/>
  </r>
  <r>
    <x v="0"/>
    <n v="1942"/>
    <x v="0"/>
    <s v="K           "/>
    <s v="REDAZIONI GIORNALISTICHE"/>
    <x v="37"/>
    <x v="36"/>
    <s v="514700      "/>
    <s v="514700   REDAZIONE ROMA"/>
    <s v="PERRONE                         "/>
    <s v="MANUELA           "/>
    <s v="PRRMNL77B42H501U"/>
    <x v="0"/>
    <s v="31"/>
    <x v="1"/>
    <s v="25/05/2009"/>
    <s v="ROMA                   "/>
    <x v="4"/>
    <x v="4"/>
    <s v="G"/>
    <x v="3"/>
    <s v="CSV"/>
    <x v="22"/>
    <s v="07/04/2003"/>
    <s v="07/04/2003"/>
    <s v="02/02/1977"/>
    <s v="A"/>
    <s v="A.IN FORZA"/>
    <s v="1  -ASSUNZIONE                1"/>
    <s v=""/>
    <s v=" "/>
    <s v=""/>
    <s v=""/>
    <n v="389"/>
    <s v="00"/>
    <n v="100"/>
    <s v="FULL TIME      100000000FF100-FULL TIME"/>
    <s v="07/04/2003"/>
    <s v=""/>
    <s v="  "/>
    <s v=""/>
    <s v="GSS "/>
    <s v="L27 "/>
    <x v="9"/>
    <s v="SIND.GIORN.        SINDACATO GIORNALISTI"/>
    <s v="manuela.perrone@ilsole24ore.com                   "/>
    <s v="E"/>
    <s v="E-ESENTE"/>
    <s v="3 "/>
    <s v="3=5 X 7"/>
    <s v=""/>
    <s v=""/>
    <s v=""/>
    <s v="0015000754                    "/>
    <s v="CARDUCCI ARTENISIO FABIO"/>
    <n v="48"/>
    <s v="I  "/>
  </r>
  <r>
    <x v="0"/>
    <n v="928"/>
    <x v="0"/>
    <s v="K           "/>
    <s v="REDAZIONI GIORNALISTICHE"/>
    <x v="37"/>
    <x v="36"/>
    <s v="514700      "/>
    <s v="514700   REDAZIONE ROMA"/>
    <s v="POGLIOTTI                       "/>
    <s v="GIORGIO           "/>
    <s v="PGLGRG67H06H501D"/>
    <x v="1"/>
    <s v="31"/>
    <x v="1"/>
    <s v="01/06/2009"/>
    <s v="ROMA                   "/>
    <x v="4"/>
    <x v="4"/>
    <s v="G"/>
    <x v="3"/>
    <s v="RE "/>
    <x v="25"/>
    <s v="02/09/1996"/>
    <s v="02/09/1996"/>
    <s v="06/06/1967"/>
    <s v="A"/>
    <s v="A.IN FORZA"/>
    <s v="1  -ASSUNZIONE                1"/>
    <s v=""/>
    <s v=" "/>
    <s v=""/>
    <s v=""/>
    <n v="217"/>
    <s v="00"/>
    <n v="100"/>
    <s v="FULL TIME      100000000FF100-FULL TIME"/>
    <s v="02/09/1996"/>
    <s v=""/>
    <s v="  "/>
    <s v=""/>
    <s v="GSS "/>
    <s v="L27 "/>
    <x v="9"/>
    <s v="SIND.GIORN.        SINDACATO GIORNALISTI"/>
    <s v="giorgio.pogliotti@ilsole24ore.com                 "/>
    <s v="E"/>
    <s v="E-ESENTE"/>
    <s v="2 "/>
    <s v="2=6 X 6"/>
    <s v="01/07/2025"/>
    <s v="TEMPO DETERMINATO"/>
    <s v="31/05/2027"/>
    <s v="0015000754                    "/>
    <s v="CARDUCCI ARTENISIO FABIO"/>
    <n v="58"/>
    <s v="I  "/>
  </r>
  <r>
    <x v="0"/>
    <n v="1591"/>
    <x v="0"/>
    <s v="K           "/>
    <s v="REDAZIONI GIORNALISTICHE"/>
    <x v="37"/>
    <x v="36"/>
    <s v="514700      "/>
    <s v="514700   REDAZIONE ROMA"/>
    <s v="SERAFINI                        "/>
    <s v="LAURA             "/>
    <s v="SRFLRA69A60H501J"/>
    <x v="0"/>
    <s v="31"/>
    <x v="1"/>
    <s v="01/06/2009"/>
    <s v="ROMA                   "/>
    <x v="4"/>
    <x v="4"/>
    <s v="G"/>
    <x v="3"/>
    <s v="CS "/>
    <x v="18"/>
    <s v="10/07/2000"/>
    <s v="10/07/2000"/>
    <s v="20/01/1969"/>
    <s v="A"/>
    <s v="A.IN FORZA"/>
    <s v="1  -ASSUNZIONE                1"/>
    <s v=""/>
    <s v=" "/>
    <s v=""/>
    <s v=""/>
    <n v="316"/>
    <s v="00"/>
    <n v="100"/>
    <s v="FULL TIME      100000000FF100-FULL TIME"/>
    <s v="10/07/2000"/>
    <s v=""/>
    <s v="  "/>
    <s v=""/>
    <s v="GSS "/>
    <s v="L27 "/>
    <x v="9"/>
    <s v="FIGEC CISAL        FIGEC CISAL"/>
    <s v="laura.serafini@ilsole24ore.com                    "/>
    <s v="E"/>
    <s v="E-ESENTE"/>
    <s v="2 "/>
    <s v="2=6 X 6"/>
    <s v="01/07/2025"/>
    <s v="TEMPO DETERMINATO"/>
    <s v="31/05/2027"/>
    <s v="0015000754                    "/>
    <s v="CARDUCCI ARTENISIO FABIO"/>
    <n v="57"/>
    <s v="I  "/>
  </r>
  <r>
    <x v="0"/>
    <n v="1936"/>
    <x v="0"/>
    <s v="K           "/>
    <s v="REDAZIONI GIORNALISTICHE"/>
    <x v="37"/>
    <x v="36"/>
    <s v="514700      "/>
    <s v="514700   REDAZIONE ROMA"/>
    <s v="SESTO                           "/>
    <s v="MARIOLINA         "/>
    <s v="SSTMLN72S49C351N"/>
    <x v="0"/>
    <s v="31"/>
    <x v="1"/>
    <s v="01/06/2009"/>
    <s v="ROMA                   "/>
    <x v="4"/>
    <x v="4"/>
    <s v="G"/>
    <x v="3"/>
    <s v="CS "/>
    <x v="18"/>
    <s v="13/01/2003"/>
    <s v="13/01/2003"/>
    <s v="09/11/1972"/>
    <s v="A"/>
    <s v="A.IN FORZA"/>
    <s v="1  -ASSUNZIONE                1"/>
    <s v=""/>
    <s v=" "/>
    <s v=""/>
    <s v=""/>
    <n v="384"/>
    <s v="00"/>
    <n v="100"/>
    <s v="FULL TIME      100000000FF100-FULL TIME"/>
    <s v="13/01/2003"/>
    <s v=""/>
    <s v="  "/>
    <s v=""/>
    <s v="GSS "/>
    <s v="L27 "/>
    <x v="9"/>
    <s v=""/>
    <s v="mariolina.sesto@ilsole24ore.com                   "/>
    <s v="E"/>
    <s v="E-ESENTE"/>
    <s v="2 "/>
    <s v="2=6 X 6"/>
    <s v="01/07/2025"/>
    <s v="TEMPO DETERMINATO"/>
    <s v="31/05/2027"/>
    <s v="0015000754                    "/>
    <s v="CARDUCCI ARTENISIO FABIO"/>
    <n v="53"/>
    <s v="I  "/>
  </r>
  <r>
    <x v="0"/>
    <n v="2066"/>
    <x v="0"/>
    <s v="K           "/>
    <s v="REDAZIONI GIORNALISTICHE"/>
    <x v="37"/>
    <x v="36"/>
    <s v="514700      "/>
    <s v="514700   REDAZIONE ROMA"/>
    <s v="TROVATI                         "/>
    <s v="GIANNI            "/>
    <s v="TRVGNN75S24F952F"/>
    <x v="1"/>
    <s v="31"/>
    <x v="1"/>
    <s v="01/06/2017"/>
    <s v="ROMA                   "/>
    <x v="4"/>
    <x v="4"/>
    <s v="G"/>
    <x v="3"/>
    <s v="CSV"/>
    <x v="22"/>
    <s v="16/05/2005"/>
    <s v="16/05/2005"/>
    <s v="24/11/1975"/>
    <s v="A"/>
    <s v="A.IN FORZA"/>
    <s v="1  -ASSUNZIONE                1"/>
    <s v=""/>
    <s v=" "/>
    <s v=""/>
    <s v=""/>
    <n v="463"/>
    <s v="00"/>
    <n v="100"/>
    <s v="FULL TIME      100000000FF100-FULL TIME"/>
    <s v="16/05/2005"/>
    <s v=""/>
    <s v="  "/>
    <s v=""/>
    <s v="GSS "/>
    <s v="L27 "/>
    <x v="9"/>
    <s v=""/>
    <s v="gianni.trovati@ilsole24ore.com                    "/>
    <s v="E"/>
    <s v="E-ESENTE"/>
    <s v="2 "/>
    <s v="2=6 X 6"/>
    <s v="01/07/2025"/>
    <s v="TEMPO DETERMINATO"/>
    <s v="31/05/2027"/>
    <s v="0015000754                    "/>
    <s v="CARDUCCI ARTENISIO FABIO"/>
    <n v="50"/>
    <s v="I  "/>
  </r>
  <r>
    <x v="0"/>
    <n v="2562"/>
    <x v="0"/>
    <s v="K           "/>
    <s v="REDAZIONI GIORNALISTICHE"/>
    <x v="37"/>
    <x v="36"/>
    <s v="514700      "/>
    <s v="514700   REDAZIONE ROMA"/>
    <s v="TUCCI                           "/>
    <s v="CLAUDIO           "/>
    <s v="TCCCLD76H26H501D"/>
    <x v="1"/>
    <s v="31"/>
    <x v="1"/>
    <s v="07/06/2010"/>
    <s v="ROMA                   "/>
    <x v="4"/>
    <x v="4"/>
    <s v="G"/>
    <x v="3"/>
    <s v="CSV"/>
    <x v="22"/>
    <s v="07/06/2010"/>
    <s v="07/06/2010"/>
    <s v="26/06/1976"/>
    <s v="A"/>
    <s v="A.IN FORZA"/>
    <s v="1  -ASSUNZIONE                1"/>
    <s v=""/>
    <s v=" "/>
    <s v=""/>
    <s v=""/>
    <n v="2562"/>
    <s v="00"/>
    <n v="100"/>
    <s v="FULL TIME      100000000FF100-FULL TIME"/>
    <s v="07/06/2010"/>
    <s v=""/>
    <s v="  "/>
    <s v=""/>
    <s v="GSS "/>
    <s v="L27 "/>
    <x v="9"/>
    <s v=""/>
    <s v="claudio.tucci@ilsole24ore.com                     "/>
    <s v="E"/>
    <s v="E-ESENTE"/>
    <s v="3 "/>
    <s v="3=5 X 7"/>
    <s v="01/07/2025"/>
    <s v="TEMPO DETERMINATO"/>
    <s v="31/05/2027"/>
    <s v="0015000754                    "/>
    <s v="CARDUCCI ARTENISIO FABIO"/>
    <n v="49"/>
    <s v="I  "/>
  </r>
  <r>
    <x v="0"/>
    <n v="1481"/>
    <x v="0"/>
    <s v="K           "/>
    <s v="REDAZIONI GIORNALISTICHE"/>
    <x v="37"/>
    <x v="36"/>
    <s v="516000      "/>
    <s v="516000   ON LINE REDAZIONE"/>
    <s v="BARBIERI                        "/>
    <s v="FRANCESCA         "/>
    <s v="BRBFNC74P50B832Y"/>
    <x v="0"/>
    <s v="34"/>
    <x v="0"/>
    <s v="01/04/2021"/>
    <s v="MILANO                 "/>
    <x v="4"/>
    <x v="4"/>
    <s v="G"/>
    <x v="3"/>
    <s v="CSV"/>
    <x v="22"/>
    <s v="07/02/2000"/>
    <s v="07/02/2000"/>
    <s v="10/09/1974"/>
    <s v="A"/>
    <s v="A.IN FORZA"/>
    <s v="1  -ASSUNZIONE                1"/>
    <s v=""/>
    <s v=" "/>
    <s v=""/>
    <s v=""/>
    <n v="304"/>
    <s v="00"/>
    <n v="100"/>
    <s v="FULL TIME      100000000FF100-FULL TIME"/>
    <s v="15/02/2001"/>
    <s v=""/>
    <s v="  "/>
    <s v=""/>
    <s v="GSS "/>
    <s v="L26 "/>
    <x v="22"/>
    <s v=""/>
    <s v="francesca.barbieri@ilsole24ore.com                "/>
    <s v="E"/>
    <s v="E-ESENTE"/>
    <s v="2 "/>
    <s v="2=6 X 6"/>
    <s v="01/07/2025"/>
    <s v="TEMPO DETERMINATO"/>
    <s v="31/05/2027"/>
    <s v="0015000700                    "/>
    <s v=""/>
    <n v="51"/>
    <s v="I  "/>
  </r>
  <r>
    <x v="0"/>
    <n v="1999"/>
    <x v="0"/>
    <s v="K           "/>
    <s v="REDAZIONI GIORNALISTICHE"/>
    <x v="37"/>
    <x v="36"/>
    <s v="516000      "/>
    <s v="516000   ON LINE REDAZIONE"/>
    <s v="BARONE                          "/>
    <s v="NICOLA            "/>
    <s v="BRNNCL72R23G812D"/>
    <x v="1"/>
    <s v="31"/>
    <x v="1"/>
    <s v="25/05/2009"/>
    <s v="ROMA                   "/>
    <x v="4"/>
    <x v="4"/>
    <s v="G"/>
    <x v="3"/>
    <s v="RM2"/>
    <x v="21"/>
    <s v="16/02/2004"/>
    <s v="16/02/2004"/>
    <s v="23/10/1972"/>
    <s v="A"/>
    <s v="A.IN FORZA"/>
    <s v="1  -ASSUNZIONE                1"/>
    <s v=""/>
    <s v=" "/>
    <s v=""/>
    <s v=""/>
    <n v="425"/>
    <s v="00"/>
    <n v="100"/>
    <s v="FULL TIME      100000000FF100-FULL TIME"/>
    <s v="16/02/2004"/>
    <s v=""/>
    <s v="  "/>
    <s v=""/>
    <s v="GSS "/>
    <s v="L26 "/>
    <x v="22"/>
    <s v="SIND.GIORN.        SINDACATO GIORNALISTI"/>
    <s v="nicola.barone@ilsole24ore.com                     "/>
    <s v="E"/>
    <s v="E-ESENTE"/>
    <s v="2 "/>
    <s v="2=6 X 6"/>
    <s v="01/07/2025"/>
    <s v="TEMPO DETERMINATO"/>
    <s v="31/05/2027"/>
    <s v="0015000754                    "/>
    <s v="CARDUCCI ARTENISIO FABIO"/>
    <n v="53"/>
    <s v="I  "/>
  </r>
  <r>
    <x v="0"/>
    <n v="1920"/>
    <x v="0"/>
    <s v="K           "/>
    <s v="REDAZIONI GIORNALISTICHE"/>
    <x v="37"/>
    <x v="36"/>
    <s v="516000      "/>
    <s v="516000   ON LINE REDAZIONE"/>
    <s v="BISAZZA                         "/>
    <s v="BARBARA           "/>
    <s v="BSZBBR67S68G224K"/>
    <x v="0"/>
    <s v="34"/>
    <x v="0"/>
    <s v="01/04/2021"/>
    <s v="MILANO                 "/>
    <x v="4"/>
    <x v="4"/>
    <s v="G"/>
    <x v="3"/>
    <s v="CSV"/>
    <x v="22"/>
    <s v="24/12/2002"/>
    <s v="24/12/2002"/>
    <s v="28/11/1967"/>
    <s v="A"/>
    <s v="A.IN FORZA"/>
    <s v="1  -ASSUNZIONE                1"/>
    <s v=""/>
    <s v=" "/>
    <s v=""/>
    <s v=""/>
    <n v="380"/>
    <s v="00"/>
    <n v="100"/>
    <s v="FULL TIME      100000000FF100-FULL TIME"/>
    <s v="01/10/2017"/>
    <s v=""/>
    <s v="  "/>
    <s v=""/>
    <s v="GSS "/>
    <s v="L26 "/>
    <x v="22"/>
    <s v="SIND.GIORN.        SINDACATO GIORNALISTI"/>
    <s v="barbara.bisazza@ilsole24ore.com                   "/>
    <s v="E"/>
    <s v="E-ESENTE"/>
    <s v="3 "/>
    <s v="3=5 X 7"/>
    <s v="01/07/2025"/>
    <s v="TEMPO DETERMINATO"/>
    <s v="31/05/2027"/>
    <s v="0015000700                    "/>
    <s v=""/>
    <n v="58"/>
    <s v="I  "/>
  </r>
  <r>
    <x v="0"/>
    <n v="1630"/>
    <x v="0"/>
    <s v="K           "/>
    <s v="REDAZIONI GIORNALISTICHE"/>
    <x v="37"/>
    <x v="36"/>
    <s v="516000      "/>
    <s v="516000   ON LINE REDAZIONE"/>
    <s v="BRONZO                          "/>
    <s v="ENRICO            "/>
    <s v="BRNNRC64P09G478O"/>
    <x v="1"/>
    <s v="34"/>
    <x v="0"/>
    <s v="01/04/2021"/>
    <s v="MILANO                 "/>
    <x v="4"/>
    <x v="4"/>
    <s v="G"/>
    <x v="3"/>
    <s v="CSV"/>
    <x v="22"/>
    <s v="16/10/2000"/>
    <s v="16/10/2000"/>
    <s v="09/09/1964"/>
    <s v="A"/>
    <s v="A.IN FORZA"/>
    <s v="1  -ASSUNZIONE                1"/>
    <s v=""/>
    <s v=" "/>
    <s v=""/>
    <s v=""/>
    <n v="321"/>
    <s v="00"/>
    <n v="100"/>
    <s v="FULL TIME      100000000FF100-FULL TIME"/>
    <s v="01/10/2019"/>
    <s v=""/>
    <s v="  "/>
    <s v=""/>
    <s v="GSS "/>
    <s v="L26 "/>
    <x v="22"/>
    <s v="NON ISCRITTO       NON ISCRITTO"/>
    <s v="enrico.bronzo@ilsole24ore.com                     "/>
    <s v="E"/>
    <s v="E-ESENTE"/>
    <s v="2 "/>
    <s v="2=6 X 6"/>
    <s v="01/07/2025"/>
    <s v="TEMPO DETERMINATO"/>
    <s v="31/05/2027"/>
    <s v="0015000700                    "/>
    <s v=""/>
    <n v="61"/>
    <s v="I  "/>
  </r>
  <r>
    <x v="0"/>
    <n v="1513"/>
    <x v="0"/>
    <s v="K           "/>
    <s v="REDAZIONI GIORNALISTICHE"/>
    <x v="37"/>
    <x v="36"/>
    <s v="516000      "/>
    <s v="516000   ON LINE REDAZIONE"/>
    <s v="CIANFLONE                       "/>
    <s v="MARIO CIRO DOMENIC"/>
    <s v="CNFMCR65C25F205Y"/>
    <x v="1"/>
    <s v="34"/>
    <x v="0"/>
    <s v="01/04/2021"/>
    <s v="MILANO                 "/>
    <x v="4"/>
    <x v="4"/>
    <s v="G"/>
    <x v="3"/>
    <s v="CS "/>
    <x v="18"/>
    <s v="03/04/2000"/>
    <s v="03/04/2000"/>
    <s v="25/03/1965"/>
    <s v="A"/>
    <s v="A.IN FORZA"/>
    <s v="1  -ASSUNZIONE                1"/>
    <s v=""/>
    <s v=" "/>
    <s v=""/>
    <s v=""/>
    <n v="311"/>
    <s v="00"/>
    <n v="100"/>
    <s v="FULL TIME      100000000FF100-FULL TIME"/>
    <s v="03/04/2000"/>
    <s v=""/>
    <s v="  "/>
    <s v=""/>
    <s v="GSS "/>
    <s v="L26 "/>
    <x v="22"/>
    <s v="SIND.GIORN.        SINDACATO GIORNALISTI"/>
    <s v="mario.cianflone@ilsole24ore.com                   "/>
    <s v="E"/>
    <s v="E-ESENTE"/>
    <s v="3 "/>
    <s v="3=5 X 7"/>
    <s v="01/07/2025"/>
    <s v="TEMPO DETERMINATO"/>
    <s v="31/05/2027"/>
    <s v="0015000700                    "/>
    <s v=""/>
    <n v="60"/>
    <s v="I  "/>
  </r>
  <r>
    <x v="0"/>
    <n v="1405"/>
    <x v="0"/>
    <s v="K           "/>
    <s v="REDAZIONI GIORNALISTICHE"/>
    <x v="37"/>
    <x v="36"/>
    <s v="516000      "/>
    <s v="516000   ON LINE REDAZIONE"/>
    <s v="COTTONE                         "/>
    <s v="NICOLETTA         "/>
    <s v="CTTNLT59D47H501O"/>
    <x v="0"/>
    <s v="31"/>
    <x v="1"/>
    <s v="01/06/2009"/>
    <s v="ROMA                   "/>
    <x v="4"/>
    <x v="4"/>
    <s v="G"/>
    <x v="3"/>
    <s v="CR "/>
    <x v="24"/>
    <s v="05/09/1997"/>
    <s v="05/09/1997"/>
    <s v="07/04/1959"/>
    <s v="A"/>
    <s v="A.IN FORZA"/>
    <s v="1  -ASSUNZIONE                1"/>
    <s v=""/>
    <s v=" "/>
    <s v=""/>
    <s v=""/>
    <n v="285"/>
    <s v="00"/>
    <n v="100"/>
    <s v="FULL TIME      100000000FF100-FULL TIME"/>
    <s v="05/09/1997"/>
    <s v=""/>
    <s v="  "/>
    <s v=""/>
    <s v="GSS "/>
    <s v="L26 "/>
    <x v="22"/>
    <s v=""/>
    <s v="nicoletta.cottone@ilsole24ore.com                 "/>
    <s v="E"/>
    <s v="E-ESENTE"/>
    <s v="7 "/>
    <s v="7=5 X 7.20"/>
    <s v=""/>
    <s v=""/>
    <s v=""/>
    <s v="0015000754                    "/>
    <s v="CARDUCCI ARTENISIO FABIO"/>
    <n v="66"/>
    <s v="I  "/>
  </r>
  <r>
    <x v="0"/>
    <n v="3168"/>
    <x v="0"/>
    <s v="K           "/>
    <s v="REDAZIONI GIORNALISTICHE"/>
    <x v="37"/>
    <x v="36"/>
    <s v="516000      "/>
    <s v="516000   ON LINE REDAZIONE"/>
    <s v="DE LAURENTIIS                   "/>
    <s v="MASSIMO           "/>
    <s v="DLRMSM01R08F205K"/>
    <x v="1"/>
    <s v="34"/>
    <x v="0"/>
    <s v="07/01/2026"/>
    <s v="MILANO                 "/>
    <x v="4"/>
    <x v="4"/>
    <e v="#N/A"/>
    <x v="4"/>
    <s v="PM2"/>
    <x v="28"/>
    <s v="07/01/2026"/>
    <s v="07/01/2026"/>
    <s v="08/10/2001"/>
    <s v="A"/>
    <s v="A.IN FORZA"/>
    <s v="1  -ASSUNZIONE                1"/>
    <s v=""/>
    <s v=" "/>
    <s v=""/>
    <s v=""/>
    <n v="3168"/>
    <s v="00"/>
    <n v="100"/>
    <s v="FULL TIME      100000000FF100-FULL TIME"/>
    <s v="07/01/2026"/>
    <s v=""/>
    <s v="  "/>
    <s v=""/>
    <s v="GBM "/>
    <s v="L26 "/>
    <x v="22"/>
    <s v=""/>
    <s v="massimo.delaurentiis@ilsole24ore.com              "/>
    <s v="E"/>
    <s v="E-ESENTE"/>
    <s v="7 "/>
    <s v="7=5 X 7.20"/>
    <s v=""/>
    <s v=""/>
    <s v=""/>
    <s v="0015003059                    "/>
    <s v="BELLASIO DANIELE"/>
    <n v="24"/>
    <s v="I  "/>
  </r>
  <r>
    <x v="0"/>
    <n v="2074"/>
    <x v="0"/>
    <s v="K           "/>
    <s v="REDAZIONI GIORNALISTICHE"/>
    <x v="37"/>
    <x v="36"/>
    <s v="516000      "/>
    <s v="516000   ON LINE REDAZIONE"/>
    <s v="DONADDIO                        "/>
    <s v="MASSIMO           "/>
    <s v="DNDMSM77H04F952T"/>
    <x v="1"/>
    <s v="34"/>
    <x v="0"/>
    <s v="01/04/2021"/>
    <s v="MILANO                 "/>
    <x v="4"/>
    <x v="4"/>
    <s v="G"/>
    <x v="3"/>
    <s v="CSV"/>
    <x v="22"/>
    <s v="06/07/2005"/>
    <s v="06/07/2005"/>
    <s v="04/06/1977"/>
    <s v="A"/>
    <s v="A.IN FORZA"/>
    <s v="1  -ASSUNZIONE                1"/>
    <s v=""/>
    <s v=" "/>
    <s v=""/>
    <s v=""/>
    <n v="471"/>
    <s v="00"/>
    <n v="100"/>
    <s v="FULL TIME      100000000FF100-FULL TIME"/>
    <s v="06/07/2005"/>
    <s v=""/>
    <s v="  "/>
    <s v=""/>
    <s v="GSS "/>
    <s v="L26 "/>
    <x v="22"/>
    <s v="SIND.GIORN.        SINDACATO GIORNALISTI"/>
    <s v="massimo.donaddio@ilsole24ore.com                  "/>
    <s v="E"/>
    <s v="E-ESENTE"/>
    <s v="2 "/>
    <s v="2=6 X 6"/>
    <s v="01/07/2025"/>
    <s v="TEMPO DETERMINATO"/>
    <s v="31/05/2027"/>
    <s v="0015000700                    "/>
    <s v=""/>
    <n v="48"/>
    <s v="I  "/>
  </r>
  <r>
    <x v="0"/>
    <n v="1727"/>
    <x v="0"/>
    <s v="K           "/>
    <s v="REDAZIONI GIORNALISTICHE"/>
    <x v="37"/>
    <x v="36"/>
    <s v="516000      "/>
    <s v="516000   ON LINE REDAZIONE"/>
    <s v="FILIPPETTI                      "/>
    <s v="SIMONE            "/>
    <s v="FLPSMN73E09E256Z"/>
    <x v="1"/>
    <s v="34"/>
    <x v="0"/>
    <s v="01/04/2021"/>
    <s v="MILANO                 "/>
    <x v="4"/>
    <x v="4"/>
    <s v="G"/>
    <x v="3"/>
    <s v="RM2"/>
    <x v="21"/>
    <s v="01/02/2001"/>
    <s v="01/02/2001"/>
    <s v="09/05/1973"/>
    <s v="A"/>
    <s v="A.IN FORZA"/>
    <s v="1  -ASSUNZIONE                1"/>
    <s v=""/>
    <s v=" "/>
    <s v=""/>
    <s v=""/>
    <n v="332"/>
    <s v="00"/>
    <n v="100"/>
    <s v="FULL TIME      100000000FF100-FULL TIME"/>
    <s v="01/02/2001"/>
    <s v=""/>
    <s v="  "/>
    <s v=""/>
    <s v="GSS "/>
    <s v="L26 "/>
    <x v="22"/>
    <s v="NON ISCRITTO       NON ISCRITTO"/>
    <s v="simone.filippetti@ilsole24ore.com                 "/>
    <s v="E"/>
    <s v="E-ESENTE"/>
    <s v="2 "/>
    <s v="2=6 X 6"/>
    <s v="01/07/2025"/>
    <s v="TEMPO DETERMINATO"/>
    <s v="31/05/2027"/>
    <s v="0015000700                    "/>
    <s v=""/>
    <n v="52"/>
    <s v="I  "/>
  </r>
  <r>
    <x v="0"/>
    <n v="2246"/>
    <x v="0"/>
    <s v="K           "/>
    <s v="REDAZIONI GIORNALISTICHE"/>
    <x v="37"/>
    <x v="36"/>
    <s v="516000      "/>
    <s v="516000   ON LINE REDAZIONE"/>
    <s v="FINOTTO                         "/>
    <s v="CARLO             "/>
    <s v="FNTCRL66E03L669V"/>
    <x v="1"/>
    <s v="34"/>
    <x v="0"/>
    <s v="01/04/2021"/>
    <s v="MILANO                 "/>
    <x v="4"/>
    <x v="4"/>
    <s v="G"/>
    <x v="3"/>
    <s v="CRV"/>
    <x v="23"/>
    <s v="01/11/2007"/>
    <s v="01/11/2007"/>
    <s v="03/05/1966"/>
    <s v="A"/>
    <s v="A.IN FORZA"/>
    <s v="1  -ASSUNZIONE                1"/>
    <s v=""/>
    <s v=" "/>
    <s v=""/>
    <s v=""/>
    <n v="537"/>
    <s v="00"/>
    <n v="100"/>
    <s v="FULL TIME      100000000FF100-FULL TIME"/>
    <s v="01/11/2007"/>
    <s v=""/>
    <s v="  "/>
    <s v=""/>
    <s v="GSS "/>
    <s v="L26 "/>
    <x v="22"/>
    <s v="SIND.GIORN.        SINDACATO GIORNALISTI"/>
    <s v="carloandrea.finotto@ilsole24ore.com               "/>
    <s v="E"/>
    <s v="E-ESENTE"/>
    <s v="3 "/>
    <s v="3=5 X 7"/>
    <s v="01/07/2025"/>
    <s v="TEMPO DETERMINATO"/>
    <s v="31/05/2027"/>
    <s v="0015000700                    "/>
    <s v=""/>
    <n v="59"/>
    <s v="I  "/>
  </r>
  <r>
    <x v="0"/>
    <n v="2331"/>
    <x v="0"/>
    <s v="K           "/>
    <s v="REDAZIONI GIORNALISTICHE"/>
    <x v="37"/>
    <x v="36"/>
    <s v="516000      "/>
    <s v="516000   ON LINE REDAZIONE"/>
    <s v="FRANCESCHI DE MARCHI            "/>
    <s v="ANDREA            "/>
    <s v="FRNNDR79R23L682N"/>
    <x v="1"/>
    <s v="34"/>
    <x v="0"/>
    <s v="01/04/2021"/>
    <s v="MILANO                 "/>
    <x v="4"/>
    <x v="4"/>
    <s v="G"/>
    <x v="3"/>
    <s v="RM2"/>
    <x v="21"/>
    <s v="15/10/2008"/>
    <s v="15/10/2008"/>
    <s v="23/10/1979"/>
    <s v="A"/>
    <s v="A.IN FORZA"/>
    <s v="1  -ASSUNZIONE                1"/>
    <s v=""/>
    <s v=" "/>
    <s v=""/>
    <s v=""/>
    <n v="571"/>
    <s v="00"/>
    <n v="100"/>
    <s v="FULL TIME      100000000FF100-FULL TIME"/>
    <s v="15/10/2008"/>
    <s v=""/>
    <s v="  "/>
    <s v=""/>
    <s v="GSS "/>
    <s v="L26 "/>
    <x v="22"/>
    <s v="SIND.GIORN.        SINDACATO GIORNALISTI"/>
    <s v="andrea.franceschi@ilsole24ore.com                 "/>
    <s v="E"/>
    <s v="E-ESENTE"/>
    <s v="3 "/>
    <s v="3=5 X 7"/>
    <s v="01/07/2025"/>
    <s v="TEMPO DETERMINATO"/>
    <s v="31/05/2027"/>
    <s v="0015000700                    "/>
    <s v=""/>
    <n v="46"/>
    <s v="I  "/>
  </r>
  <r>
    <x v="0"/>
    <n v="2138"/>
    <x v="0"/>
    <s v="K           "/>
    <s v="REDAZIONI GIORNALISTICHE"/>
    <x v="37"/>
    <x v="36"/>
    <s v="516000      "/>
    <s v="516000   ON LINE REDAZIONE"/>
    <s v="LARIZZA                         "/>
    <s v="ANTONIO CARLO     "/>
    <s v="LRZNNC76C03F205H"/>
    <x v="1"/>
    <s v="34"/>
    <x v="0"/>
    <s v="01/04/2021"/>
    <s v="MILANO                 "/>
    <x v="4"/>
    <x v="4"/>
    <s v="G"/>
    <x v="3"/>
    <s v="RM2"/>
    <x v="21"/>
    <s v="23/10/2006"/>
    <s v="23/10/2006"/>
    <s v="03/03/1976"/>
    <s v="A"/>
    <s v="A.IN FORZA"/>
    <s v="1  -ASSUNZIONE                1"/>
    <s v=""/>
    <s v=" "/>
    <s v=""/>
    <s v=""/>
    <n v="494"/>
    <s v="00"/>
    <n v="100"/>
    <s v="FULL TIME      100000000FF100-FULL TIME"/>
    <s v="23/10/2006"/>
    <s v=""/>
    <s v="  "/>
    <s v=""/>
    <s v="GSS "/>
    <s v="L26 "/>
    <x v="22"/>
    <s v=""/>
    <s v="antonio.larizza@ilsole24ore.com                   "/>
    <s v="E"/>
    <s v="E-ESENTE"/>
    <s v="3 "/>
    <s v="3=5 X 7"/>
    <s v="01/07/2025"/>
    <s v="TEMPO DETERMINATO"/>
    <s v="31/05/2027"/>
    <s v="0015000700                    "/>
    <s v=""/>
    <n v="49"/>
    <s v="I  "/>
  </r>
  <r>
    <x v="0"/>
    <n v="2058"/>
    <x v="0"/>
    <s v="K           "/>
    <s v="REDAZIONI GIORNALISTICHE"/>
    <x v="37"/>
    <x v="36"/>
    <s v="516000      "/>
    <s v="516000   ON LINE REDAZIONE"/>
    <s v="LO CONTE                        "/>
    <s v="MARCO             "/>
    <s v="LCNMRC63S12F205D"/>
    <x v="1"/>
    <s v="34"/>
    <x v="0"/>
    <s v="01/04/2021"/>
    <s v="MILANO                 "/>
    <x v="4"/>
    <x v="4"/>
    <s v="G"/>
    <x v="3"/>
    <s v="CS "/>
    <x v="18"/>
    <s v="01/03/2005"/>
    <s v="01/03/2005"/>
    <s v="12/11/1963"/>
    <s v="A"/>
    <s v="A.IN FORZA"/>
    <s v="1  -ASSUNZIONE                1"/>
    <s v=""/>
    <s v=" "/>
    <s v=""/>
    <s v=""/>
    <n v="456"/>
    <s v="00"/>
    <n v="100"/>
    <s v="FULL TIME      100000000FF100-FULL TIME"/>
    <s v="01/03/2005"/>
    <s v=""/>
    <s v="  "/>
    <s v=""/>
    <s v="GSS "/>
    <s v="L26 "/>
    <x v="22"/>
    <s v="SIND.GIORN.        SINDACATO GIORNALISTI"/>
    <s v="marco.loconte@ilsole24ore.com                     "/>
    <s v="E"/>
    <s v="E-ESENTE"/>
    <s v="3 "/>
    <s v="3=5 X 7"/>
    <s v="01/07/2025"/>
    <s v="TEMPO DETERMINATO"/>
    <s v="31/05/2027"/>
    <s v="0015000700                    "/>
    <s v=""/>
    <n v="62"/>
    <s v="I  "/>
  </r>
  <r>
    <x v="0"/>
    <n v="2923"/>
    <x v="0"/>
    <s v="K           "/>
    <s v="REDAZIONI GIORNALISTICHE"/>
    <x v="37"/>
    <x v="36"/>
    <s v="516000      "/>
    <s v="516000   ON LINE REDAZIONE"/>
    <s v="MAGNANI                         "/>
    <s v="ALBERTO           "/>
    <s v="MGNLRT90C17L781G"/>
    <x v="1"/>
    <s v="34"/>
    <x v="0"/>
    <s v="01/09/2023"/>
    <s v="MILANO                 "/>
    <x v="4"/>
    <x v="4"/>
    <s v="G"/>
    <x v="3"/>
    <s v="RM2"/>
    <x v="21"/>
    <s v="07/08/2017"/>
    <s v="07/08/2017"/>
    <s v="17/03/1990"/>
    <s v="A"/>
    <s v="A.IN FORZA"/>
    <s v="1  -ASSUNZIONE                1"/>
    <s v=""/>
    <s v=" "/>
    <s v=""/>
    <s v=""/>
    <n v="2923"/>
    <s v="00"/>
    <n v="100"/>
    <s v="FULL TIME      100000000FF100-FULL TIME"/>
    <s v="07/08/2017"/>
    <s v=""/>
    <s v="  "/>
    <s v=""/>
    <s v="GBM "/>
    <s v="L10 "/>
    <x v="15"/>
    <s v=""/>
    <s v="alberto.magnani@ilsole24ore.com                   "/>
    <s v="E"/>
    <s v="E-ESENTE"/>
    <s v="3 "/>
    <s v="3=5 X 7"/>
    <s v="01/07/2025"/>
    <s v="TEMPO DETERMINATO"/>
    <s v="31/05/2027"/>
    <s v="                              "/>
    <s v=""/>
    <n v="35"/>
    <s v="I  "/>
  </r>
  <r>
    <x v="0"/>
    <n v="2376"/>
    <x v="0"/>
    <s v="K           "/>
    <s v="REDAZIONI GIORNALISTICHE"/>
    <x v="37"/>
    <x v="36"/>
    <s v="516000      "/>
    <s v="516000   ON LINE REDAZIONE"/>
    <s v="MANGANARO                       "/>
    <s v="ANGELA            "/>
    <s v="MNGNGL77H50F158F"/>
    <x v="0"/>
    <s v="34"/>
    <x v="0"/>
    <s v="01/04/2021"/>
    <s v="MILANO                 "/>
    <x v="4"/>
    <x v="4"/>
    <s v="G"/>
    <x v="3"/>
    <s v="RM2"/>
    <x v="21"/>
    <s v="23/12/2009"/>
    <s v="23/12/2009"/>
    <s v="10/06/1977"/>
    <s v="A"/>
    <s v="A.IN FORZA"/>
    <s v="1  -ASSUNZIONE                1"/>
    <s v=""/>
    <s v=" "/>
    <s v=""/>
    <s v=""/>
    <n v="584"/>
    <s v="00"/>
    <n v="100"/>
    <s v="FULL TIME      100000000FF100-FULL TIME"/>
    <s v="23/12/2009"/>
    <s v=""/>
    <s v="  "/>
    <s v=""/>
    <s v="GSS "/>
    <s v="L26 "/>
    <x v="22"/>
    <s v=""/>
    <s v="angela.manganaro@ilsole24ore.com                  "/>
    <s v="E"/>
    <s v="E-ESENTE"/>
    <s v="3 "/>
    <s v="3=5 X 7"/>
    <s v="01/07/2025"/>
    <s v="TEMPO DETERMINATO"/>
    <s v="31/05/2027"/>
    <s v="0015000700                    "/>
    <s v=""/>
    <n v="48"/>
    <s v="I  "/>
  </r>
  <r>
    <x v="0"/>
    <n v="2056"/>
    <x v="0"/>
    <s v="K           "/>
    <s v="REDAZIONI GIORNALISTICHE"/>
    <x v="37"/>
    <x v="36"/>
    <s v="516000      "/>
    <s v="516000   ON LINE REDAZIONE"/>
    <s v="MARRO                           "/>
    <s v="ENRICO            "/>
    <s v="MRRNRC67P15A944J"/>
    <x v="1"/>
    <s v="34"/>
    <x v="0"/>
    <s v="01/04/2021"/>
    <s v="MILANO                 "/>
    <x v="4"/>
    <x v="4"/>
    <s v="G"/>
    <x v="3"/>
    <s v="T1 "/>
    <x v="26"/>
    <s v="01/03/2005"/>
    <s v="01/03/2005"/>
    <s v="15/09/1967"/>
    <s v="A"/>
    <s v="A.IN FORZA"/>
    <s v="1  -ASSUNZIONE                1"/>
    <s v=""/>
    <s v=" "/>
    <s v=""/>
    <s v=""/>
    <n v="454"/>
    <s v="00"/>
    <n v="100"/>
    <s v="FULL TIME      100000000FF100-FULL TIME"/>
    <s v="01/03/2005"/>
    <s v=""/>
    <s v="  "/>
    <s v=""/>
    <s v="GSS "/>
    <s v="L26 "/>
    <x v="22"/>
    <s v="SIND.GIORN.        SINDACATO GIORNALISTI"/>
    <s v="enrico.marro@ilsole24ore.com                      "/>
    <s v="E"/>
    <s v="E-ESENTE"/>
    <s v="3 "/>
    <s v="3=5 X 7"/>
    <s v=""/>
    <s v=""/>
    <s v=""/>
    <s v="0015000700                    "/>
    <s v=""/>
    <n v="58"/>
    <s v="I  "/>
  </r>
  <r>
    <x v="0"/>
    <n v="3089"/>
    <x v="0"/>
    <s v="K           "/>
    <s v="REDAZIONI GIORNALISTICHE"/>
    <x v="37"/>
    <x v="36"/>
    <s v="516000      "/>
    <s v="516000   ON LINE REDAZIONE"/>
    <s v="MARTELLI                        "/>
    <s v="SILVIA            "/>
    <s v="MRTSLV97B64L400A"/>
    <x v="0"/>
    <s v="34"/>
    <x v="0"/>
    <s v="11/09/2023"/>
    <s v="MILANO                 "/>
    <x v="4"/>
    <x v="4"/>
    <s v="G"/>
    <x v="3"/>
    <s v="RP2"/>
    <x v="27"/>
    <s v="11/09/2023"/>
    <s v="11/09/2023"/>
    <s v="24/02/1997"/>
    <s v="A"/>
    <s v="A.IN FORZA"/>
    <s v="1  -ASSUNZIONE                1"/>
    <s v=""/>
    <s v=" "/>
    <s v=""/>
    <s v=""/>
    <n v="3089"/>
    <s v="00"/>
    <n v="100"/>
    <s v="FULL TIME      100000000FF100-FULL TIME"/>
    <s v="11/09/2023"/>
    <s v=""/>
    <s v="  "/>
    <s v=""/>
    <s v="GBM "/>
    <s v="    "/>
    <x v="0"/>
    <s v=""/>
    <s v="silvia.martelli@ilsole24ore.com                   "/>
    <s v="E"/>
    <s v="E-ESENTE"/>
    <s v="7 "/>
    <s v="7=5 X 7.20"/>
    <s v=""/>
    <s v=""/>
    <s v=""/>
    <s v="                              "/>
    <s v=""/>
    <n v="28"/>
    <s v="I  "/>
  </r>
  <r>
    <x v="0"/>
    <n v="1279"/>
    <x v="0"/>
    <s v="K           "/>
    <s v="REDAZIONI GIORNALISTICHE"/>
    <x v="37"/>
    <x v="36"/>
    <s v="516000      "/>
    <s v="516000   ON LINE REDAZIONE"/>
    <s v="MEONI                           "/>
    <s v="GABRIELE          "/>
    <s v="MNEGRL71S02A944E"/>
    <x v="1"/>
    <s v="34"/>
    <x v="0"/>
    <s v="01/04/2021"/>
    <s v="MILANO                 "/>
    <x v="4"/>
    <x v="4"/>
    <s v="G"/>
    <x v="3"/>
    <s v="CRV"/>
    <x v="23"/>
    <s v="01/08/1999"/>
    <s v="01/08/1999"/>
    <s v="02/11/1971"/>
    <s v="A"/>
    <s v="A.IN FORZA"/>
    <s v="1  -ASSUNZIONE                1"/>
    <s v=""/>
    <s v=" "/>
    <s v=""/>
    <s v=""/>
    <n v="271"/>
    <s v="00"/>
    <n v="100"/>
    <s v="FULL TIME      100000000FF100-FULL TIME"/>
    <s v="01/08/1999"/>
    <s v=""/>
    <s v="  "/>
    <s v=""/>
    <s v="GSS "/>
    <s v="L26 "/>
    <x v="22"/>
    <s v="SIND.GIORN.        SINDACATO GIORNALISTI"/>
    <s v="gabriele.meoni@ilsole24ore.com                    "/>
    <s v="E"/>
    <s v="E-ESENTE"/>
    <s v="2 "/>
    <s v="2=6 X 6"/>
    <s v="01/07/2025"/>
    <s v="TEMPO DETERMINATO"/>
    <s v="31/05/2027"/>
    <s v="0015000700                    "/>
    <s v=""/>
    <n v="54"/>
    <s v="I  "/>
  </r>
  <r>
    <x v="0"/>
    <n v="3086"/>
    <x v="0"/>
    <s v="K           "/>
    <s v="REDAZIONI GIORNALISTICHE"/>
    <x v="37"/>
    <x v="36"/>
    <s v="516000      "/>
    <s v="516000   ON LINE REDAZIONE"/>
    <s v="MIGLIORISI                      "/>
    <s v="ANGELICA          "/>
    <s v="MGLNLC93L49H501Q"/>
    <x v="0"/>
    <s v="34"/>
    <x v="0"/>
    <s v="01/09/2023"/>
    <s v="MILANO                 "/>
    <x v="4"/>
    <x v="4"/>
    <s v="G"/>
    <x v="3"/>
    <s v="RM2"/>
    <x v="21"/>
    <s v="01/09/2023"/>
    <s v="01/09/2023"/>
    <s v="09/07/1993"/>
    <s v="A"/>
    <s v="A.IN FORZA"/>
    <s v="1  -ASSUNZIONE                1"/>
    <s v=""/>
    <s v=" "/>
    <s v=""/>
    <s v=""/>
    <n v="3086"/>
    <s v="00"/>
    <n v="100"/>
    <s v="FULL TIME      100000000FF100-FULL TIME"/>
    <s v="01/09/2023"/>
    <s v=""/>
    <s v="  "/>
    <s v=""/>
    <s v="GBM "/>
    <s v="L26 "/>
    <x v="22"/>
    <s v=""/>
    <s v="angelica.migliorisi@ilsole24ore.com               "/>
    <s v="E"/>
    <s v="E-ESENTE"/>
    <s v="7 "/>
    <s v="7=5 X 7.20"/>
    <s v="01/07/2025"/>
    <s v="TEMPO DETERMINATO"/>
    <s v="31/05/2027"/>
    <s v="                              "/>
    <s v=""/>
    <n v="32"/>
    <s v="I  "/>
  </r>
  <r>
    <x v="0"/>
    <n v="1943"/>
    <x v="0"/>
    <s v="K           "/>
    <s v="REDAZIONI GIORNALISTICHE"/>
    <x v="37"/>
    <x v="36"/>
    <s v="516000      "/>
    <s v="516000   ON LINE REDAZIONE"/>
    <s v="NUTI                            "/>
    <s v="VITTORIO          "/>
    <s v="NTUVTR68E04G702U"/>
    <x v="1"/>
    <s v="31"/>
    <x v="1"/>
    <s v="25/05/2009"/>
    <s v="ROMA                   "/>
    <x v="4"/>
    <x v="4"/>
    <s v="G"/>
    <x v="3"/>
    <s v="RM2"/>
    <x v="21"/>
    <s v="14/04/2003"/>
    <s v="14/04/2003"/>
    <s v="04/05/1968"/>
    <s v="A"/>
    <s v="A.IN FORZA"/>
    <s v="1  -ASSUNZIONE                1"/>
    <s v=""/>
    <s v=" "/>
    <s v=""/>
    <s v=""/>
    <n v="390"/>
    <s v="00"/>
    <n v="100"/>
    <s v="FULL TIME      100000000FF100-FULL TIME"/>
    <s v="14/04/2003"/>
    <s v=""/>
    <s v="  "/>
    <s v=""/>
    <s v="GSS "/>
    <s v="L26 "/>
    <x v="22"/>
    <s v="SIND.GIORN.        SINDACATO GIORNALISTI"/>
    <s v="vittorio.nuti@ilsole24ore.com                     "/>
    <s v="E"/>
    <s v="E-ESENTE"/>
    <s v="2 "/>
    <s v="2=6 X 6"/>
    <s v="01/07/2025"/>
    <s v="TEMPO DETERMINATO"/>
    <s v="31/05/2027"/>
    <s v="0015000754                    "/>
    <s v="CARDUCCI ARTENISIO FABIO"/>
    <n v="57"/>
    <s v="I  "/>
  </r>
  <r>
    <x v="0"/>
    <n v="892"/>
    <x v="0"/>
    <s v="K           "/>
    <s v="REDAZIONI GIORNALISTICHE"/>
    <x v="37"/>
    <x v="36"/>
    <s v="516000      "/>
    <s v="516000   ON LINE REDAZIONE"/>
    <s v="PERUZZI                         "/>
    <s v="MARCO             "/>
    <s v="PRZMRC65R17L500G"/>
    <x v="1"/>
    <s v="34"/>
    <x v="0"/>
    <s v="01/04/2021"/>
    <s v="MILANO                 "/>
    <x v="4"/>
    <x v="4"/>
    <s v="G"/>
    <x v="3"/>
    <s v="CS "/>
    <x v="18"/>
    <s v="02/05/1996"/>
    <s v="02/05/1996"/>
    <s v="17/10/1965"/>
    <s v="A"/>
    <s v="A.IN FORZA"/>
    <s v="1  -ASSUNZIONE                1"/>
    <s v=""/>
    <s v=" "/>
    <s v=""/>
    <s v=""/>
    <n v="208"/>
    <s v="00"/>
    <n v="100"/>
    <s v="FULL TIME      100000000FF100-FULL TIME"/>
    <s v="02/05/1996"/>
    <s v=""/>
    <s v="  "/>
    <s v=""/>
    <s v="GSS "/>
    <s v="L26 "/>
    <x v="22"/>
    <s v=""/>
    <s v="marco.peruzzi@ilsole24ore.com                     "/>
    <s v="E"/>
    <s v="E-ESENTE"/>
    <s v="2 "/>
    <s v="2=6 X 6"/>
    <s v="01/07/2025"/>
    <s v="TEMPO DETERMINATO"/>
    <s v="31/05/2027"/>
    <s v="0015000700                    "/>
    <s v=""/>
    <n v="60"/>
    <s v="I  "/>
  </r>
  <r>
    <x v="0"/>
    <n v="2922"/>
    <x v="0"/>
    <s v="K           "/>
    <s v="REDAZIONI GIORNALISTICHE"/>
    <x v="37"/>
    <x v="36"/>
    <s v="516000      "/>
    <s v="516000   ON LINE REDAZIONE"/>
    <s v="PRISCO                          "/>
    <s v="FRANCESCO         "/>
    <s v="PRSFNC76L27G813I"/>
    <x v="1"/>
    <s v="34"/>
    <x v="0"/>
    <s v="01/04/2021"/>
    <s v="MILANO                 "/>
    <x v="4"/>
    <x v="4"/>
    <s v="G"/>
    <x v="3"/>
    <s v="RM2"/>
    <x v="21"/>
    <s v="18/07/2017"/>
    <s v="18/07/2017"/>
    <s v="27/07/1976"/>
    <s v="A"/>
    <s v="A.IN FORZA"/>
    <s v="1  -ASSUNZIONE                1"/>
    <s v=""/>
    <s v=" "/>
    <s v=""/>
    <s v=""/>
    <n v="2922"/>
    <s v="00"/>
    <n v="100"/>
    <s v="FULL TIME      100000000FF100-FULL TIME"/>
    <s v="18/07/2017"/>
    <s v=""/>
    <s v="  "/>
    <s v=""/>
    <s v="GBM "/>
    <s v="L26 "/>
    <x v="22"/>
    <s v=""/>
    <s v="francesco.prisco@ilsole24ore.com                  "/>
    <s v="E"/>
    <s v="E-ESENTE"/>
    <s v="2 "/>
    <s v="2=6 X 6"/>
    <s v="01/07/2025"/>
    <s v="TEMPO DETERMINATO"/>
    <s v="31/05/2027"/>
    <s v="0015000700                    "/>
    <s v=""/>
    <n v="49"/>
    <s v="I  "/>
  </r>
  <r>
    <x v="0"/>
    <n v="2181"/>
    <x v="0"/>
    <s v="K           "/>
    <s v="REDAZIONI GIORNALISTICHE"/>
    <x v="37"/>
    <x v="36"/>
    <s v="516000      "/>
    <s v="516000   ON LINE REDAZIONE"/>
    <s v="REGGIO                          "/>
    <s v="ROSALBA           "/>
    <s v="RGGRLB66D43F205J"/>
    <x v="0"/>
    <s v="34"/>
    <x v="0"/>
    <s v="01/04/2021"/>
    <s v="MILANO                 "/>
    <x v="4"/>
    <x v="4"/>
    <s v="G"/>
    <x v="3"/>
    <s v="CS "/>
    <x v="18"/>
    <s v="01/04/2007"/>
    <s v="01/04/2007"/>
    <s v="03/04/1966"/>
    <s v="A"/>
    <s v="A.IN FORZA"/>
    <s v="1  -ASSUNZIONE                1"/>
    <s v=""/>
    <s v=" "/>
    <s v=""/>
    <s v=""/>
    <n v="515"/>
    <s v="00"/>
    <n v="100"/>
    <s v="FULL TIME      100000000FF100-FULL TIME"/>
    <s v="01/04/2007"/>
    <s v=""/>
    <s v="  "/>
    <s v=""/>
    <s v="GSS "/>
    <s v="L26 "/>
    <x v="22"/>
    <s v="SIND.GIORN.        SINDACATO GIORNALISTI"/>
    <s v="rosalba.reggio@ilsole24ore.com                    "/>
    <s v="E"/>
    <s v="E-ESENTE"/>
    <s v="2 "/>
    <s v="2=6 X 6"/>
    <s v="01/06/2023"/>
    <s v="TEMPO DETERMINATO"/>
    <s v="30/06/2024"/>
    <s v="0015000700                    "/>
    <s v=""/>
    <n v="59"/>
    <s v="I  "/>
  </r>
  <r>
    <x v="0"/>
    <n v="3169"/>
    <x v="0"/>
    <s v="K           "/>
    <s v="REDAZIONI GIORNALISTICHE"/>
    <x v="37"/>
    <x v="36"/>
    <s v="516000      "/>
    <s v="516000   ON LINE REDAZIONE"/>
    <s v="RIVA                            "/>
    <s v="GIULIA            "/>
    <s v="RVIGLI91B48F704M"/>
    <x v="0"/>
    <s v="34"/>
    <x v="0"/>
    <s v="12/01/2026"/>
    <s v="MILANO                 "/>
    <x v="4"/>
    <x v="4"/>
    <s v="G"/>
    <x v="3"/>
    <s v="RM2"/>
    <x v="21"/>
    <s v="12/01/2026"/>
    <s v="12/01/2026"/>
    <s v="08/02/1991"/>
    <s v="A"/>
    <s v="A.IN FORZA"/>
    <s v="1  -ASSUNZIONE                1"/>
    <s v=""/>
    <s v=" "/>
    <s v=""/>
    <s v=""/>
    <n v="3169"/>
    <s v="00"/>
    <n v="100"/>
    <s v="FULL TIME      100000000FF100-FULL TIME"/>
    <s v="12/01/2026"/>
    <s v=""/>
    <s v="05"/>
    <s v="INVALIDI CIVILI"/>
    <s v="GBM "/>
    <s v="L26 "/>
    <x v="22"/>
    <s v=""/>
    <s v="giulia.riva@ilsole24ore.com                       "/>
    <s v="E"/>
    <s v="E-ESENTE"/>
    <s v="7 "/>
    <s v="7=5 X 7.20"/>
    <s v="20/01/2026"/>
    <s v="TEMPO DETERMINATO"/>
    <s v="05/02/2027"/>
    <s v="0015003059                    "/>
    <s v="BELLASIO DANIELE"/>
    <n v="34"/>
    <s v="I  "/>
  </r>
  <r>
    <x v="0"/>
    <n v="2332"/>
    <x v="0"/>
    <s v="K           "/>
    <s v="REDAZIONI GIORNALISTICHE"/>
    <x v="37"/>
    <x v="36"/>
    <s v="516000      "/>
    <s v="516000   ON LINE REDAZIONE"/>
    <s v="SALVIOLI MARIANI                "/>
    <s v="LUCA              "/>
    <s v="SLVLCU81D04F205Y"/>
    <x v="1"/>
    <s v="34"/>
    <x v="0"/>
    <s v="01/04/2021"/>
    <s v="MILANO                 "/>
    <x v="4"/>
    <x v="4"/>
    <s v="G"/>
    <x v="3"/>
    <s v="CSV"/>
    <x v="22"/>
    <s v="15/10/2008"/>
    <s v="15/10/2008"/>
    <s v="04/04/1981"/>
    <s v="A"/>
    <s v="A.IN FORZA"/>
    <s v="1  -ASSUNZIONE                1"/>
    <s v=""/>
    <s v=" "/>
    <s v=""/>
    <s v=""/>
    <n v="572"/>
    <s v="00"/>
    <n v="100"/>
    <s v="FULL TIME      100000000FF100-FULL TIME"/>
    <s v="15/10/2008"/>
    <s v=""/>
    <s v="  "/>
    <s v=""/>
    <s v="GSS "/>
    <s v="L26 "/>
    <x v="22"/>
    <s v="SIND.GIORN.        SINDACATO GIORNALISTI"/>
    <s v="luca.salvioli@ilsole24ore.com                     "/>
    <s v="E"/>
    <s v="E-ESENTE"/>
    <s v="3 "/>
    <s v="3=5 X 7"/>
    <s v="01/07/2025"/>
    <s v="TEMPO DETERMINATO"/>
    <s v="31/05/2027"/>
    <s v="0015000700                    "/>
    <s v=""/>
    <n v="44"/>
    <s v="I  "/>
  </r>
  <r>
    <x v="0"/>
    <n v="2195"/>
    <x v="0"/>
    <s v="K           "/>
    <s v="REDAZIONI GIORNALISTICHE"/>
    <x v="37"/>
    <x v="36"/>
    <s v="516000      "/>
    <s v="516000   ON LINE REDAZIONE"/>
    <s v="SARCINA                         "/>
    <s v="FRANCO            "/>
    <s v="SRCFNC64A29F205X"/>
    <x v="1"/>
    <s v="34"/>
    <x v="0"/>
    <s v="01/04/2021"/>
    <s v="MILANO                 "/>
    <x v="4"/>
    <x v="4"/>
    <s v="G"/>
    <x v="3"/>
    <s v="CRV"/>
    <x v="23"/>
    <s v="01/06/2007"/>
    <s v="01/06/2007"/>
    <s v="29/01/1964"/>
    <s v="A"/>
    <s v="A.IN FORZA"/>
    <s v="1  -ASSUNZIONE                1"/>
    <s v=""/>
    <s v=" "/>
    <s v=""/>
    <s v=""/>
    <n v="518"/>
    <s v="00"/>
    <n v="100"/>
    <s v="FULL TIME      100000000FF100-FULL TIME"/>
    <s v="01/06/2007"/>
    <s v=""/>
    <s v="  "/>
    <s v=""/>
    <s v="GSS "/>
    <s v="L26 "/>
    <x v="22"/>
    <s v=""/>
    <s v="franco.sarcina@ilsole24ore.com                    "/>
    <s v="E"/>
    <s v="E-ESENTE"/>
    <s v="2 "/>
    <s v="2=6 X 6"/>
    <s v="01/07/2025"/>
    <s v="TEMPO DETERMINATO"/>
    <s v="31/05/2027"/>
    <s v="0015000700                    "/>
    <s v=""/>
    <n v="62"/>
    <s v="I  "/>
  </r>
  <r>
    <x v="0"/>
    <n v="1296"/>
    <x v="0"/>
    <s v="K           "/>
    <s v="REDAZIONI GIORNALISTICHE"/>
    <x v="37"/>
    <x v="36"/>
    <s v="516000      "/>
    <s v="516000   ON LINE REDAZIONE"/>
    <s v="TRIPODI                         "/>
    <s v="ALESSIA           "/>
    <s v="TRPLSS71E61H501Y"/>
    <x v="0"/>
    <s v="34"/>
    <x v="0"/>
    <s v="01/04/2021"/>
    <s v="MILANO                 "/>
    <x v="4"/>
    <x v="4"/>
    <s v="G"/>
    <x v="3"/>
    <s v="CSV"/>
    <x v="22"/>
    <s v="01/10/1999"/>
    <s v="01/10/1999"/>
    <s v="21/05/1971"/>
    <s v="A"/>
    <s v="A.IN FORZA"/>
    <s v="1  -ASSUNZIONE                1"/>
    <s v=""/>
    <s v=" "/>
    <s v=""/>
    <s v=""/>
    <n v="274"/>
    <s v="00"/>
    <n v="100"/>
    <s v="FULL TIME      100000000FF100-FULL TIME"/>
    <s v="01/10/1999"/>
    <s v=""/>
    <s v="  "/>
    <s v=""/>
    <s v="GSS "/>
    <s v="L26 "/>
    <x v="22"/>
    <s v="SIND.GIORN.        SINDACATO GIORNALISTI"/>
    <s v="alessia.tripodi@ilsole24ore.com                   "/>
    <s v="E"/>
    <s v="E-ESENTE"/>
    <s v="7 "/>
    <s v="7=5 X 7.20"/>
    <s v="01/07/2025"/>
    <s v="TEMPO DETERMINATO"/>
    <s v="31/05/2027"/>
    <s v="0015000700                    "/>
    <s v=""/>
    <n v="54"/>
    <s v="I  "/>
  </r>
  <r>
    <x v="0"/>
    <n v="919"/>
    <x v="0"/>
    <s v="K           "/>
    <s v="REDAZIONI GIORNALISTICHE"/>
    <x v="38"/>
    <x v="37"/>
    <s v="Q15000      "/>
    <s v="Q15000   REDAZIONE GIORNALISTICA NEWS"/>
    <s v="ARONA                           "/>
    <s v="ALESSANDRO        "/>
    <s v="RNALSN68D05F965Q"/>
    <x v="1"/>
    <s v="31"/>
    <x v="1"/>
    <s v="25/05/2009"/>
    <s v="ROMA                   "/>
    <x v="4"/>
    <x v="4"/>
    <s v="G"/>
    <x v="3"/>
    <s v="CSV"/>
    <x v="22"/>
    <s v="02/09/1996"/>
    <s v="02/09/1996"/>
    <s v="05/04/1968"/>
    <s v="A"/>
    <s v="A.IN FORZA"/>
    <s v="1  -ASSUNZIONE                1"/>
    <s v=""/>
    <s v=" "/>
    <s v=""/>
    <s v=""/>
    <n v="212"/>
    <s v="00"/>
    <n v="100"/>
    <s v="FULL TIME      100000000FF100-FULL TIME"/>
    <s v="01/04/2019"/>
    <s v=""/>
    <s v="  "/>
    <s v=""/>
    <s v="GN  "/>
    <s v="    "/>
    <x v="0"/>
    <s v="SIND.GIORN.        SINDACATO GIORNALISTI"/>
    <s v="alessandro.arona@radio24.it                       "/>
    <s v="E"/>
    <s v="E-ESENTE"/>
    <s v="3 "/>
    <s v="3=5 X 7"/>
    <s v="01/07/2025"/>
    <s v="TEMPO DETERMINATO"/>
    <s v="07/09/2025"/>
    <s v="0015002689                    "/>
    <s v="BARISONI SEBASTIANO"/>
    <n v="57"/>
    <s v="I  "/>
  </r>
  <r>
    <x v="0"/>
    <n v="2692"/>
    <x v="0"/>
    <s v="K           "/>
    <s v="REDAZIONI GIORNALISTICHE"/>
    <x v="38"/>
    <x v="37"/>
    <s v="Q15000      "/>
    <s v="Q15000   REDAZIONE GIORNALISTICA NEWS"/>
    <s v="BETTINI                         "/>
    <s v="LAURA             "/>
    <s v="BTTLRA69D62E202E"/>
    <x v="0"/>
    <s v="34"/>
    <x v="0"/>
    <s v="01/04/2021"/>
    <s v="MILANO                 "/>
    <x v="4"/>
    <x v="4"/>
    <s v="G"/>
    <x v="3"/>
    <s v="RE "/>
    <x v="25"/>
    <s v="01/01/2014"/>
    <s v="01/08/2001"/>
    <s v="22/04/1969"/>
    <s v="A"/>
    <s v="A.IN FORZA"/>
    <s v="1  -ASSUNZIONE                1"/>
    <s v=""/>
    <s v=" "/>
    <s v=""/>
    <s v=""/>
    <n v="2692"/>
    <s v="00"/>
    <n v="100"/>
    <s v="FULL TIME      100000000FF100-FULL TIME"/>
    <s v="01/10/2017"/>
    <s v=""/>
    <s v="  "/>
    <s v=""/>
    <s v="GN  "/>
    <s v="    "/>
    <x v="0"/>
    <s v="SIND.GIORN.        SINDACATO GIORNALISTI"/>
    <s v="laura.bettini@radio24.it                          "/>
    <s v="E"/>
    <s v="E-ESENTE"/>
    <s v="7 "/>
    <s v="7=5 X 7.20"/>
    <s v="01/07/2025"/>
    <s v="TEMPO DETERMINATO"/>
    <s v="07/09/2025"/>
    <s v="0015002689                    "/>
    <s v="BARISONI SEBASTIANO"/>
    <n v="56"/>
    <s v="I  "/>
  </r>
  <r>
    <x v="0"/>
    <n v="2697"/>
    <x v="0"/>
    <s v="K           "/>
    <s v="REDAZIONI GIORNALISTICHE"/>
    <x v="38"/>
    <x v="37"/>
    <s v="Q15000      "/>
    <s v="Q15000   REDAZIONE GIORNALISTICA NEWS"/>
    <s v="CAGNOLA                         "/>
    <s v="MARTA             "/>
    <s v="CGNMRT73R62M052C"/>
    <x v="0"/>
    <s v="34"/>
    <x v="0"/>
    <s v="01/04/2021"/>
    <s v="MILANO                 "/>
    <x v="4"/>
    <x v="4"/>
    <s v="G"/>
    <x v="3"/>
    <s v="CSV"/>
    <x v="22"/>
    <s v="01/01/2014"/>
    <s v="08/09/2000"/>
    <s v="22/10/1973"/>
    <s v="A"/>
    <s v="A.IN FORZA"/>
    <s v="1  -ASSUNZIONE                1"/>
    <s v=""/>
    <s v=" "/>
    <s v=""/>
    <s v=""/>
    <n v="2697"/>
    <s v="00"/>
    <n v="100"/>
    <s v="FULL TIME      100000000FF100-FULL TIME"/>
    <s v="08/09/2000"/>
    <s v=""/>
    <s v="  "/>
    <s v=""/>
    <s v="GN  "/>
    <s v="    "/>
    <x v="0"/>
    <s v=""/>
    <s v="marta.cagnola@radio24.it                          "/>
    <s v="E"/>
    <s v="E-ESENTE"/>
    <s v="3 "/>
    <s v="3=5 X 7"/>
    <s v="01/07/2025"/>
    <s v="TEMPO DETERMINATO"/>
    <s v="07/09/2025"/>
    <s v="0015002689                    "/>
    <s v="BARISONI SEBASTIANO"/>
    <n v="52"/>
    <s v="I  "/>
  </r>
  <r>
    <x v="0"/>
    <n v="2700"/>
    <x v="0"/>
    <s v="K           "/>
    <s v="REDAZIONI GIORNALISTICHE"/>
    <x v="38"/>
    <x v="37"/>
    <s v="Q15000      "/>
    <s v="Q15000   REDAZIONE GIORNALISTICA NEWS"/>
    <s v="CARAMELLI                       "/>
    <s v="CATERINA          "/>
    <s v="CRMCRN73M58A509D"/>
    <x v="0"/>
    <s v="34"/>
    <x v="0"/>
    <s v="01/04/2021"/>
    <s v="MILANO                 "/>
    <x v="4"/>
    <x v="4"/>
    <s v="G"/>
    <x v="3"/>
    <s v="CSV"/>
    <x v="22"/>
    <s v="01/01/2014"/>
    <s v="01/05/2000"/>
    <s v="18/08/1973"/>
    <s v="A"/>
    <s v="A.IN FORZA"/>
    <s v="1  -ASSUNZIONE                1"/>
    <s v=""/>
    <s v=" "/>
    <s v=""/>
    <s v=""/>
    <n v="2700"/>
    <s v="00"/>
    <n v="100"/>
    <s v="FULL TIME      100000000FF100-FULL TIME"/>
    <s v="01/05/2000"/>
    <s v=""/>
    <s v="  "/>
    <s v=""/>
    <s v="GN  "/>
    <s v="    "/>
    <x v="0"/>
    <s v="SIND.GIORN.        SINDACATO GIORNALISTI"/>
    <s v="caterina.caramelli@radio24.it                     "/>
    <s v="E"/>
    <s v="E-ESENTE"/>
    <s v="3 "/>
    <s v="3=5 X 7"/>
    <s v="01/07/2025"/>
    <s v="TEMPO DETERMINATO"/>
    <s v="07/09/2025"/>
    <s v="0015002689                    "/>
    <s v="BARISONI SEBASTIANO"/>
    <n v="52"/>
    <s v="I  "/>
  </r>
  <r>
    <x v="0"/>
    <n v="2701"/>
    <x v="0"/>
    <s v="K           "/>
    <s v="REDAZIONI GIORNALISTICHE"/>
    <x v="38"/>
    <x v="37"/>
    <s v="Q15000      "/>
    <s v="Q15000   REDAZIONE GIORNALISTICA NEWS"/>
    <s v="CARPINELLI                      "/>
    <s v="CRISTINA          "/>
    <s v="CRPCST71D50F704Q"/>
    <x v="0"/>
    <s v="34"/>
    <x v="0"/>
    <s v="01/04/2021"/>
    <s v="MILANO                 "/>
    <x v="4"/>
    <x v="4"/>
    <s v="G"/>
    <x v="3"/>
    <s v="RM2"/>
    <x v="21"/>
    <s v="01/01/2014"/>
    <s v="06/09/1999"/>
    <s v="10/04/1971"/>
    <s v="A"/>
    <s v="A.IN FORZA"/>
    <s v="1  -ASSUNZIONE                1"/>
    <s v=""/>
    <s v=" "/>
    <s v=""/>
    <s v=""/>
    <n v="2701"/>
    <s v="00"/>
    <n v="100"/>
    <s v="FULL TIME      100000000FF100-FULL TIME"/>
    <s v="01/09/2020"/>
    <s v=""/>
    <s v="  "/>
    <s v=""/>
    <s v="GN  "/>
    <s v="    "/>
    <x v="0"/>
    <s v="SIND.GIORN.        SINDACATO GIORNALISTI"/>
    <s v="cristina.carpinelli@radio24.it                    "/>
    <s v="E"/>
    <s v="E-ESENTE"/>
    <s v="7 "/>
    <s v="7=5 X 7.20"/>
    <s v="01/07/2025"/>
    <s v="TEMPO DETERMINATO"/>
    <s v="07/09/2025"/>
    <s v="0015002689                    "/>
    <s v="BARISONI SEBASTIANO"/>
    <n v="54"/>
    <s v="I  "/>
  </r>
  <r>
    <x v="0"/>
    <n v="2704"/>
    <x v="0"/>
    <s v="K           "/>
    <s v="REDAZIONI GIORNALISTICHE"/>
    <x v="38"/>
    <x v="37"/>
    <s v="Q15000      "/>
    <s v="Q15000   REDAZIONE GIORNALISTICA NEWS"/>
    <s v="CECI                            "/>
    <s v="MARIA PIERA       "/>
    <s v="CCEMPR68D70A462C"/>
    <x v="0"/>
    <s v="34"/>
    <x v="0"/>
    <s v="01/04/2021"/>
    <s v="MILANO                 "/>
    <x v="4"/>
    <x v="4"/>
    <s v="G"/>
    <x v="3"/>
    <s v="CR "/>
    <x v="24"/>
    <s v="01/01/2014"/>
    <s v="06/09/1999"/>
    <s v="30/04/1968"/>
    <s v="A"/>
    <s v="A.IN FORZA"/>
    <s v="1  -ASSUNZIONE                1"/>
    <s v=""/>
    <s v=" "/>
    <s v=""/>
    <s v=""/>
    <n v="2704"/>
    <s v="00"/>
    <n v="100"/>
    <s v="FULL TIME      100000000FF100-FULL TIME"/>
    <s v="06/09/1999"/>
    <s v=""/>
    <s v="  "/>
    <s v=""/>
    <s v="GN  "/>
    <s v="    "/>
    <x v="0"/>
    <s v="SIND.GIORN.        SINDACATO GIORNALISTI"/>
    <s v="piera.ceci@radio24.it                             "/>
    <s v="E"/>
    <s v="E-ESENTE"/>
    <s v="3 "/>
    <s v="3=5 X 7"/>
    <s v="01/07/2025"/>
    <s v="TEMPO DETERMINATO"/>
    <s v="07/09/2025"/>
    <s v="0015002689                    "/>
    <s v="BARISONI SEBASTIANO"/>
    <n v="57"/>
    <s v="I  "/>
  </r>
  <r>
    <x v="0"/>
    <n v="2712"/>
    <x v="0"/>
    <s v="K           "/>
    <s v="REDAZIONI GIORNALISTICHE"/>
    <x v="38"/>
    <x v="37"/>
    <s v="Q15000      "/>
    <s v="Q15000   REDAZIONE GIORNALISTICA NEWS"/>
    <s v="DE ROSA                         "/>
    <s v="VALERIA           "/>
    <s v="DRSVLR73R45H501N"/>
    <x v="0"/>
    <s v="34"/>
    <x v="0"/>
    <s v="01/04/2021"/>
    <s v="MILANO                 "/>
    <x v="4"/>
    <x v="4"/>
    <s v="G"/>
    <x v="3"/>
    <s v="CRV"/>
    <x v="23"/>
    <s v="01/01/2014"/>
    <s v="01/03/2005"/>
    <s v="05/10/1973"/>
    <s v="A"/>
    <s v="A.IN FORZA"/>
    <s v="1  -ASSUNZIONE                1"/>
    <s v=""/>
    <s v=" "/>
    <s v=""/>
    <s v=""/>
    <n v="2712"/>
    <s v="00"/>
    <n v="100"/>
    <s v="FULL TIME      100000000FF100-FULL TIME"/>
    <s v="01/03/2005"/>
    <s v=""/>
    <s v="  "/>
    <s v=""/>
    <s v="GN  "/>
    <s v="    "/>
    <x v="0"/>
    <s v="SIND.GIORN.        SINDACATO GIORNALISTI"/>
    <s v="valeria.derosa@radio24.it                         "/>
    <s v="E"/>
    <s v="E-ESENTE"/>
    <s v="3 "/>
    <s v="3=5 X 7"/>
    <s v="01/07/2025"/>
    <s v="TEMPO DETERMINATO"/>
    <s v="07/09/2025"/>
    <s v="0015002689                    "/>
    <s v="BARISONI SEBASTIANO"/>
    <n v="52"/>
    <s v="I  "/>
  </r>
  <r>
    <x v="0"/>
    <n v="2715"/>
    <x v="0"/>
    <s v="K           "/>
    <s v="REDAZIONI GIORNALISTICHE"/>
    <x v="38"/>
    <x v="37"/>
    <s v="Q15000      "/>
    <s v="Q15000   REDAZIONE GIORNALISTICA NEWS"/>
    <s v="DONELLI                         "/>
    <s v="GIANLUIGI         "/>
    <s v="DNLGLG65C14F205U"/>
    <x v="1"/>
    <s v="34"/>
    <x v="0"/>
    <s v="01/04/2021"/>
    <s v="MILANO                 "/>
    <x v="4"/>
    <x v="4"/>
    <s v="G"/>
    <x v="3"/>
    <s v="CR "/>
    <x v="24"/>
    <s v="01/01/2014"/>
    <s v="23/08/1999"/>
    <s v="14/03/1965"/>
    <s v="A"/>
    <s v="A.IN FORZA"/>
    <s v="1  -ASSUNZIONE                1"/>
    <s v=""/>
    <s v=" "/>
    <s v=""/>
    <s v=""/>
    <n v="2715"/>
    <s v="00"/>
    <n v="100"/>
    <s v="FULL TIME      100000000FF100-FULL TIME"/>
    <s v="23/08/1999"/>
    <s v=""/>
    <s v="  "/>
    <s v=""/>
    <s v="GN  "/>
    <s v="    "/>
    <x v="0"/>
    <s v="SIND.GIORN.        SINDACATO GIORNALISTI"/>
    <s v="gigi.donelli@radio24.it                           "/>
    <s v="E"/>
    <s v="E-ESENTE"/>
    <s v="3 "/>
    <s v="3=5 X 7"/>
    <s v="01/07/2025"/>
    <s v="TEMPO DETERMINATO"/>
    <s v="07/09/2025"/>
    <s v="0015002689                    "/>
    <s v="BARISONI SEBASTIANO"/>
    <n v="60"/>
    <s v="I  "/>
  </r>
  <r>
    <x v="0"/>
    <n v="3165"/>
    <x v="0"/>
    <s v="K           "/>
    <s v="REDAZIONI GIORNALISTICHE"/>
    <x v="38"/>
    <x v="37"/>
    <s v="Q15000      "/>
    <s v="Q15000   REDAZIONE GIORNALISTICA NEWS"/>
    <s v="FERRO                           "/>
    <s v="ANDREA            "/>
    <s v="FRRNDR65L28D969P"/>
    <x v="1"/>
    <s v="34"/>
    <x v="0"/>
    <s v="01/01/2026"/>
    <s v="MILANO                 "/>
    <x v="4"/>
    <x v="4"/>
    <s v="G"/>
    <x v="3"/>
    <s v="T1 "/>
    <x v="26"/>
    <s v="01/01/2026"/>
    <s v="01/01/2026"/>
    <s v="28/07/1965"/>
    <s v="A"/>
    <s v="A.IN FORZA"/>
    <s v="1  -ASSUNZIONE                1"/>
    <s v=""/>
    <s v=" "/>
    <s v=""/>
    <s v=""/>
    <n v="3165"/>
    <s v="00"/>
    <n v="100"/>
    <s v="FULL TIME      100000000FF100-FULL TIME"/>
    <s v="01/01/2026"/>
    <s v=""/>
    <s v="  "/>
    <s v=""/>
    <s v="GSS "/>
    <s v="    "/>
    <x v="0"/>
    <s v=""/>
    <s v="andrea.ferro@radio24.it                           "/>
    <s v="E"/>
    <s v="E-ESENTE"/>
    <s v="3 "/>
    <s v="3=5 X 7"/>
    <s v=""/>
    <s v=""/>
    <s v=""/>
    <s v="0015002689                    "/>
    <s v="BARISONI SEBASTIANO"/>
    <n v="60"/>
    <s v="I  "/>
  </r>
  <r>
    <x v="0"/>
    <n v="2719"/>
    <x v="0"/>
    <s v="K           "/>
    <s v="REDAZIONI GIORNALISTICHE"/>
    <x v="38"/>
    <x v="37"/>
    <s v="Q15000      "/>
    <s v="Q15000   REDAZIONE GIORNALISTICA NEWS"/>
    <s v="FIORITO                         "/>
    <s v="ELISABETTA        "/>
    <s v="FRTLBT64B45H501A"/>
    <x v="0"/>
    <s v="31"/>
    <x v="1"/>
    <s v="01/06/2009"/>
    <s v="ROMA                   "/>
    <x v="4"/>
    <x v="4"/>
    <s v="G"/>
    <x v="3"/>
    <s v="CSV"/>
    <x v="22"/>
    <s v="01/01/2014"/>
    <s v="23/08/1999"/>
    <s v="05/02/1964"/>
    <s v="A"/>
    <s v="A.IN FORZA"/>
    <s v="1  -ASSUNZIONE                1"/>
    <s v=""/>
    <s v=" "/>
    <s v=""/>
    <s v=""/>
    <n v="2719"/>
    <s v="00"/>
    <n v="100"/>
    <s v="FULL TIME      100000000FF100-FULL TIME"/>
    <s v="23/08/1999"/>
    <s v=""/>
    <s v="  "/>
    <s v=""/>
    <s v="GN  "/>
    <s v="    "/>
    <x v="0"/>
    <s v="SIND.GIORN.        SINDACATO GIORNALISTI"/>
    <s v="elisabetta.fiorito@radio24.it                     "/>
    <s v="E"/>
    <s v="E-ESENTE"/>
    <s v="7 "/>
    <s v="7=5 X 7.20"/>
    <s v="01/07/2025"/>
    <s v="TEMPO DETERMINATO"/>
    <s v="07/09/2025"/>
    <s v="0015002689                    "/>
    <s v="BARISONI SEBASTIANO"/>
    <n v="61"/>
    <s v="I  "/>
  </r>
  <r>
    <x v="0"/>
    <n v="2721"/>
    <x v="0"/>
    <s v="K           "/>
    <s v="REDAZIONI GIORNALISTICHE"/>
    <x v="38"/>
    <x v="37"/>
    <s v="Q15000      "/>
    <s v="Q15000   REDAZIONE GIORNALISTICA NEWS"/>
    <s v="FURLANETTO                      "/>
    <s v="VALENTINA         "/>
    <s v="FRLVNT72D54F443D"/>
    <x v="0"/>
    <s v="34"/>
    <x v="0"/>
    <s v="01/04/2021"/>
    <s v="MILANO                 "/>
    <x v="4"/>
    <x v="4"/>
    <s v="G"/>
    <x v="3"/>
    <s v="CSV"/>
    <x v="22"/>
    <s v="01/01/2014"/>
    <s v="03/06/2002"/>
    <s v="14/04/1972"/>
    <s v="A"/>
    <s v="A.IN FORZA"/>
    <s v="1  -ASSUNZIONE                1"/>
    <s v=""/>
    <s v=" "/>
    <s v=""/>
    <s v=""/>
    <n v="2721"/>
    <s v="00"/>
    <n v="100"/>
    <s v="FULL TIME      100000000FF100-FULL TIME"/>
    <s v="03/06/2002"/>
    <s v=""/>
    <s v="  "/>
    <s v=""/>
    <s v="GN  "/>
    <s v="    "/>
    <x v="0"/>
    <s v=""/>
    <s v="valentina.furlanetto@radio24.it                   "/>
    <s v="E"/>
    <s v="E-ESENTE"/>
    <s v="3 "/>
    <s v="3=5 X 7"/>
    <s v="01/07/2025"/>
    <s v="TEMPO DETERMINATO"/>
    <s v="07/09/2025"/>
    <s v="0015002689                    "/>
    <s v="BARISONI SEBASTIANO"/>
    <n v="53"/>
    <s v="I  "/>
  </r>
  <r>
    <x v="0"/>
    <n v="2723"/>
    <x v="0"/>
    <s v="K           "/>
    <s v="REDAZIONI GIORNALISTICHE"/>
    <x v="38"/>
    <x v="37"/>
    <s v="Q15000      "/>
    <s v="Q15000   REDAZIONE GIORNALISTICA NEWS"/>
    <s v="GENTA                           "/>
    <s v="GIAN CARLO        "/>
    <s v="GNTGCR68B29G388A"/>
    <x v="1"/>
    <s v="34"/>
    <x v="0"/>
    <s v="01/04/2021"/>
    <s v="MILANO                 "/>
    <x v="4"/>
    <x v="4"/>
    <s v="G"/>
    <x v="3"/>
    <s v="RM2"/>
    <x v="21"/>
    <s v="01/01/2014"/>
    <s v="23/08/1999"/>
    <s v="29/02/1968"/>
    <s v="A"/>
    <s v="A.IN FORZA"/>
    <s v="1  -ASSUNZIONE                1"/>
    <s v=""/>
    <s v=" "/>
    <s v=""/>
    <s v=""/>
    <n v="2723"/>
    <s v="00"/>
    <n v="100"/>
    <s v="FULL TIME      100000000FF100-FULL TIME"/>
    <s v="23/08/1999"/>
    <s v=""/>
    <s v="  "/>
    <s v=""/>
    <s v="GN  "/>
    <s v="    "/>
    <x v="0"/>
    <s v=""/>
    <s v="carlo.genta@radio24.it                            "/>
    <s v="E"/>
    <s v="E-ESENTE"/>
    <s v="3 "/>
    <s v="3=5 X 7"/>
    <s v="01/07/2025"/>
    <s v="TEMPO DETERMINATO"/>
    <s v="07/09/2025"/>
    <s v="0015002689                    "/>
    <s v="BARISONI SEBASTIANO"/>
    <n v="57"/>
    <s v="I  "/>
  </r>
  <r>
    <x v="0"/>
    <n v="2724"/>
    <x v="0"/>
    <s v="K           "/>
    <s v="REDAZIONI GIORNALISTICHE"/>
    <x v="38"/>
    <x v="37"/>
    <s v="Q15000      "/>
    <s v="Q15000   REDAZIONE GIORNALISTICA NEWS"/>
    <s v="GIORDANO                        "/>
    <s v="ROBERTA           "/>
    <s v="GRDRRT65S70F205Q"/>
    <x v="0"/>
    <s v="34"/>
    <x v="0"/>
    <s v="01/04/2021"/>
    <s v="MILANO                 "/>
    <x v="4"/>
    <x v="4"/>
    <s v="G"/>
    <x v="3"/>
    <s v="RM2"/>
    <x v="21"/>
    <s v="01/01/2014"/>
    <s v="23/08/1999"/>
    <s v="30/11/1965"/>
    <s v="A"/>
    <s v="A.IN FORZA"/>
    <s v="1  -ASSUNZIONE                1"/>
    <s v=""/>
    <s v=" "/>
    <s v=""/>
    <s v=""/>
    <n v="2724"/>
    <s v="00"/>
    <n v="100"/>
    <s v="FULL TIME      100000000FF100-FULL TIME"/>
    <s v="23/08/1999"/>
    <s v=""/>
    <s v="  "/>
    <s v=""/>
    <s v="GN  "/>
    <s v="    "/>
    <x v="0"/>
    <s v="SIND.GIORN.        SINDACATO GIORNALISTI"/>
    <s v="roberta.giordano@radio24.it                       "/>
    <s v="E"/>
    <s v="E-ESENTE"/>
    <s v="3 "/>
    <s v="3=5 X 7"/>
    <s v="01/07/2025"/>
    <s v="TEMPO DETERMINATO"/>
    <s v="07/09/2025"/>
    <s v="0015002689                    "/>
    <s v="BARISONI SEBASTIANO"/>
    <n v="60"/>
    <s v="I  "/>
  </r>
  <r>
    <x v="0"/>
    <n v="2026"/>
    <x v="0"/>
    <s v="K           "/>
    <s v="REDAZIONI GIORNALISTICHE"/>
    <x v="38"/>
    <x v="37"/>
    <s v="Q15000      "/>
    <s v="Q15000   REDAZIONE GIORNALISTICA NEWS"/>
    <s v="MAGNANO                         "/>
    <s v="ROSANNA           "/>
    <s v="MGNRNN70P69L049W"/>
    <x v="0"/>
    <s v="31"/>
    <x v="1"/>
    <s v="01/08/2025"/>
    <s v="ROMA                   "/>
    <x v="4"/>
    <x v="4"/>
    <s v="G"/>
    <x v="3"/>
    <s v="RM2"/>
    <x v="21"/>
    <s v="01/08/2004"/>
    <s v="01/08/2004"/>
    <s v="29/09/1970"/>
    <s v="A"/>
    <s v="A.IN FORZA"/>
    <s v="1  -ASSUNZIONE                1"/>
    <s v=""/>
    <s v=" "/>
    <s v=""/>
    <s v=""/>
    <n v="444"/>
    <s v="00"/>
    <n v="100"/>
    <s v="FULL TIME      100000000FF100-FULL TIME"/>
    <s v="01/08/2004"/>
    <s v=""/>
    <s v="  "/>
    <s v=""/>
    <s v="GN  "/>
    <s v="    "/>
    <x v="0"/>
    <s v="SIND.GIORN.        SINDACATO GIORNALISTI"/>
    <s v="rosanna.magnano@radio24.it                        "/>
    <s v="E"/>
    <s v="E-ESENTE"/>
    <s v="1 "/>
    <s v="1=5 X 8"/>
    <s v="01/06/2023"/>
    <s v="TEMPO DETERMINATO"/>
    <s v="30/06/2024"/>
    <s v="0015002689                    "/>
    <s v="BARISONI SEBASTIANO"/>
    <n v="55"/>
    <s v="I  "/>
  </r>
  <r>
    <x v="0"/>
    <n v="1948"/>
    <x v="0"/>
    <s v="K           "/>
    <s v="REDAZIONI GIORNALISTICHE"/>
    <x v="38"/>
    <x v="37"/>
    <s v="Q15000      "/>
    <s v="Q15000   REDAZIONE GIORNALISTICA NEWS"/>
    <s v="MANCINI                         "/>
    <s v="MARCO             "/>
    <s v="MNCMRC64P30C351U"/>
    <x v="1"/>
    <s v="34"/>
    <x v="0"/>
    <s v="01/04/2021"/>
    <s v="MILANO                 "/>
    <x v="4"/>
    <x v="4"/>
    <s v="G"/>
    <x v="3"/>
    <s v="CRV"/>
    <x v="23"/>
    <s v="01/06/2003"/>
    <s v="01/06/2003"/>
    <s v="30/09/1964"/>
    <s v="A"/>
    <s v="A.IN FORZA"/>
    <s v="1  -ASSUNZIONE                1"/>
    <s v=""/>
    <s v=" "/>
    <s v=""/>
    <s v=""/>
    <n v="393"/>
    <s v="00"/>
    <n v="100"/>
    <s v="FULL TIME      100000000FF100-FULL TIME"/>
    <s v="01/06/2003"/>
    <s v=""/>
    <s v="  "/>
    <s v=""/>
    <s v="GN  "/>
    <s v="    "/>
    <x v="0"/>
    <s v=""/>
    <s v="marco.mancini@radio24.it                          "/>
    <s v="E"/>
    <s v="E-ESENTE"/>
    <s v="3 "/>
    <s v="3=5 X 7"/>
    <s v="01/07/2025"/>
    <s v="TEMPO DETERMINATO"/>
    <s v="07/09/2025"/>
    <s v="0015002689                    "/>
    <s v="BARISONI SEBASTIANO"/>
    <n v="61"/>
    <s v="I  "/>
  </r>
  <r>
    <x v="0"/>
    <n v="2739"/>
    <x v="0"/>
    <s v="K           "/>
    <s v="REDAZIONI GIORNALISTICHE"/>
    <x v="38"/>
    <x v="37"/>
    <s v="Q15000      "/>
    <s v="Q15000   REDAZIONE GIORNALISTICA NEWS"/>
    <s v="MAURIZI                         "/>
    <s v="ALESSIO           "/>
    <s v="MRZLSS71L24G702E"/>
    <x v="1"/>
    <s v="34"/>
    <x v="0"/>
    <s v="01/04/2021"/>
    <s v="MILANO                 "/>
    <x v="4"/>
    <x v="4"/>
    <s v="G"/>
    <x v="3"/>
    <s v="CS "/>
    <x v="18"/>
    <s v="01/01/2014"/>
    <s v="01/03/2001"/>
    <s v="24/07/1971"/>
    <s v="A"/>
    <s v="A.IN FORZA"/>
    <s v="1  -ASSUNZIONE                1"/>
    <s v=""/>
    <s v=" "/>
    <s v=""/>
    <s v=""/>
    <n v="2739"/>
    <s v="00"/>
    <n v="100"/>
    <s v="FULL TIME      100000000FF100-FULL TIME"/>
    <s v="01/01/2004"/>
    <s v=""/>
    <s v="  "/>
    <s v=""/>
    <s v="GN  "/>
    <s v="    "/>
    <x v="0"/>
    <s v=""/>
    <s v="alessio.maurizi@radio24.it                        "/>
    <s v="E"/>
    <s v="E-ESENTE"/>
    <s v="3 "/>
    <s v="3=5 X 7"/>
    <s v=""/>
    <s v=""/>
    <s v=""/>
    <s v="0015002689                    "/>
    <s v="BARISONI SEBASTIANO"/>
    <n v="54"/>
    <s v="I  "/>
  </r>
  <r>
    <x v="0"/>
    <n v="2747"/>
    <x v="0"/>
    <s v="K           "/>
    <s v="REDAZIONI GIORNALISTICHE"/>
    <x v="38"/>
    <x v="37"/>
    <s v="Q15000      "/>
    <s v="Q15000   REDAZIONE GIORNALISTICA NEWS"/>
    <s v="NAVA                            "/>
    <s v="SERGIO            "/>
    <s v="NVASRG75M27M052A"/>
    <x v="1"/>
    <s v="34"/>
    <x v="0"/>
    <s v="01/04/2021"/>
    <s v="MILANO                 "/>
    <x v="4"/>
    <x v="4"/>
    <s v="G"/>
    <x v="3"/>
    <s v="CSV"/>
    <x v="22"/>
    <s v="01/01/2014"/>
    <s v="24/02/2000"/>
    <s v="27/08/1975"/>
    <s v="A"/>
    <s v="A.IN FORZA"/>
    <s v="1  -ASSUNZIONE                1"/>
    <s v=""/>
    <s v=" "/>
    <s v=""/>
    <s v=""/>
    <n v="2747"/>
    <s v="00"/>
    <n v="100"/>
    <s v="FULL TIME      100000000FF100-FULL TIME"/>
    <s v="24/02/2000"/>
    <s v=""/>
    <s v="  "/>
    <s v=""/>
    <s v="GN  "/>
    <s v="    "/>
    <x v="0"/>
    <s v="NON ISCRITTO       NON ISCRITTO"/>
    <s v="sergio.nava@radio24.it                            "/>
    <s v="E"/>
    <s v="E-ESENTE"/>
    <s v="3 "/>
    <s v="3=5 X 7"/>
    <s v="01/07/2025"/>
    <s v="TEMPO DETERMINATO"/>
    <s v="07/09/2025"/>
    <s v="0015002689                    "/>
    <s v="BARISONI SEBASTIANO"/>
    <n v="50"/>
    <s v="I  "/>
  </r>
  <r>
    <x v="0"/>
    <n v="2748"/>
    <x v="0"/>
    <s v="K           "/>
    <s v="REDAZIONI GIORNALISTICHE"/>
    <x v="38"/>
    <x v="37"/>
    <s v="Q15000      "/>
    <s v="Q15000   REDAZIONE GIORNALISTICA NEWS"/>
    <s v="PAGLIARINI                      "/>
    <s v="ENRICO            "/>
    <s v="PGLNRC72A27F257D"/>
    <x v="1"/>
    <s v="34"/>
    <x v="0"/>
    <s v="01/04/2021"/>
    <s v="MILANO                 "/>
    <x v="4"/>
    <x v="4"/>
    <s v="G"/>
    <x v="3"/>
    <s v="CRV"/>
    <x v="23"/>
    <s v="01/01/2014"/>
    <s v="17/01/2000"/>
    <s v="27/01/1972"/>
    <s v="A"/>
    <s v="A.IN FORZA"/>
    <s v="1  -ASSUNZIONE                1"/>
    <s v=""/>
    <s v=" "/>
    <s v=""/>
    <s v=""/>
    <n v="2748"/>
    <s v="00"/>
    <n v="100"/>
    <s v="FULL TIME      100000000FF100-FULL TIME"/>
    <s v="17/01/2000"/>
    <s v=""/>
    <s v="  "/>
    <s v=""/>
    <s v="GN  "/>
    <s v="    "/>
    <x v="0"/>
    <s v=""/>
    <s v="enrico.pagliarini@radio24.it                      "/>
    <s v="E"/>
    <s v="E-ESENTE"/>
    <s v="3 "/>
    <s v="3=5 X 7"/>
    <s v="01/07/2025"/>
    <s v="TEMPO DETERMINATO"/>
    <s v="07/09/2025"/>
    <s v="0015002689                    "/>
    <s v="BARISONI SEBASTIANO"/>
    <n v="54"/>
    <s v="I  "/>
  </r>
  <r>
    <x v="0"/>
    <n v="2751"/>
    <x v="0"/>
    <s v="K           "/>
    <s v="REDAZIONI GIORNALISTICHE"/>
    <x v="38"/>
    <x v="37"/>
    <s v="Q15000      "/>
    <s v="Q15000   REDAZIONE GIORNALISTICA NEWS"/>
    <s v="PELLEGATTA                      "/>
    <s v="ROBERTA ANGELA    "/>
    <s v="PLLRRT67S62F704I"/>
    <x v="0"/>
    <s v="34"/>
    <x v="0"/>
    <s v="01/04/2021"/>
    <s v="MILANO                 "/>
    <x v="4"/>
    <x v="4"/>
    <s v="G"/>
    <x v="3"/>
    <s v="RM2"/>
    <x v="21"/>
    <s v="01/01/2014"/>
    <s v="27/09/1999"/>
    <s v="22/11/1967"/>
    <s v="A"/>
    <s v="A.IN FORZA"/>
    <s v="1  -ASSUNZIONE                1"/>
    <s v=""/>
    <s v=" "/>
    <s v=""/>
    <s v=""/>
    <n v="2751"/>
    <s v="00"/>
    <n v="100"/>
    <s v="FULL TIME      100000000FF100-FULL TIME"/>
    <s v="27/09/1999"/>
    <s v=""/>
    <s v="  "/>
    <s v=""/>
    <s v="GN  "/>
    <s v="    "/>
    <x v="0"/>
    <s v="SIND.GIORN.        SINDACATO GIORNALISTI"/>
    <s v="roberta.pellegatta@radio24.it                     "/>
    <s v="E"/>
    <s v="E-ESENTE"/>
    <s v="3 "/>
    <s v="3=5 X 7"/>
    <s v="01/06/2023"/>
    <s v="TEMPO DETERMINATO"/>
    <s v="30/06/2024"/>
    <s v="0015002689                    "/>
    <s v="BARISONI SEBASTIANO"/>
    <n v="58"/>
    <s v="I  "/>
  </r>
  <r>
    <x v="0"/>
    <n v="2752"/>
    <x v="0"/>
    <s v="K           "/>
    <s v="REDAZIONI GIORNALISTICHE"/>
    <x v="38"/>
    <x v="37"/>
    <s v="Q15000      "/>
    <s v="Q15000   REDAZIONE GIORNALISTICA NEWS"/>
    <s v="PEZZALI                         "/>
    <s v="MARIALUISA        "/>
    <s v="PZZMLS70E48B157B"/>
    <x v="0"/>
    <s v="34"/>
    <x v="0"/>
    <s v="01/04/2021"/>
    <s v="MILANO                 "/>
    <x v="4"/>
    <x v="4"/>
    <s v="G"/>
    <x v="3"/>
    <s v="CSV"/>
    <x v="22"/>
    <s v="01/01/2014"/>
    <s v="25/08/1999"/>
    <s v="08/05/1970"/>
    <s v="A"/>
    <s v="A.IN FORZA"/>
    <s v="1  -ASSUNZIONE                1"/>
    <s v=""/>
    <s v=" "/>
    <s v=""/>
    <s v=""/>
    <n v="2752"/>
    <s v="00"/>
    <n v="100"/>
    <s v="FULL TIME      100000000FF100-FULL TIME"/>
    <s v="01/01/2021"/>
    <s v=""/>
    <s v="  "/>
    <s v=""/>
    <s v="GN  "/>
    <s v="    "/>
    <x v="0"/>
    <s v="SIND.GIORN.        SINDACATO GIORNALISTI"/>
    <s v="marialuisa.pezzali@radio24.it                     "/>
    <s v="E"/>
    <s v="E-ESENTE"/>
    <s v="7 "/>
    <s v="7=5 X 7.20"/>
    <s v="01/07/2025"/>
    <s v="TEMPO DETERMINATO"/>
    <s v="07/09/2025"/>
    <s v="0015002689                    "/>
    <s v="BARISONI SEBASTIANO"/>
    <n v="55"/>
    <s v="I  "/>
  </r>
  <r>
    <x v="0"/>
    <n v="2758"/>
    <x v="0"/>
    <s v="K           "/>
    <s v="REDAZIONI GIORNALISTICHE"/>
    <x v="38"/>
    <x v="37"/>
    <s v="Q15000      "/>
    <s v="Q15000   REDAZIONE GIORNALISTICA NEWS"/>
    <s v="RICCI                           "/>
    <s v="DARIO             "/>
    <s v="RCCDRA73C17H501L"/>
    <x v="1"/>
    <s v="34"/>
    <x v="0"/>
    <s v="01/04/2021"/>
    <s v="MILANO                 "/>
    <x v="4"/>
    <x v="4"/>
    <s v="G"/>
    <x v="3"/>
    <s v="CSV"/>
    <x v="22"/>
    <s v="01/01/2014"/>
    <s v="12/03/2002"/>
    <s v="17/03/1973"/>
    <s v="A"/>
    <s v="A.IN FORZA"/>
    <s v="1  -ASSUNZIONE                1"/>
    <s v=""/>
    <s v=" "/>
    <s v=""/>
    <s v=""/>
    <n v="2758"/>
    <s v="00"/>
    <n v="100"/>
    <s v="FULL TIME      100000000FF100-FULL TIME"/>
    <s v="12/03/2002"/>
    <s v=""/>
    <s v="  "/>
    <s v=""/>
    <s v="GN  "/>
    <s v="    "/>
    <x v="0"/>
    <s v="SIND.GIORN.        SINDACATO GIORNALISTI"/>
    <s v="dario.ricci@ilsole24ore.com                       "/>
    <s v="E"/>
    <s v="E-ESENTE"/>
    <s v="7 "/>
    <s v="7=5 X 7.20"/>
    <s v="01/06/2023"/>
    <s v="TEMPO DETERMINATO"/>
    <s v="30/06/2024"/>
    <s v="0015002689                    "/>
    <s v="BARISONI SEBASTIANO"/>
    <n v="52"/>
    <s v="I  "/>
  </r>
  <r>
    <x v="0"/>
    <n v="2763"/>
    <x v="0"/>
    <s v="K           "/>
    <s v="REDAZIONI GIORNALISTICHE"/>
    <x v="38"/>
    <x v="37"/>
    <s v="Q15000      "/>
    <s v="Q15000   REDAZIONE GIORNALISTICA NEWS"/>
    <s v="SCHEPISI                        "/>
    <s v="ALESSANDRA        "/>
    <s v="SCHLSN70P45H501U"/>
    <x v="0"/>
    <s v="31"/>
    <x v="1"/>
    <s v="01/06/2009"/>
    <s v="ROMA                   "/>
    <x v="4"/>
    <x v="4"/>
    <s v="G"/>
    <x v="3"/>
    <s v="CSV"/>
    <x v="22"/>
    <s v="01/01/2014"/>
    <s v="23/08/1999"/>
    <s v="05/09/1970"/>
    <s v="A"/>
    <s v="A.IN FORZA"/>
    <s v="1  -ASSUNZIONE                1"/>
    <s v=""/>
    <s v=" "/>
    <s v=""/>
    <s v=""/>
    <n v="2763"/>
    <s v="00"/>
    <n v="100"/>
    <s v="FULL TIME      100000000FF100-FULL TIME"/>
    <s v="23/08/1999"/>
    <s v=""/>
    <s v="  "/>
    <s v=""/>
    <s v="GN  "/>
    <s v="    "/>
    <x v="0"/>
    <s v=""/>
    <s v="alessandra.schepisi@radio24.it                    "/>
    <s v="E"/>
    <s v="E-ESENTE"/>
    <s v="3 "/>
    <s v="3=5 X 7"/>
    <s v="01/07/2025"/>
    <s v="TEMPO DETERMINATO"/>
    <s v="07/09/2025"/>
    <s v="0015002689                    "/>
    <s v="BARISONI SEBASTIANO"/>
    <n v="55"/>
    <s v="I  "/>
  </r>
  <r>
    <x v="0"/>
    <n v="2766"/>
    <x v="0"/>
    <s v="K           "/>
    <s v="REDAZIONI GIORNALISTICHE"/>
    <x v="38"/>
    <x v="37"/>
    <s v="Q15000      "/>
    <s v="Q15000   REDAZIONE GIORNALISTICA NEWS"/>
    <s v="SPETIA                          "/>
    <s v="SIMONE            "/>
    <s v="SPTSMN76C16D653I"/>
    <x v="1"/>
    <s v="34"/>
    <x v="0"/>
    <s v="01/04/2021"/>
    <s v="MILANO                 "/>
    <x v="4"/>
    <x v="4"/>
    <s v="G"/>
    <x v="3"/>
    <s v="CRV"/>
    <x v="23"/>
    <s v="01/01/2014"/>
    <s v="01/02/2001"/>
    <s v="16/03/1976"/>
    <s v="A"/>
    <s v="A.IN FORZA"/>
    <s v="1  -ASSUNZIONE                1"/>
    <s v=""/>
    <s v=" "/>
    <s v=""/>
    <s v=""/>
    <n v="2766"/>
    <s v="00"/>
    <n v="100"/>
    <s v="FULL TIME      100000000FF100-FULL TIME"/>
    <s v="01/01/2004"/>
    <s v=""/>
    <s v="  "/>
    <s v=""/>
    <s v="GN  "/>
    <s v="    "/>
    <x v="0"/>
    <s v=""/>
    <s v="simone.spetia@radio24.it                          "/>
    <s v="E"/>
    <s v="E-ESENTE"/>
    <s v="3 "/>
    <s v="3=5 X 7"/>
    <s v=""/>
    <s v=""/>
    <s v=""/>
    <s v="0015002689                    "/>
    <s v="BARISONI SEBASTIANO"/>
    <n v="49"/>
    <s v="I  "/>
  </r>
  <r>
    <x v="0"/>
    <n v="3130"/>
    <x v="0"/>
    <s v="K           "/>
    <s v="REDAZIONI GIORNALISTICHE"/>
    <x v="38"/>
    <x v="37"/>
    <s v="Q15000      "/>
    <s v="Q15000   REDAZIONE GIORNALISTICA NEWS"/>
    <s v="STAMATOPOULOS                   "/>
    <s v="GIORGIO           "/>
    <s v="STMGRG69M15H501P"/>
    <x v="1"/>
    <s v="31"/>
    <x v="1"/>
    <s v="01/07/2024"/>
    <s v="ROMA                   "/>
    <x v="4"/>
    <x v="4"/>
    <s v="G"/>
    <x v="3"/>
    <s v="RM2"/>
    <x v="21"/>
    <s v="01/07/2024"/>
    <s v="01/07/2024"/>
    <s v="15/08/1969"/>
    <s v="A"/>
    <s v="A.IN FORZA"/>
    <s v="1S-ASSUNZIONE STABILIZZAZIONE 1S"/>
    <s v=""/>
    <s v=" "/>
    <s v=""/>
    <s v=""/>
    <n v="3130"/>
    <s v="00"/>
    <n v="100"/>
    <s v="FULL TIME      100000000FF100-FULL TIME"/>
    <s v="01/07/2024"/>
    <s v=""/>
    <s v="  "/>
    <s v=""/>
    <s v="GN  "/>
    <s v="    "/>
    <x v="0"/>
    <s v=""/>
    <s v="giorgio.stamatopoulos@radio24.it                  "/>
    <s v="F"/>
    <s v="F-FIRMA"/>
    <s v="1 "/>
    <s v="1=5 X 8"/>
    <s v="01/07/2025"/>
    <s v="TEMPO DETERMINATO"/>
    <s v="07/09/2025"/>
    <s v="0015002689                    "/>
    <s v="BARISONI SEBASTIANO"/>
    <n v="56"/>
    <s v="I  "/>
  </r>
  <r>
    <x v="0"/>
    <n v="2767"/>
    <x v="0"/>
    <s v="K           "/>
    <s v="REDAZIONI GIORNALISTICHE"/>
    <x v="38"/>
    <x v="37"/>
    <s v="Q15000      "/>
    <s v="Q15000   REDAZIONE GIORNALISTICA NEWS"/>
    <s v="TEDESCO                         "/>
    <s v="ALESSANDRA        "/>
    <s v="TDSLSN70B43A662P"/>
    <x v="0"/>
    <s v="34"/>
    <x v="0"/>
    <s v="01/04/2021"/>
    <s v="MILANO                 "/>
    <x v="4"/>
    <x v="4"/>
    <s v="G"/>
    <x v="3"/>
    <s v="CS "/>
    <x v="18"/>
    <s v="01/01/2014"/>
    <s v="23/08/1999"/>
    <s v="03/02/1970"/>
    <s v="A"/>
    <s v="A.IN FORZA"/>
    <s v="1  -ASSUNZIONE                1"/>
    <s v=""/>
    <s v=" "/>
    <s v=""/>
    <s v=""/>
    <n v="2767"/>
    <s v="00"/>
    <n v="100"/>
    <s v="FULL TIME      100000000FF100-FULL TIME"/>
    <s v="23/08/1999"/>
    <s v=""/>
    <s v="  "/>
    <s v=""/>
    <s v="GN  "/>
    <s v="    "/>
    <x v="0"/>
    <s v=""/>
    <s v="alessandra.tedesco@radio24.it                     "/>
    <s v="E"/>
    <s v="E-ESENTE"/>
    <s v="3 "/>
    <s v="3=5 X 7"/>
    <s v="01/07/2025"/>
    <s v="TEMPO DETERMINATO"/>
    <s v="07/09/2025"/>
    <s v="0015002689                    "/>
    <s v="BARISONI SEBASTIANO"/>
    <n v="55"/>
    <s v="I  "/>
  </r>
  <r>
    <x v="0"/>
    <n v="1160"/>
    <x v="0"/>
    <s v="K           "/>
    <s v="REDAZIONI GIORNALISTICHE"/>
    <x v="38"/>
    <x v="37"/>
    <s v="Q15000      "/>
    <s v="Q15000   REDAZIONE GIORNALISTICA NEWS"/>
    <s v="TRILLO'                         "/>
    <s v="TERESA            "/>
    <s v="TRLTRS62M70C479G"/>
    <x v="0"/>
    <s v="31"/>
    <x v="1"/>
    <s v="01/06/2009"/>
    <s v="ROMA                   "/>
    <x v="4"/>
    <x v="4"/>
    <s v="G"/>
    <x v="3"/>
    <s v="RM2"/>
    <x v="21"/>
    <s v="03/08/1998"/>
    <s v="03/08/1998"/>
    <s v="30/08/1962"/>
    <s v="A"/>
    <s v="A.IN FORZA"/>
    <s v="1  -ASSUNZIONE                1"/>
    <s v=""/>
    <s v=" "/>
    <s v=""/>
    <s v=""/>
    <n v="247"/>
    <s v="00"/>
    <n v="100"/>
    <s v="FULL TIME      100000000FF100-FULL TIME"/>
    <s v="03/08/1998"/>
    <s v=""/>
    <s v="  "/>
    <s v=""/>
    <s v="GN  "/>
    <s v="    "/>
    <x v="0"/>
    <s v=""/>
    <s v="teresa.trillo@radio24.it                          "/>
    <s v="E"/>
    <s v="E-ESENTE"/>
    <s v="2 "/>
    <s v="2=6 X 6"/>
    <s v="01/07/2025"/>
    <s v="TEMPO DETERMINATO"/>
    <s v="07/09/2025"/>
    <s v="0015002689                    "/>
    <s v="BARISONI SEBASTIANO"/>
    <n v="63"/>
    <s v="I  "/>
  </r>
  <r>
    <x v="0"/>
    <n v="2773"/>
    <x v="0"/>
    <s v="K           "/>
    <s v="REDAZIONI GIORNALISTICHE"/>
    <x v="38"/>
    <x v="37"/>
    <s v="Q15000      "/>
    <s v="Q15000   REDAZIONE GIORNALISTICA NEWS"/>
    <s v="VIALI                           "/>
    <s v="ANDREA            "/>
    <s v="VLINDR69L13H501D"/>
    <x v="1"/>
    <s v="31"/>
    <x v="1"/>
    <s v="01/06/2009"/>
    <s v="ROMA                   "/>
    <x v="4"/>
    <x v="4"/>
    <s v="G"/>
    <x v="3"/>
    <s v="RM2"/>
    <x v="21"/>
    <s v="01/01/2014"/>
    <s v="15/09/1999"/>
    <s v="13/07/1969"/>
    <s v="A"/>
    <s v="A.IN FORZA"/>
    <s v="1  -ASSUNZIONE                1"/>
    <s v=""/>
    <s v=" "/>
    <s v=""/>
    <s v=""/>
    <n v="2773"/>
    <s v="00"/>
    <n v="100"/>
    <s v="FULL TIME      100000000FF100-FULL TIME"/>
    <s v="15/09/1999"/>
    <s v=""/>
    <s v="  "/>
    <s v=""/>
    <s v="GN  "/>
    <s v="    "/>
    <x v="0"/>
    <s v="SIND.GIORN.        SINDACATO GIORNALISTI"/>
    <s v="andrea.viali@radio24.it                           "/>
    <s v="E"/>
    <s v="E-ESENTE"/>
    <s v="3 "/>
    <s v="3=5 X 7"/>
    <s v="01/07/2025"/>
    <s v="TEMPO DETERMINATO"/>
    <s v="07/09/2025"/>
    <s v="0015002689                    "/>
    <s v="BARISONI SEBASTIANO"/>
    <n v="56"/>
    <s v="I  "/>
  </r>
  <r>
    <x v="0"/>
    <n v="2273"/>
    <x v="0"/>
    <s v="K           "/>
    <s v="REDAZIONI GIORNALISTICHE"/>
    <x v="38"/>
    <x v="37"/>
    <s v="Q15000      "/>
    <s v="Q15000   REDAZIONE GIORNALISTICA NEWS"/>
    <s v="ZANCANER                        "/>
    <s v="LIVIA MARIA       "/>
    <s v="ZNCLMR79C49B041T"/>
    <x v="0"/>
    <s v="34"/>
    <x v="0"/>
    <s v="01/04/2021"/>
    <s v="MILANO                 "/>
    <x v="4"/>
    <x v="4"/>
    <s v="G"/>
    <x v="3"/>
    <s v="CS "/>
    <x v="18"/>
    <s v="18/02/2008"/>
    <s v="18/02/2008"/>
    <s v="09/03/1979"/>
    <s v="A"/>
    <s v="A.IN FORZA"/>
    <s v="1  -ASSUNZIONE                1"/>
    <s v=""/>
    <s v=" "/>
    <s v=""/>
    <s v=""/>
    <n v="545"/>
    <s v="00"/>
    <n v="100"/>
    <s v="FULL TIME      100000000FF100-FULL TIME"/>
    <s v="18/02/2008"/>
    <s v=""/>
    <s v="  "/>
    <s v=""/>
    <s v="GN  "/>
    <s v="    "/>
    <x v="0"/>
    <s v=""/>
    <s v="livia.zancaner@radio24.it                         "/>
    <s v="E"/>
    <s v="E-ESENTE"/>
    <s v="3 "/>
    <s v="3=5 X 7"/>
    <s v="01/06/2023"/>
    <s v="TEMPO DETERMINATO"/>
    <s v="30/06/2024"/>
    <s v="0015002689                    "/>
    <s v="BARISONI SEBASTIANO"/>
    <n v="46"/>
    <s v="I  "/>
  </r>
  <r>
    <x v="0"/>
    <n v="2689"/>
    <x v="0"/>
    <s v="K           "/>
    <s v="REDAZIONI GIORNALISTICHE"/>
    <x v="38"/>
    <x v="37"/>
    <s v="Q17000      "/>
    <s v="Q17000   REDAZIONE GIORNALISTICA PROGRAM"/>
    <s v="BARISONI                        "/>
    <s v="SEBASTIANO        "/>
    <s v="BRSSST68T11H501G"/>
    <x v="1"/>
    <s v="34"/>
    <x v="0"/>
    <s v="01/04/2021"/>
    <s v="MILANO                 "/>
    <x v="4"/>
    <x v="4"/>
    <s v="G"/>
    <x v="3"/>
    <s v="AV "/>
    <x v="19"/>
    <s v="01/01/2014"/>
    <s v="02/01/2001"/>
    <s v="11/12/1968"/>
    <s v="A"/>
    <s v="A.IN FORZA"/>
    <s v="1  -ASSUNZIONE                1"/>
    <s v=""/>
    <s v=" "/>
    <s v=""/>
    <s v=""/>
    <n v="2689"/>
    <s v="00"/>
    <n v="100"/>
    <s v="FULL TIME      100000000FF100-FULL TIME"/>
    <s v="02/01/2001"/>
    <s v=""/>
    <s v="  "/>
    <s v=""/>
    <s v="GN  "/>
    <s v="    "/>
    <x v="0"/>
    <s v=""/>
    <s v="sebastiano.barisoni@radio24.it                    "/>
    <s v="E"/>
    <s v="E-ESENTE"/>
    <s v="3 "/>
    <s v="3=5 X 7"/>
    <s v=""/>
    <s v=""/>
    <s v=""/>
    <s v="0015002689                    "/>
    <s v="BARISONI SEBASTIANO"/>
    <n v="57"/>
    <s v="I  "/>
  </r>
  <r>
    <x v="0"/>
    <n v="2709"/>
    <x v="0"/>
    <s v="K           "/>
    <s v="REDAZIONI GIORNALISTICHE"/>
    <x v="38"/>
    <x v="37"/>
    <s v="Q17000      "/>
    <s v="Q17000   REDAZIONE GIORNALISTICA PROGRAM"/>
    <s v="CRUCIANI                        "/>
    <s v="GIUSEPPE          "/>
    <s v="CRCGPP66P15H501F"/>
    <x v="1"/>
    <s v="34"/>
    <x v="0"/>
    <s v="01/04/2021"/>
    <s v="MILANO                 "/>
    <x v="4"/>
    <x v="4"/>
    <s v="G"/>
    <x v="3"/>
    <s v="CS "/>
    <x v="18"/>
    <s v="01/01/2014"/>
    <s v="03/01/2000"/>
    <s v="15/09/1966"/>
    <s v="A"/>
    <s v="A.IN FORZA"/>
    <s v="1  -ASSUNZIONE                1"/>
    <s v=""/>
    <s v=" "/>
    <s v=""/>
    <s v=""/>
    <n v="2709"/>
    <s v="00"/>
    <n v="100"/>
    <s v="FULL TIME      100000000FF100-FULL TIME"/>
    <s v="03/01/2000"/>
    <s v=""/>
    <s v="  "/>
    <s v=""/>
    <s v="GN  "/>
    <s v="    "/>
    <x v="0"/>
    <s v=""/>
    <s v="giuseppe.cruciani@radio24.it                      "/>
    <s v="E"/>
    <s v="E-ESENTE"/>
    <s v="3 "/>
    <s v="3=5 X 7"/>
    <s v=""/>
    <s v=""/>
    <s v=""/>
    <s v="0015002689                    "/>
    <s v="BARISONI SEBASTIANO"/>
    <n v="59"/>
    <s v="I  "/>
  </r>
  <r>
    <x v="0"/>
    <n v="2745"/>
    <x v="0"/>
    <s v="K           "/>
    <s v="REDAZIONI GIORNALISTICHE"/>
    <x v="38"/>
    <x v="37"/>
    <s v="Q17000      "/>
    <s v="Q17000   REDAZIONE GIORNALISTICA PROGRAM"/>
    <s v="MILAN                           "/>
    <s v="ALESSANDRO        "/>
    <s v="MLNLSN70T05I690G"/>
    <x v="1"/>
    <s v="34"/>
    <x v="0"/>
    <s v="01/04/2021"/>
    <s v="MILANO                 "/>
    <x v="4"/>
    <x v="4"/>
    <s v="G"/>
    <x v="3"/>
    <s v="RE "/>
    <x v="25"/>
    <s v="01/01/2014"/>
    <s v="14/09/1999"/>
    <s v="05/12/1970"/>
    <s v="A"/>
    <s v="A.IN FORZA"/>
    <s v="1  -ASSUNZIONE                1"/>
    <s v=""/>
    <s v=" "/>
    <s v=""/>
    <s v=""/>
    <n v="2745"/>
    <s v="00"/>
    <n v="100"/>
    <s v="FULL TIME      100000000FF100-FULL TIME"/>
    <s v="14/09/1999"/>
    <s v=""/>
    <s v="  "/>
    <s v=""/>
    <s v="GN  "/>
    <s v="    "/>
    <x v="0"/>
    <s v=""/>
    <s v="alessandro.milan@radio24.it                       "/>
    <s v="E"/>
    <s v="E-ESENTE"/>
    <s v="3 "/>
    <s v="3=5 X 7"/>
    <s v=""/>
    <s v=""/>
    <s v=""/>
    <s v="0015002689                    "/>
    <s v="BARISONI SEBASTIANO"/>
    <n v="55"/>
    <s v="I  "/>
  </r>
  <r>
    <x v="0"/>
    <n v="2760"/>
    <x v="0"/>
    <s v="K           "/>
    <s v="REDAZIONI GIORNALISTICHE"/>
    <x v="38"/>
    <x v="37"/>
    <s v="Q17000      "/>
    <s v="Q17000   REDAZIONE GIORNALISTICA PROGRAM"/>
    <s v="ROSCIANI                        "/>
    <s v="DEBORA            "/>
    <s v="RSCDBR69H48A271X"/>
    <x v="0"/>
    <s v="34"/>
    <x v="0"/>
    <s v="01/04/2021"/>
    <s v="MILANO                 "/>
    <x v="4"/>
    <x v="4"/>
    <s v="G"/>
    <x v="3"/>
    <s v="RE "/>
    <x v="25"/>
    <s v="01/01/2014"/>
    <s v="01/03/2005"/>
    <s v="08/06/1969"/>
    <s v="A"/>
    <s v="A.IN FORZA"/>
    <s v="1  -ASSUNZIONE                1"/>
    <s v=""/>
    <s v=" "/>
    <s v=""/>
    <s v=""/>
    <n v="2760"/>
    <s v="00"/>
    <n v="100"/>
    <s v="FULL TIME      100000000FF100-FULL TIME"/>
    <s v="01/03/2005"/>
    <s v=""/>
    <s v="  "/>
    <s v=""/>
    <s v="GN  "/>
    <s v="    "/>
    <x v="0"/>
    <s v="SIND.GIORN.        SINDACATO GIORNALISTI"/>
    <s v="debora.rosciani@radio24.it                        "/>
    <s v="E"/>
    <s v="E-ESENTE"/>
    <s v="3 "/>
    <s v="3=5 X 7"/>
    <s v="01/06/2023"/>
    <s v="TEMPO DETERMINATO"/>
    <s v="30/06/2024"/>
    <s v="0015002689                    "/>
    <s v="BARISONI SEBASTIANO"/>
    <n v="56"/>
    <s v="I  "/>
  </r>
  <r>
    <x v="0"/>
    <n v="2761"/>
    <x v="0"/>
    <s v="K           "/>
    <s v="REDAZIONI GIORNALISTICHE"/>
    <x v="38"/>
    <x v="37"/>
    <s v="Q17000      "/>
    <s v="Q17000   REDAZIONE GIORNALISTICA PROGRAM"/>
    <s v="SCAGLIONI                       "/>
    <s v="ALESSANDRA        "/>
    <s v="SCGLSN65C71D969S"/>
    <x v="0"/>
    <s v="34"/>
    <x v="0"/>
    <s v="01/04/2021"/>
    <s v="MILANO                 "/>
    <x v="4"/>
    <x v="4"/>
    <s v="G"/>
    <x v="3"/>
    <s v="CR "/>
    <x v="24"/>
    <s v="01/01/2014"/>
    <s v="01/11/1999"/>
    <s v="31/03/1965"/>
    <s v="A"/>
    <s v="A.IN FORZA"/>
    <s v="1  -ASSUNZIONE                1"/>
    <s v=""/>
    <s v=" "/>
    <s v=""/>
    <s v=""/>
    <n v="2761"/>
    <s v="00"/>
    <n v="100"/>
    <s v="FULL TIME      100000000FF100-FULL TIME"/>
    <s v="01/01/2025"/>
    <s v=""/>
    <s v="  "/>
    <s v=""/>
    <s v="GN  "/>
    <s v="    "/>
    <x v="0"/>
    <s v=""/>
    <s v="alessandra.scaglioni@radio24.it                   "/>
    <s v="E"/>
    <s v="E-ESENTE"/>
    <s v="3 "/>
    <s v="3=5 X 7"/>
    <s v="01/06/2023"/>
    <s v="TEMPO DETERMINATO"/>
    <s v="30/06/2024"/>
    <s v="0015002689                    "/>
    <s v="BARISONI SEBASTIANO"/>
    <n v="60"/>
    <s v="I  "/>
  </r>
  <r>
    <x v="0"/>
    <n v="2788"/>
    <x v="0"/>
    <s v="K           "/>
    <s v="REDAZIONI GIORNALISTICHE"/>
    <x v="39"/>
    <x v="38"/>
    <s v="518200      "/>
    <s v="518200   HOW TO SPEND IT"/>
    <s v="POLLA MATTIOT                   "/>
    <s v="NICOLETTA         "/>
    <s v="PLLNLT65D45D205P"/>
    <x v="0"/>
    <s v="34"/>
    <x v="0"/>
    <s v="01/04/2021"/>
    <s v="MILANO                 "/>
    <x v="4"/>
    <x v="4"/>
    <s v="G"/>
    <x v="3"/>
    <s v="AV "/>
    <x v="19"/>
    <s v="02/05/2014"/>
    <s v="02/05/2014"/>
    <s v="05/04/1965"/>
    <s v="A"/>
    <s v="A.IN FORZA"/>
    <s v="1  -ASSUNZIONE                1"/>
    <s v=""/>
    <s v=" "/>
    <s v=""/>
    <s v=""/>
    <n v="2788"/>
    <s v="00"/>
    <n v="100"/>
    <s v="FULL TIME      100000000FF100-FULL TIME"/>
    <s v="02/05/2014"/>
    <s v=""/>
    <s v="  "/>
    <s v=""/>
    <s v="GBM "/>
    <s v="    "/>
    <x v="0"/>
    <s v=""/>
    <s v="nicoletta.pollamattiot@ilsole24ore.com            "/>
    <s v="E"/>
    <s v="E-ESENTE"/>
    <s v="3 "/>
    <s v="3=5 X 7"/>
    <s v="01/09/2025"/>
    <s v="TEMPO DETERMINATO"/>
    <s v="31/05/2027"/>
    <s v="0015003107                    "/>
    <s v=""/>
    <n v="60"/>
    <s v="I  "/>
  </r>
  <r>
    <x v="0"/>
    <n v="2939"/>
    <x v="0"/>
    <s v="K           "/>
    <s v="REDAZIONI GIORNALISTICHE"/>
    <x v="40"/>
    <x v="39"/>
    <s v="515010      "/>
    <s v="515010   RCO+ FINANZA E MERCATI MI"/>
    <s v="ARCUDI                          "/>
    <s v="STEFANIA          "/>
    <s v="RCDSFN76D45F205B"/>
    <x v="0"/>
    <s v="34"/>
    <x v="0"/>
    <s v="01/04/2021"/>
    <s v="MILANO                 "/>
    <x v="4"/>
    <x v="4"/>
    <s v="G"/>
    <x v="3"/>
    <s v="RM2"/>
    <x v="21"/>
    <s v="24/01/2018"/>
    <s v="24/01/2018"/>
    <s v="05/04/1976"/>
    <s v="A"/>
    <s v="A.IN FORZA"/>
    <s v="1  -ASSUNZIONE                1"/>
    <s v=""/>
    <s v=" "/>
    <s v=""/>
    <s v=""/>
    <n v="2939"/>
    <s v="00"/>
    <n v="100"/>
    <s v="FULL TIME      100000000FF100-FULL TIME"/>
    <s v="24/01/2018"/>
    <s v=""/>
    <s v="  "/>
    <s v=""/>
    <s v="GRR "/>
    <s v="    "/>
    <x v="0"/>
    <s v=""/>
    <s v="stefania.arcudi@ilsole24ore.com                   "/>
    <s v="E"/>
    <s v="E-ESENTE"/>
    <s v="3 "/>
    <s v="3=5 X 7"/>
    <s v="01/07/2025"/>
    <s v="TEMPO DETERMINATO"/>
    <s v="31/05/2027"/>
    <s v="0015000759                    "/>
    <s v="TASSO ISABELLA"/>
    <n v="49"/>
    <s v="I  "/>
  </r>
  <r>
    <x v="0"/>
    <n v="3083"/>
    <x v="0"/>
    <s v="K           "/>
    <s v="REDAZIONI GIORNALISTICHE"/>
    <x v="40"/>
    <x v="39"/>
    <s v="515010      "/>
    <s v="515010   RCO+ FINANZA E MERCATI MI"/>
    <s v="BLASIOLI                        "/>
    <s v="STEFANIA          "/>
    <s v="BLSSFN96L53E435J"/>
    <x v="0"/>
    <s v="34"/>
    <x v="0"/>
    <s v="12/06/2023"/>
    <s v="MILANO                 "/>
    <x v="4"/>
    <x v="4"/>
    <s v="G"/>
    <x v="3"/>
    <s v="RM2"/>
    <x v="21"/>
    <s v="12/06/2023"/>
    <s v="12/06/2023"/>
    <s v="13/07/1996"/>
    <s v="A"/>
    <s v="A.IN FORZA"/>
    <s v="1  -ASSUNZIONE                1"/>
    <s v=""/>
    <s v=" "/>
    <s v=""/>
    <s v=""/>
    <n v="3083"/>
    <s v="00"/>
    <n v="100"/>
    <s v="FULL TIME      100000000FF100-FULL TIME"/>
    <s v="12/06/2023"/>
    <s v=""/>
    <s v="  "/>
    <s v=""/>
    <s v="GRR "/>
    <s v="    "/>
    <x v="0"/>
    <s v=""/>
    <s v="stefania.blasioli@ilsole24ore.com                 "/>
    <s v="E"/>
    <s v="E-ESENTE"/>
    <s v="3 "/>
    <s v="3=5 X 7"/>
    <s v="01/07/2025"/>
    <s v="TEMPO DETERMINATO"/>
    <s v="31/05/2027"/>
    <s v="0015000759                    "/>
    <s v="TASSO ISABELLA"/>
    <n v="29"/>
    <s v="I  "/>
  </r>
  <r>
    <x v="0"/>
    <n v="3092"/>
    <x v="0"/>
    <s v="K           "/>
    <s v="REDAZIONI GIORNALISTICHE"/>
    <x v="40"/>
    <x v="39"/>
    <s v="515010      "/>
    <s v="515010   RCO+ FINANZA E MERCATI MI"/>
    <s v="BONADIES                        "/>
    <s v="LAURA             "/>
    <s v="BNDLRA81P65C349L"/>
    <x v="0"/>
    <s v="34"/>
    <x v="0"/>
    <s v="18/09/2023"/>
    <s v="MILANO                 "/>
    <x v="4"/>
    <x v="4"/>
    <s v="G"/>
    <x v="3"/>
    <s v="RM2"/>
    <x v="21"/>
    <s v="18/09/2023"/>
    <s v="18/09/2023"/>
    <s v="25/09/1981"/>
    <s v="A"/>
    <s v="A.IN FORZA"/>
    <s v="1  -ASSUNZIONE                1"/>
    <s v=""/>
    <s v=" "/>
    <s v=""/>
    <s v=""/>
    <n v="3092"/>
    <s v="00"/>
    <n v="100"/>
    <s v="FULL TIME      100000000FF100-FULL TIME"/>
    <s v="18/09/2023"/>
    <s v=""/>
    <s v="  "/>
    <s v=""/>
    <s v="GRR "/>
    <s v="    "/>
    <x v="0"/>
    <s v="SIND.GIORN.        SINDACATO GIORNALISTI"/>
    <s v="laura.bonadies@ilsole24ore.com                    "/>
    <s v="E"/>
    <s v="E-ESENTE"/>
    <s v="3 "/>
    <s v="3=5 X 7"/>
    <s v="01/07/2025"/>
    <s v="TEMPO DETERMINATO"/>
    <s v="31/05/2027"/>
    <s v="0015000759                    "/>
    <s v="TASSO ISABELLA"/>
    <n v="44"/>
    <s v="I  "/>
  </r>
  <r>
    <x v="0"/>
    <n v="2134"/>
    <x v="0"/>
    <s v="K           "/>
    <s v="REDAZIONI GIORNALISTICHE"/>
    <x v="40"/>
    <x v="39"/>
    <s v="515010      "/>
    <s v="515010   RCO+ FINANZA E MERCATI MI"/>
    <s v="BRAMBATI                        "/>
    <s v="MANUELA           "/>
    <s v="BRMMNL72C54F205J"/>
    <x v="0"/>
    <s v="34"/>
    <x v="0"/>
    <s v="01/04/2021"/>
    <s v="MILANO                 "/>
    <x v="4"/>
    <x v="4"/>
    <s v="G"/>
    <x v="3"/>
    <s v="CS "/>
    <x v="18"/>
    <s v="09/10/2006"/>
    <s v="09/10/2006"/>
    <s v="14/03/1972"/>
    <s v="A"/>
    <s v="A.IN FORZA"/>
    <s v="1  -ASSUNZIONE                1"/>
    <s v=""/>
    <s v=" "/>
    <s v=""/>
    <s v=""/>
    <n v="492"/>
    <s v="00"/>
    <n v="100"/>
    <s v="FULL TIME      100000000FF100-FULL TIME"/>
    <s v="09/10/2006"/>
    <s v=""/>
    <s v="  "/>
    <s v=""/>
    <s v="GRR "/>
    <s v="    "/>
    <x v="0"/>
    <s v="SIND.GIORN.        SINDACATO GIORNALISTI"/>
    <s v="manuela.brambati@ilsole24ore.com                  "/>
    <s v="E"/>
    <s v="E-ESENTE"/>
    <s v="3 "/>
    <s v="3=5 X 7"/>
    <s v="01/07/2025"/>
    <s v="TEMPO DETERMINATO"/>
    <s v="31/05/2027"/>
    <s v="0015000759                    "/>
    <s v="TASSO ISABELLA"/>
    <n v="53"/>
    <s v="I  "/>
  </r>
  <r>
    <x v="0"/>
    <n v="3091"/>
    <x v="0"/>
    <s v="K           "/>
    <s v="REDAZIONI GIORNALISTICHE"/>
    <x v="40"/>
    <x v="39"/>
    <s v="515010      "/>
    <s v="515010   RCO+ FINANZA E MERCATI MI"/>
    <s v="COLUCCI                         "/>
    <s v="GIORGIA           "/>
    <s v="CLCGRG98R43L319Z"/>
    <x v="0"/>
    <s v="34"/>
    <x v="0"/>
    <s v="14/09/2023"/>
    <s v="MILANO                 "/>
    <x v="4"/>
    <x v="4"/>
    <s v="G"/>
    <x v="3"/>
    <s v="RM2"/>
    <x v="21"/>
    <s v="14/09/2023"/>
    <s v="14/09/2023"/>
    <s v="03/10/1998"/>
    <s v="A"/>
    <s v="A.IN FORZA"/>
    <s v="1  -ASSUNZIONE                1"/>
    <s v=""/>
    <s v=" "/>
    <s v=""/>
    <s v=""/>
    <n v="3091"/>
    <s v="00"/>
    <n v="100"/>
    <s v="FULL TIME      100000000FF100-FULL TIME"/>
    <s v="14/09/2023"/>
    <s v=""/>
    <s v="  "/>
    <s v=""/>
    <s v="GRR "/>
    <s v="    "/>
    <x v="0"/>
    <s v=""/>
    <s v="giorgia.colucci@ilsole24ore.com                   "/>
    <s v="E"/>
    <s v="E-ESENTE"/>
    <s v="3 "/>
    <s v="3=5 X 7"/>
    <s v="01/07/2025"/>
    <s v="TEMPO DETERMINATO"/>
    <s v="31/05/2027"/>
    <s v="0015000759                    "/>
    <s v="TASSO ISABELLA"/>
    <n v="27"/>
    <s v="I  "/>
  </r>
  <r>
    <x v="0"/>
    <n v="2148"/>
    <x v="0"/>
    <s v="K           "/>
    <s v="REDAZIONI GIORNALISTICHE"/>
    <x v="40"/>
    <x v="39"/>
    <s v="515010      "/>
    <s v="515010   RCO+ FINANZA E MERCATI MI"/>
    <s v="CONDINA                         "/>
    <s v="CHEO              "/>
    <s v="CNDCHE77E12F205G"/>
    <x v="1"/>
    <s v="34"/>
    <x v="0"/>
    <s v="01/04/2021"/>
    <s v="MILANO                 "/>
    <x v="4"/>
    <x v="4"/>
    <s v="G"/>
    <x v="3"/>
    <s v="CSV"/>
    <x v="22"/>
    <s v="08/11/2006"/>
    <s v="08/11/2006"/>
    <s v="12/05/1977"/>
    <s v="A"/>
    <s v="A.IN FORZA"/>
    <s v="1  -ASSUNZIONE                1"/>
    <s v=""/>
    <s v=" "/>
    <s v=""/>
    <s v=""/>
    <n v="501"/>
    <s v="00"/>
    <n v="100"/>
    <s v="FULL TIME      100000000FF100-FULL TIME"/>
    <s v="08/11/2006"/>
    <s v=""/>
    <s v="  "/>
    <s v=""/>
    <s v="GRR "/>
    <s v="    "/>
    <x v="0"/>
    <s v=""/>
    <s v="cheo.condina@ilsole24ore.com                      "/>
    <s v="E"/>
    <s v="E-ESENTE"/>
    <s v="3 "/>
    <s v="3=5 X 7"/>
    <s v="01/07/2025"/>
    <s v="TEMPO DETERMINATO"/>
    <s v="31/05/2027"/>
    <s v="0015000759                    "/>
    <s v="TASSO ISABELLA"/>
    <n v="48"/>
    <s v="I  "/>
  </r>
  <r>
    <x v="0"/>
    <n v="1954"/>
    <x v="0"/>
    <s v="K           "/>
    <s v="REDAZIONI GIORNALISTICHE"/>
    <x v="40"/>
    <x v="39"/>
    <s v="515010      "/>
    <s v="515010   RCO+ FINANZA E MERCATI MI"/>
    <s v="DI CRISTOFARO                   "/>
    <s v="CHIARA            "/>
    <s v="DCRCHR75M61H501P"/>
    <x v="0"/>
    <s v="34"/>
    <x v="0"/>
    <s v="01/04/2021"/>
    <s v="MILANO                 "/>
    <x v="4"/>
    <x v="4"/>
    <s v="G"/>
    <x v="3"/>
    <s v="RE "/>
    <x v="25"/>
    <s v="01/06/2003"/>
    <s v="01/06/2003"/>
    <s v="21/08/1975"/>
    <s v="A"/>
    <s v="A.IN FORZA"/>
    <s v="1  -ASSUNZIONE                1"/>
    <s v=""/>
    <s v=" "/>
    <s v=""/>
    <s v=""/>
    <n v="399"/>
    <s v="00"/>
    <n v="100"/>
    <s v="FULL TIME      100000000FF100-FULL TIME"/>
    <s v="01/09/2023"/>
    <s v=""/>
    <s v="  "/>
    <s v=""/>
    <s v="GRR "/>
    <s v="    "/>
    <x v="0"/>
    <s v="SIND.GIORN.        SINDACATO GIORNALISTI"/>
    <s v="chiara.dicristofaro@ilsole24ore.com               "/>
    <s v="E"/>
    <s v="E-ESENTE"/>
    <s v="1 "/>
    <s v="1=5 X 8"/>
    <s v="01/07/2025"/>
    <s v="TEMPO DETERMINATO"/>
    <s v="31/05/2027"/>
    <s v="0015000759                    "/>
    <s v="TASSO ISABELLA"/>
    <n v="50"/>
    <s v="I  "/>
  </r>
  <r>
    <x v="0"/>
    <n v="3090"/>
    <x v="0"/>
    <s v="K           "/>
    <s v="REDAZIONI GIORNALISTICHE"/>
    <x v="40"/>
    <x v="39"/>
    <s v="515010      "/>
    <s v="515010   RCO+ FINANZA E MERCATI MI"/>
    <s v="DI MICHELE                      "/>
    <s v="CHIARA            "/>
    <s v="DMCCHR79H44H501G"/>
    <x v="0"/>
    <s v="34"/>
    <x v="0"/>
    <s v="18/09/2023"/>
    <s v="MILANO                 "/>
    <x v="4"/>
    <x v="4"/>
    <s v="G"/>
    <x v="3"/>
    <s v="RM2"/>
    <x v="21"/>
    <s v="18/09/2023"/>
    <s v="18/09/2023"/>
    <s v="04/06/1979"/>
    <s v="A"/>
    <s v="A.IN FORZA"/>
    <s v="1  -ASSUNZIONE                1"/>
    <s v=""/>
    <s v=" "/>
    <s v=""/>
    <s v=""/>
    <n v="3090"/>
    <s v="00"/>
    <n v="100"/>
    <s v="FULL TIME      100000000FF100-FULL TIME"/>
    <s v="14/09/2023"/>
    <s v=""/>
    <s v="  "/>
    <s v=""/>
    <s v="GRR "/>
    <s v="    "/>
    <x v="0"/>
    <s v=""/>
    <s v="chiara.dimichele@ilsole24ore.com                  "/>
    <s v="E"/>
    <s v="E-ESENTE"/>
    <s v="3 "/>
    <s v="3=5 X 7"/>
    <s v="01/07/2025"/>
    <s v="TEMPO DETERMINATO"/>
    <s v="31/05/2027"/>
    <s v="0015000759                    "/>
    <s v="TASSO ISABELLA"/>
    <n v="46"/>
    <s v="I  "/>
  </r>
  <r>
    <x v="0"/>
    <n v="2142"/>
    <x v="0"/>
    <s v="K           "/>
    <s v="REDAZIONI GIORNALISTICHE"/>
    <x v="40"/>
    <x v="39"/>
    <s v="515010      "/>
    <s v="515010   RCO+ FINANZA E MERCATI MI"/>
    <s v="FONTANA                         "/>
    <s v="ANDREA            "/>
    <s v="FNTNDR78M22B019V"/>
    <x v="1"/>
    <s v="31"/>
    <x v="1"/>
    <s v="01/09/2023"/>
    <s v="ROMA                   "/>
    <x v="4"/>
    <x v="4"/>
    <s v="G"/>
    <x v="3"/>
    <s v="RM2"/>
    <x v="21"/>
    <s v="23/10/2006"/>
    <s v="23/10/2006"/>
    <s v="22/08/1978"/>
    <s v="A"/>
    <s v="A.IN FORZA"/>
    <s v="1  -ASSUNZIONE                1"/>
    <s v=""/>
    <s v=" "/>
    <s v=""/>
    <s v=""/>
    <n v="498"/>
    <s v="00"/>
    <n v="100"/>
    <s v="FULL TIME      100000000FF100-FULL TIME"/>
    <s v="23/10/2006"/>
    <s v=""/>
    <s v="  "/>
    <s v=""/>
    <s v="GRR "/>
    <s v="    "/>
    <x v="0"/>
    <s v="SIND.GIORN.        SINDACATO GIORNALISTI"/>
    <s v="andrea.fontana@ilsole24ore.com                    "/>
    <s v="E"/>
    <s v="E-ESENTE"/>
    <s v="3 "/>
    <s v="3=5 X 7"/>
    <s v="01/07/2025"/>
    <s v="TEMPO DETERMINATO"/>
    <s v="31/05/2027"/>
    <s v="0015000759                    "/>
    <s v="TASSO ISABELLA"/>
    <n v="47"/>
    <s v="I  "/>
  </r>
  <r>
    <x v="0"/>
    <n v="273"/>
    <x v="0"/>
    <s v="K           "/>
    <s v="REDAZIONI GIORNALISTICHE"/>
    <x v="40"/>
    <x v="39"/>
    <s v="515010      "/>
    <s v="515010   RCO+ FINANZA E MERCATI MI"/>
    <s v="LODI                            "/>
    <s v="MONICA            "/>
    <s v="LDOMNC62C57D969R"/>
    <x v="0"/>
    <s v="34"/>
    <x v="0"/>
    <s v="01/04/2021"/>
    <s v="MILANO                 "/>
    <x v="4"/>
    <x v="4"/>
    <s v="G"/>
    <x v="3"/>
    <s v="CS "/>
    <x v="18"/>
    <s v="01/04/1987"/>
    <s v="01/01/1996"/>
    <s v="17/03/1962"/>
    <s v="A"/>
    <s v="A.IN FORZA"/>
    <s v="1  -ASSUNZIONE                1"/>
    <s v=""/>
    <s v=" "/>
    <s v=""/>
    <s v=""/>
    <n v="80"/>
    <s v="00"/>
    <n v="100"/>
    <s v="FULL TIME      100000000FF100-FULL TIME"/>
    <s v="01/07/2019"/>
    <s v=""/>
    <s v="  "/>
    <s v=""/>
    <s v="GRR "/>
    <s v="    "/>
    <x v="0"/>
    <s v="SIND.GIORN.        SINDACATO GIORNALISTI"/>
    <s v="monica.lodi@ilsole24ore.com                       "/>
    <s v="E"/>
    <s v="E-ESENTE"/>
    <s v="2 "/>
    <s v="2=6 X 6"/>
    <s v="01/06/2026"/>
    <s v="TEMPO DETERMINATO"/>
    <s v="31/05/2027"/>
    <s v="0015000759                    "/>
    <s v="TASSO ISABELLA"/>
    <n v="63"/>
    <s v="I  "/>
  </r>
  <r>
    <x v="0"/>
    <n v="2738"/>
    <x v="0"/>
    <s v="K           "/>
    <s v="REDAZIONI GIORNALISTICHE"/>
    <x v="40"/>
    <x v="39"/>
    <s v="515010      "/>
    <s v="515010   RCO+ FINANZA E MERCATI MI"/>
    <s v="MARINO                          "/>
    <s v="ANNA              "/>
    <s v="MRNNNA71M45L219X"/>
    <x v="0"/>
    <s v="34"/>
    <x v="0"/>
    <s v="01/04/2021"/>
    <s v="MILANO                 "/>
    <x v="4"/>
    <x v="4"/>
    <s v="G"/>
    <x v="3"/>
    <s v="RM2"/>
    <x v="21"/>
    <s v="01/01/2014"/>
    <s v="01/03/2005"/>
    <s v="05/08/1971"/>
    <s v="A"/>
    <s v="A.IN FORZA"/>
    <s v="1  -ASSUNZIONE                1"/>
    <s v=""/>
    <s v=" "/>
    <s v=""/>
    <s v=""/>
    <n v="2738"/>
    <s v="00"/>
    <n v="100"/>
    <s v="FULL TIME      100000000FF100-FULL TIME"/>
    <s v="01/03/2005"/>
    <s v=""/>
    <s v="  "/>
    <s v=""/>
    <s v="GRR "/>
    <s v="    "/>
    <x v="0"/>
    <s v="FIGEC CISAL        FIGEC CISAL"/>
    <s v="anna.marino@ilsole24ore.com                       "/>
    <s v="E"/>
    <s v="E-ESENTE"/>
    <s v="3 "/>
    <s v="3=5 X 7"/>
    <s v="01/07/2025"/>
    <s v="TEMPO DETERMINATO"/>
    <s v="31/05/2027"/>
    <s v="0015000759                    "/>
    <s v="TASSO ISABELLA"/>
    <n v="54"/>
    <s v="I  "/>
  </r>
  <r>
    <x v="0"/>
    <n v="1506"/>
    <x v="0"/>
    <s v="K           "/>
    <s v="REDAZIONI GIORNALISTICHE"/>
    <x v="40"/>
    <x v="39"/>
    <s v="515010      "/>
    <s v="515010   RCO+ FINANZA E MERCATI MI"/>
    <s v="MICHELI                         "/>
    <s v="ELEONORA          "/>
    <s v="MCHLNR71M59I726H"/>
    <x v="0"/>
    <s v="34"/>
    <x v="0"/>
    <s v="01/04/2021"/>
    <s v="MILANO                 "/>
    <x v="4"/>
    <x v="4"/>
    <s v="G"/>
    <x v="3"/>
    <s v="RE "/>
    <x v="25"/>
    <s v="20/03/2000"/>
    <s v="20/03/2000"/>
    <s v="19/08/1971"/>
    <s v="A"/>
    <s v="A.IN FORZA"/>
    <s v="1  -ASSUNZIONE                1"/>
    <s v=""/>
    <s v=" "/>
    <s v=""/>
    <s v=""/>
    <n v="308"/>
    <s v="00"/>
    <n v="100"/>
    <s v="FULL TIME      100000000FF100-FULL TIME"/>
    <s v="20/03/2000"/>
    <s v=""/>
    <s v="  "/>
    <s v=""/>
    <s v="GRR "/>
    <s v="    "/>
    <x v="0"/>
    <s v="FIGEC CISAL        FIGEC CISAL"/>
    <s v="eleonora.micheli@ilsole24ore.com                  "/>
    <s v="E"/>
    <s v="E-ESENTE"/>
    <s v="3 "/>
    <s v="3=5 X 7"/>
    <s v="01/07/2025"/>
    <s v="TEMPO DETERMINATO"/>
    <s v="31/05/2027"/>
    <s v="0015000759                    "/>
    <s v="TASSO ISABELLA"/>
    <n v="54"/>
    <s v="I  "/>
  </r>
  <r>
    <x v="0"/>
    <n v="2940"/>
    <x v="0"/>
    <s v="K           "/>
    <s v="REDAZIONI GIORNALISTICHE"/>
    <x v="40"/>
    <x v="39"/>
    <s v="515010      "/>
    <s v="515010   RCO+ FINANZA E MERCATI MI"/>
    <s v="MIELE                           "/>
    <s v="ENRICO            "/>
    <s v="MLINRC80T19H703B"/>
    <x v="1"/>
    <s v="34"/>
    <x v="0"/>
    <s v="01/04/2021"/>
    <s v="MILANO                 "/>
    <x v="4"/>
    <x v="4"/>
    <s v="G"/>
    <x v="3"/>
    <s v="RM2"/>
    <x v="21"/>
    <s v="24/01/2018"/>
    <s v="24/01/2018"/>
    <s v="19/12/1980"/>
    <s v="A"/>
    <s v="A.IN FORZA"/>
    <s v="1  -ASSUNZIONE                1"/>
    <s v=""/>
    <s v=" "/>
    <s v=""/>
    <s v=""/>
    <n v="2940"/>
    <s v="00"/>
    <n v="100"/>
    <s v="FULL TIME      100000000FF100-FULL TIME"/>
    <s v="24/01/2018"/>
    <s v=""/>
    <s v="  "/>
    <s v=""/>
    <s v="GRR "/>
    <s v="    "/>
    <x v="0"/>
    <s v=""/>
    <s v="enrico.miele@ilsole24ore.com                      "/>
    <s v="E"/>
    <s v="E-ESENTE"/>
    <s v="3 "/>
    <s v="3=5 X 7"/>
    <s v="01/07/2025"/>
    <s v="TEMPO DETERMINATO"/>
    <s v="31/05/2027"/>
    <s v="0015000759                    "/>
    <s v="TASSO ISABELLA"/>
    <n v="45"/>
    <s v="I  "/>
  </r>
  <r>
    <x v="0"/>
    <n v="2744"/>
    <x v="0"/>
    <s v="K           "/>
    <s v="REDAZIONI GIORNALISTICHE"/>
    <x v="40"/>
    <x v="39"/>
    <s v="515010      "/>
    <s v="515010   RCO+ FINANZA E MERCATI MI"/>
    <s v="MIGLIORATI                      "/>
    <s v="ANNA              "/>
    <s v="MGLNNA72M67B157O"/>
    <x v="0"/>
    <s v="34"/>
    <x v="0"/>
    <s v="01/04/2021"/>
    <s v="MILANO                 "/>
    <x v="4"/>
    <x v="4"/>
    <s v="G"/>
    <x v="3"/>
    <s v="CR "/>
    <x v="24"/>
    <s v="01/01/2014"/>
    <s v="23/08/1999"/>
    <s v="27/08/1972"/>
    <s v="A"/>
    <s v="A.IN FORZA"/>
    <s v="1  -ASSUNZIONE                1"/>
    <s v=""/>
    <s v=" "/>
    <s v=""/>
    <s v=""/>
    <n v="2744"/>
    <s v="00"/>
    <n v="100"/>
    <s v="FULL TIME      100000000FF100-FULL TIME"/>
    <s v="23/08/1999"/>
    <s v=""/>
    <s v="  "/>
    <s v=""/>
    <s v="GRR "/>
    <s v="    "/>
    <x v="0"/>
    <s v=""/>
    <s v="anna.migliorati@radio24.it                        "/>
    <s v="E"/>
    <s v="E-ESENTE"/>
    <s v="3 "/>
    <s v="3=5 X 7"/>
    <s v="01/07/2025"/>
    <s v="TEMPO DETERMINATO"/>
    <s v="31/05/2027"/>
    <s v="0015000759                    "/>
    <s v="TASSO ISABELLA"/>
    <n v="53"/>
    <s v="I  "/>
  </r>
  <r>
    <x v="0"/>
    <n v="2749"/>
    <x v="0"/>
    <s v="K           "/>
    <s v="REDAZIONI GIORNALISTICHE"/>
    <x v="40"/>
    <x v="39"/>
    <s v="515010      "/>
    <s v="515010   RCO+ FINANZA E MERCATI MI"/>
    <s v="PANCERI                         "/>
    <s v="PAOLO             "/>
    <s v="PNCPLA63A24F205P"/>
    <x v="1"/>
    <s v="34"/>
    <x v="0"/>
    <s v="01/04/2021"/>
    <s v="MILANO                 "/>
    <x v="4"/>
    <x v="4"/>
    <s v="G"/>
    <x v="3"/>
    <s v="RM2"/>
    <x v="21"/>
    <s v="01/01/2014"/>
    <s v="18/09/2000"/>
    <s v="24/01/1963"/>
    <s v="A"/>
    <s v="A.IN FORZA"/>
    <s v="1  -ASSUNZIONE                1"/>
    <s v=""/>
    <s v=" "/>
    <s v=""/>
    <s v=""/>
    <n v="2749"/>
    <s v="00"/>
    <n v="100"/>
    <s v="FULL TIME      100000000FF100-FULL TIME"/>
    <s v="18/09/2000"/>
    <s v=""/>
    <s v="  "/>
    <s v=""/>
    <s v="GN  "/>
    <s v="    "/>
    <x v="0"/>
    <s v="SIND.GIORN.        SINDACATO GIORNALISTI"/>
    <s v="paolo.panceri@ilsole24ore.com                     "/>
    <s v="E"/>
    <s v="E-ESENTE"/>
    <s v="3 "/>
    <s v="3=5 X 7"/>
    <s v="01/07/2025"/>
    <s v="TEMPO DETERMINATO"/>
    <s v="31/05/2027"/>
    <s v="0015000759                    "/>
    <s v="TASSO ISABELLA"/>
    <n v="63"/>
    <s v="I  "/>
  </r>
  <r>
    <x v="0"/>
    <n v="2164"/>
    <x v="0"/>
    <s v="K           "/>
    <s v="REDAZIONI GIORNALISTICHE"/>
    <x v="40"/>
    <x v="39"/>
    <s v="515010      "/>
    <s v="515010   RCO+ FINANZA E MERCATI MI"/>
    <s v="PARONETTO                       "/>
    <s v="PAOLO             "/>
    <s v="PRNPLA79L05M172W"/>
    <x v="1"/>
    <s v="34"/>
    <x v="0"/>
    <s v="01/04/2021"/>
    <s v="MILANO                 "/>
    <x v="4"/>
    <x v="4"/>
    <s v="G"/>
    <x v="3"/>
    <s v="RM2"/>
    <x v="21"/>
    <s v="01/02/2007"/>
    <s v="01/02/2007"/>
    <s v="05/07/1979"/>
    <s v="A"/>
    <s v="A.IN FORZA"/>
    <s v="1  -ASSUNZIONE                1"/>
    <s v=""/>
    <s v=" "/>
    <s v=""/>
    <s v=""/>
    <n v="506"/>
    <s v="00"/>
    <n v="100"/>
    <s v="FULL TIME      100000000FF100-FULL TIME"/>
    <s v="01/02/2007"/>
    <s v=""/>
    <s v="  "/>
    <s v=""/>
    <s v="GRR "/>
    <s v="    "/>
    <x v="0"/>
    <s v="SIND.GIORN.        SINDACATO GIORNALISTI"/>
    <s v="paolo.paronetto@ilsole24ore.com                   "/>
    <s v="E"/>
    <s v="E-ESENTE"/>
    <s v="3 "/>
    <s v="3=5 X 7"/>
    <s v="01/07/2025"/>
    <s v="TEMPO DETERMINATO"/>
    <s v="31/05/2027"/>
    <s v="0015000759                    "/>
    <s v="TASSO ISABELLA"/>
    <n v="46"/>
    <s v="I  "/>
  </r>
  <r>
    <x v="0"/>
    <n v="2147"/>
    <x v="0"/>
    <s v="K           "/>
    <s v="REDAZIONI GIORNALISTICHE"/>
    <x v="40"/>
    <x v="39"/>
    <s v="515010      "/>
    <s v="515010   RCO+ FINANZA E MERCATI MI"/>
    <s v="POGGI                           "/>
    <s v="CORRADO GIOVANNI  "/>
    <s v="PGGCRD66H24F205F"/>
    <x v="1"/>
    <s v="34"/>
    <x v="0"/>
    <s v="01/04/2021"/>
    <s v="MILANO                 "/>
    <x v="4"/>
    <x v="4"/>
    <s v="G"/>
    <x v="3"/>
    <s v="RM2"/>
    <x v="21"/>
    <s v="07/11/2006"/>
    <s v="07/11/2006"/>
    <s v="24/06/1966"/>
    <s v="A"/>
    <s v="A.IN FORZA"/>
    <s v="1  -ASSUNZIONE                1"/>
    <s v=""/>
    <s v=" "/>
    <s v=""/>
    <s v=""/>
    <n v="500"/>
    <s v="00"/>
    <n v="100"/>
    <s v="FULL TIME      100000000FF100-FULL TIME"/>
    <s v="07/11/2006"/>
    <s v=""/>
    <s v="  "/>
    <s v=""/>
    <s v="GRR "/>
    <s v="    "/>
    <x v="0"/>
    <s v=""/>
    <s v="corrado.poggi@ilsole24ore.com                     "/>
    <s v="E"/>
    <s v="E-ESENTE"/>
    <s v="3 "/>
    <s v="3=5 X 7"/>
    <s v="01/07/2025"/>
    <s v="TEMPO DETERMINATO"/>
    <s v="31/05/2027"/>
    <s v="0015000759                    "/>
    <s v="TASSO ISABELLA"/>
    <n v="59"/>
    <s v="I  "/>
  </r>
  <r>
    <x v="0"/>
    <n v="1688"/>
    <x v="0"/>
    <s v="K           "/>
    <s v="REDAZIONI GIORNALISTICHE"/>
    <x v="40"/>
    <x v="39"/>
    <s v="515010      "/>
    <s v="515010   RCO+ FINANZA E MERCATI MI"/>
    <s v="POLLICE                         "/>
    <s v="DARIO             "/>
    <s v="PLLDRA68A16F205O"/>
    <x v="1"/>
    <s v="34"/>
    <x v="0"/>
    <s v="01/04/2021"/>
    <s v="MILANO                 "/>
    <x v="4"/>
    <x v="4"/>
    <s v="G"/>
    <x v="3"/>
    <s v="CS "/>
    <x v="18"/>
    <s v="11/12/2000"/>
    <s v="11/12/2000"/>
    <s v="16/01/1968"/>
    <s v="A"/>
    <s v="A.IN FORZA"/>
    <s v="1  -ASSUNZIONE                1"/>
    <s v=""/>
    <s v=" "/>
    <s v=""/>
    <s v=""/>
    <n v="327"/>
    <s v="00"/>
    <n v="100"/>
    <s v="FULL TIME      100000000FF100-FULL TIME"/>
    <s v="11/12/2000"/>
    <s v=""/>
    <s v="  "/>
    <s v=""/>
    <s v="GRR "/>
    <s v="    "/>
    <x v="0"/>
    <s v="SIND.GIORN.        SINDACATO GIORNALISTI"/>
    <s v="dario.pollice@ilsole24ore.com                     "/>
    <s v="E"/>
    <s v="E-ESENTE"/>
    <s v="2 "/>
    <s v="2=6 X 6"/>
    <s v="01/07/2025"/>
    <s v="TEMPO DETERMINATO"/>
    <s v="31/05/2027"/>
    <s v="0015000759                    "/>
    <s v="TASSO ISABELLA"/>
    <n v="58"/>
    <s v="I  "/>
  </r>
  <r>
    <x v="0"/>
    <n v="3093"/>
    <x v="0"/>
    <s v="K           "/>
    <s v="REDAZIONI GIORNALISTICHE"/>
    <x v="40"/>
    <x v="39"/>
    <s v="515010      "/>
    <s v="515010   RCO+ FINANZA E MERCATI MI"/>
    <s v="SOLIGO                          "/>
    <s v="MARTINA           "/>
    <s v="SLGMTN93S50L407A"/>
    <x v="0"/>
    <s v="34"/>
    <x v="0"/>
    <s v="18/09/2023"/>
    <s v="MILANO                 "/>
    <x v="4"/>
    <x v="4"/>
    <s v="G"/>
    <x v="3"/>
    <s v="RM2"/>
    <x v="21"/>
    <s v="18/09/2023"/>
    <s v="18/09/2023"/>
    <s v="10/11/1993"/>
    <s v="A"/>
    <s v="A.IN FORZA"/>
    <s v="1  -ASSUNZIONE                1"/>
    <s v=""/>
    <s v=" "/>
    <s v=""/>
    <s v=""/>
    <n v="3093"/>
    <s v="00"/>
    <n v="100"/>
    <s v="FULL TIME      100000000FF100-FULL TIME"/>
    <s v="18/09/2023"/>
    <s v=""/>
    <s v="  "/>
    <s v=""/>
    <s v="GRR "/>
    <s v="    "/>
    <x v="0"/>
    <s v=""/>
    <s v="martina.soligo@ilsole24ore.com                    "/>
    <s v="E"/>
    <s v="E-ESENTE"/>
    <s v="3 "/>
    <s v="3=5 X 7"/>
    <s v="01/07/2025"/>
    <s v="TEMPO DETERMINATO"/>
    <s v="31/05/2027"/>
    <s v="0015000759                    "/>
    <s v="TASSO ISABELLA"/>
    <n v="32"/>
    <s v="I  "/>
  </r>
  <r>
    <x v="0"/>
    <n v="759"/>
    <x v="0"/>
    <s v="K           "/>
    <s v="REDAZIONI GIORNALISTICHE"/>
    <x v="40"/>
    <x v="39"/>
    <s v="515010      "/>
    <s v="515010   RCO+ FINANZA E MERCATI MI"/>
    <s v="TASSO                           "/>
    <s v="ISABELLA          "/>
    <s v="TSSSLL67M50F205Q"/>
    <x v="0"/>
    <s v="34"/>
    <x v="0"/>
    <s v="01/04/2021"/>
    <s v="MILANO                 "/>
    <x v="4"/>
    <x v="4"/>
    <s v="G"/>
    <x v="3"/>
    <s v="CR "/>
    <x v="24"/>
    <s v="05/04/1994"/>
    <s v="01/01/1996"/>
    <s v="10/08/1967"/>
    <s v="A"/>
    <s v="A.IN FORZA"/>
    <s v="1  -ASSUNZIONE                1"/>
    <s v=""/>
    <s v=" "/>
    <s v=""/>
    <s v=""/>
    <n v="192"/>
    <s v="00"/>
    <n v="100"/>
    <s v="FULL TIME      100000000FF100-FULL TIME"/>
    <s v="05/04/1994"/>
    <s v=""/>
    <s v="  "/>
    <s v=""/>
    <s v="GRR "/>
    <s v="    "/>
    <x v="0"/>
    <s v="SIND.GIORN.        SINDACATO GIORNALISTI"/>
    <s v="isabella.tasso@ilsole24ore.com                    "/>
    <s v="E"/>
    <s v="E-ESENTE"/>
    <s v="2 "/>
    <s v="2=6 X 6"/>
    <s v="01/07/2025"/>
    <s v="TEMPO DETERMINATO"/>
    <s v="31/05/2027"/>
    <s v="0015003107                    "/>
    <s v=""/>
    <n v="58"/>
    <s v="I  "/>
  </r>
  <r>
    <x v="0"/>
    <n v="3156"/>
    <x v="0"/>
    <s v="K           "/>
    <s v="REDAZIONI GIORNALISTICHE"/>
    <x v="40"/>
    <x v="39"/>
    <s v="515010      "/>
    <s v="515010   RCO+ FINANZA E MERCATI MI"/>
    <s v="TORNEO                          "/>
    <s v="IVAN              "/>
    <s v="TRNVNI94A01I754J"/>
    <x v="1"/>
    <s v="34"/>
    <x v="0"/>
    <s v="21/07/2025"/>
    <s v="MILANO                 "/>
    <x v="4"/>
    <x v="4"/>
    <s v="G"/>
    <x v="3"/>
    <s v="RP2"/>
    <x v="27"/>
    <s v="21/07/2025"/>
    <s v="21/07/2025"/>
    <s v="01/01/1994"/>
    <s v="A"/>
    <s v="A.IN FORZA"/>
    <s v="1  -ASSUNZIONE                1"/>
    <s v=""/>
    <s v=" "/>
    <s v=""/>
    <s v=""/>
    <n v="3156"/>
    <s v="00"/>
    <n v="100"/>
    <s v="FULL TIME      100000000FF100-FULL TIME"/>
    <s v="21/07/2025"/>
    <s v=""/>
    <s v="  "/>
    <s v=""/>
    <s v="GRR "/>
    <s v="    "/>
    <x v="0"/>
    <s v=""/>
    <s v="ivan.torneo@ilsole24ore.com                       "/>
    <s v="E"/>
    <s v="E-ESENTE"/>
    <s v="3 "/>
    <s v="3=5 X 7"/>
    <s v="01/08/2025"/>
    <s v="TEMPO DETERMINATO"/>
    <s v="31/05/2027"/>
    <s v="0015000759                    "/>
    <s v="TASSO ISABELLA"/>
    <n v="32"/>
    <s v="I  "/>
  </r>
  <r>
    <x v="0"/>
    <n v="1795"/>
    <x v="0"/>
    <s v="K           "/>
    <s v="REDAZIONI GIORNALISTICHE"/>
    <x v="40"/>
    <x v="39"/>
    <s v="515020      "/>
    <s v="515020   RCO+ FINANZA E MERCATI RM"/>
    <s v="BONANNI                         "/>
    <s v="FABIO             "/>
    <s v="BNNFBA61L21H501C"/>
    <x v="1"/>
    <s v="31"/>
    <x v="1"/>
    <s v="01/06/2009"/>
    <s v="ROMA                   "/>
    <x v="4"/>
    <x v="4"/>
    <s v="G"/>
    <x v="3"/>
    <s v="RM2"/>
    <x v="21"/>
    <s v="03/12/2001"/>
    <s v="03/12/2001"/>
    <s v="21/07/1961"/>
    <s v="A"/>
    <s v="A.IN FORZA"/>
    <s v="1  -ASSUNZIONE                1"/>
    <s v=""/>
    <s v=" "/>
    <s v=""/>
    <s v=""/>
    <n v="355"/>
    <s v="00"/>
    <n v="100"/>
    <s v="FULL TIME      100000000FF100-FULL TIME"/>
    <s v="03/12/2001"/>
    <s v=""/>
    <s v="  "/>
    <s v=""/>
    <s v="GRR "/>
    <s v="    "/>
    <x v="0"/>
    <s v="SIND.GIORN.        SINDACATO GIORNALISTI"/>
    <s v="fabio.bonanni@ilsole24ore.com                     "/>
    <s v="E"/>
    <s v="E-ESENTE"/>
    <s v="3 "/>
    <s v="3=5 X 7"/>
    <s v="01/07/2025"/>
    <s v="TEMPO DETERMINATO"/>
    <s v="31/05/2027"/>
    <s v="0015001708                    "/>
    <s v="LUPOI MASSIMO"/>
    <n v="64"/>
    <s v="I  "/>
  </r>
  <r>
    <x v="0"/>
    <n v="1899"/>
    <x v="0"/>
    <s v="K           "/>
    <s v="REDAZIONI GIORNALISTICHE"/>
    <x v="40"/>
    <x v="39"/>
    <s v="515020      "/>
    <s v="515020   RCO+ FINANZA E MERCATI RM"/>
    <s v="BONOMI                          "/>
    <s v="BARBARA           "/>
    <s v="BNMBBR72C56H282O"/>
    <x v="0"/>
    <s v="31"/>
    <x v="1"/>
    <s v="01/06/2009"/>
    <s v="ROMA                   "/>
    <x v="4"/>
    <x v="4"/>
    <s v="G"/>
    <x v="3"/>
    <s v="RM2"/>
    <x v="21"/>
    <s v="20/06/2002"/>
    <s v="20/06/2002"/>
    <s v="16/03/1972"/>
    <s v="A"/>
    <s v="A.IN FORZA"/>
    <s v="1  -ASSUNZIONE                1"/>
    <s v=""/>
    <s v=" "/>
    <s v=""/>
    <s v=""/>
    <n v="367"/>
    <s v="00"/>
    <n v="100"/>
    <s v="FULL TIME      100000000FF100-FULL TIME"/>
    <s v="01/11/2014"/>
    <s v=""/>
    <s v="  "/>
    <s v=""/>
    <s v="GRR "/>
    <s v="    "/>
    <x v="0"/>
    <s v=""/>
    <s v="barbara.bonomi@ilsole24ore.com                    "/>
    <s v="E"/>
    <s v="E-ESENTE"/>
    <s v="3 "/>
    <s v="3=5 X 7"/>
    <s v="01/07/2025"/>
    <s v="TEMPO DETERMINATO"/>
    <s v="31/05/2027"/>
    <s v="0015001708                    "/>
    <s v="LUPOI MASSIMO"/>
    <n v="53"/>
    <s v="I  "/>
  </r>
  <r>
    <x v="0"/>
    <n v="1865"/>
    <x v="0"/>
    <s v="K           "/>
    <s v="REDAZIONI GIORNALISTICHE"/>
    <x v="40"/>
    <x v="39"/>
    <s v="515020      "/>
    <s v="515020   RCO+ FINANZA E MERCATI RM"/>
    <s v="CAPOZZI                         "/>
    <s v="ALESSANDRA        "/>
    <s v="CPZLSN69P67H501T"/>
    <x v="0"/>
    <s v="31"/>
    <x v="1"/>
    <s v="01/06/2009"/>
    <s v="ROMA                   "/>
    <x v="4"/>
    <x v="4"/>
    <s v="G"/>
    <x v="3"/>
    <s v="CSV"/>
    <x v="22"/>
    <s v="01/02/2002"/>
    <s v="01/02/2002"/>
    <s v="27/09/1969"/>
    <s v="A"/>
    <s v="A.IN FORZA"/>
    <s v="1  -ASSUNZIONE                1"/>
    <s v=""/>
    <s v=" "/>
    <s v=""/>
    <s v=""/>
    <n v="360"/>
    <s v="00"/>
    <n v="100"/>
    <s v="FULL TIME      100000000FF100-FULL TIME"/>
    <s v="01/02/2002"/>
    <s v=""/>
    <s v="  "/>
    <s v=""/>
    <s v="GRR "/>
    <s v="    "/>
    <x v="0"/>
    <s v="SIND.GIORN.        SINDACATO GIORNALISTI"/>
    <s v="alessandra.capozzi@ilsole24ore.com                "/>
    <s v="E"/>
    <s v="E-ESENTE"/>
    <s v="3 "/>
    <s v="3=5 X 7"/>
    <s v="01/07/2025"/>
    <s v="TEMPO DETERMINATO"/>
    <s v="31/05/2027"/>
    <s v="0015001708                    "/>
    <s v="LUPOI MASSIMO"/>
    <n v="56"/>
    <s v="I  "/>
  </r>
  <r>
    <x v="0"/>
    <n v="2143"/>
    <x v="0"/>
    <s v="K           "/>
    <s v="REDAZIONI GIORNALISTICHE"/>
    <x v="40"/>
    <x v="39"/>
    <s v="515020      "/>
    <s v="515020   RCO+ FINANZA E MERCATI RM"/>
    <s v="CARLETTI                        "/>
    <s v="FLAVIA            "/>
    <s v="CRLFLV78B50H501D"/>
    <x v="0"/>
    <s v="31"/>
    <x v="1"/>
    <s v="16/10/2023"/>
    <s v="ROMA                   "/>
    <x v="4"/>
    <x v="4"/>
    <s v="G"/>
    <x v="3"/>
    <s v="RM2"/>
    <x v="21"/>
    <s v="23/10/2006"/>
    <s v="23/10/2006"/>
    <s v="10/02/1978"/>
    <s v="A"/>
    <s v="A.IN FORZA"/>
    <s v="1  -ASSUNZIONE                1"/>
    <s v=""/>
    <s v=" "/>
    <s v=""/>
    <s v=""/>
    <n v="499"/>
    <s v="00"/>
    <n v="100"/>
    <s v="FULL TIME      100000000FF100-FULL TIME"/>
    <s v="23/10/2006"/>
    <s v=""/>
    <s v="  "/>
    <s v=""/>
    <s v="GRR "/>
    <s v="    "/>
    <x v="0"/>
    <s v=""/>
    <s v="flavia.carletti@ilsole24ore.com                   "/>
    <s v="E"/>
    <s v="E-ESENTE"/>
    <s v="3 "/>
    <s v="3=5 X 7"/>
    <s v="01/07/2025"/>
    <s v="TEMPO DETERMINATO"/>
    <s v="31/05/2027"/>
    <s v="0015000759                    "/>
    <s v="TASSO ISABELLA"/>
    <n v="47"/>
    <s v="I  "/>
  </r>
  <r>
    <x v="0"/>
    <n v="1707"/>
    <x v="0"/>
    <s v="K           "/>
    <s v="REDAZIONI GIORNALISTICHE"/>
    <x v="40"/>
    <x v="39"/>
    <s v="515020      "/>
    <s v="515020   RCO+ FINANZA E MERCATI RM"/>
    <s v="CELIO                           "/>
    <s v="CLAUDIO           "/>
    <s v="CLECLD74H24H501Z"/>
    <x v="1"/>
    <s v="31"/>
    <x v="1"/>
    <s v="01/06/2009"/>
    <s v="ROMA                   "/>
    <x v="4"/>
    <x v="4"/>
    <s v="G"/>
    <x v="3"/>
    <s v="RM2"/>
    <x v="21"/>
    <s v="01/01/2001"/>
    <s v="01/01/2001"/>
    <s v="24/06/1974"/>
    <s v="A"/>
    <s v="A.IN FORZA"/>
    <s v="1  -ASSUNZIONE                1"/>
    <s v=""/>
    <s v=" "/>
    <s v=""/>
    <s v=""/>
    <n v="328"/>
    <s v="00"/>
    <n v="100"/>
    <s v="FULL TIME      100000000FF100-FULL TIME"/>
    <s v="01/01/2001"/>
    <s v=""/>
    <s v="  "/>
    <s v=""/>
    <s v="GRR "/>
    <s v="    "/>
    <x v="0"/>
    <s v=""/>
    <s v="claudio.celio@ilsole24ore.com                     "/>
    <s v="E"/>
    <s v="E-ESENTE"/>
    <s v="2 "/>
    <s v="2=6 X 6"/>
    <s v="01/07/2025"/>
    <s v="TEMPO DETERMINATO"/>
    <s v="31/05/2027"/>
    <s v="0015001708                    "/>
    <s v="LUPOI MASSIMO"/>
    <n v="51"/>
    <s v="I  "/>
  </r>
  <r>
    <x v="0"/>
    <n v="2139"/>
    <x v="0"/>
    <s v="K           "/>
    <s v="REDAZIONI GIORNALISTICHE"/>
    <x v="40"/>
    <x v="39"/>
    <s v="515020      "/>
    <s v="515020   RCO+ FINANZA E MERCATI RM"/>
    <s v="FILIPPONE                       "/>
    <s v="NICOLA            "/>
    <s v="FLPNCL78R01F839H"/>
    <x v="1"/>
    <s v="31"/>
    <x v="1"/>
    <s v="01/12/2010"/>
    <s v="ROMA                   "/>
    <x v="4"/>
    <x v="4"/>
    <s v="G"/>
    <x v="3"/>
    <s v="RM2"/>
    <x v="21"/>
    <s v="23/10/2006"/>
    <s v="23/10/2006"/>
    <s v="01/10/1978"/>
    <s v="A"/>
    <s v="A.IN FORZA"/>
    <s v="1  -ASSUNZIONE                1"/>
    <s v=""/>
    <s v=" "/>
    <s v=""/>
    <s v=""/>
    <n v="495"/>
    <s v="00"/>
    <n v="100"/>
    <s v="FULL TIME      100000000FF100-FULL TIME"/>
    <s v="23/10/2006"/>
    <s v=""/>
    <s v="  "/>
    <s v=""/>
    <s v="GRR "/>
    <s v="    "/>
    <x v="0"/>
    <s v=""/>
    <s v="nicola.filippone@ilsole24ore.com                  "/>
    <s v="E"/>
    <s v="E-ESENTE"/>
    <s v="3 "/>
    <s v="3=5 X 7"/>
    <s v="01/07/2025"/>
    <s v="TEMPO DETERMINATO"/>
    <s v="31/05/2027"/>
    <s v="0015001708                    "/>
    <s v="LUPOI MASSIMO"/>
    <n v="47"/>
    <s v="I  "/>
  </r>
  <r>
    <x v="0"/>
    <n v="601"/>
    <x v="0"/>
    <s v="K           "/>
    <s v="REDAZIONI GIORNALISTICHE"/>
    <x v="40"/>
    <x v="39"/>
    <s v="515020      "/>
    <s v="515020   RCO+ FINANZA E MERCATI RM"/>
    <s v="GRAZIOLA                        "/>
    <s v="GERARDO           "/>
    <s v="GRZGRD62T20H501W"/>
    <x v="1"/>
    <s v="31"/>
    <x v="1"/>
    <s v="01/06/2009"/>
    <s v="ROMA                   "/>
    <x v="4"/>
    <x v="4"/>
    <s v="G"/>
    <x v="3"/>
    <s v="CSR"/>
    <x v="29"/>
    <s v="16/01/1992"/>
    <s v="01/01/1996"/>
    <s v="20/12/1962"/>
    <s v="A"/>
    <s v="A.IN FORZA"/>
    <s v="1  -ASSUNZIONE                1"/>
    <s v=""/>
    <s v=" "/>
    <s v=""/>
    <s v=""/>
    <n v="172"/>
    <s v="00"/>
    <n v="100"/>
    <s v="FULL TIME      100000000FF100-FULL TIME"/>
    <s v="16/01/1992"/>
    <s v=""/>
    <s v="  "/>
    <s v=""/>
    <s v="GRR "/>
    <s v="    "/>
    <x v="0"/>
    <s v=""/>
    <s v="gerardo.graziola@ilsole24ore.com                  "/>
    <s v="E"/>
    <s v="E-ESENTE"/>
    <s v="2 "/>
    <s v="2=6 X 6"/>
    <s v="01/07/2025"/>
    <s v="TEMPO DETERMINATO"/>
    <s v="31/05/2027"/>
    <s v="0015001708                    "/>
    <s v="LUPOI MASSIMO"/>
    <n v="63"/>
    <s v="I  "/>
  </r>
  <r>
    <x v="0"/>
    <n v="1708"/>
    <x v="0"/>
    <s v="K           "/>
    <s v="REDAZIONI GIORNALISTICHE"/>
    <x v="40"/>
    <x v="39"/>
    <s v="515020      "/>
    <s v="515020   RCO+ FINANZA E MERCATI RM"/>
    <s v="LUPOI                           "/>
    <s v="MASSIMO           "/>
    <s v="LPUMSM71D25H224E"/>
    <x v="1"/>
    <s v="31"/>
    <x v="1"/>
    <s v="01/06/2009"/>
    <s v="ROMA                   "/>
    <x v="4"/>
    <x v="4"/>
    <s v="G"/>
    <x v="3"/>
    <s v="CR "/>
    <x v="24"/>
    <s v="01/01/2001"/>
    <s v="01/01/2001"/>
    <s v="25/04/1971"/>
    <s v="A"/>
    <s v="A.IN FORZA"/>
    <s v="1  -ASSUNZIONE                1"/>
    <s v=""/>
    <s v=" "/>
    <s v=""/>
    <s v=""/>
    <n v="329"/>
    <s v="00"/>
    <n v="100"/>
    <s v="FULL TIME      100000000FF100-FULL TIME"/>
    <s v="01/01/2001"/>
    <s v=""/>
    <s v="  "/>
    <s v=""/>
    <s v="GRR "/>
    <s v="    "/>
    <x v="0"/>
    <s v=""/>
    <s v="massimo.lupoi@ilsole24ore.com                     "/>
    <s v="E"/>
    <s v="E-ESENTE"/>
    <s v="2 "/>
    <s v="2=6 X 6"/>
    <s v="01/07/2025"/>
    <s v="TEMPO DETERMINATO"/>
    <s v="31/05/2027"/>
    <s v="0015003107                    "/>
    <s v=""/>
    <n v="54"/>
    <s v="I  "/>
  </r>
  <r>
    <x v="0"/>
    <n v="1265"/>
    <x v="0"/>
    <s v="K           "/>
    <s v="REDAZIONI GIORNALISTICHE"/>
    <x v="40"/>
    <x v="39"/>
    <s v="515020      "/>
    <s v="515020   RCO+ FINANZA E MERCATI RM"/>
    <s v="MARINARO                        "/>
    <s v="ANTONIO           "/>
    <s v="MRNNTN74L30H501O"/>
    <x v="1"/>
    <s v="31"/>
    <x v="1"/>
    <s v="01/06/2009"/>
    <s v="ROMA                   "/>
    <x v="4"/>
    <x v="4"/>
    <s v="G"/>
    <x v="3"/>
    <s v="CSV"/>
    <x v="22"/>
    <s v="01/07/1999"/>
    <s v="01/07/1999"/>
    <s v="30/07/1974"/>
    <s v="A"/>
    <s v="A.IN FORZA"/>
    <s v="1  -ASSUNZIONE                1"/>
    <s v=""/>
    <s v=" "/>
    <s v=""/>
    <s v=""/>
    <n v="267"/>
    <s v="00"/>
    <n v="100"/>
    <s v="FULL TIME      100000000FF100-FULL TIME"/>
    <s v="01/07/1999"/>
    <s v=""/>
    <s v="  "/>
    <s v=""/>
    <s v="GRR "/>
    <s v="    "/>
    <x v="0"/>
    <s v=""/>
    <s v="marcello.marinaro@ilsole24ore.com                 "/>
    <s v="E"/>
    <s v="E-ESENTE"/>
    <s v="2 "/>
    <s v="2=6 X 6"/>
    <s v="01/07/2025"/>
    <s v="TEMPO DETERMINATO"/>
    <s v="31/05/2027"/>
    <s v="0015001708                    "/>
    <s v="LUPOI MASSIMO"/>
    <n v="51"/>
    <s v="I  "/>
  </r>
  <r>
    <x v="0"/>
    <n v="2743"/>
    <x v="0"/>
    <s v="K           "/>
    <s v="REDAZIONI GIORNALISTICHE"/>
    <x v="40"/>
    <x v="39"/>
    <s v="515020      "/>
    <s v="515020   RCO+ FINANZA E MERCATI RM"/>
    <s v="MIGLIETTA                       "/>
    <s v="VINCENZO          "/>
    <s v="MGLVCN67D25H501B"/>
    <x v="1"/>
    <s v="31"/>
    <x v="1"/>
    <s v="01/06/2009"/>
    <s v="ROMA                   "/>
    <x v="4"/>
    <x v="4"/>
    <s v="G"/>
    <x v="3"/>
    <s v="CR "/>
    <x v="24"/>
    <s v="01/01/2014"/>
    <s v="26/10/1999"/>
    <s v="25/04/1967"/>
    <s v="A"/>
    <s v="A.IN FORZA"/>
    <s v="1  -ASSUNZIONE                1"/>
    <s v=""/>
    <s v=" "/>
    <s v=""/>
    <s v=""/>
    <n v="2743"/>
    <s v="00"/>
    <n v="100"/>
    <s v="FULL TIME      100000000FF100-FULL TIME"/>
    <s v="26/10/1999"/>
    <s v=""/>
    <s v="  "/>
    <s v=""/>
    <s v="GRR "/>
    <s v="    "/>
    <x v="0"/>
    <s v=""/>
    <s v="vincenzo.miglietta@ilsole24ore.com                "/>
    <s v="E"/>
    <s v="E-ESENTE"/>
    <s v="3 "/>
    <s v="3=5 X 7"/>
    <s v="01/07/2025"/>
    <s v="TEMPO DETERMINATO"/>
    <s v="31/05/2027"/>
    <s v="0015001708                    "/>
    <s v="LUPOI MASSIMO"/>
    <n v="58"/>
    <s v="I  "/>
  </r>
  <r>
    <x v="0"/>
    <n v="1266"/>
    <x v="0"/>
    <s v="K           "/>
    <s v="REDAZIONI GIORNALISTICHE"/>
    <x v="40"/>
    <x v="39"/>
    <s v="515020      "/>
    <s v="515020   RCO+ FINANZA E MERCATI RM"/>
    <s v="NEPITELLI                       "/>
    <s v="BARBARA           "/>
    <s v="NPTBBR65D64H501Z"/>
    <x v="0"/>
    <s v="31"/>
    <x v="1"/>
    <s v="01/06/2009"/>
    <s v="ROMA                   "/>
    <x v="4"/>
    <x v="4"/>
    <s v="G"/>
    <x v="3"/>
    <s v="RM2"/>
    <x v="21"/>
    <s v="01/07/1999"/>
    <s v="01/07/1999"/>
    <s v="24/04/1965"/>
    <s v="A"/>
    <s v="A.IN FORZA"/>
    <s v="1  -ASSUNZIONE                1"/>
    <s v=""/>
    <s v=" "/>
    <s v=""/>
    <s v=""/>
    <n v="268"/>
    <s v="00"/>
    <n v="100"/>
    <s v="FULL TIME      100000000FF100-FULL TIME"/>
    <s v="01/07/1999"/>
    <s v=""/>
    <s v="  "/>
    <s v=""/>
    <s v="GRR "/>
    <s v="    "/>
    <x v="0"/>
    <s v="SIND.GIORN.        SINDACATO GIORNALISTI"/>
    <s v="barbara.nepitelli@ilsole24ore.com                 "/>
    <s v="E"/>
    <s v="E-ESENTE"/>
    <s v="2 "/>
    <s v="2=6 X 6"/>
    <s v="01/07/2025"/>
    <s v="TEMPO DETERMINATO"/>
    <s v="31/05/2027"/>
    <s v="0015001708                    "/>
    <s v="LUPOI MASSIMO"/>
    <n v="60"/>
    <s v="I  "/>
  </r>
  <r>
    <x v="0"/>
    <n v="2117"/>
    <x v="0"/>
    <s v="K           "/>
    <s v="REDAZIONI GIORNALISTICHE"/>
    <x v="40"/>
    <x v="39"/>
    <s v="515020      "/>
    <s v="515020   RCO+ FINANZA E MERCATI RM"/>
    <s v="ROSSITTO                        "/>
    <s v="SIMONA            "/>
    <s v="RSSSMN75A51C351Z"/>
    <x v="0"/>
    <s v="31"/>
    <x v="1"/>
    <s v="01/06/2009"/>
    <s v="ROMA                   "/>
    <x v="4"/>
    <x v="4"/>
    <s v="G"/>
    <x v="3"/>
    <s v="RE "/>
    <x v="25"/>
    <s v="10/07/2006"/>
    <s v="10/07/2006"/>
    <s v="11/01/1975"/>
    <s v="A"/>
    <s v="A.IN FORZA"/>
    <s v="1  -ASSUNZIONE                1"/>
    <s v=""/>
    <s v=" "/>
    <s v=""/>
    <s v=""/>
    <n v="487"/>
    <s v="00"/>
    <n v="100"/>
    <s v="FULL TIME      100000000FF100-FULL TIME"/>
    <s v="10/07/2006"/>
    <s v=""/>
    <s v="  "/>
    <s v=""/>
    <s v="GRR "/>
    <s v="    "/>
    <x v="0"/>
    <s v=""/>
    <s v="simona.rossitto@ilsole24ore.com                   "/>
    <s v="E"/>
    <s v="E-ESENTE"/>
    <s v="3 "/>
    <s v="3=5 X 7"/>
    <s v="01/07/2025"/>
    <s v="TEMPO DETERMINATO"/>
    <s v="31/05/2027"/>
    <s v="0015001708                    "/>
    <s v="LUPOI MASSIMO"/>
    <n v="51"/>
    <s v="I  "/>
  </r>
  <r>
    <x v="0"/>
    <n v="1472"/>
    <x v="0"/>
    <s v="K           "/>
    <s v="REDAZIONI GIORNALISTICHE"/>
    <x v="40"/>
    <x v="39"/>
    <s v="515020      "/>
    <s v="515020   RCO+ FINANZA E MERCATI RM"/>
    <s v="SALOMONE                        "/>
    <s v="ANDREA            "/>
    <s v="SLMNDR71E22H501C"/>
    <x v="1"/>
    <s v="31"/>
    <x v="1"/>
    <s v="01/06/2009"/>
    <s v="ROMA                   "/>
    <x v="4"/>
    <x v="4"/>
    <s v="G"/>
    <x v="3"/>
    <s v="CSV"/>
    <x v="22"/>
    <s v="01/02/2000"/>
    <s v="01/02/2000"/>
    <s v="22/05/1971"/>
    <s v="A"/>
    <s v="A.IN FORZA"/>
    <s v="1  -ASSUNZIONE                1"/>
    <s v=""/>
    <s v=" "/>
    <s v=""/>
    <s v=""/>
    <n v="301"/>
    <s v="00"/>
    <n v="100"/>
    <s v="FULL TIME      100000000FF100-FULL TIME"/>
    <s v="01/02/2000"/>
    <s v=""/>
    <s v="  "/>
    <s v=""/>
    <s v="GRR "/>
    <s v="    "/>
    <x v="0"/>
    <s v=""/>
    <s v="andrea.salomone@ilsole24ore.com                   "/>
    <s v="E"/>
    <s v="E-ESENTE"/>
    <s v="2 "/>
    <s v="2=6 X 6"/>
    <s v="01/07/2025"/>
    <s v="TEMPO DETERMINATO"/>
    <s v="31/05/2027"/>
    <s v="0015001708                    "/>
    <s v="LUPOI MASSIMO"/>
    <n v="54"/>
    <s v="I  "/>
  </r>
  <r>
    <x v="0"/>
    <n v="1421"/>
    <x v="0"/>
    <s v="K           "/>
    <s v="REDAZIONI GIORNALISTICHE"/>
    <x v="40"/>
    <x v="39"/>
    <s v="815410      "/>
    <s v="815410   RCO+ NORME E P.A."/>
    <s v="CASCIOLA                        "/>
    <s v="DANIELA           "/>
    <s v="CSCDNL68P58C811E"/>
    <x v="0"/>
    <s v="31"/>
    <x v="1"/>
    <s v="25/05/2009"/>
    <s v="ROMA                   "/>
    <x v="4"/>
    <x v="4"/>
    <s v="G"/>
    <x v="3"/>
    <s v="CS "/>
    <x v="18"/>
    <s v="01/12/1999"/>
    <s v="01/12/1999"/>
    <s v="18/09/1968"/>
    <s v="A"/>
    <s v="A.IN FORZA"/>
    <s v="1  -ASSUNZIONE                1"/>
    <s v=""/>
    <s v=" "/>
    <s v=""/>
    <s v=""/>
    <n v="292"/>
    <s v="00"/>
    <n v="100"/>
    <s v="FULL TIME      100000000FF100-FULL TIME"/>
    <s v="01/12/1999"/>
    <s v=""/>
    <s v="  "/>
    <s v=""/>
    <s v="GEG "/>
    <s v="    "/>
    <x v="0"/>
    <s v=""/>
    <s v="daniela.casciola@ilsole24ore.com                  "/>
    <s v="E"/>
    <s v="E-ESENTE"/>
    <s v="2 "/>
    <s v="2=6 X 6"/>
    <s v="01/07/2025"/>
    <s v="TEMPO DETERMINATO"/>
    <s v="31/05/2027"/>
    <s v="0015001708                    "/>
    <s v="LUPOI MASSIMO"/>
    <n v="57"/>
    <s v="I  "/>
  </r>
  <r>
    <x v="0"/>
    <n v="1373"/>
    <x v="0"/>
    <s v="K           "/>
    <s v="REDAZIONI GIORNALISTICHE"/>
    <x v="40"/>
    <x v="39"/>
    <s v="815410      "/>
    <s v="815410   RCO+ NORME E P.A."/>
    <s v="DE PASCALE                      "/>
    <s v="CARMINE           "/>
    <s v="DPSCMN62R09H703O"/>
    <x v="1"/>
    <s v="31"/>
    <x v="1"/>
    <s v="25/05/2009"/>
    <s v="ROMA                   "/>
    <x v="4"/>
    <x v="4"/>
    <s v="G"/>
    <x v="3"/>
    <s v="CRV"/>
    <x v="23"/>
    <s v="15/06/1994"/>
    <s v="15/06/1994"/>
    <s v="09/10/1962"/>
    <s v="A"/>
    <s v="A.IN FORZA"/>
    <s v="1  -ASSUNZIONE                1"/>
    <s v=""/>
    <s v=" "/>
    <s v=""/>
    <s v=""/>
    <n v="281"/>
    <s v="00"/>
    <n v="100"/>
    <s v="FULL TIME      100000000FF100-FULL TIME"/>
    <s v="15/06/1994"/>
    <s v=""/>
    <s v="  "/>
    <s v=""/>
    <s v="GEG "/>
    <s v="    "/>
    <x v="0"/>
    <s v=""/>
    <s v="carmine.depascale@ilsole24ore.com                 "/>
    <s v="E"/>
    <s v="E-ESENTE"/>
    <s v="2 "/>
    <s v="2=6 X 6"/>
    <s v="01/07/2025"/>
    <s v="TEMPO DETERMINATO"/>
    <s v="31/05/2027"/>
    <s v="0015001708                    "/>
    <s v="LUPOI MASSIMO"/>
    <n v="63"/>
    <s v="I  "/>
  </r>
  <r>
    <x v="0"/>
    <n v="917"/>
    <x v="0"/>
    <s v="K           "/>
    <s v="REDAZIONI GIORNALISTICHE"/>
    <x v="40"/>
    <x v="39"/>
    <s v="815410      "/>
    <s v="815410   RCO+ NORME E P.A."/>
    <s v="DI CAGNO                        "/>
    <s v="ALDO              "/>
    <s v="DCGLDA68T09L219I"/>
    <x v="1"/>
    <s v="31"/>
    <x v="1"/>
    <s v="25/05/2009"/>
    <s v="ROMA                   "/>
    <x v="4"/>
    <x v="4"/>
    <s v="G"/>
    <x v="3"/>
    <s v="RM2"/>
    <x v="21"/>
    <s v="01/09/1996"/>
    <s v="01/09/1996"/>
    <s v="09/12/1968"/>
    <s v="A"/>
    <s v="A.IN FORZA"/>
    <s v="1  -ASSUNZIONE                1"/>
    <s v=""/>
    <s v=" "/>
    <s v=""/>
    <s v=""/>
    <n v="706"/>
    <s v="00"/>
    <n v="100"/>
    <s v="FULL TIME      100000000FF100-FULL TIME"/>
    <s v="01/10/2011"/>
    <s v=""/>
    <s v="  "/>
    <s v=""/>
    <s v="GEG "/>
    <s v="    "/>
    <x v="0"/>
    <s v="SIND.GIORN.        SINDACATO GIORNALISTI"/>
    <s v="aldo.dicagno@ilsole24ore.com                      "/>
    <s v="E"/>
    <s v="E-ESENTE"/>
    <s v="2 "/>
    <s v="2=6 X 6"/>
    <s v="01/07/2025"/>
    <s v="TEMPO DETERMINATO"/>
    <s v="31/05/2027"/>
    <s v="0015001708                    "/>
    <s v="LUPOI MASSIMO"/>
    <n v="57"/>
    <s v="I  "/>
  </r>
  <r>
    <x v="0"/>
    <n v="1406"/>
    <x v="0"/>
    <s v="K           "/>
    <s v="REDAZIONI GIORNALISTICHE"/>
    <x v="40"/>
    <x v="39"/>
    <s v="815410      "/>
    <s v="815410   RCO+ NORME E P.A."/>
    <s v="GATTI                           "/>
    <s v="SIMONA            "/>
    <s v="GTTSMN66M42H501J"/>
    <x v="0"/>
    <s v="31"/>
    <x v="1"/>
    <s v="25/05/2009"/>
    <s v="ROMA                   "/>
    <x v="4"/>
    <x v="4"/>
    <s v="G"/>
    <x v="3"/>
    <s v="CSV"/>
    <x v="22"/>
    <s v="15/04/1998"/>
    <s v="15/04/1998"/>
    <s v="02/08/1966"/>
    <s v="A"/>
    <s v="A.IN FORZA"/>
    <s v="1  -ASSUNZIONE                1"/>
    <s v=""/>
    <s v=" "/>
    <s v=""/>
    <s v=""/>
    <n v="287"/>
    <s v="00"/>
    <n v="100"/>
    <s v="FULL TIME      100000000FF100-FULL TIME"/>
    <s v="15/04/1998"/>
    <s v=""/>
    <s v="  "/>
    <s v=""/>
    <s v="GEG "/>
    <s v="    "/>
    <x v="0"/>
    <s v=""/>
    <s v="simona.gatti@ilsole24ore.com                      "/>
    <s v="E"/>
    <s v="E-ESENTE"/>
    <s v="2 "/>
    <s v="2=6 X 6"/>
    <s v="01/07/2025"/>
    <s v="TEMPO DETERMINATO"/>
    <s v="31/05/2027"/>
    <s v="0015001708                    "/>
    <s v="LUPOI MASSIMO"/>
    <n v="59"/>
    <s v="I  "/>
  </r>
  <r>
    <x v="0"/>
    <n v="1597"/>
    <x v="0"/>
    <s v="K           "/>
    <s v="REDAZIONI GIORNALISTICHE"/>
    <x v="40"/>
    <x v="39"/>
    <s v="815410      "/>
    <s v="815410   RCO+ NORME E P.A."/>
    <s v="MACHINA GRIFEO                  "/>
    <s v="FRANCESCO         "/>
    <s v="MCHFNC71L17H501U"/>
    <x v="1"/>
    <s v="31"/>
    <x v="1"/>
    <s v="25/05/2009"/>
    <s v="ROMA                   "/>
    <x v="4"/>
    <x v="4"/>
    <s v="G"/>
    <x v="3"/>
    <s v="RM2"/>
    <x v="21"/>
    <s v="17/07/2000"/>
    <s v="17/07/2000"/>
    <s v="17/07/1971"/>
    <s v="A"/>
    <s v="A.IN FORZA"/>
    <s v="1  -ASSUNZIONE                1"/>
    <s v=""/>
    <s v=" "/>
    <s v=""/>
    <s v=""/>
    <n v="553"/>
    <s v="00"/>
    <n v="100"/>
    <s v="FULL TIME      100000000FF100-FULL TIME"/>
    <s v="17/07/2000"/>
    <s v=""/>
    <s v="  "/>
    <s v=""/>
    <s v="GEG "/>
    <s v="    "/>
    <x v="0"/>
    <s v=""/>
    <s v="francesco.machinagrifeo@ilsole24ore.com           "/>
    <s v="E"/>
    <s v="E-ESENTE"/>
    <s v="2 "/>
    <s v="2=6 X 6"/>
    <s v="01/07/2025"/>
    <s v="TEMPO DETERMINATO"/>
    <s v="31/05/2027"/>
    <s v="0015001708                    "/>
    <s v="LUPOI MASSIMO"/>
    <n v="54"/>
    <s v="I  "/>
  </r>
  <r>
    <x v="0"/>
    <n v="1873"/>
    <x v="0"/>
    <s v="K           "/>
    <s v="REDAZIONI GIORNALISTICHE"/>
    <x v="40"/>
    <x v="39"/>
    <s v="815410      "/>
    <s v="815410   RCO+ NORME E P.A."/>
    <s v="PIAGNERELLI                     "/>
    <s v="GIAMPAOLO         "/>
    <s v="PGNGPL72H13F205M"/>
    <x v="1"/>
    <s v="31"/>
    <x v="1"/>
    <s v="25/05/2009"/>
    <s v="ROMA                   "/>
    <x v="4"/>
    <x v="4"/>
    <s v="G"/>
    <x v="3"/>
    <s v="RM2"/>
    <x v="21"/>
    <s v="01/04/2002"/>
    <s v="01/04/2002"/>
    <s v="13/06/1972"/>
    <s v="A"/>
    <s v="A.IN FORZA"/>
    <s v="1  -ASSUNZIONE                1"/>
    <s v=""/>
    <s v=" "/>
    <s v=""/>
    <s v=""/>
    <n v="363"/>
    <s v="00"/>
    <n v="100"/>
    <s v="FULL TIME      100000000FF100-FULL TIME"/>
    <s v="01/04/2002"/>
    <s v=""/>
    <s v="  "/>
    <s v=""/>
    <s v="GEG "/>
    <s v="    "/>
    <x v="0"/>
    <s v=""/>
    <s v="giampaolo.piagnerelli@ilsole24ore.com             "/>
    <s v="E"/>
    <s v="E-ESENTE"/>
    <s v="2 "/>
    <s v="2=6 X 6"/>
    <s v="01/07/2025"/>
    <s v="TEMPO DETERMINATO"/>
    <s v="31/05/2027"/>
    <s v="0015001708                    "/>
    <s v="LUPOI MASSIMO"/>
    <n v="53"/>
    <s v="I  "/>
  </r>
  <r>
    <x v="0"/>
    <n v="1393"/>
    <x v="0"/>
    <s v="K           "/>
    <s v="REDAZIONI GIORNALISTICHE"/>
    <x v="40"/>
    <x v="39"/>
    <s v="815410      "/>
    <s v="815410   RCO+ NORME E P.A."/>
    <s v="ROSSI                           "/>
    <s v="PAOLA             "/>
    <s v="RSSPLA64L65H501P"/>
    <x v="0"/>
    <s v="31"/>
    <x v="1"/>
    <s v="25/05/2009"/>
    <s v="ROMA                   "/>
    <x v="4"/>
    <x v="4"/>
    <s v="G"/>
    <x v="3"/>
    <s v="RM2"/>
    <x v="21"/>
    <s v="30/10/1995"/>
    <s v="30/10/1995"/>
    <s v="25/07/1964"/>
    <s v="A"/>
    <s v="A.IN FORZA"/>
    <s v="1  -ASSUNZIONE                1"/>
    <s v=""/>
    <s v=" "/>
    <s v=""/>
    <s v=""/>
    <n v="283"/>
    <s v="00"/>
    <n v="100"/>
    <s v="FULL TIME      100000000FF100-FULL TIME"/>
    <s v="30/10/1995"/>
    <s v=""/>
    <s v="  "/>
    <s v=""/>
    <s v="GEG "/>
    <s v="    "/>
    <x v="0"/>
    <s v="SIND.GIORN.        SINDACATO GIORNALISTI"/>
    <s v="paola.rossi@ilsole24ore.com                       "/>
    <s v="E"/>
    <s v="E-ESENTE"/>
    <s v="2 "/>
    <s v="2=6 X 6"/>
    <s v="01/11/2025"/>
    <s v="TEMPO DETERMINATO"/>
    <s v="31/05/2027"/>
    <s v="0015001708                    "/>
    <s v="LUPOI MASSIMO"/>
    <n v="61"/>
    <s v="I  "/>
  </r>
  <r>
    <x v="0"/>
    <n v="1423"/>
    <x v="0"/>
    <s v="K           "/>
    <s v="REDAZIONI GIORNALISTICHE"/>
    <x v="40"/>
    <x v="39"/>
    <s v="A16335      "/>
    <s v="A16335   RCO+ ECONOMIA E SERVIZI"/>
    <s v="DELL'OREFICE                    "/>
    <s v="GIORGIO           "/>
    <s v="DLLGRG69M28F839X"/>
    <x v="1"/>
    <s v="31"/>
    <x v="1"/>
    <s v="25/05/2009"/>
    <s v="ROMA                   "/>
    <x v="4"/>
    <x v="4"/>
    <s v="G"/>
    <x v="3"/>
    <s v="CSV"/>
    <x v="22"/>
    <s v="01/12/1999"/>
    <s v="01/12/1999"/>
    <s v="28/08/1969"/>
    <s v="A"/>
    <s v="A.IN FORZA"/>
    <s v="1  -ASSUNZIONE                1"/>
    <s v=""/>
    <s v=" "/>
    <s v=""/>
    <s v=""/>
    <n v="294"/>
    <s v="00"/>
    <n v="100"/>
    <s v="FULL TIME      100000000FF100-FULL TIME"/>
    <s v="01/12/1999"/>
    <s v=""/>
    <s v="  "/>
    <s v=""/>
    <s v="GPE "/>
    <s v="    "/>
    <x v="0"/>
    <s v=""/>
    <s v="giorgio.dellorefice@ilsole24ore.com               "/>
    <s v="E"/>
    <s v="E-ESENTE"/>
    <s v="1 "/>
    <s v="1=5 X 8"/>
    <s v="01/07/2025"/>
    <s v="TEMPO DETERMINATO"/>
    <s v="31/05/2027"/>
    <s v="0015001708                    "/>
    <s v="LUPOI MASSIMO"/>
    <n v="56"/>
    <s v="I  "/>
  </r>
  <r>
    <x v="0"/>
    <n v="1267"/>
    <x v="0"/>
    <s v="K           "/>
    <s v="REDAZIONI GIORNALISTICHE"/>
    <x v="40"/>
    <x v="39"/>
    <s v="A16335      "/>
    <s v="A16335   RCO+ ECONOMIA E SERVIZI"/>
    <s v="DIFFIDENTI                      "/>
    <s v="ERNESTO           "/>
    <s v="DFFRST67P11H501P"/>
    <x v="1"/>
    <s v="31"/>
    <x v="1"/>
    <s v="25/05/2009"/>
    <s v="ROMA                   "/>
    <x v="4"/>
    <x v="4"/>
    <s v="G"/>
    <x v="3"/>
    <s v="CSV"/>
    <x v="22"/>
    <s v="01/07/1999"/>
    <s v="01/07/1999"/>
    <s v="11/09/1967"/>
    <s v="A"/>
    <s v="A.IN FORZA"/>
    <s v="1  -ASSUNZIONE                1"/>
    <s v=""/>
    <s v=" "/>
    <s v=""/>
    <s v=""/>
    <n v="269"/>
    <s v="00"/>
    <n v="100"/>
    <s v="FULL TIME      100000000FF100-FULL TIME"/>
    <s v="01/07/1999"/>
    <s v=""/>
    <s v="  "/>
    <s v=""/>
    <s v="GPE "/>
    <s v="    "/>
    <x v="0"/>
    <s v="SIND.GIORN.        SINDACATO GIORNALISTI"/>
    <s v="ernesto.diffidenti@ilsole24ore.com                "/>
    <s v="E"/>
    <s v="E-ESENTE"/>
    <s v="3 "/>
    <s v="3=5 X 7"/>
    <s v="01/07/2025"/>
    <s v="TEMPO DETERMINATO"/>
    <s v="31/05/2027"/>
    <s v="0015001708                    "/>
    <s v="LUPOI MASSIMO"/>
    <n v="58"/>
    <s v="I  "/>
  </r>
  <r>
    <x v="0"/>
    <n v="1510"/>
    <x v="0"/>
    <s v="K           "/>
    <s v="REDAZIONI GIORNALISTICHE"/>
    <x v="40"/>
    <x v="39"/>
    <s v="A16335      "/>
    <s v="A16335   RCO+ ECONOMIA E SERVIZI"/>
    <s v="FRONTERA                        "/>
    <s v="MASSIMO           "/>
    <s v="FRNMSM64S16H501X"/>
    <x v="1"/>
    <s v="31"/>
    <x v="1"/>
    <s v="25/05/2009"/>
    <s v="ROMA                   "/>
    <x v="4"/>
    <x v="4"/>
    <s v="G"/>
    <x v="3"/>
    <s v="RM2"/>
    <x v="21"/>
    <s v="03/04/2000"/>
    <s v="03/04/2000"/>
    <s v="16/11/1964"/>
    <s v="A"/>
    <s v="A.IN FORZA"/>
    <s v="1  -ASSUNZIONE                1"/>
    <s v=""/>
    <s v=" "/>
    <s v=""/>
    <s v=""/>
    <n v="309"/>
    <s v="00"/>
    <n v="100"/>
    <s v="FULL TIME      100000000FF100-FULL TIME"/>
    <s v="03/04/2000"/>
    <s v=""/>
    <s v="  "/>
    <s v=""/>
    <s v="GPE "/>
    <s v="    "/>
    <x v="0"/>
    <s v=""/>
    <s v="massimo.frontera@ilsole24ore.com                  "/>
    <s v="E"/>
    <s v="E-ESENTE"/>
    <s v="3 "/>
    <s v="3=5 X 7"/>
    <s v="01/07/2025"/>
    <s v="TEMPO DETERMINATO"/>
    <s v="31/05/2027"/>
    <s v="0015001708                    "/>
    <s v="LUPOI MASSIMO"/>
    <n v="61"/>
    <s v="I  "/>
  </r>
  <r>
    <x v="0"/>
    <n v="1747"/>
    <x v="0"/>
    <s v="K           "/>
    <s v="REDAZIONI GIORNALISTICHE"/>
    <x v="40"/>
    <x v="39"/>
    <s v="A16335      "/>
    <s v="A16335   RCO+ ECONOMIA E SERVIZI"/>
    <s v="GOBBI                           "/>
    <s v="BARBARA           "/>
    <s v="GBBBBR70D46G478O"/>
    <x v="0"/>
    <s v="31"/>
    <x v="1"/>
    <s v="25/05/2009"/>
    <s v="ROMA                   "/>
    <x v="4"/>
    <x v="4"/>
    <s v="G"/>
    <x v="3"/>
    <s v="CSV"/>
    <x v="22"/>
    <s v="01/03/2001"/>
    <s v="01/03/2001"/>
    <s v="06/04/1970"/>
    <s v="A"/>
    <s v="A.IN FORZA"/>
    <s v="1  -ASSUNZIONE                1"/>
    <s v=""/>
    <s v=" "/>
    <s v=""/>
    <s v=""/>
    <n v="343"/>
    <s v="00"/>
    <n v="100"/>
    <s v="FULL TIME      100000000FF100-FULL TIME"/>
    <s v="01/03/2001"/>
    <s v=""/>
    <s v="  "/>
    <s v=""/>
    <s v="GPE "/>
    <s v="    "/>
    <x v="0"/>
    <s v="SIND.GIORN.        SINDACATO GIORNALISTI"/>
    <s v="barbara.gobbi@ilsole24ore.com                     "/>
    <s v="E"/>
    <s v="E-ESENTE"/>
    <s v="3 "/>
    <s v="3=5 X 7"/>
    <s v="01/07/2025"/>
    <s v="TEMPO DETERMINATO"/>
    <s v="31/05/2027"/>
    <s v="0015001708                    "/>
    <s v="LUPOI MASSIMO"/>
    <n v="55"/>
    <s v="I  "/>
  </r>
  <r>
    <x v="0"/>
    <n v="1119"/>
    <x v="0"/>
    <s v="K           "/>
    <s v="REDAZIONI GIORNALISTICHE"/>
    <x v="40"/>
    <x v="39"/>
    <s v="A16335      "/>
    <s v="A16335   RCO+ ECONOMIA E SERVIZI"/>
    <s v="LERBINI                         "/>
    <s v="ALESSANDRO        "/>
    <s v="LRBLSN70C29H501S"/>
    <x v="1"/>
    <s v="31"/>
    <x v="1"/>
    <s v="25/05/2009"/>
    <s v="ROMA                   "/>
    <x v="4"/>
    <x v="4"/>
    <s v="G"/>
    <x v="3"/>
    <s v="RM2"/>
    <x v="21"/>
    <s v="16/03/1998"/>
    <s v="16/03/1998"/>
    <s v="29/03/1970"/>
    <s v="A"/>
    <s v="A.IN FORZA"/>
    <s v="1  -ASSUNZIONE                1"/>
    <s v=""/>
    <s v=" "/>
    <s v=""/>
    <s v=""/>
    <n v="240"/>
    <s v="00"/>
    <n v="100"/>
    <s v="FULL TIME      100000000FF100-FULL TIME"/>
    <s v="16/03/1998"/>
    <s v=""/>
    <s v="  "/>
    <s v=""/>
    <s v="GPE "/>
    <s v="    "/>
    <x v="0"/>
    <s v="SIND.GIORN.        SINDACATO GIORNALISTI"/>
    <s v="alessandro.lerbini@ilsole24ore.com                "/>
    <s v="E"/>
    <s v="E-ESENTE"/>
    <s v="2 "/>
    <s v="2=6 X 6"/>
    <s v="01/07/2025"/>
    <s v="TEMPO DETERMINATO"/>
    <s v="31/05/2027"/>
    <s v="0015001708                    "/>
    <s v="LUPOI MASSIMO"/>
    <n v="55"/>
    <s v="I  "/>
  </r>
  <r>
    <x v="0"/>
    <n v="1454"/>
    <x v="0"/>
    <s v="K           "/>
    <s v="REDAZIONI GIORNALISTICHE"/>
    <x v="40"/>
    <x v="39"/>
    <s v="A16335      "/>
    <s v="A16335   RCO+ ECONOMIA E SERVIZI"/>
    <s v="LODDO                           "/>
    <s v="VINCENZA          "/>
    <s v="LDDVCN70R69H224Y"/>
    <x v="0"/>
    <s v="31"/>
    <x v="1"/>
    <s v="25/05/2009"/>
    <s v="ROMA                   "/>
    <x v="4"/>
    <x v="4"/>
    <s v="G"/>
    <x v="3"/>
    <s v="RM2"/>
    <x v="21"/>
    <s v="10/01/2000"/>
    <s v="10/01/2000"/>
    <s v="29/10/1970"/>
    <s v="A"/>
    <s v="A.IN FORZA"/>
    <s v="1  -ASSUNZIONE                1"/>
    <s v=""/>
    <s v=" "/>
    <s v=""/>
    <s v=""/>
    <n v="299"/>
    <s v="00"/>
    <n v="100"/>
    <s v="FULL TIME      100000000FF100-FULL TIME"/>
    <s v="10/01/2000"/>
    <s v=""/>
    <s v="  "/>
    <s v=""/>
    <s v="GPE "/>
    <s v="    "/>
    <x v="0"/>
    <s v=""/>
    <s v="vincenza.loddo@ilsole24ore.com                    "/>
    <s v="E"/>
    <s v="E-ESENTE"/>
    <s v="2 "/>
    <s v="2=6 X 6"/>
    <s v="01/07/2025"/>
    <s v="TEMPO DETERMINATO"/>
    <s v="31/05/2027"/>
    <s v="0015001708                    "/>
    <s v="LUPOI MASSIMO"/>
    <n v="55"/>
    <s v="I  "/>
  </r>
  <r>
    <x v="0"/>
    <n v="1730"/>
    <x v="0"/>
    <s v="K           "/>
    <s v="REDAZIONI GIORNALISTICHE"/>
    <x v="40"/>
    <x v="39"/>
    <s v="A16335      "/>
    <s v="A16335   RCO+ ECONOMIA E SERVIZI"/>
    <s v="MARZIALETTI                     "/>
    <s v="SILVIA            "/>
    <s v="MRZSLV73M68H501C"/>
    <x v="0"/>
    <s v="31"/>
    <x v="1"/>
    <s v="25/05/2009"/>
    <s v="ROMA                   "/>
    <x v="4"/>
    <x v="4"/>
    <s v="G"/>
    <x v="3"/>
    <s v="RM2"/>
    <x v="21"/>
    <s v="01/02/2001"/>
    <s v="01/02/2001"/>
    <s v="28/08/1973"/>
    <s v="A"/>
    <s v="A.IN FORZA"/>
    <s v="1  -ASSUNZIONE                1"/>
    <s v=""/>
    <s v=" "/>
    <s v=""/>
    <s v=""/>
    <n v="335"/>
    <s v="00"/>
    <n v="100"/>
    <s v="FULL TIME      100000000FF100-FULL TIME"/>
    <s v="01/08/2019"/>
    <s v=""/>
    <s v="  "/>
    <s v=""/>
    <s v="GPE "/>
    <s v="    "/>
    <x v="0"/>
    <s v=""/>
    <s v="silvia.marzialetti@ilsole24ore.com                "/>
    <s v="E"/>
    <s v="E-ESENTE"/>
    <s v="2 "/>
    <s v="2=6 X 6"/>
    <s v="01/07/2025"/>
    <s v="TEMPO DETERMINATO"/>
    <s v="31/05/2027"/>
    <s v="0015001708                    "/>
    <s v="LUPOI MASSIMO"/>
    <n v="52"/>
    <s v="I  "/>
  </r>
  <r>
    <x v="0"/>
    <n v="2084"/>
    <x v="0"/>
    <s v="K           "/>
    <s v="REDAZIONI GIORNALISTICHE"/>
    <x v="40"/>
    <x v="39"/>
    <s v="A16335      "/>
    <s v="A16335   RCO+ ECONOMIA E SERVIZI"/>
    <s v="ROMEO LIRONCURTI                "/>
    <s v="ALESSIO           "/>
    <s v="RMLLSS75D23H501T"/>
    <x v="1"/>
    <s v="31"/>
    <x v="1"/>
    <s v="25/05/2009"/>
    <s v="ROMA                   "/>
    <x v="4"/>
    <x v="4"/>
    <s v="G"/>
    <x v="3"/>
    <s v="RM2"/>
    <x v="21"/>
    <s v="01/10/2005"/>
    <s v="01/10/2005"/>
    <s v="23/04/1975"/>
    <s v="A"/>
    <s v="A.IN FORZA"/>
    <s v="1  -ASSUNZIONE                1"/>
    <s v=""/>
    <s v=" "/>
    <s v=""/>
    <s v=""/>
    <n v="481"/>
    <s v="00"/>
    <n v="100"/>
    <s v="FULL TIME      100000000FF100-FULL TIME"/>
    <s v="01/10/2005"/>
    <s v=""/>
    <s v="  "/>
    <s v=""/>
    <s v="GPE "/>
    <s v="    "/>
    <x v="0"/>
    <s v="SIND.GIORN.        SINDACATO GIORNALISTI"/>
    <s v="alessio.romeo@ilsole24ore.com                     "/>
    <s v="E"/>
    <s v="E-ESENTE"/>
    <s v="2 "/>
    <s v="2=6 X 6"/>
    <s v="01/07/2025"/>
    <s v="TEMPO DETERMINATO"/>
    <s v="31/05/2027"/>
    <s v="0015001708                    "/>
    <s v="LUPOI MASSIMO"/>
    <n v="50"/>
    <s v="I  "/>
  </r>
  <r>
    <x v="0"/>
    <n v="1208"/>
    <x v="0"/>
    <s v="K           "/>
    <s v="REDAZIONI GIORNALISTICHE"/>
    <x v="40"/>
    <x v="39"/>
    <s v="A16335      "/>
    <s v="A16335   RCO+ ECONOMIA E SERVIZI"/>
    <s v="SALERNO                         "/>
    <s v="MAURO             "/>
    <s v="SLRMRA72D24I872X"/>
    <x v="1"/>
    <s v="31"/>
    <x v="1"/>
    <s v="25/05/2009"/>
    <s v="ROMA                   "/>
    <x v="4"/>
    <x v="4"/>
    <s v="G"/>
    <x v="3"/>
    <s v="CS "/>
    <x v="18"/>
    <s v="15/12/1998"/>
    <s v="15/12/1998"/>
    <s v="24/04/1972"/>
    <s v="A"/>
    <s v="A.IN FORZA"/>
    <s v="1  -ASSUNZIONE                1"/>
    <s v=""/>
    <s v=" "/>
    <s v=""/>
    <s v=""/>
    <n v="257"/>
    <s v="00"/>
    <n v="100"/>
    <s v="FULL TIME      100000000FF100-FULL TIME"/>
    <s v="15/12/1998"/>
    <s v=""/>
    <s v="  "/>
    <s v=""/>
    <s v="GPE "/>
    <s v="    "/>
    <x v="0"/>
    <s v=""/>
    <s v="mauro.salerno@ilsole24ore.com                     "/>
    <s v="E"/>
    <s v="E-ESENTE"/>
    <s v="3 "/>
    <s v="3=5 X 7"/>
    <s v="01/07/2025"/>
    <s v="TEMPO DETERMINATO"/>
    <s v="31/05/2027"/>
    <s v="0015001708                    "/>
    <s v="LUPOI MASSIMO"/>
    <n v="53"/>
    <s v="I  "/>
  </r>
  <r>
    <x v="0"/>
    <n v="3158"/>
    <x v="0"/>
    <s v="K           "/>
    <s v="REDAZIONI GIORNALISTICHE"/>
    <x v="41"/>
    <x v="40"/>
    <s v="518300      "/>
    <s v="518300   REDAZIONE NUOVO PERIODICO"/>
    <s v="ANTONELLI                       "/>
    <s v="CLAUDIO           "/>
    <s v="NTNCLD76T03E333D"/>
    <x v="1"/>
    <s v="34"/>
    <x v="0"/>
    <s v="15/09/2025"/>
    <s v="MILANO                 "/>
    <x v="4"/>
    <x v="4"/>
    <s v="G"/>
    <x v="3"/>
    <s v="AV "/>
    <x v="19"/>
    <s v="15/09/2025"/>
    <s v="15/09/2025"/>
    <s v="03/12/1976"/>
    <s v="A"/>
    <s v="A.IN FORZA"/>
    <s v="1  -ASSUNZIONE                1"/>
    <s v=""/>
    <s v=" "/>
    <s v=""/>
    <s v=""/>
    <n v="3158"/>
    <s v="00"/>
    <n v="100"/>
    <s v="FULL TIME      100000000FF100-FULL TIME"/>
    <s v="15/09/2025"/>
    <s v=""/>
    <s v="  "/>
    <s v=""/>
    <s v="GBM "/>
    <s v="    "/>
    <x v="0"/>
    <s v=""/>
    <s v="claudio.antonelli@ilsole24ore.com                 "/>
    <s v="E"/>
    <s v="E-ESENTE"/>
    <s v="3 "/>
    <s v="3=5 X 7"/>
    <s v=""/>
    <s v=""/>
    <s v=""/>
    <s v="                              "/>
    <s v=""/>
    <n v="49"/>
    <s v="I  "/>
  </r>
  <r>
    <x v="0"/>
    <n v="2029"/>
    <x v="0"/>
    <s v="L           "/>
    <s v="DG M&amp;B - DG SYSTEM 24"/>
    <x v="42"/>
    <x v="41"/>
    <s v="610000      "/>
    <s v="610000   DG SYSTEM 24"/>
    <s v="FAVERO                          "/>
    <s v="MARISTELLA        "/>
    <s v="FVRMST62R58F205B"/>
    <x v="0"/>
    <s v="34"/>
    <x v="0"/>
    <s v="01/04/2021"/>
    <s v="MILANO                 "/>
    <x v="0"/>
    <x v="0"/>
    <s v="I"/>
    <x v="0"/>
    <s v="A  "/>
    <x v="0"/>
    <s v="01/09/2004"/>
    <s v="01/09/2004"/>
    <s v="18/10/1962"/>
    <s v="A"/>
    <s v="A.IN FORZA"/>
    <s v="1  -ASSUNZIONE                1"/>
    <s v=""/>
    <s v=" "/>
    <s v=""/>
    <s v=""/>
    <n v="1555"/>
    <s v="00"/>
    <n v="100"/>
    <s v="FULL TIME      100000000FF100-FULL TIME"/>
    <s v="01/09/2004"/>
    <s v=""/>
    <s v="  "/>
    <s v=""/>
    <s v="EV  "/>
    <s v="    "/>
    <x v="0"/>
    <s v=""/>
    <s v="maristella.favero@ilsole24ore.com                 "/>
    <s v="F"/>
    <s v="F-FIRMA"/>
    <s v="1 "/>
    <s v="1=5 X 8"/>
    <s v="01/07/2025"/>
    <s v="TEMPO DETERMINATO"/>
    <s v="31/05/2027"/>
    <s v="0015002960                    "/>
    <s v="SILVESTRI FEDERICO"/>
    <n v="63"/>
    <s v="I  "/>
  </r>
  <r>
    <x v="0"/>
    <n v="2960"/>
    <x v="0"/>
    <s v="L           "/>
    <s v="DG M&amp;B - DG SYSTEM 24"/>
    <x v="42"/>
    <x v="41"/>
    <s v="610000      "/>
    <s v="610000   DG SYSTEM 24"/>
    <s v="SILVESTRI                       "/>
    <s v="FEDERICO          "/>
    <s v="SLVFRC71A14F205W"/>
    <x v="1"/>
    <s v="34"/>
    <x v="0"/>
    <s v="01/04/2021"/>
    <s v="MILANO                 "/>
    <x v="1"/>
    <x v="1"/>
    <s v="D"/>
    <x v="1"/>
    <s v="D  "/>
    <x v="1"/>
    <s v="01/10/2018"/>
    <s v="01/10/2018"/>
    <s v="14/01/1971"/>
    <s v="A"/>
    <s v="A.IN FORZA"/>
    <s v="1  -ASSUNZIONE                1"/>
    <s v=""/>
    <s v=" "/>
    <s v=""/>
    <s v=""/>
    <n v="2960"/>
    <s v="00"/>
    <n v="100"/>
    <s v="FULL TIME      100000000FF100-FULL TIME"/>
    <s v="01/10/2018"/>
    <s v=""/>
    <s v="  "/>
    <s v=""/>
    <s v="DD  "/>
    <s v="    "/>
    <x v="0"/>
    <s v=""/>
    <s v="federico.silvestri@ilsole24ore.com                "/>
    <s v="E"/>
    <s v="E-ESENTE"/>
    <s v="1 "/>
    <s v="1=5 X 8"/>
    <s v=""/>
    <s v=""/>
    <s v=""/>
    <s v="                              "/>
    <s v=""/>
    <n v="55"/>
    <s v="I  "/>
  </r>
  <r>
    <x v="0"/>
    <n v="2591"/>
    <x v="0"/>
    <s v="L           "/>
    <s v="DG M&amp;B - DG SYSTEM 24"/>
    <x v="43"/>
    <x v="42"/>
    <s v="611330      "/>
    <s v="611330   GESTIONE PROVVIGIONE AGENTI"/>
    <s v="CAMARRI                         "/>
    <s v="RITA              "/>
    <s v="CMRRTI69R55F712M"/>
    <x v="0"/>
    <s v="34"/>
    <x v="0"/>
    <s v="01/04/2021"/>
    <s v="MILANO                 "/>
    <x v="0"/>
    <x v="0"/>
    <s v="I"/>
    <x v="0"/>
    <s v="B1 "/>
    <x v="10"/>
    <s v="01/07/2011"/>
    <s v="01/01/2002"/>
    <s v="15/10/1969"/>
    <s v="A"/>
    <s v="A.IN FORZA"/>
    <s v="2  -VARIAZIONE SOCIETARIA     2"/>
    <s v=""/>
    <s v=" "/>
    <s v=""/>
    <s v=""/>
    <n v="2591"/>
    <s v="00"/>
    <n v="100"/>
    <s v="FULL TIME      100000000FF100-FULL TIME"/>
    <s v="01/01/2002"/>
    <s v=""/>
    <s v="  "/>
    <s v=""/>
    <s v="EV  "/>
    <s v="    "/>
    <x v="0"/>
    <s v="U.I.L.             U.I.L"/>
    <s v="rita.camarri@ilsole24ore.com                      "/>
    <s v="F"/>
    <s v="F-FIRMA"/>
    <s v="1 "/>
    <s v="1=5 X 8"/>
    <s v="01/07/2025"/>
    <s v="TEMPO DETERMINATO"/>
    <s v="31/05/2027"/>
    <s v="0015002258                    "/>
    <s v="PANARO GRAZIA"/>
    <n v="56"/>
    <s v="I  "/>
  </r>
  <r>
    <x v="0"/>
    <n v="500"/>
    <x v="0"/>
    <s v="L           "/>
    <s v="DG M&amp;B - DG SYSTEM 24"/>
    <x v="43"/>
    <x v="42"/>
    <s v="61400010    "/>
    <s v="61400010 SALES SUPPORT &amp; OPERATIONS"/>
    <s v="ANELLI                          "/>
    <s v="DANIELA MARIA BAMB"/>
    <s v="NLLDLM68R43F205P"/>
    <x v="0"/>
    <s v="34"/>
    <x v="0"/>
    <s v="01/04/2021"/>
    <s v="MILANO                 "/>
    <x v="0"/>
    <x v="0"/>
    <s v="I"/>
    <x v="0"/>
    <s v="B1 "/>
    <x v="10"/>
    <s v="03/12/1990"/>
    <s v="03/12/1990"/>
    <s v="03/10/1968"/>
    <s v="A"/>
    <s v="A.IN FORZA"/>
    <s v="1  -ASSUNZIONE                1"/>
    <s v=""/>
    <s v=" "/>
    <s v=""/>
    <s v=""/>
    <n v="350"/>
    <s v="00"/>
    <n v="100"/>
    <s v="FULL TIME      100000000FF100-FULL TIME"/>
    <s v="03/12/1990"/>
    <s v=""/>
    <s v="  "/>
    <s v=""/>
    <s v="EV  "/>
    <s v="    "/>
    <x v="0"/>
    <s v="NON ISCRITTO       NON ISCRITTO"/>
    <s v="daniela.anelli@ilsole24ore.com                    "/>
    <s v="T"/>
    <s v="T-TIMBRA"/>
    <s v="1 "/>
    <s v="1=5 X 8"/>
    <s v="01/07/2025"/>
    <s v="TEMPO DETERMINATO"/>
    <s v="31/05/2027"/>
    <s v="0015002258                    "/>
    <s v="PANARO GRAZIA"/>
    <n v="57"/>
    <s v="I  "/>
  </r>
  <r>
    <x v="0"/>
    <n v="406"/>
    <x v="0"/>
    <s v="L           "/>
    <s v="DG M&amp;B - DG SYSTEM 24"/>
    <x v="43"/>
    <x v="42"/>
    <s v="61400010    "/>
    <s v="61400010 SALES SUPPORT &amp; OPERATIONS"/>
    <s v="DE MARTINO                      "/>
    <s v="ALESSANDRO        "/>
    <s v="DMRLSN68L20H501J"/>
    <x v="1"/>
    <s v="31"/>
    <x v="1"/>
    <s v="18/05/2009"/>
    <s v="ROMA                   "/>
    <x v="0"/>
    <x v="0"/>
    <s v="I"/>
    <x v="0"/>
    <s v="B2 "/>
    <x v="17"/>
    <s v="06/03/1989"/>
    <s v="06/03/1989"/>
    <s v="20/07/1968"/>
    <s v="A"/>
    <s v="A.IN FORZA"/>
    <s v="1  -ASSUNZIONE                1"/>
    <s v=""/>
    <s v=" "/>
    <s v=""/>
    <s v=""/>
    <n v="292"/>
    <s v="00"/>
    <n v="100"/>
    <s v="FULL TIME      100000000FF100-FULL TIME"/>
    <s v="06/03/1989"/>
    <s v=""/>
    <s v="  "/>
    <s v=""/>
    <s v="EV  "/>
    <s v="    "/>
    <x v="0"/>
    <s v=""/>
    <s v="alessandro.demartino@ilsole24ore.com              "/>
    <s v="T"/>
    <s v="T-TIMBRA"/>
    <s v="1 "/>
    <s v="1=5 X 8"/>
    <s v="01/07/2025"/>
    <s v="TEMPO DETERMINATO"/>
    <s v="31/05/2027"/>
    <s v="0015002258                    "/>
    <s v="PANARO GRAZIA"/>
    <n v="57"/>
    <s v="I  "/>
  </r>
  <r>
    <x v="0"/>
    <n v="1164"/>
    <x v="0"/>
    <s v="L           "/>
    <s v="DG M&amp;B - DG SYSTEM 24"/>
    <x v="43"/>
    <x v="42"/>
    <s v="61400010    "/>
    <s v="61400010 SALES SUPPORT &amp; OPERATIONS"/>
    <s v="LOZZI                           "/>
    <s v="MATTEO            "/>
    <s v="LZZMTT69A14F205Z"/>
    <x v="1"/>
    <s v="34"/>
    <x v="0"/>
    <s v="01/04/2021"/>
    <s v="MILANO                 "/>
    <x v="0"/>
    <x v="0"/>
    <s v="F"/>
    <x v="2"/>
    <s v="Q  "/>
    <x v="8"/>
    <s v="01/09/1998"/>
    <s v="01/09/1998"/>
    <s v="14/01/1969"/>
    <s v="A"/>
    <s v="A.IN FORZA"/>
    <s v="1  -ASSUNZIONE                1"/>
    <s v=""/>
    <s v=" "/>
    <s v=""/>
    <s v=""/>
    <n v="917"/>
    <s v="00"/>
    <n v="100"/>
    <s v="FULL TIME      100000000FF100-FULL TIME"/>
    <s v="01/09/1998"/>
    <s v=""/>
    <s v="  "/>
    <s v=""/>
    <s v="EV  "/>
    <s v="    "/>
    <x v="0"/>
    <s v=""/>
    <s v="matteo.lozzi@ilsole24ore.com                      "/>
    <s v="F"/>
    <s v="F-FIRMA"/>
    <s v="1 "/>
    <s v="1=5 X 8"/>
    <s v="01/07/2025"/>
    <s v="TEMPO DETERMINATO"/>
    <s v="31/05/2027"/>
    <s v="0015002960                    "/>
    <s v="SILVESTRI FEDERICO"/>
    <n v="57"/>
    <s v="I  "/>
  </r>
  <r>
    <x v="0"/>
    <n v="3129"/>
    <x v="0"/>
    <s v="L           "/>
    <s v="DG M&amp;B - DG SYSTEM 24"/>
    <x v="43"/>
    <x v="42"/>
    <s v="61400010    "/>
    <s v="61400010 SALES SUPPORT &amp; OPERATIONS"/>
    <s v="NESTA                           "/>
    <s v="STEFANIA          "/>
    <s v="NSTSFN92E60F205C"/>
    <x v="0"/>
    <s v="34"/>
    <x v="0"/>
    <s v="01/07/2024"/>
    <s v="MILANO                 "/>
    <x v="0"/>
    <x v="0"/>
    <s v="I"/>
    <x v="0"/>
    <s v="B1 "/>
    <x v="10"/>
    <s v="01/07/2024"/>
    <s v="01/07/2024"/>
    <s v="20/05/1992"/>
    <s v="A"/>
    <s v="A.IN FORZA"/>
    <s v="1  -ASSUNZIONE                1"/>
    <s v=""/>
    <s v=" "/>
    <s v=""/>
    <s v=""/>
    <n v="3129"/>
    <s v="00"/>
    <n v="100"/>
    <s v="FULL TIME      100000000FF100-FULL TIME"/>
    <s v="01/07/2024"/>
    <s v=""/>
    <s v="  "/>
    <s v=""/>
    <s v="EN  "/>
    <s v="    "/>
    <x v="0"/>
    <s v=""/>
    <s v="stefania.nesta@ilsole24ore.com                    "/>
    <s v="F"/>
    <s v="F-FIRMA"/>
    <s v="1 "/>
    <s v="1=5 X 8"/>
    <s v="01/07/2025"/>
    <s v="TEMPO DETERMINATO"/>
    <s v="31/05/2027"/>
    <s v="0015002258                    "/>
    <s v="PANARO GRAZIA"/>
    <n v="33"/>
    <s v="I  "/>
  </r>
  <r>
    <x v="0"/>
    <n v="2258"/>
    <x v="0"/>
    <s v="L           "/>
    <s v="DG M&amp;B - DG SYSTEM 24"/>
    <x v="43"/>
    <x v="42"/>
    <s v="61400010    "/>
    <s v="61400010 SALES SUPPORT &amp; OPERATIONS"/>
    <s v="PANARO                          "/>
    <s v="GRAZIA            "/>
    <s v="PNRGRZ78B42C134H"/>
    <x v="0"/>
    <s v="34"/>
    <x v="0"/>
    <s v="01/04/2021"/>
    <s v="MILANO                 "/>
    <x v="0"/>
    <x v="0"/>
    <s v="F"/>
    <x v="2"/>
    <s v="Q  "/>
    <x v="8"/>
    <s v="19/11/2007"/>
    <s v="19/11/2007"/>
    <s v="02/02/1978"/>
    <s v="A"/>
    <s v="A.IN FORZA"/>
    <s v="1  -ASSUNZIONE                1"/>
    <s v=""/>
    <s v=" "/>
    <s v=""/>
    <s v=""/>
    <n v="1692"/>
    <s v="00"/>
    <n v="100"/>
    <s v="FULL TIME      100000000FF100-FULL TIME"/>
    <s v="19/11/2007"/>
    <s v=""/>
    <s v="  "/>
    <s v=""/>
    <s v="EV  "/>
    <s v="    "/>
    <x v="0"/>
    <s v=""/>
    <s v="grazia.panaro@ilsole24ore.com                     "/>
    <s v="F"/>
    <s v="F-FIRMA"/>
    <s v="1 "/>
    <s v="1=5 X 8"/>
    <s v="01/07/2025"/>
    <s v="TEMPO DETERMINATO"/>
    <s v="31/05/2027"/>
    <s v="0015002960                    "/>
    <s v="SILVESTRI FEDERICO"/>
    <n v="47"/>
    <s v="I  "/>
  </r>
  <r>
    <x v="0"/>
    <n v="269"/>
    <x v="0"/>
    <s v="L           "/>
    <s v="DG M&amp;B - DG SYSTEM 24"/>
    <x v="43"/>
    <x v="42"/>
    <s v="61400010    "/>
    <s v="61400010 SALES SUPPORT &amp; OPERATIONS"/>
    <s v="SAMIOLO                         "/>
    <s v="LAURA             "/>
    <s v="SMLLRA65R55F704U"/>
    <x v="0"/>
    <s v="34"/>
    <x v="0"/>
    <s v="01/04/2021"/>
    <s v="MILANO                 "/>
    <x v="0"/>
    <x v="0"/>
    <s v="I"/>
    <x v="0"/>
    <s v="A  "/>
    <x v="0"/>
    <s v="16/03/1987"/>
    <s v="16/03/1987"/>
    <s v="15/10/1965"/>
    <s v="A"/>
    <s v="A.IN FORZA"/>
    <s v="1  -ASSUNZIONE                1"/>
    <s v=""/>
    <s v=" "/>
    <s v=""/>
    <s v=""/>
    <n v="191"/>
    <s v="00"/>
    <n v="100"/>
    <s v="FULL TIME      100000000FF100-FULL TIME"/>
    <s v="16/03/1987"/>
    <s v=""/>
    <s v="  "/>
    <s v=""/>
    <s v="EV  "/>
    <s v="    "/>
    <x v="0"/>
    <s v=""/>
    <s v="laura.samiolo@ilsole24ore.com                     "/>
    <s v="F"/>
    <s v="F-FIRMA"/>
    <s v="1 "/>
    <s v="1=5 X 8"/>
    <s v="01/07/2025"/>
    <s v="TEMPO DETERMINATO"/>
    <s v="31/05/2027"/>
    <s v="0015002258                    "/>
    <s v="PANARO GRAZIA"/>
    <n v="60"/>
    <s v="I  "/>
  </r>
  <r>
    <x v="0"/>
    <n v="593"/>
    <x v="0"/>
    <s v="L           "/>
    <s v="DG M&amp;B - DG SYSTEM 24"/>
    <x v="43"/>
    <x v="42"/>
    <s v="61400010    "/>
    <s v="61400010 SALES SUPPORT &amp; OPERATIONS"/>
    <s v="VANELLI                         "/>
    <s v="FABRIZIO          "/>
    <s v="VNLFRZ65H21F205X"/>
    <x v="1"/>
    <s v="34"/>
    <x v="0"/>
    <s v="01/04/2021"/>
    <s v="MILANO                 "/>
    <x v="0"/>
    <x v="0"/>
    <s v="I"/>
    <x v="0"/>
    <s v="AS "/>
    <x v="7"/>
    <s v="01/01/1992"/>
    <s v="01/01/1992"/>
    <s v="21/06/1965"/>
    <s v="A"/>
    <s v="A.IN FORZA"/>
    <s v="1  -ASSUNZIONE                1"/>
    <s v=""/>
    <s v=" "/>
    <s v=""/>
    <s v=""/>
    <n v="424"/>
    <s v="00"/>
    <n v="100"/>
    <s v="FULL TIME      100000000FF100-FULL TIME"/>
    <s v="01/01/1992"/>
    <s v=""/>
    <s v="  "/>
    <s v=""/>
    <s v="EV  "/>
    <s v="    "/>
    <x v="0"/>
    <s v=""/>
    <s v="fabrizio.vanelli@ilsole24ore.com                  "/>
    <s v="F"/>
    <s v="F-FIRMA"/>
    <s v="1 "/>
    <s v="1=5 X 8"/>
    <s v="01/07/2025"/>
    <s v="TEMPO DETERMINATO"/>
    <s v="31/05/2027"/>
    <s v="0015002258                    "/>
    <s v="PANARO GRAZIA"/>
    <n v="60"/>
    <s v="I  "/>
  </r>
  <r>
    <x v="0"/>
    <n v="3050"/>
    <x v="0"/>
    <s v="L           "/>
    <s v="DG M&amp;B - DG SYSTEM 24"/>
    <x v="43"/>
    <x v="42"/>
    <s v="C11210      "/>
    <s v="C11210   GESTIONE ORDINI COMMERCIALI"/>
    <s v="CROCI                           "/>
    <s v="ANDREA            "/>
    <s v="CRCNDR92R16E514I"/>
    <x v="1"/>
    <s v="34"/>
    <x v="0"/>
    <s v="15/07/2022"/>
    <s v="MILANO                 "/>
    <x v="0"/>
    <x v="0"/>
    <s v="I"/>
    <x v="0"/>
    <s v="B3 "/>
    <x v="9"/>
    <s v="15/07/2022"/>
    <s v="15/07/2022"/>
    <s v="16/10/1992"/>
    <s v="A"/>
    <s v="A.IN FORZA"/>
    <s v="1  -ASSUNZIONE                1"/>
    <s v=""/>
    <s v=" "/>
    <s v=""/>
    <s v=""/>
    <n v="3050"/>
    <s v="00"/>
    <n v="100"/>
    <s v="FULL TIME      100000000FF100-FULL TIME"/>
    <s v="15/07/2022"/>
    <s v=""/>
    <s v="05"/>
    <s v="INVALIDI CIVILI"/>
    <s v="EN  "/>
    <s v="    "/>
    <x v="0"/>
    <s v=""/>
    <s v="andrea.croci@ilsole24ore.com                      "/>
    <s v="F"/>
    <s v="F-FIRMA"/>
    <s v="1 "/>
    <s v="1=5 X 8"/>
    <s v="01/07/2025"/>
    <s v="TEMPO DETERMINATO"/>
    <s v="31/05/2027"/>
    <s v="0015002258                    "/>
    <s v="PANARO GRAZIA"/>
    <n v="33"/>
    <s v="I  "/>
  </r>
  <r>
    <x v="0"/>
    <n v="1288"/>
    <x v="0"/>
    <s v="L           "/>
    <s v="DG M&amp;B - DG SYSTEM 24"/>
    <x v="43"/>
    <x v="42"/>
    <s v="C11210      "/>
    <s v="C11210   GESTIONE ORDINI COMMERCIALI"/>
    <s v="PASINI                          "/>
    <s v="SILVIA            "/>
    <s v="PSNSLV65B47F205S"/>
    <x v="0"/>
    <s v="34"/>
    <x v="0"/>
    <s v="01/04/2021"/>
    <s v="MILANO                 "/>
    <x v="0"/>
    <x v="0"/>
    <s v="I"/>
    <x v="0"/>
    <s v="A  "/>
    <x v="0"/>
    <s v="01/09/1999"/>
    <s v="01/09/1999"/>
    <s v="07/02/1965"/>
    <s v="A"/>
    <s v="A.IN FORZA"/>
    <s v="1  -ASSUNZIONE                1"/>
    <s v=""/>
    <s v=" "/>
    <s v=""/>
    <s v=""/>
    <n v="1017"/>
    <s v="00"/>
    <n v="100"/>
    <s v="FULL TIME      100000000FF100-FULL TIME"/>
    <s v="01/09/1999"/>
    <s v=""/>
    <s v="  "/>
    <s v=""/>
    <s v="EV  "/>
    <s v="    "/>
    <x v="0"/>
    <s v=""/>
    <s v="silvia.pasini@ilsole24ore.com                     "/>
    <s v="F"/>
    <s v="F-FIRMA"/>
    <s v="1 "/>
    <s v="1=5 X 8"/>
    <s v="01/07/2025"/>
    <s v="TEMPO DETERMINATO"/>
    <s v="31/05/2027"/>
    <s v="0015002258                    "/>
    <s v="PANARO GRAZIA"/>
    <n v="60"/>
    <s v="I  "/>
  </r>
  <r>
    <x v="0"/>
    <n v="3008"/>
    <x v="0"/>
    <s v="L           "/>
    <s v="DG M&amp;B - DG SYSTEM 24"/>
    <x v="43"/>
    <x v="42"/>
    <s v="C11210      "/>
    <s v="C11210   GESTIONE ORDINI COMMERCIALI"/>
    <s v="RICCIARDI                       "/>
    <s v="ROBERTO           "/>
    <s v="RCCRRT76S08F205G"/>
    <x v="1"/>
    <s v="34"/>
    <x v="0"/>
    <s v="01/04/2021"/>
    <s v="MILANO                 "/>
    <x v="0"/>
    <x v="0"/>
    <s v="I"/>
    <x v="0"/>
    <s v="B1 "/>
    <x v="10"/>
    <s v="20/10/2020"/>
    <s v="20/10/2020"/>
    <s v="08/11/1976"/>
    <s v="A"/>
    <s v="A.IN FORZA"/>
    <s v="1  -ASSUNZIONE                1"/>
    <s v=""/>
    <s v=" "/>
    <s v=""/>
    <s v=""/>
    <n v="3008"/>
    <s v="00"/>
    <n v="100"/>
    <s v="FULL TIME      100000000FF100-FULL TIME"/>
    <s v="20/10/2020"/>
    <s v=""/>
    <s v="05"/>
    <s v="INVALIDI CIVILI"/>
    <s v="EN  "/>
    <s v="    "/>
    <x v="0"/>
    <s v="U.I.L.             U.I.L"/>
    <s v="roberto.ricciardi@ilsole24ore.com                 "/>
    <s v="F"/>
    <s v="F-FIRMA"/>
    <s v="1 "/>
    <s v="1=5 X 8"/>
    <s v="01/07/2025"/>
    <s v="TEMPO DETERMINATO"/>
    <s v="31/05/2027"/>
    <s v="0015002258                    "/>
    <s v="PANARO GRAZIA"/>
    <n v="49"/>
    <s v="I  "/>
  </r>
  <r>
    <x v="0"/>
    <n v="707"/>
    <x v="0"/>
    <s v="L           "/>
    <s v="DG M&amp;B - DG SYSTEM 24"/>
    <x v="43"/>
    <x v="42"/>
    <s v="C11210      "/>
    <s v="C11210   GESTIONE ORDINI COMMERCIALI"/>
    <s v="ROSATI                          "/>
    <s v="RITA              "/>
    <s v="RSTRTI60E46H50ME"/>
    <x v="0"/>
    <s v="31"/>
    <x v="1"/>
    <s v="18/05/2009"/>
    <s v="ROMA                   "/>
    <x v="0"/>
    <x v="0"/>
    <s v="I"/>
    <x v="0"/>
    <s v="B1 "/>
    <x v="10"/>
    <s v="09/07/1993"/>
    <s v="09/07/1993"/>
    <s v="06/05/1960"/>
    <s v="M"/>
    <s v="M.CONGEDO STRAORD."/>
    <s v="1  -ASSUNZIONE                1"/>
    <s v="20/12/2026"/>
    <s v=" "/>
    <s v=""/>
    <s v=""/>
    <n v="522"/>
    <s v="00"/>
    <n v="100"/>
    <s v="FULL TIME      100000000FF100-FULL TIME"/>
    <s v="01/03/2010"/>
    <s v=""/>
    <s v="05"/>
    <s v="INVALIDI CIVILI"/>
    <s v="EV  "/>
    <s v="    "/>
    <x v="0"/>
    <s v=""/>
    <s v="rita.rosati@ilsole24ore.com                       "/>
    <s v="F"/>
    <s v="F-FIRMA"/>
    <s v="1 "/>
    <s v="1=5 X 8"/>
    <s v="01/07/2025"/>
    <s v="TEMPO DETERMINATO"/>
    <s v="31/05/2027"/>
    <s v="0015002258                    "/>
    <s v="PANARO GRAZIA"/>
    <n v="65"/>
    <s v="I  "/>
  </r>
  <r>
    <x v="0"/>
    <n v="2159"/>
    <x v="0"/>
    <s v="L           "/>
    <s v="DG M&amp;B - DG SYSTEM 24"/>
    <x v="44"/>
    <x v="43"/>
    <s v="612050      "/>
    <s v="612050   MARKETING &amp; BRAND CONNECT"/>
    <s v="FACCHINI                        "/>
    <s v="FRANCESCA         "/>
    <s v="FCCFNC77L58A662V"/>
    <x v="0"/>
    <s v="34"/>
    <x v="0"/>
    <s v="01/04/2021"/>
    <s v="MILANO                 "/>
    <x v="0"/>
    <x v="0"/>
    <s v="F"/>
    <x v="2"/>
    <s v="Q  "/>
    <x v="8"/>
    <s v="04/01/2007"/>
    <s v="04/01/2007"/>
    <s v="18/07/1977"/>
    <s v="A"/>
    <s v="A.IN FORZA"/>
    <s v="1  -ASSUNZIONE                1"/>
    <s v=""/>
    <s v=" "/>
    <s v=""/>
    <s v=""/>
    <n v="1628"/>
    <s v="00"/>
    <n v="100"/>
    <s v="FULL TIME      100000000FF100-FULL TIME"/>
    <s v="04/01/2007"/>
    <s v=""/>
    <s v="  "/>
    <s v=""/>
    <s v="EP  "/>
    <s v="    "/>
    <x v="0"/>
    <s v=""/>
    <s v="francesca.facchini@ilsole24ore.com                "/>
    <s v="F"/>
    <s v="F-FIRMA"/>
    <s v="1 "/>
    <s v="1=5 X 8"/>
    <s v="01/07/2025"/>
    <s v="TEMPO DETERMINATO"/>
    <s v="31/05/2027"/>
    <s v="0015003047                    "/>
    <s v="VITALE MARCO"/>
    <n v="48"/>
    <s v="I  "/>
  </r>
  <r>
    <x v="0"/>
    <n v="1158"/>
    <x v="0"/>
    <s v="L           "/>
    <s v="DG M&amp;B - DG SYSTEM 24"/>
    <x v="44"/>
    <x v="43"/>
    <s v="612050      "/>
    <s v="612050   MARKETING &amp; BRAND CONNECT"/>
    <s v="FARINA                          "/>
    <s v="TATIANA ROBERTA   "/>
    <s v="FRNTNR67E41D150U"/>
    <x v="0"/>
    <s v="34"/>
    <x v="0"/>
    <s v="01/04/2021"/>
    <s v="MILANO                 "/>
    <x v="0"/>
    <x v="0"/>
    <s v="I"/>
    <x v="0"/>
    <s v="AS "/>
    <x v="7"/>
    <s v="23/07/1998"/>
    <s v="23/07/1998"/>
    <s v="01/05/1967"/>
    <s v="A"/>
    <s v="A.IN FORZA"/>
    <s v="1  -ASSUNZIONE                1"/>
    <s v=""/>
    <s v=" "/>
    <s v=""/>
    <s v=""/>
    <n v="913"/>
    <s v="00"/>
    <n v="100"/>
    <s v="FULL TIME      100000000FF100-FULL TIME"/>
    <s v="23/07/1998"/>
    <s v=""/>
    <s v="  "/>
    <s v=""/>
    <s v="EV  "/>
    <s v="    "/>
    <x v="0"/>
    <s v=""/>
    <s v="tatiana.farina@ilsole24ore.com                    "/>
    <s v="F"/>
    <s v="F-FIRMA"/>
    <s v="1 "/>
    <s v="1=5 X 8"/>
    <s v="01/07/2025"/>
    <s v="TEMPO DETERMINATO"/>
    <s v="31/05/2027"/>
    <s v="0015003047                    "/>
    <s v="VITALE MARCO"/>
    <n v="58"/>
    <s v="I  "/>
  </r>
  <r>
    <x v="0"/>
    <n v="1714"/>
    <x v="0"/>
    <s v="L           "/>
    <s v="DG M&amp;B - DG SYSTEM 24"/>
    <x v="44"/>
    <x v="43"/>
    <s v="612050      "/>
    <s v="612050   MARKETING &amp; BRAND CONNECT"/>
    <s v="GOBBI                           "/>
    <s v="VALERIA           "/>
    <s v="GBBVLR73T63F205Y"/>
    <x v="0"/>
    <s v="34"/>
    <x v="0"/>
    <s v="01/04/2021"/>
    <s v="MILANO                 "/>
    <x v="0"/>
    <x v="0"/>
    <s v="F"/>
    <x v="2"/>
    <s v="Q  "/>
    <x v="8"/>
    <s v="03/01/2001"/>
    <s v="03/01/2001"/>
    <s v="23/12/1973"/>
    <s v="A"/>
    <s v="A.IN FORZA"/>
    <s v="1  -ASSUNZIONE                1"/>
    <s v=""/>
    <s v=" "/>
    <s v=""/>
    <s v=""/>
    <n v="1360"/>
    <s v="00"/>
    <n v="100"/>
    <s v="FULL TIME      100000000FF100-FULL TIME"/>
    <s v="03/01/2001"/>
    <s v=""/>
    <s v="  "/>
    <s v=""/>
    <s v="EV  "/>
    <s v="    "/>
    <x v="0"/>
    <s v=""/>
    <s v="valeria.gobbi@ilsole24ore.com                     "/>
    <s v="F"/>
    <s v="F-FIRMA"/>
    <s v="1 "/>
    <s v="1=5 X 8"/>
    <s v="01/07/2025"/>
    <s v="TEMPO DETERMINATO"/>
    <s v="31/05/2027"/>
    <s v="0015003047                    "/>
    <s v="VITALE MARCO"/>
    <n v="52"/>
    <s v="I  "/>
  </r>
  <r>
    <x v="0"/>
    <n v="3166"/>
    <x v="0"/>
    <s v="L           "/>
    <s v="DG M&amp;B - DG SYSTEM 24"/>
    <x v="44"/>
    <x v="43"/>
    <s v="612050      "/>
    <s v="612050   MARKETING &amp; BRAND CONNECT"/>
    <s v="LEMMA                           "/>
    <s v="JESSICA TINA      "/>
    <s v="LMMJSC84T46F205G"/>
    <x v="0"/>
    <s v="34"/>
    <x v="0"/>
    <s v="07/01/2026"/>
    <s v="MILANO                 "/>
    <x v="0"/>
    <x v="0"/>
    <s v="I"/>
    <x v="0"/>
    <s v="AS "/>
    <x v="7"/>
    <s v="07/01/2026"/>
    <s v="07/01/2026"/>
    <s v="06/12/1984"/>
    <s v="A"/>
    <s v="A.IN FORZA"/>
    <s v="1  -ASSUNZIONE                1"/>
    <s v=""/>
    <s v=" "/>
    <s v=""/>
    <s v=""/>
    <n v="3166"/>
    <s v="00"/>
    <n v="100"/>
    <s v="FULL TIME      100000000FF100-FULL TIME"/>
    <s v="07/01/2026"/>
    <s v=""/>
    <s v="  "/>
    <s v=""/>
    <s v="EN  "/>
    <s v="    "/>
    <x v="0"/>
    <s v=""/>
    <s v="jessicatina.lemma@ilsole24ore.com                 "/>
    <s v="F"/>
    <s v="F-FIRMA"/>
    <s v="1 "/>
    <s v="1=5 X 8"/>
    <s v=""/>
    <s v=""/>
    <s v=""/>
    <s v="0015003047                    "/>
    <s v="VITALE MARCO"/>
    <n v="41"/>
    <s v="I  "/>
  </r>
  <r>
    <x v="0"/>
    <n v="3148"/>
    <x v="0"/>
    <s v="L           "/>
    <s v="DG M&amp;B - DG SYSTEM 24"/>
    <x v="44"/>
    <x v="43"/>
    <s v="612050      "/>
    <s v="612050   MARKETING &amp; BRAND CONNECT"/>
    <s v="NUCCIARELLI                     "/>
    <s v="GAIA              "/>
    <s v="NCCGAI01C47G478H"/>
    <x v="0"/>
    <s v="34"/>
    <x v="0"/>
    <s v="03/02/2025"/>
    <s v="MILANO                 "/>
    <x v="0"/>
    <x v="0"/>
    <s v="I"/>
    <x v="0"/>
    <s v="B3 "/>
    <x v="9"/>
    <s v="03/02/2025"/>
    <s v="03/02/2025"/>
    <s v="07/03/2001"/>
    <s v="A"/>
    <s v="A.IN FORZA"/>
    <s v="1S-ASSUNZIONE STABILIZZAZIONE 1S"/>
    <s v=""/>
    <s v=" "/>
    <s v=""/>
    <s v=""/>
    <n v="3148"/>
    <s v="00"/>
    <n v="100"/>
    <s v="FULL TIME      100000000FF100-FULL TIME"/>
    <s v="03/02/2025"/>
    <s v=""/>
    <s v="  "/>
    <s v=""/>
    <s v="EN  "/>
    <s v="    "/>
    <x v="0"/>
    <s v=""/>
    <s v="gaia.nucciarelli@ilsole24ore.com                  "/>
    <s v="T"/>
    <s v="T-TIMBRA"/>
    <s v="1 "/>
    <s v="1=5 X 8"/>
    <s v="01/07/2025"/>
    <s v="TEMPO DETERMINATO"/>
    <s v="31/05/2027"/>
    <s v="0015003047                    "/>
    <s v="VITALE MARCO"/>
    <n v="24"/>
    <s v="I  "/>
  </r>
  <r>
    <x v="0"/>
    <n v="2978"/>
    <x v="0"/>
    <s v="L           "/>
    <s v="DG M&amp;B - DG SYSTEM 24"/>
    <x v="44"/>
    <x v="43"/>
    <s v="612050      "/>
    <s v="612050   MARKETING &amp; BRAND CONNECT"/>
    <s v="RAMELLI                         "/>
    <s v="MATTEO            "/>
    <s v="RMLMTT89L11C751W"/>
    <x v="1"/>
    <s v="34"/>
    <x v="0"/>
    <s v="01/04/2021"/>
    <s v="MILANO                 "/>
    <x v="0"/>
    <x v="0"/>
    <s v="I"/>
    <x v="0"/>
    <s v="B1 "/>
    <x v="10"/>
    <s v="02/09/2019"/>
    <s v="02/09/2019"/>
    <s v="11/07/1989"/>
    <s v="A"/>
    <s v="A.IN FORZA"/>
    <s v="1  -ASSUNZIONE                1"/>
    <s v=""/>
    <s v=" "/>
    <s v=""/>
    <s v=""/>
    <n v="2978"/>
    <s v="00"/>
    <n v="100"/>
    <s v="FULL TIME      100000000FF100-FULL TIME"/>
    <s v="02/09/2019"/>
    <s v=""/>
    <s v="  "/>
    <s v=""/>
    <s v="EN  "/>
    <s v="    "/>
    <x v="0"/>
    <s v=""/>
    <s v="matteo.ramelli@ilsole24ore.com                    "/>
    <s v="T"/>
    <s v="T-TIMBRA"/>
    <s v="1 "/>
    <s v="1=5 X 8"/>
    <s v="01/07/2025"/>
    <s v="TEMPO DETERMINATO"/>
    <s v="31/05/2027"/>
    <s v="0015003047                    "/>
    <s v="VITALE MARCO"/>
    <n v="36"/>
    <s v="I  "/>
  </r>
  <r>
    <x v="0"/>
    <n v="982"/>
    <x v="0"/>
    <s v="L           "/>
    <s v="DG M&amp;B - DG SYSTEM 24"/>
    <x v="44"/>
    <x v="43"/>
    <s v="612050      "/>
    <s v="612050   MARKETING &amp; BRAND CONNECT"/>
    <s v="SCURTO                          "/>
    <s v="VALENTINA         "/>
    <s v="SCRVNT72B50F205A"/>
    <x v="0"/>
    <s v="34"/>
    <x v="0"/>
    <s v="01/04/2021"/>
    <s v="MILANO                 "/>
    <x v="0"/>
    <x v="0"/>
    <s v="I"/>
    <x v="0"/>
    <s v="B1 "/>
    <x v="10"/>
    <s v="01/01/1997"/>
    <s v="03/05/1993"/>
    <s v="10/02/1972"/>
    <s v="A"/>
    <s v="A.IN FORZA"/>
    <s v="1  -ASSUNZIONE                1"/>
    <s v=""/>
    <s v=" "/>
    <s v=""/>
    <s v=""/>
    <n v="758"/>
    <s v="00"/>
    <n v="100"/>
    <s v="FULL TIME      100000000FF100-FULL TIME"/>
    <s v="01/01/2014"/>
    <s v=""/>
    <s v="  "/>
    <s v=""/>
    <s v="EV  "/>
    <s v="    "/>
    <x v="0"/>
    <s v=""/>
    <s v="valentina.scurto@ilsole24ore.com                  "/>
    <s v="F"/>
    <s v="F-FIRMA"/>
    <s v="1 "/>
    <s v="1=5 X 8"/>
    <s v="01/07/2025"/>
    <s v="TEMPO DETERMINATO"/>
    <s v="31/05/2027"/>
    <s v="0015003047                    "/>
    <s v="VITALE MARCO"/>
    <n v="53"/>
    <s v="I  "/>
  </r>
  <r>
    <x v="0"/>
    <n v="470"/>
    <x v="0"/>
    <s v="L           "/>
    <s v="DG M&amp;B - DG SYSTEM 24"/>
    <x v="44"/>
    <x v="43"/>
    <s v="612050      "/>
    <s v="612050   MARKETING &amp; BRAND CONNECT"/>
    <s v="WOLTER                          "/>
    <s v="MARIA PAOLA MADDAL"/>
    <s v="WLTMPL65L45F205H"/>
    <x v="0"/>
    <s v="34"/>
    <x v="0"/>
    <s v="01/04/2021"/>
    <s v="MILANO                 "/>
    <x v="0"/>
    <x v="0"/>
    <s v="I"/>
    <x v="0"/>
    <s v="A  "/>
    <x v="0"/>
    <s v="14/02/1990"/>
    <s v="14/02/1990"/>
    <s v="05/07/1965"/>
    <s v="A"/>
    <s v="A.IN FORZA"/>
    <s v="1  -ASSUNZIONE                1"/>
    <s v=""/>
    <s v=" "/>
    <s v=""/>
    <s v=""/>
    <n v="334"/>
    <s v="00"/>
    <n v="100"/>
    <s v="FULL TIME      100000000FF100-FULL TIME"/>
    <s v="14/02/1990"/>
    <s v=""/>
    <s v="05"/>
    <s v="INVALIDI CIVILI"/>
    <s v="EP  "/>
    <s v="    "/>
    <x v="0"/>
    <s v=""/>
    <s v="Maria.Wolter@ilsole24ore.com                      "/>
    <s v="F"/>
    <s v="F-FIRMA"/>
    <s v="1 "/>
    <s v="1=5 X 8"/>
    <s v="01/07/2025"/>
    <s v="TEMPO DETERMINATO"/>
    <s v="31/05/2027"/>
    <s v="0015003047                    "/>
    <s v="VITALE MARCO"/>
    <n v="60"/>
    <s v="I  "/>
  </r>
  <r>
    <x v="0"/>
    <n v="3098"/>
    <x v="0"/>
    <s v="L           "/>
    <s v="DG M&amp;B - DG SYSTEM 24"/>
    <x v="44"/>
    <x v="43"/>
    <s v="612300      "/>
    <s v="612300 ANALISI E RICERCHE SYSTEM24"/>
    <s v="IZZO                            "/>
    <s v="FULVIOMARIA       "/>
    <s v="ZZIFVM83H05F912W"/>
    <x v="1"/>
    <s v="34"/>
    <x v="0"/>
    <s v="16/10/2023"/>
    <s v="MILANO                 "/>
    <x v="0"/>
    <x v="0"/>
    <s v="F"/>
    <x v="2"/>
    <s v="Q  "/>
    <x v="8"/>
    <s v="16/10/2023"/>
    <s v="16/10/2023"/>
    <s v="05/06/1983"/>
    <s v="A"/>
    <s v="A.IN FORZA"/>
    <s v="1  -ASSUNZIONE                1"/>
    <s v=""/>
    <s v=" "/>
    <s v=""/>
    <s v=""/>
    <n v="3098"/>
    <s v="00"/>
    <n v="100"/>
    <s v="FULL TIME      100000000FF100-FULL TIME"/>
    <s v="16/10/2023"/>
    <s v=""/>
    <s v="  "/>
    <s v=""/>
    <s v="EN  "/>
    <s v="    "/>
    <x v="0"/>
    <s v=""/>
    <s v="fulviomaria.izzo@ilsole24ore.com                  "/>
    <s v="F"/>
    <s v="F-FIRMA"/>
    <s v="1 "/>
    <s v="1=5 X 8"/>
    <s v="01/07/2025"/>
    <s v="TEMPO DETERMINATO"/>
    <s v="31/05/2027"/>
    <s v="0015003047                    "/>
    <s v="VITALE MARCO"/>
    <n v="42"/>
    <s v="I  "/>
  </r>
  <r>
    <x v="0"/>
    <n v="931"/>
    <x v="0"/>
    <s v="L           "/>
    <s v="DG M&amp;B - DG SYSTEM 24"/>
    <x v="44"/>
    <x v="43"/>
    <s v="612300      "/>
    <s v="612300 ANALISI E RICERCHE SYSTEM24"/>
    <s v="LEONESIO                        "/>
    <s v="BARBARA           "/>
    <s v="LNSBBR69B62A940E"/>
    <x v="0"/>
    <s v="34"/>
    <x v="0"/>
    <s v="01/04/2021"/>
    <s v="MILANO                 "/>
    <x v="0"/>
    <x v="0"/>
    <s v="I"/>
    <x v="0"/>
    <s v="AS "/>
    <x v="7"/>
    <s v="09/09/1996"/>
    <s v="09/09/1996"/>
    <s v="22/02/1969"/>
    <s v="A"/>
    <s v="A.IN FORZA"/>
    <s v="1  -ASSUNZIONE                1"/>
    <s v=""/>
    <s v=" "/>
    <s v=""/>
    <s v=""/>
    <n v="712"/>
    <s v="00"/>
    <n v="100"/>
    <s v="FULL TIME      100000000FF100-FULL TIME"/>
    <s v="09/09/1996"/>
    <s v=""/>
    <s v="  "/>
    <s v=""/>
    <s v="EV  "/>
    <s v="    "/>
    <x v="0"/>
    <s v=""/>
    <s v="barbara.leonesio@ilsole24ore.com                  "/>
    <s v="F"/>
    <s v="F-FIRMA"/>
    <s v="1 "/>
    <s v="1=5 X 8"/>
    <s v="01/07/2025"/>
    <s v="TEMPO DETERMINATO"/>
    <s v="31/05/2027"/>
    <s v="0015003047                    "/>
    <s v="VITALE MARCO"/>
    <n v="56"/>
    <s v="I  "/>
  </r>
  <r>
    <x v="0"/>
    <n v="2038"/>
    <x v="0"/>
    <s v="L           "/>
    <s v="DG M&amp;B - DG SYSTEM 24"/>
    <x v="44"/>
    <x v="43"/>
    <s v="612300      "/>
    <s v="612300 ANALISI E RICERCHE SYSTEM24"/>
    <s v="LUVIE'                          "/>
    <s v="ELENA             "/>
    <s v="LVULNE73R46F205Q"/>
    <x v="0"/>
    <s v="34"/>
    <x v="0"/>
    <s v="01/04/2021"/>
    <s v="MILANO                 "/>
    <x v="0"/>
    <x v="0"/>
    <s v="I"/>
    <x v="0"/>
    <s v="A  "/>
    <x v="0"/>
    <s v="13/12/2004"/>
    <s v="13/12/2004"/>
    <s v="06/10/1973"/>
    <s v="A"/>
    <s v="A.IN FORZA"/>
    <s v="1  -ASSUNZIONE                1"/>
    <s v=""/>
    <s v=" "/>
    <s v=""/>
    <s v=""/>
    <n v="1559"/>
    <s v="00"/>
    <n v="100"/>
    <s v="FULL TIME      100000000FF100-FULL TIME"/>
    <s v="13/12/2004"/>
    <s v=""/>
    <s v="  "/>
    <s v=""/>
    <s v="EV  "/>
    <s v="    "/>
    <x v="0"/>
    <s v=""/>
    <s v="elena.luvie@ilsole24ore.com                       "/>
    <s v="F"/>
    <s v="F-FIRMA"/>
    <s v="1 "/>
    <s v="1=5 X 8"/>
    <s v="01/07/2025"/>
    <s v="TEMPO DETERMINATO"/>
    <s v="31/05/2027"/>
    <s v="0015003047                    "/>
    <s v="VITALE MARCO"/>
    <n v="52"/>
    <s v="I  "/>
  </r>
  <r>
    <x v="0"/>
    <n v="2039"/>
    <x v="0"/>
    <s v="L           "/>
    <s v="DG M&amp;B - DG SYSTEM 24"/>
    <x v="44"/>
    <x v="43"/>
    <s v="612300      "/>
    <s v="612300 ANALISI E RICERCHE SYSTEM24"/>
    <s v="SCUTERI                         "/>
    <s v="MICHELA           "/>
    <s v="SCTMHL77T52F205J"/>
    <x v="0"/>
    <s v="34"/>
    <x v="0"/>
    <s v="01/04/2021"/>
    <s v="MILANO                 "/>
    <x v="0"/>
    <x v="0"/>
    <s v="I"/>
    <x v="0"/>
    <s v="A  "/>
    <x v="0"/>
    <s v="13/12/2004"/>
    <s v="13/12/2004"/>
    <s v="12/12/1977"/>
    <s v="A"/>
    <s v="A.IN FORZA"/>
    <s v="1  -ASSUNZIONE                1"/>
    <s v=""/>
    <s v=" "/>
    <s v=""/>
    <s v=""/>
    <n v="1560"/>
    <s v="00"/>
    <n v="100"/>
    <s v="FULL TIME      100000000FF100-FULL TIME"/>
    <s v="13/12/2004"/>
    <s v=""/>
    <s v="  "/>
    <s v=""/>
    <s v="EV  "/>
    <s v="    "/>
    <x v="0"/>
    <s v=""/>
    <s v="michela.scuteri@ilsole24ore.com                   "/>
    <s v="F"/>
    <s v="F-FIRMA"/>
    <s v="1 "/>
    <s v="1=5 X 8"/>
    <s v="01/07/2025"/>
    <s v="TEMPO DETERMINATO"/>
    <s v="31/05/2027"/>
    <s v="0015003047                    "/>
    <s v="VITALE MARCO"/>
    <n v="48"/>
    <s v="I  "/>
  </r>
  <r>
    <x v="0"/>
    <n v="992"/>
    <x v="0"/>
    <s v="L           "/>
    <s v="DG M&amp;B - DG SYSTEM 24"/>
    <x v="45"/>
    <x v="44"/>
    <s v="611310      "/>
    <s v="611310   PIANIF. E IMPAGINAZ. QUOTIDIANO"/>
    <s v="CASTRIOTA                       "/>
    <s v="EUGENIO GIORGIO   "/>
    <s v="CSTGGR68R16E514T"/>
    <x v="1"/>
    <s v="34"/>
    <x v="0"/>
    <s v="01/04/2021"/>
    <s v="MILANO                 "/>
    <x v="0"/>
    <x v="0"/>
    <s v="I"/>
    <x v="0"/>
    <s v="B1 "/>
    <x v="10"/>
    <s v="01/02/1997"/>
    <s v="05/06/1992"/>
    <s v="16/10/1968"/>
    <s v="A"/>
    <s v="A.IN FORZA"/>
    <s v="1  -ASSUNZIONE                1"/>
    <s v=""/>
    <s v=" "/>
    <s v=""/>
    <s v=""/>
    <n v="768"/>
    <s v="00"/>
    <n v="100"/>
    <s v="FULL TIME      100000000FF100-FULL TIME"/>
    <s v="01/02/1997"/>
    <s v=""/>
    <s v="  "/>
    <s v=""/>
    <s v="EP  "/>
    <s v="    "/>
    <x v="0"/>
    <s v="U.I.L.             U.I.L"/>
    <s v="eugenio.castriota@ilsole24ore.com                 "/>
    <s v="F"/>
    <s v="F-FIRMA"/>
    <s v="1 "/>
    <s v="1=5 X 8"/>
    <s v="01/07/2025"/>
    <s v="TEMPO DETERMINATO"/>
    <s v="31/05/2027"/>
    <s v="0015001586                    "/>
    <s v="BRAMBILLA ALESSANDRA MARIA"/>
    <n v="57"/>
    <s v="I  "/>
  </r>
  <r>
    <x v="0"/>
    <n v="2037"/>
    <x v="0"/>
    <s v="L           "/>
    <s v="DG M&amp;B - DG SYSTEM 24"/>
    <x v="45"/>
    <x v="44"/>
    <s v="611310      "/>
    <s v="611310   PIANIF. E IMPAGINAZ. QUOTIDIANO"/>
    <s v="CRIVELLI                        "/>
    <s v="SILVIA            "/>
    <s v="CRVSLV76B64F205G"/>
    <x v="0"/>
    <s v="34"/>
    <x v="0"/>
    <s v="01/04/2021"/>
    <s v="MILANO                 "/>
    <x v="0"/>
    <x v="0"/>
    <s v="I"/>
    <x v="0"/>
    <s v="B2 "/>
    <x v="17"/>
    <s v="13/12/2004"/>
    <s v="13/12/2004"/>
    <s v="24/02/1976"/>
    <s v="A"/>
    <s v="A.IN FORZA"/>
    <s v="1  -ASSUNZIONE                1"/>
    <s v=""/>
    <s v=" "/>
    <s v=""/>
    <s v=""/>
    <n v="1558"/>
    <s v="00"/>
    <n v="100"/>
    <s v="FULL TIME      100000000FF100-FULL TIME"/>
    <s v="13/12/2004"/>
    <s v=""/>
    <s v="  "/>
    <s v=""/>
    <s v="EV  "/>
    <s v="    "/>
    <x v="0"/>
    <s v=""/>
    <s v="silvia.crivelli@ilsole24ore.com                   "/>
    <s v="T"/>
    <s v="T-TIMBRA"/>
    <s v="1 "/>
    <s v="1=5 X 8"/>
    <s v="01/07/2025"/>
    <s v="TEMPO DETERMINATO"/>
    <s v="31/05/2027"/>
    <s v="0015001586                    "/>
    <s v="BRAMBILLA ALESSANDRA MARIA"/>
    <n v="49"/>
    <s v="I  "/>
  </r>
  <r>
    <x v="0"/>
    <n v="1661"/>
    <x v="0"/>
    <s v="L           "/>
    <s v="DG M&amp;B - DG SYSTEM 24"/>
    <x v="45"/>
    <x v="44"/>
    <s v="611310      "/>
    <s v="611310   PIANIF. E IMPAGINAZ. QUOTIDIANO"/>
    <s v="MONTAGNA                        "/>
    <s v="ANNAMARIA         "/>
    <s v="MNTNMR70T69G388J"/>
    <x v="0"/>
    <s v="34"/>
    <x v="0"/>
    <s v="01/04/2021"/>
    <s v="MILANO                 "/>
    <x v="0"/>
    <x v="0"/>
    <s v="I"/>
    <x v="0"/>
    <s v="B1 "/>
    <x v="10"/>
    <s v="01/11/2000"/>
    <s v="01/11/2000"/>
    <s v="29/12/1970"/>
    <s v="A"/>
    <s v="A.IN FORZA"/>
    <s v="1  -ASSUNZIONE                1"/>
    <s v=""/>
    <s v=" "/>
    <s v=""/>
    <s v=""/>
    <n v="1322"/>
    <s v="00"/>
    <n v="100"/>
    <s v="FULL TIME      100000000FF100-FULL TIME"/>
    <s v="01/11/2000"/>
    <s v=""/>
    <s v="  "/>
    <s v=""/>
    <s v="EV  "/>
    <s v="    "/>
    <x v="0"/>
    <s v="U.I.L.             U.I.L"/>
    <s v="annamaria.montagna@ilsole24ore.com                "/>
    <s v="F"/>
    <s v="F-FIRMA"/>
    <s v="1 "/>
    <s v="1=5 X 8"/>
    <s v="01/07/2025"/>
    <s v="TEMPO DETERMINATO"/>
    <s v="31/05/2027"/>
    <s v="0015001586                    "/>
    <s v="BRAMBILLA ALESSANDRA MARIA"/>
    <n v="55"/>
    <s v="I  "/>
  </r>
  <r>
    <x v="0"/>
    <n v="1230"/>
    <x v="0"/>
    <s v="L           "/>
    <s v="DG M&amp;B - DG SYSTEM 24"/>
    <x v="45"/>
    <x v="44"/>
    <s v="611310      "/>
    <s v="611310   PIANIF. E IMPAGINAZ. QUOTIDIANO"/>
    <s v="RAIMONDI                        "/>
    <s v="NADIA             "/>
    <s v="RMNNDA75C47E801B"/>
    <x v="0"/>
    <s v="34"/>
    <x v="0"/>
    <s v="01/04/2021"/>
    <s v="MILANO                 "/>
    <x v="0"/>
    <x v="0"/>
    <s v="I"/>
    <x v="0"/>
    <s v="A  "/>
    <x v="0"/>
    <s v="08/02/1999"/>
    <s v="08/02/1999"/>
    <s v="07/03/1975"/>
    <s v="A"/>
    <s v="A.IN FORZA"/>
    <s v="1  -ASSUNZIONE                1"/>
    <s v=""/>
    <s v=" "/>
    <s v=""/>
    <s v=""/>
    <n v="970"/>
    <s v="00"/>
    <n v="100"/>
    <s v="FULL TIME      100000000FF100-FULL TIME"/>
    <s v="08/02/1999"/>
    <s v=""/>
    <s v="  "/>
    <s v=""/>
    <s v="EV  "/>
    <s v="    "/>
    <x v="0"/>
    <s v="U.I.L.             U.I.L"/>
    <s v="nadia.raimondi@ilsole24ore.com                    "/>
    <s v="F"/>
    <s v="F-FIRMA"/>
    <s v="1 "/>
    <s v="1=5 X 8"/>
    <s v="01/07/2025"/>
    <s v="TEMPO DETERMINATO"/>
    <s v="31/05/2027"/>
    <s v="0015001586                    "/>
    <s v="BRAMBILLA ALESSANDRA MARIA"/>
    <n v="50"/>
    <s v="I  "/>
  </r>
  <r>
    <x v="0"/>
    <n v="3043"/>
    <x v="0"/>
    <s v="L           "/>
    <s v="DG M&amp;B - DG SYSTEM 24"/>
    <x v="45"/>
    <x v="44"/>
    <s v="611310      "/>
    <s v="611310   PIANIF. E IMPAGINAZ. QUOTIDIANO"/>
    <s v="STRADA                          "/>
    <s v="ELISA             "/>
    <s v="STRLSE75S69E063P"/>
    <x v="0"/>
    <s v="34"/>
    <x v="0"/>
    <s v="23/05/2022"/>
    <s v="MILANO                 "/>
    <x v="0"/>
    <x v="0"/>
    <s v="I"/>
    <x v="0"/>
    <s v="B2 "/>
    <x v="17"/>
    <s v="23/05/2022"/>
    <s v="23/05/2022"/>
    <s v="29/11/1975"/>
    <s v="A"/>
    <s v="A.IN FORZA"/>
    <s v="1  -ASSUNZIONE                1"/>
    <s v=""/>
    <s v=" "/>
    <s v=""/>
    <s v=""/>
    <n v="3043"/>
    <s v="00"/>
    <n v="100"/>
    <s v="FULL TIME      100000000FF100-FULL TIME"/>
    <s v="23/05/2022"/>
    <s v=""/>
    <s v="  "/>
    <s v=""/>
    <s v="EN  "/>
    <s v="    "/>
    <x v="0"/>
    <s v="U.I.L.             U.I.L"/>
    <s v="elisa.strada@ilsole24ore.com                      "/>
    <s v="F"/>
    <s v="F-FIRMA"/>
    <s v="1 "/>
    <s v="1=5 X 8"/>
    <s v="01/07/2025"/>
    <s v="TEMPO DETERMINATO"/>
    <s v="31/05/2027"/>
    <s v="0015001586                    "/>
    <s v="BRAMBILLA ALESSANDRA MARIA"/>
    <n v="50"/>
    <s v="I  "/>
  </r>
  <r>
    <x v="0"/>
    <n v="1586"/>
    <x v="0"/>
    <s v="L           "/>
    <s v="DG M&amp;B - DG SYSTEM 24"/>
    <x v="45"/>
    <x v="44"/>
    <s v="61131010    "/>
    <s v="61131010 OPERATIONS EDITORIALE ADVERTISI"/>
    <s v="BRAMBILLA                       "/>
    <s v="ALESSANDRA MARIA  "/>
    <s v="BRMLSN68E52F205G"/>
    <x v="0"/>
    <s v="34"/>
    <x v="0"/>
    <s v="01/04/2021"/>
    <s v="MILANO                 "/>
    <x v="0"/>
    <x v="0"/>
    <s v="F"/>
    <x v="2"/>
    <s v="Q  "/>
    <x v="8"/>
    <s v="03/07/2000"/>
    <s v="03/07/2000"/>
    <s v="12/05/1968"/>
    <s v="A"/>
    <s v="A.IN FORZA"/>
    <s v="1  -ASSUNZIONE                1"/>
    <s v=""/>
    <s v=" "/>
    <s v=""/>
    <s v=""/>
    <n v="1256"/>
    <s v="00"/>
    <n v="100"/>
    <s v="FULL TIME      100000000FF100-FULL TIME"/>
    <s v="03/07/2000"/>
    <s v=""/>
    <s v="  "/>
    <s v=""/>
    <s v="EV  "/>
    <s v="    "/>
    <x v="0"/>
    <s v=""/>
    <s v="alessandra.brambilla@ilsole24ore.com              "/>
    <s v="F"/>
    <s v="F-FIRMA"/>
    <s v="1 "/>
    <s v="1=5 X 8"/>
    <s v="11/10/2025"/>
    <s v="TEMPO DETERMINATO"/>
    <s v="31/05/2027"/>
    <s v="0015002964                    "/>
    <s v="FERRARIO ANTONIO DANILO"/>
    <n v="57"/>
    <s v="I  "/>
  </r>
  <r>
    <x v="0"/>
    <n v="1963"/>
    <x v="0"/>
    <s v="L           "/>
    <s v="DG M&amp;B - DG SYSTEM 24"/>
    <x v="45"/>
    <x v="44"/>
    <s v="611320      "/>
    <s v="611320   PIANIF. E IMPAG. PERIOD E RADIO"/>
    <s v="CORDIOLI                        "/>
    <s v="LAURA MARIA       "/>
    <s v="CRDLMR67B41F205U"/>
    <x v="0"/>
    <s v="34"/>
    <x v="0"/>
    <s v="01/04/2021"/>
    <s v="MILANO                 "/>
    <x v="0"/>
    <x v="0"/>
    <s v="I"/>
    <x v="0"/>
    <s v="B1 "/>
    <x v="10"/>
    <s v="01/07/2003"/>
    <s v="01/07/2003"/>
    <s v="01/02/1967"/>
    <s v="A"/>
    <s v="A.IN FORZA"/>
    <s v="1  -ASSUNZIONE                1"/>
    <s v=""/>
    <s v=" "/>
    <s v=""/>
    <s v=""/>
    <n v="1530"/>
    <s v="00"/>
    <n v="100"/>
    <s v="FULL TIME      100000000FF100-FULL TIME"/>
    <s v="01/07/2003"/>
    <s v=""/>
    <s v="  "/>
    <s v=""/>
    <s v="EV  "/>
    <s v="    "/>
    <x v="0"/>
    <s v="U.I.L.             U.I.L"/>
    <s v="laura.cordioli@ilsole24ore.com                    "/>
    <s v="F"/>
    <s v="F-FIRMA"/>
    <s v="1 "/>
    <s v="1=5 X 8"/>
    <s v="01/07/2025"/>
    <s v="TEMPO DETERMINATO"/>
    <s v="31/05/2027"/>
    <s v="0015001586                    "/>
    <s v="BRAMBILLA ALESSANDRA MARIA"/>
    <n v="58"/>
    <s v="I  "/>
  </r>
  <r>
    <x v="0"/>
    <n v="321"/>
    <x v="0"/>
    <s v="L           "/>
    <s v="DG M&amp;B - DG SYSTEM 24"/>
    <x v="45"/>
    <x v="44"/>
    <s v="611320      "/>
    <s v="611320   PIANIF. E IMPAG. PERIOD E RADIO"/>
    <s v="FUSARI                          "/>
    <s v="GIULIANA          "/>
    <s v="FSRGLN67B46F205W"/>
    <x v="0"/>
    <s v="34"/>
    <x v="0"/>
    <s v="01/04/2021"/>
    <s v="MILANO                 "/>
    <x v="0"/>
    <x v="0"/>
    <s v="I"/>
    <x v="0"/>
    <s v="B1 "/>
    <x v="10"/>
    <s v="22/02/1988"/>
    <s v="22/02/1988"/>
    <s v="06/02/1967"/>
    <s v="A"/>
    <s v="A.IN FORZA"/>
    <s v="1  -ASSUNZIONE                1"/>
    <s v=""/>
    <s v=" "/>
    <s v=""/>
    <s v=""/>
    <n v="227"/>
    <s v="00"/>
    <n v="100"/>
    <s v="FULL TIME      100000000FF100-FULL TIME"/>
    <s v="22/02/1988"/>
    <s v=""/>
    <s v="  "/>
    <s v=""/>
    <s v="EV  "/>
    <s v="    "/>
    <x v="0"/>
    <s v=""/>
    <s v="giuliana.fusari@ilsole24ore.com                   "/>
    <s v="F"/>
    <s v="F-FIRMA"/>
    <s v="1 "/>
    <s v="1=5 X 8"/>
    <s v="01/07/2025"/>
    <s v="TEMPO DETERMINATO"/>
    <s v="31/05/2027"/>
    <s v="0015001586                    "/>
    <s v="BRAMBILLA ALESSANDRA MARIA"/>
    <n v="58"/>
    <s v="I  "/>
  </r>
  <r>
    <x v="0"/>
    <n v="752"/>
    <x v="0"/>
    <s v="L           "/>
    <s v="DG M&amp;B - DG SYSTEM 24"/>
    <x v="45"/>
    <x v="44"/>
    <s v="611320      "/>
    <s v="611320   PIANIF. E IMPAG. PERIOD E RADIO"/>
    <s v="MARANGIO                        "/>
    <s v="FLAVIA            "/>
    <s v="MRNFLV67C50Z110P"/>
    <x v="0"/>
    <s v="34"/>
    <x v="0"/>
    <s v="01/04/2021"/>
    <s v="MILANO                 "/>
    <x v="0"/>
    <x v="0"/>
    <s v="I"/>
    <x v="0"/>
    <s v="B1 "/>
    <x v="10"/>
    <s v="16/03/1994"/>
    <s v="16/03/1994"/>
    <s v="10/03/1967"/>
    <s v="A"/>
    <s v="A.IN FORZA"/>
    <s v="1  -ASSUNZIONE                1"/>
    <s v=""/>
    <s v=" "/>
    <s v=""/>
    <s v=""/>
    <n v="563"/>
    <s v="00"/>
    <n v="100"/>
    <s v="FULL TIME      100000000FF100-FULL TIME"/>
    <s v="16/03/1994"/>
    <s v=""/>
    <s v="  "/>
    <s v=""/>
    <s v="EV  "/>
    <s v="    "/>
    <x v="0"/>
    <s v="NON ISCRITTO       NON ISCRITTO"/>
    <s v="flavia.marangio@ilsole24ore.com                   "/>
    <s v="T"/>
    <s v="T-TIMBRA"/>
    <s v="1 "/>
    <s v="1=5 X 8"/>
    <s v="01/07/2025"/>
    <s v="TEMPO DETERMINATO"/>
    <s v="31/05/2027"/>
    <s v="0015001586                    "/>
    <s v="BRAMBILLA ALESSANDRA MARIA"/>
    <n v="58"/>
    <s v="I  "/>
  </r>
  <r>
    <x v="0"/>
    <n v="549"/>
    <x v="0"/>
    <s v="L           "/>
    <s v="DG M&amp;B - DG SYSTEM 24"/>
    <x v="46"/>
    <x v="44"/>
    <s v="612100      "/>
    <s v="612100   VENDITE ADVT TIPOLOGIA DI SERV."/>
    <s v="BEZZE                           "/>
    <s v="NADIA             "/>
    <s v="BZZNDA68R55A010Q"/>
    <x v="0"/>
    <s v="34"/>
    <x v="0"/>
    <s v="01/04/2021"/>
    <s v="MILANO                 "/>
    <x v="0"/>
    <x v="0"/>
    <s v="I"/>
    <x v="0"/>
    <s v="B1 "/>
    <x v="10"/>
    <s v="02/09/1991"/>
    <s v="02/09/1991"/>
    <s v="15/10/1968"/>
    <s v="A"/>
    <s v="A.IN FORZA"/>
    <s v="1  -ASSUNZIONE                1"/>
    <s v=""/>
    <s v=" "/>
    <s v=""/>
    <s v=""/>
    <n v="385"/>
    <s v="00"/>
    <n v="100"/>
    <s v="FULL TIME      100000000FF100-FULL TIME"/>
    <s v="02/09/1991"/>
    <s v=""/>
    <s v="  "/>
    <s v=""/>
    <s v="EV  "/>
    <s v="    "/>
    <x v="0"/>
    <s v=""/>
    <s v="nadia.bezze@ilsole24ore.com                       "/>
    <s v="T"/>
    <s v="T-TIMBRA"/>
    <s v="1 "/>
    <s v="1=5 X 8"/>
    <s v="01/07/2025"/>
    <s v="TEMPO DETERMINATO"/>
    <s v="31/05/2027"/>
    <s v="0015002964                    "/>
    <s v="FERRARIO ANTONIO DANILO"/>
    <n v="57"/>
    <s v="I  "/>
  </r>
  <r>
    <x v="0"/>
    <n v="2036"/>
    <x v="0"/>
    <s v="L           "/>
    <s v="DG M&amp;B - DG SYSTEM 24"/>
    <x v="46"/>
    <x v="44"/>
    <s v="612100      "/>
    <s v="612100   VENDITE ADVT TIPOLOGIA DI SERV."/>
    <s v="FOSSATI                         "/>
    <s v="LAURA MANUELA     "/>
    <s v="FSSLMN76D69F205J"/>
    <x v="0"/>
    <s v="34"/>
    <x v="0"/>
    <s v="01/04/2021"/>
    <s v="MILANO                 "/>
    <x v="0"/>
    <x v="0"/>
    <s v="F"/>
    <x v="2"/>
    <s v="Q  "/>
    <x v="8"/>
    <s v="13/12/2004"/>
    <s v="13/12/2004"/>
    <s v="29/04/1976"/>
    <s v="A"/>
    <s v="A.IN FORZA"/>
    <s v="1  -ASSUNZIONE                1"/>
    <s v=""/>
    <s v=" "/>
    <s v=""/>
    <s v=""/>
    <n v="1557"/>
    <s v="00"/>
    <n v="100"/>
    <s v="FULL TIME      100000000FF100-FULL TIME"/>
    <s v="13/12/2004"/>
    <s v=""/>
    <s v="  "/>
    <s v=""/>
    <s v="EV  "/>
    <s v="    "/>
    <x v="0"/>
    <s v=""/>
    <s v="laura.fossati@ilsole24ore.com                     "/>
    <s v="F"/>
    <s v="F-FIRMA"/>
    <s v="1 "/>
    <s v="1=5 X 8"/>
    <s v="01/07/2025"/>
    <s v="TEMPO DETERMINATO"/>
    <s v="31/05/2027"/>
    <s v="0015002964                    "/>
    <s v="FERRARIO ANTONIO DANILO"/>
    <n v="49"/>
    <s v="I  "/>
  </r>
  <r>
    <x v="0"/>
    <n v="2964"/>
    <x v="0"/>
    <s v="L           "/>
    <s v="DG M&amp;B - DG SYSTEM 24"/>
    <x v="46"/>
    <x v="44"/>
    <s v="616000      "/>
    <s v="616000   ADVERTISING STAMPA"/>
    <s v="FERRARIO                        "/>
    <s v="ANTONIO DANILO    "/>
    <s v="FRRNND65B19I690T"/>
    <x v="1"/>
    <s v="34"/>
    <x v="0"/>
    <s v="01/04/2021"/>
    <s v="MILANO                 "/>
    <x v="1"/>
    <x v="1"/>
    <s v="D"/>
    <x v="1"/>
    <s v="D  "/>
    <x v="1"/>
    <s v="01/12/2018"/>
    <s v="01/12/2018"/>
    <s v="19/02/1965"/>
    <s v="A"/>
    <s v="A.IN FORZA"/>
    <s v="1  -ASSUNZIONE                1"/>
    <s v=""/>
    <s v=" "/>
    <s v=""/>
    <s v=""/>
    <n v="2964"/>
    <s v="00"/>
    <n v="100"/>
    <s v="FULL TIME      100000000FF100-FULL TIME"/>
    <s v="01/12/2018"/>
    <s v=""/>
    <s v="  "/>
    <s v=""/>
    <s v="DD  "/>
    <s v="    "/>
    <x v="0"/>
    <s v=""/>
    <s v="danilo.ferrario@ilsole24ore.com                   "/>
    <s v="F"/>
    <s v="F-FIRMA"/>
    <s v="1 "/>
    <s v="1=5 X 8"/>
    <s v=""/>
    <s v=""/>
    <s v=""/>
    <s v="0015002960                    "/>
    <s v="SILVESTRI FEDERICO"/>
    <n v="60"/>
    <s v="I  "/>
  </r>
  <r>
    <x v="0"/>
    <n v="3140"/>
    <x v="0"/>
    <s v="L           "/>
    <s v="DG M&amp;B - DG SYSTEM 24"/>
    <x v="46"/>
    <x v="44"/>
    <s v="616000      "/>
    <s v="616000   ADVERTISING STAMPA"/>
    <s v="MAGRI                           "/>
    <s v="CANDIDA           "/>
    <s v="MGRCDD85P42G842K"/>
    <x v="0"/>
    <s v="34"/>
    <x v="0"/>
    <s v="04/11/2024"/>
    <s v="MILANO                 "/>
    <x v="0"/>
    <x v="0"/>
    <s v="I"/>
    <x v="0"/>
    <s v="AS "/>
    <x v="7"/>
    <s v="04/11/2024"/>
    <s v="04/11/2024"/>
    <s v="02/09/1985"/>
    <s v="A"/>
    <s v="A.IN FORZA"/>
    <s v="1  -ASSUNZIONE                1"/>
    <s v=""/>
    <s v=" "/>
    <s v=""/>
    <s v=""/>
    <n v="3140"/>
    <s v="00"/>
    <n v="100"/>
    <s v="FULL TIME      100000000FF100-FULL TIME"/>
    <s v="04/11/2024"/>
    <s v=""/>
    <s v="  "/>
    <s v=""/>
    <s v="EN  "/>
    <s v="    "/>
    <x v="0"/>
    <s v=""/>
    <s v="candida.magri@ilsole24ore.com                     "/>
    <s v="F"/>
    <s v="F-FIRMA"/>
    <s v="1 "/>
    <s v="1=5 X 8"/>
    <s v="01/07/2025"/>
    <s v="TEMPO DETERMINATO"/>
    <s v="31/05/2027"/>
    <s v="0015002964                    "/>
    <s v="FERRARIO ANTONIO DANILO"/>
    <n v="40"/>
    <s v="I  "/>
  </r>
  <r>
    <x v="0"/>
    <n v="1833"/>
    <x v="0"/>
    <s v="L           "/>
    <s v="DG M&amp;B - DG SYSTEM 24"/>
    <x v="46"/>
    <x v="44"/>
    <s v="61800010    "/>
    <s v="61800010 EDITORI ESTERI"/>
    <s v="FALCIONI                        "/>
    <s v="STEPHANIE         "/>
    <s v="FLCSPH74D50Z110O"/>
    <x v="0"/>
    <s v="34"/>
    <x v="0"/>
    <s v="01/04/2021"/>
    <s v="MILANO                 "/>
    <x v="0"/>
    <x v="0"/>
    <s v="I"/>
    <x v="0"/>
    <s v="AS "/>
    <x v="7"/>
    <s v="01/02/2001"/>
    <s v="01/06/2000"/>
    <s v="10/04/1974"/>
    <s v="A"/>
    <s v="A.IN FORZA"/>
    <s v="2  -VARIAZIONE SOCIETARIA     2"/>
    <s v=""/>
    <s v=" "/>
    <s v=""/>
    <s v=""/>
    <n v="1453"/>
    <s v="00"/>
    <n v="100"/>
    <s v="FULL TIME      100000000FF100-FULL TIME"/>
    <s v="01/09/2013"/>
    <s v=""/>
    <s v="  "/>
    <s v=""/>
    <s v="EV  "/>
    <s v="    "/>
    <x v="0"/>
    <s v=""/>
    <s v="stephanie.falcioni@ilsole24ore.com                "/>
    <s v="F"/>
    <s v="F-FIRMA"/>
    <s v="1 "/>
    <s v="1=5 X 8"/>
    <s v="01/07/2025"/>
    <s v="TEMPO DETERMINATO"/>
    <s v="31/05/2027"/>
    <s v="0015002964                    "/>
    <s v="FERRARIO ANTONIO DANILO"/>
    <n v="51"/>
    <s v="I  "/>
  </r>
  <r>
    <x v="0"/>
    <n v="3137"/>
    <x v="0"/>
    <s v="L           "/>
    <s v="DG M&amp;B - DG SYSTEM 24"/>
    <x v="47"/>
    <x v="45"/>
    <s v="613950      "/>
    <s v="613950   VENDITE ADV CENTRI MEDIA E AGEN"/>
    <s v="BERTINO                         "/>
    <s v="CATERINA          "/>
    <s v="BRTCRN70B60Z133J"/>
    <x v="0"/>
    <s v="34"/>
    <x v="0"/>
    <s v="01/10/2024"/>
    <s v="MILANO                 "/>
    <x v="0"/>
    <x v="0"/>
    <s v="F"/>
    <x v="2"/>
    <s v="Q  "/>
    <x v="8"/>
    <s v="01/10/2024"/>
    <s v="01/10/2024"/>
    <s v="20/02/1970"/>
    <s v="A"/>
    <s v="A.IN FORZA"/>
    <s v="1  -ASSUNZIONE                1"/>
    <s v=""/>
    <s v=" "/>
    <s v=""/>
    <s v=""/>
    <n v="3137"/>
    <s v="00"/>
    <n v="100"/>
    <s v="FULL TIME      100000000FF100-FULL TIME"/>
    <s v="01/10/2024"/>
    <s v=""/>
    <s v="  "/>
    <s v=""/>
    <s v="EN  "/>
    <s v="    "/>
    <x v="0"/>
    <s v=""/>
    <s v="caterina.bertino@ilsole24ore.com                  "/>
    <s v="F"/>
    <s v="F-FIRMA"/>
    <s v="1 "/>
    <s v="1=5 X 8"/>
    <s v="01/07/2025"/>
    <s v="TEMPO DETERMINATO"/>
    <s v="31/05/2027"/>
    <s v="0015003047                    "/>
    <s v="VITALE MARCO"/>
    <n v="55"/>
    <s v="I  "/>
  </r>
  <r>
    <x v="0"/>
    <n v="3047"/>
    <x v="0"/>
    <s v="L           "/>
    <s v="DG M&amp;B - DG SYSTEM 24"/>
    <x v="47"/>
    <x v="45"/>
    <s v="613950      "/>
    <s v="613950   VENDITE ADV CENTRI MEDIA E AGEN"/>
    <s v="VITALE                          "/>
    <s v="MARCO             "/>
    <s v="VTLMRC84P11F205B"/>
    <x v="1"/>
    <s v="34"/>
    <x v="0"/>
    <s v="01/07/2022"/>
    <s v="MILANO                 "/>
    <x v="1"/>
    <x v="1"/>
    <s v="D"/>
    <x v="1"/>
    <s v="D  "/>
    <x v="1"/>
    <s v="01/07/2022"/>
    <s v="01/07/2022"/>
    <s v="11/09/1984"/>
    <s v="A"/>
    <s v="A.IN FORZA"/>
    <s v="1  -ASSUNZIONE                1"/>
    <s v=""/>
    <s v=" "/>
    <s v=""/>
    <s v=""/>
    <n v="3047"/>
    <s v="00"/>
    <n v="100"/>
    <s v="FULL TIME      100000000FF100-FULL TIME"/>
    <s v="01/07/2022"/>
    <s v=""/>
    <s v="  "/>
    <s v=""/>
    <s v="DD  "/>
    <s v="    "/>
    <x v="0"/>
    <s v=""/>
    <s v="marco.vitale@ilsole24ore.com                      "/>
    <s v=" "/>
    <s v=""/>
    <s v="  "/>
    <s v=""/>
    <s v="01/07/2025"/>
    <s v="TEMPO DETERMINATO"/>
    <s v="31/05/2026"/>
    <s v="0015002960                    "/>
    <s v="SILVESTRI FEDERICO"/>
    <n v="41"/>
    <s v="I  "/>
  </r>
  <r>
    <x v="0"/>
    <n v="3004"/>
    <x v="0"/>
    <s v="L           "/>
    <s v="DG M&amp;B - DG SYSTEM 24"/>
    <x v="48"/>
    <x v="45"/>
    <s v="615000      "/>
    <s v="615000   PIANIFICAZIONE WEB"/>
    <s v="BELLANOVA                       "/>
    <s v="GIANLUCA          "/>
    <s v="BLLGLC80P05I690R"/>
    <x v="1"/>
    <s v="34"/>
    <x v="0"/>
    <s v="01/04/2021"/>
    <s v="MILANO                 "/>
    <x v="0"/>
    <x v="0"/>
    <s v="I"/>
    <x v="0"/>
    <s v="A  "/>
    <x v="0"/>
    <s v="07/09/2020"/>
    <s v="07/09/2020"/>
    <s v="05/09/1980"/>
    <s v="A"/>
    <s v="A.IN FORZA"/>
    <s v="1  -ASSUNZIONE                1"/>
    <s v=""/>
    <s v=" "/>
    <s v=""/>
    <s v=""/>
    <n v="3004"/>
    <s v="00"/>
    <n v="100"/>
    <s v="FULL TIME      100000000FF100-FULL TIME"/>
    <s v="07/09/2020"/>
    <s v=""/>
    <s v="  "/>
    <s v=""/>
    <s v="EV  "/>
    <s v="    "/>
    <x v="0"/>
    <s v=""/>
    <s v="gianluca.bellanova@ilsole24ore.com                "/>
    <s v="F"/>
    <s v="F-FIRMA"/>
    <s v="1 "/>
    <s v="1=5 X 8"/>
    <s v="01/09/2025"/>
    <s v="TEMPO DETERMINATO"/>
    <s v="31/05/2027"/>
    <s v="0015002869                    "/>
    <s v="GALIANO VINCENZO"/>
    <n v="45"/>
    <s v="I  "/>
  </r>
  <r>
    <x v="0"/>
    <n v="2869"/>
    <x v="0"/>
    <s v="L           "/>
    <s v="DG M&amp;B - DG SYSTEM 24"/>
    <x v="48"/>
    <x v="45"/>
    <s v="615000      "/>
    <s v="615000   PIANIFICAZIONE WEB"/>
    <s v="GALIANO                         "/>
    <s v="VINCENZO          "/>
    <s v="GLNVCN87S08C514L"/>
    <x v="1"/>
    <s v="34"/>
    <x v="0"/>
    <s v="01/04/2021"/>
    <s v="MILANO                 "/>
    <x v="0"/>
    <x v="0"/>
    <s v="I"/>
    <x v="0"/>
    <s v="AS "/>
    <x v="7"/>
    <s v="01/01/2016"/>
    <s v="04/05/2015"/>
    <s v="08/11/1987"/>
    <s v="A"/>
    <s v="A.IN FORZA"/>
    <s v="1  -ASSUNZIONE                1"/>
    <s v=""/>
    <s v=" "/>
    <s v=""/>
    <s v=""/>
    <n v="2869"/>
    <s v="00"/>
    <n v="100"/>
    <s v="FULL TIME      100000000FF100-FULL TIME"/>
    <s v="04/05/2015"/>
    <s v=""/>
    <s v="  "/>
    <s v=""/>
    <s v="EV  "/>
    <s v="    "/>
    <x v="0"/>
    <s v=""/>
    <s v="vincenzo.galiano@ilsole24ore.com                  "/>
    <s v="F"/>
    <s v="F-FIRMA"/>
    <s v="1 "/>
    <s v="1=5 X 8"/>
    <s v="01/07/2025"/>
    <s v="TEMPO DETERMINATO"/>
    <s v="31/05/2027"/>
    <s v="0015003047                    "/>
    <s v="VITALE MARCO"/>
    <n v="38"/>
    <s v="I  "/>
  </r>
  <r>
    <x v="0"/>
    <n v="2298"/>
    <x v="0"/>
    <s v="L           "/>
    <s v="DG M&amp;B - DG SYSTEM 24"/>
    <x v="48"/>
    <x v="45"/>
    <s v="615000      "/>
    <s v="615000   PIANIFICAZIONE WEB"/>
    <s v="RASPA                           "/>
    <s v="DAVID GIUSEPPE    "/>
    <s v="RSPDDG78M07F205Y"/>
    <x v="1"/>
    <s v="34"/>
    <x v="0"/>
    <s v="01/04/2021"/>
    <s v="MILANO                 "/>
    <x v="0"/>
    <x v="0"/>
    <s v="I"/>
    <x v="0"/>
    <s v="B1 "/>
    <x v="10"/>
    <s v="19/05/2008"/>
    <s v="19/05/2008"/>
    <s v="07/08/1978"/>
    <s v="A"/>
    <s v="A.IN FORZA"/>
    <s v="1  -ASSUNZIONE                1"/>
    <s v=""/>
    <s v=" "/>
    <s v=""/>
    <s v=""/>
    <n v="1720"/>
    <s v="00"/>
    <n v="100"/>
    <s v="FULL TIME      100000000FF100-FULL TIME"/>
    <s v="19/05/2008"/>
    <s v=""/>
    <s v="  "/>
    <s v=""/>
    <s v="EV  "/>
    <s v="    "/>
    <x v="0"/>
    <s v="U.I.L.             U.I.L"/>
    <s v="david.raspa@ilsole24ore.com                       "/>
    <s v="F"/>
    <s v="F-FIRMA"/>
    <s v="1 "/>
    <s v="1=5 X 8"/>
    <s v="01/07/2025"/>
    <s v="TEMPO DETERMINATO"/>
    <s v="31/05/2027"/>
    <s v="0015002869                    "/>
    <s v="GALIANO VINCENZO"/>
    <n v="47"/>
    <s v="I  "/>
  </r>
  <r>
    <x v="0"/>
    <n v="3095"/>
    <x v="0"/>
    <s v="L           "/>
    <s v="DG M&amp;B - DG SYSTEM 24"/>
    <x v="48"/>
    <x v="45"/>
    <s v="615000      "/>
    <s v="615000   PIANIFICAZIONE WEB"/>
    <s v="SPEZZI                          "/>
    <s v="FLAMINIA          "/>
    <s v="SPZFMN91A51H501E"/>
    <x v="0"/>
    <s v="34"/>
    <x v="0"/>
    <s v="02/10/2023"/>
    <s v="MILANO                 "/>
    <x v="0"/>
    <x v="0"/>
    <s v="I"/>
    <x v="0"/>
    <s v="B1 "/>
    <x v="10"/>
    <s v="02/10/2023"/>
    <s v="02/10/2023"/>
    <s v="11/01/1991"/>
    <s v="A"/>
    <s v="A.IN FORZA"/>
    <s v="1  -ASSUNZIONE                1"/>
    <s v=""/>
    <s v=" "/>
    <s v=""/>
    <s v=""/>
    <n v="3095"/>
    <s v="00"/>
    <n v="100"/>
    <s v="FULL TIME      100000000FF100-FULL TIME"/>
    <s v="02/10/2023"/>
    <s v=""/>
    <s v="  "/>
    <s v=""/>
    <s v="EN  "/>
    <s v="    "/>
    <x v="0"/>
    <s v=""/>
    <s v="flaminia.spezzi@ilsole24ore.com                   "/>
    <s v="F"/>
    <s v="F-FIRMA"/>
    <s v="1 "/>
    <s v="1=5 X 8"/>
    <s v="01/07/2025"/>
    <s v="TEMPO DETERMINATO"/>
    <s v="31/05/2027"/>
    <s v="0015002869                    "/>
    <s v="GALIANO VINCENZO"/>
    <n v="35"/>
    <s v="I  "/>
  </r>
  <r>
    <x v="0"/>
    <n v="1430"/>
    <x v="0"/>
    <s v="L           "/>
    <s v="DG M&amp;B - DG SYSTEM 24"/>
    <x v="48"/>
    <x v="45"/>
    <s v="61500010    "/>
    <s v="61500010 PROGRAMMATIC"/>
    <s v="NIVINI                          "/>
    <s v="MICHELE           "/>
    <s v="NVNMHL71H17F205V"/>
    <x v="1"/>
    <s v="34"/>
    <x v="0"/>
    <s v="01/04/2021"/>
    <s v="MILANO                 "/>
    <x v="0"/>
    <x v="0"/>
    <s v="I"/>
    <x v="0"/>
    <s v="A  "/>
    <x v="0"/>
    <s v="06/12/1999"/>
    <s v="06/12/1999"/>
    <s v="17/06/1971"/>
    <s v="A"/>
    <s v="A.IN FORZA"/>
    <s v="1  -ASSUNZIONE                1"/>
    <s v=""/>
    <s v=" "/>
    <s v=""/>
    <s v=""/>
    <n v="1132"/>
    <s v="00"/>
    <n v="100"/>
    <s v="FULL TIME      100000000FF100-FULL TIME"/>
    <s v="06/12/1999"/>
    <s v=""/>
    <s v="  "/>
    <s v=""/>
    <s v="EV  "/>
    <s v="    "/>
    <x v="0"/>
    <s v=""/>
    <s v="michele.nivini@ilsole24ore.com                    "/>
    <s v="F"/>
    <s v="F-FIRMA"/>
    <s v="1 "/>
    <s v="1=5 X 8"/>
    <s v="01/07/2025"/>
    <s v="TEMPO DETERMINATO"/>
    <s v="31/05/2027"/>
    <s v="0015002869                    "/>
    <s v="GALIANO VINCENZO"/>
    <n v="54"/>
    <s v="I  "/>
  </r>
  <r>
    <x v="0"/>
    <n v="3152"/>
    <x v="0"/>
    <s v="L           "/>
    <s v="DG M&amp;B - DG SYSTEM 24"/>
    <x v="49"/>
    <x v="11"/>
    <s v="61207010    "/>
    <s v="61207010 DIGITAL MARKETING ADVERTISING"/>
    <s v="CELLAMARE                       "/>
    <s v="GIOVANNA          "/>
    <s v="CLLGNN86B42F205M"/>
    <x v="0"/>
    <s v="34"/>
    <x v="0"/>
    <s v="13/03/2025"/>
    <s v="MILANO                 "/>
    <x v="0"/>
    <x v="0"/>
    <s v="I"/>
    <x v="0"/>
    <s v="B1 "/>
    <x v="10"/>
    <s v="13/03/2025"/>
    <s v="13/03/2025"/>
    <s v="02/02/1986"/>
    <s v="A"/>
    <s v="A.IN FORZA"/>
    <s v="1C-ASSUNZIONE CONTR. A TERMINE1"/>
    <s v=""/>
    <s v="D"/>
    <s v="12/03/2026"/>
    <s v=""/>
    <n v="3152"/>
    <s v="00"/>
    <n v="100"/>
    <s v="FULL TIME      100000000FF100-FULL TIME"/>
    <s v="13/03/2025"/>
    <s v=""/>
    <s v="  "/>
    <s v=""/>
    <s v="EN  "/>
    <s v="    "/>
    <x v="0"/>
    <s v=""/>
    <s v="giovanna.cellamare@ilsole24ore.com                "/>
    <s v="F"/>
    <s v="F-FIRMA"/>
    <s v="1 "/>
    <s v="1=5 X 8"/>
    <s v="01/07/2025"/>
    <s v="TEMPO DETERMINATO"/>
    <s v="31/05/2027"/>
    <s v="0015002647                    "/>
    <s v="DI GIORGI RAFFAELLA"/>
    <n v="39"/>
    <s v="I  "/>
  </r>
  <r>
    <x v="0"/>
    <n v="2642"/>
    <x v="0"/>
    <s v="L           "/>
    <s v="DG M&amp;B - DG SYSTEM 24"/>
    <x v="49"/>
    <x v="11"/>
    <s v="61207010    "/>
    <s v="61207010 DIGITAL MARKETING ADVERTISING"/>
    <s v="DE ROSE                         "/>
    <s v="ANTONIO           "/>
    <s v="DRSNTN83A10D086Y"/>
    <x v="1"/>
    <s v="34"/>
    <x v="0"/>
    <s v="01/04/2021"/>
    <s v="MILANO                 "/>
    <x v="0"/>
    <x v="0"/>
    <s v="I"/>
    <x v="0"/>
    <s v="A  "/>
    <x v="0"/>
    <s v="07/01/2013"/>
    <s v="07/01/2013"/>
    <s v="10/01/1983"/>
    <s v="A"/>
    <s v="A.IN FORZA"/>
    <s v="1  -ASSUNZIONE                1"/>
    <s v=""/>
    <s v=" "/>
    <s v=""/>
    <s v=""/>
    <n v="2642"/>
    <s v="00"/>
    <n v="100"/>
    <s v="FULL TIME      100000000FF100-FULL TIME"/>
    <s v="07/01/2013"/>
    <s v=""/>
    <s v="  "/>
    <s v=""/>
    <s v="EV  "/>
    <s v="    "/>
    <x v="0"/>
    <s v=""/>
    <s v="antonio.derose@ilsole24ore.com                    "/>
    <s v="F"/>
    <s v="F-FIRMA"/>
    <s v="1 "/>
    <s v="1=5 X 8"/>
    <s v="01/07/2025"/>
    <s v="TEMPO DETERMINATO"/>
    <s v="31/05/2027"/>
    <s v="0015002647                    "/>
    <s v="DI GIORGI RAFFAELLA"/>
    <n v="43"/>
    <s v="I  "/>
  </r>
  <r>
    <x v="0"/>
    <n v="2647"/>
    <x v="0"/>
    <s v="L           "/>
    <s v="DG M&amp;B - DG SYSTEM 24"/>
    <x v="49"/>
    <x v="11"/>
    <s v="61207010    "/>
    <s v="61207010 DIGITAL MARKETING ADVERTISING"/>
    <s v="DI GIORGI                       "/>
    <s v="RAFFAELLA         "/>
    <s v="DGRRFL76P45G273A"/>
    <x v="0"/>
    <s v="34"/>
    <x v="0"/>
    <s v="01/04/2021"/>
    <s v="MILANO                 "/>
    <x v="0"/>
    <x v="0"/>
    <s v="F"/>
    <x v="2"/>
    <s v="Q  "/>
    <x v="8"/>
    <s v="01/02/2013"/>
    <s v="16/12/2011"/>
    <s v="05/09/1976"/>
    <s v="A"/>
    <s v="A.IN FORZA"/>
    <s v="2  -VARIAZIONE SOCIETARIA     2"/>
    <s v=""/>
    <s v=" "/>
    <s v=""/>
    <s v=""/>
    <n v="2647"/>
    <s v="00"/>
    <n v="100"/>
    <s v="FULL TIME      100000000FF100-FULL TIME"/>
    <s v="16/12/2011"/>
    <s v=""/>
    <s v="  "/>
    <s v=""/>
    <s v="EV  "/>
    <s v="    "/>
    <x v="0"/>
    <s v=""/>
    <s v="raffaella.digiorgi@ilsole24ore.com                "/>
    <s v="F"/>
    <s v="F-FIRMA"/>
    <s v="1 "/>
    <s v="1=5 X 8"/>
    <s v="01/07/2025"/>
    <s v="TEMPO DETERMINATO"/>
    <s v="31/05/2027"/>
    <s v="0015002960                    "/>
    <s v="SILVESTRI FEDERICO"/>
    <n v="49"/>
    <s v="I  "/>
  </r>
  <r>
    <x v="0"/>
    <n v="2882"/>
    <x v="0"/>
    <s v="L           "/>
    <s v="DG M&amp;B - DG SYSTEM 24"/>
    <x v="49"/>
    <x v="11"/>
    <s v="61207010    "/>
    <s v="61207010 DIGITAL MARKETING ADVERTISING"/>
    <s v="DI PRIMA                        "/>
    <s v="ERICA             "/>
    <s v="DPRRCE84L64A940U"/>
    <x v="0"/>
    <s v="34"/>
    <x v="0"/>
    <s v="01/04/2021"/>
    <s v="MILANO                 "/>
    <x v="0"/>
    <x v="0"/>
    <s v="I"/>
    <x v="0"/>
    <s v="A  "/>
    <x v="0"/>
    <s v="04/04/2016"/>
    <s v="04/04/2016"/>
    <s v="24/07/1984"/>
    <s v="A"/>
    <s v="A.IN FORZA"/>
    <s v="1  -ASSUNZIONE                1"/>
    <s v=""/>
    <s v=" "/>
    <s v=""/>
    <s v=""/>
    <n v="2882"/>
    <s v="00"/>
    <n v="100"/>
    <s v="FULL TIME      100000000FF100-FULL TIME"/>
    <s v="04/04/2016"/>
    <s v=""/>
    <s v="  "/>
    <s v=""/>
    <s v="EV  "/>
    <s v="    "/>
    <x v="0"/>
    <s v=""/>
    <s v="erica.diprima@ilsole24ore.com                     "/>
    <s v="F"/>
    <s v="F-FIRMA"/>
    <s v="1 "/>
    <s v="1=5 X 8"/>
    <s v="01/07/2025"/>
    <s v="TEMPO DETERMINATO"/>
    <s v="31/05/2027"/>
    <s v="0015002647                    "/>
    <s v="DI GIORGI RAFFAELLA"/>
    <n v="41"/>
    <s v="I  "/>
  </r>
  <r>
    <x v="0"/>
    <n v="2166"/>
    <x v="0"/>
    <s v="L           "/>
    <s v="DG M&amp;B - DG SYSTEM 24"/>
    <x v="49"/>
    <x v="11"/>
    <s v="61207010    "/>
    <s v="61207010 DIGITAL MARKETING ADVERTISING"/>
    <s v="MURGIA                          "/>
    <s v="MARCO             "/>
    <s v="MRGMRC80A06B354Z"/>
    <x v="1"/>
    <s v="34"/>
    <x v="0"/>
    <s v="01/04/2021"/>
    <s v="MILANO                 "/>
    <x v="0"/>
    <x v="0"/>
    <s v="I"/>
    <x v="0"/>
    <s v="AS "/>
    <x v="7"/>
    <s v="05/02/2007"/>
    <s v="05/02/2007"/>
    <s v="06/01/1980"/>
    <s v="A"/>
    <s v="A.IN FORZA"/>
    <s v="1  -ASSUNZIONE                1"/>
    <s v=""/>
    <s v=" "/>
    <s v=""/>
    <s v=""/>
    <n v="1633"/>
    <s v="00"/>
    <n v="100"/>
    <s v="FULL TIME      100000000FF100-FULL TIME"/>
    <s v="05/02/2007"/>
    <s v=""/>
    <s v="  "/>
    <s v=""/>
    <s v="EV  "/>
    <s v="    "/>
    <x v="0"/>
    <s v=""/>
    <s v="marco.murgia@ilsole24ore.com                      "/>
    <s v="F"/>
    <s v="F-FIRMA"/>
    <s v="1 "/>
    <s v="1=5 X 8"/>
    <s v="01/07/2025"/>
    <s v="TEMPO DETERMINATO"/>
    <s v="31/05/2027"/>
    <s v="0015002647                    "/>
    <s v="DI GIORGI RAFFAELLA"/>
    <n v="46"/>
    <s v="I  "/>
  </r>
  <r>
    <x v="0"/>
    <n v="3085"/>
    <x v="0"/>
    <s v="L           "/>
    <s v="DG M&amp;B - DG SYSTEM 24"/>
    <x v="49"/>
    <x v="11"/>
    <s v="61207010    "/>
    <s v="61207010 DIGITAL MARKETING ADVERTISING"/>
    <s v="PIAZZOLLA                       "/>
    <s v="IRENE             "/>
    <s v="PZZRNI99T51C665Z"/>
    <x v="0"/>
    <s v="34"/>
    <x v="0"/>
    <s v="01/09/2023"/>
    <s v="MILANO                 "/>
    <x v="0"/>
    <x v="0"/>
    <s v="I"/>
    <x v="0"/>
    <s v="B2 "/>
    <x v="17"/>
    <s v="01/09/2023"/>
    <s v="01/09/2023"/>
    <s v="11/12/1999"/>
    <s v="A"/>
    <s v="A.IN FORZA"/>
    <s v="1  -ASSUNZIONE                1"/>
    <s v=""/>
    <s v=" "/>
    <s v=""/>
    <s v=""/>
    <n v="3085"/>
    <s v="00"/>
    <n v="100"/>
    <s v="FULL TIME      100000000FF100-FULL TIME"/>
    <s v="01/09/2023"/>
    <s v=""/>
    <s v="  "/>
    <s v=""/>
    <s v="EN  "/>
    <s v="    "/>
    <x v="0"/>
    <s v=""/>
    <s v="irene.piazzolla@ilsole24ore.com                   "/>
    <s v="F"/>
    <s v="F-FIRMA"/>
    <s v="1 "/>
    <s v="1=5 X 8"/>
    <s v="01/07/2025"/>
    <s v="TEMPO DETERMINATO"/>
    <s v="31/05/2027"/>
    <s v="0015002647                    "/>
    <s v="DI GIORGI RAFFAELLA"/>
    <n v="26"/>
    <s v="I  "/>
  </r>
  <r>
    <x v="0"/>
    <n v="2119"/>
    <x v="0"/>
    <s v="Q           "/>
    <s v="COMUNICAZIONE E RELAZIONI ESTERNE"/>
    <x v="50"/>
    <x v="46"/>
    <s v="B14000      "/>
    <s v="B14000   COMUNICAZIONE E REL. ESTERNE"/>
    <s v="CHIODA                          "/>
    <s v="MARIA LUISA       "/>
    <s v="CHDMLS64E57G388N"/>
    <x v="0"/>
    <s v="34"/>
    <x v="0"/>
    <s v="01/04/2021"/>
    <s v="MILANO                 "/>
    <x v="0"/>
    <x v="0"/>
    <s v="I"/>
    <x v="0"/>
    <s v="AS "/>
    <x v="7"/>
    <s v="01/08/2006"/>
    <s v="01/08/2006"/>
    <s v="17/05/1964"/>
    <s v="A"/>
    <s v="A.IN FORZA"/>
    <s v="1  -ASSUNZIONE                1"/>
    <s v=""/>
    <s v=" "/>
    <s v=""/>
    <s v=""/>
    <n v="1604"/>
    <s v="00"/>
    <n v="100"/>
    <s v="FULL TIME      100000000FF100-FULL TIME"/>
    <s v="01/08/2006"/>
    <s v=""/>
    <s v="  "/>
    <s v=""/>
    <s v="EV  "/>
    <s v="    "/>
    <x v="0"/>
    <s v="FIGEC CISAL        FIGEC CISAL"/>
    <s v="marialuisa.chioda@ilsole24ore.com                 "/>
    <s v="F"/>
    <s v="F-FIRMA"/>
    <s v="1 "/>
    <s v="1=5 X 8"/>
    <s v="01/07/2025"/>
    <s v="TEMPO DETERMINATO"/>
    <s v="31/05/2027"/>
    <s v="0015001693                    "/>
    <s v="COZZI GINEVRA"/>
    <n v="61"/>
    <s v="I  "/>
  </r>
  <r>
    <x v="0"/>
    <n v="1693"/>
    <x v="0"/>
    <s v="Q           "/>
    <s v="COMUNICAZIONE E RELAZIONI ESTERNE"/>
    <x v="50"/>
    <x v="46"/>
    <s v="B14000      "/>
    <s v="B14000   COMUNICAZIONE E REL. ESTERNE"/>
    <s v="COZZI                           "/>
    <s v="GINEVRA           "/>
    <s v="CZZGVR71S58F205H"/>
    <x v="0"/>
    <s v="34"/>
    <x v="0"/>
    <s v="01/04/2021"/>
    <s v="MILANO                 "/>
    <x v="0"/>
    <x v="0"/>
    <s v="F"/>
    <x v="2"/>
    <s v="Q  "/>
    <x v="8"/>
    <s v="15/12/2000"/>
    <s v="15/12/2000"/>
    <s v="18/11/1971"/>
    <s v="A"/>
    <s v="A.IN FORZA"/>
    <s v="1  -ASSUNZIONE                1"/>
    <s v=""/>
    <s v=" "/>
    <s v=""/>
    <s v=""/>
    <n v="1349"/>
    <s v="00"/>
    <n v="100"/>
    <s v="FULL TIME      100000000FF100-FULL TIME"/>
    <s v="15/12/2000"/>
    <s v=""/>
    <s v="  "/>
    <s v=""/>
    <s v="EV  "/>
    <s v="    "/>
    <x v="0"/>
    <s v=""/>
    <s v="ginevra.cozzi@ilsole24ore.com                     "/>
    <s v="F"/>
    <s v="F-FIRMA"/>
    <s v="1 "/>
    <s v="1=5 X 8"/>
    <s v="01/07/2025"/>
    <s v="TEMPO DETERMINATO"/>
    <s v="31/05/2027"/>
    <s v="0015002960                    "/>
    <s v="SILVESTRI FEDERICO"/>
    <n v="54"/>
    <s v="I  "/>
  </r>
  <r>
    <x v="0"/>
    <n v="2194"/>
    <x v="0"/>
    <s v="Q           "/>
    <s v="COMUNICAZIONE E RELAZIONI ESTERNE"/>
    <x v="50"/>
    <x v="46"/>
    <s v="B14000      "/>
    <s v="B14000   COMUNICAZIONE E REL. ESTERNE"/>
    <s v="OCCHINI                         "/>
    <s v="FULVIA            "/>
    <s v="CCHFLV75B57F537G"/>
    <x v="0"/>
    <s v="34"/>
    <x v="0"/>
    <s v="01/04/2021"/>
    <s v="MILANO                 "/>
    <x v="0"/>
    <x v="0"/>
    <s v="I"/>
    <x v="0"/>
    <s v="AS "/>
    <x v="7"/>
    <s v="01/06/2007"/>
    <s v="01/06/2007"/>
    <s v="17/02/1975"/>
    <s v="A"/>
    <s v="A.IN FORZA"/>
    <s v="1  -ASSUNZIONE                1"/>
    <s v=""/>
    <s v=" "/>
    <s v=""/>
    <s v=""/>
    <n v="1650"/>
    <s v="00"/>
    <n v="100"/>
    <s v="FULL TIME      100000000FF100-FULL TIME"/>
    <s v="01/06/2007"/>
    <s v=""/>
    <s v="  "/>
    <s v=""/>
    <s v="EV  "/>
    <s v="    "/>
    <x v="0"/>
    <s v=""/>
    <s v="elettra.occhini@ilsole24ore.com                   "/>
    <s v="F"/>
    <s v="F-FIRMA"/>
    <s v="1 "/>
    <s v="1=5 X 8"/>
    <s v="01/07/2025"/>
    <s v="TEMPO DETERMINATO"/>
    <s v="31/05/2027"/>
    <s v="0015001693                    "/>
    <s v="COZZI GINEVRA"/>
    <n v="50"/>
    <s v="I  "/>
  </r>
  <r>
    <x v="0"/>
    <n v="1813"/>
    <x v="0"/>
    <s v="Q           "/>
    <s v="COMUNICAZIONE E RELAZIONI ESTERNE"/>
    <x v="50"/>
    <x v="46"/>
    <s v="B14000      "/>
    <s v="B14000   COMUNICAZIONE E REL. ESTERNE"/>
    <s v="PIOVANI                         "/>
    <s v="FRANCA            "/>
    <s v="PVNFNC66L71D150I"/>
    <x v="0"/>
    <s v="34"/>
    <x v="0"/>
    <s v="01/04/2021"/>
    <s v="MILANO                 "/>
    <x v="0"/>
    <x v="0"/>
    <s v="F"/>
    <x v="2"/>
    <s v="Q  "/>
    <x v="8"/>
    <s v="17/05/2000"/>
    <s v="17/05/2000"/>
    <s v="31/07/1966"/>
    <s v="A"/>
    <s v="A.IN FORZA"/>
    <s v="1  -ASSUNZIONE                1"/>
    <s v=""/>
    <s v=" "/>
    <s v=""/>
    <s v=""/>
    <n v="1433"/>
    <s v="00"/>
    <n v="100"/>
    <s v="FULL TIME      100000000FF100-FULL TIME"/>
    <s v="17/05/2000"/>
    <s v=""/>
    <s v="  "/>
    <s v=""/>
    <s v="EV  "/>
    <s v="    "/>
    <x v="0"/>
    <s v=""/>
    <s v="franca.piovani@ilsole24ore.com                    "/>
    <s v="F"/>
    <s v="F-FIRMA"/>
    <s v="1 "/>
    <s v="1=5 X 8"/>
    <s v="01/07/2025"/>
    <s v="TEMPO DETERMINATO"/>
    <s v="31/05/2027"/>
    <s v="0015001693                    "/>
    <s v="COZZI GINEVRA"/>
    <n v="59"/>
    <s v="I  "/>
  </r>
  <r>
    <x v="0"/>
    <n v="2992"/>
    <x v="0"/>
    <s v="Q           "/>
    <s v="COMUNICAZIONE E RELAZIONI ESTERNE"/>
    <x v="50"/>
    <x v="46"/>
    <s v="B14000      "/>
    <s v="B14000   COMUNICAZIONE E REL. ESTERNE"/>
    <s v="RIEFOLO                         "/>
    <s v="VERONICA          "/>
    <s v="RFLVNC87C42F839S"/>
    <x v="0"/>
    <s v="31"/>
    <x v="1"/>
    <s v="01/02/2024"/>
    <s v="ROMA                   "/>
    <x v="0"/>
    <x v="0"/>
    <s v="I"/>
    <x v="0"/>
    <s v="B1 "/>
    <x v="10"/>
    <s v="02/01/2020"/>
    <s v="02/01/2020"/>
    <s v="02/03/1987"/>
    <s v="A"/>
    <s v="A.IN FORZA"/>
    <s v="1  -ASSUNZIONE                1"/>
    <s v=""/>
    <s v=" "/>
    <s v=""/>
    <s v=""/>
    <n v="2992"/>
    <s v="00"/>
    <n v="100"/>
    <s v="FULL TIME      100000000FF100-FULL TIME"/>
    <s v="01/02/2021"/>
    <s v=""/>
    <s v="  "/>
    <s v=""/>
    <s v="EN  "/>
    <s v="    "/>
    <x v="0"/>
    <s v=""/>
    <s v="veronica.riefolo@ilsole24ore.com                  "/>
    <s v="T"/>
    <s v="T-TIMBRA"/>
    <s v="1 "/>
    <s v="1=5 X 8"/>
    <s v="12/01/2026"/>
    <s v="TEMPO DETERMINATO"/>
    <s v="06/02/2026"/>
    <s v="0015001693                    "/>
    <s v="COZZI GINEVRA"/>
    <n v="38"/>
    <s v="I  "/>
  </r>
  <r>
    <x v="0"/>
    <n v="3151"/>
    <x v="0"/>
    <s v="Q           "/>
    <s v="COMUNICAZIONE E RELAZIONI ESTERNE"/>
    <x v="50"/>
    <x v="46"/>
    <s v="B14000      "/>
    <s v="B14000   COMUNICAZIONE E REL. ESTERNE"/>
    <s v="VIELMI                          "/>
    <s v="GIULIA            "/>
    <s v="VLMGLI91R69E704O"/>
    <x v="0"/>
    <s v="34"/>
    <x v="0"/>
    <s v="03/03/2025"/>
    <s v="MILANO                 "/>
    <x v="0"/>
    <x v="0"/>
    <s v="I"/>
    <x v="0"/>
    <s v="B1 "/>
    <x v="10"/>
    <s v="03/03/2025"/>
    <s v="03/07/2023"/>
    <s v="29/10/1991"/>
    <s v="A"/>
    <s v="A.IN FORZA"/>
    <s v="1  -ASSUNZIONE                1"/>
    <s v=""/>
    <s v=" "/>
    <s v=""/>
    <s v=""/>
    <n v="3151"/>
    <s v="00"/>
    <n v="100"/>
    <s v="FULL TIME      100000000FF100-FULL TIME"/>
    <s v="03/03/2025"/>
    <s v=""/>
    <s v="  "/>
    <s v=""/>
    <s v="EN  "/>
    <s v="    "/>
    <x v="0"/>
    <s v=""/>
    <s v="giulia.vielmi@ilsole24ore.com                     "/>
    <s v="F"/>
    <s v="F-FIRMA"/>
    <s v="1 "/>
    <s v="1=5 X 8"/>
    <s v="01/07/2025"/>
    <s v="TEMPO DETERMINATO"/>
    <s v="31/05/2027"/>
    <s v="0015001693                    "/>
    <s v="COZZI GINEVRA"/>
    <n v="34"/>
    <s v="I  "/>
  </r>
  <r>
    <x v="0"/>
    <n v="1684"/>
    <x v="0"/>
    <s v="R           "/>
    <s v="DG M&amp;B - BUSINESS DEVELOPMENT - RADIOCOR"/>
    <x v="51"/>
    <x v="47"/>
    <s v="G1240010    "/>
    <s v="G1240010 PIATTAFORME INFORMATIVE BUS.DEV"/>
    <s v="MERLI                           "/>
    <s v="IVO               "/>
    <s v="MRLVIO67C31H264U"/>
    <x v="1"/>
    <s v="34"/>
    <x v="0"/>
    <s v="01/04/2021"/>
    <s v="MILANO                 "/>
    <x v="0"/>
    <x v="0"/>
    <s v="I"/>
    <x v="0"/>
    <s v="AS "/>
    <x v="7"/>
    <s v="01/12/2000"/>
    <s v="22/11/1999"/>
    <s v="31/03/1967"/>
    <s v="A"/>
    <s v="A.IN FORZA"/>
    <s v="1  -ASSUNZIONE                1"/>
    <s v=""/>
    <s v=" "/>
    <s v=""/>
    <s v=""/>
    <n v="1341"/>
    <s v="00"/>
    <n v="100"/>
    <s v="FULL TIME      100000000FF100-FULL TIME"/>
    <s v="01/12/2000"/>
    <s v=""/>
    <s v="  "/>
    <s v=""/>
    <s v="EV  "/>
    <s v="    "/>
    <x v="0"/>
    <s v=""/>
    <s v="ivo.merli@ilsole24ore.com                         "/>
    <s v="F"/>
    <s v="F-FIRMA"/>
    <s v="1 "/>
    <s v="1=5 X 8"/>
    <s v="01/07/2025"/>
    <s v="TEMPO DETERMINATO"/>
    <s v="31/05/2027"/>
    <s v="0015003047                    "/>
    <s v="VITALE MARCO"/>
    <n v="58"/>
    <s v="I  "/>
  </r>
  <r>
    <x v="0"/>
    <n v="669"/>
    <x v="0"/>
    <s v="R           "/>
    <s v="DG M&amp;B - BUSINESS DEVELOPMENT - RADIOCOR"/>
    <x v="51"/>
    <x v="47"/>
    <s v="G1240020    "/>
    <s v="G1240020 SOLUZIONI RADIOCOR"/>
    <s v="DE FAZIO                        "/>
    <s v="PAOLA             "/>
    <s v="DFZPLA67L58C352T"/>
    <x v="0"/>
    <s v="31"/>
    <x v="1"/>
    <s v="01/12/2017"/>
    <s v="ROMA                   "/>
    <x v="0"/>
    <x v="0"/>
    <s v="I"/>
    <x v="0"/>
    <s v="A  "/>
    <x v="0"/>
    <s v="01/03/1993"/>
    <s v="01/03/1993"/>
    <s v="18/07/1967"/>
    <s v="A"/>
    <s v="A.IN FORZA"/>
    <s v="1  -ASSUNZIONE                1"/>
    <s v=""/>
    <s v=" "/>
    <s v=""/>
    <s v=""/>
    <n v="489"/>
    <s v="00"/>
    <n v="100"/>
    <s v="FULL TIME      100000000FF100-FULL TIME"/>
    <s v="01/03/1993"/>
    <s v=""/>
    <s v="  "/>
    <s v=""/>
    <s v="EV  "/>
    <s v="    "/>
    <x v="0"/>
    <s v="C.G.I.L.           C.G.I.L"/>
    <s v="paola.defazio@ilsole24ore.com                     "/>
    <s v="F"/>
    <s v="F-FIRMA"/>
    <s v="1 "/>
    <s v="1=5 X 8"/>
    <s v="01/07/2025"/>
    <s v="TEMPO DETERMINATO"/>
    <s v="31/05/2027"/>
    <s v="0015003047                    "/>
    <s v="VITALE MARCO"/>
    <n v="58"/>
    <s v="I  "/>
  </r>
  <r>
    <x v="0"/>
    <n v="3136"/>
    <x v="0"/>
    <s v="R           "/>
    <s v="DG M&amp;B - BUSINESS DEVELOPMENT - RADIOCOR"/>
    <x v="51"/>
    <x v="47"/>
    <s v="G1240020    "/>
    <s v="G1240020 SOLUZIONI RADIOCOR"/>
    <s v="IASENZA                         "/>
    <s v="GIULIA            "/>
    <s v="SNZGLI96P50D286D"/>
    <x v="0"/>
    <s v="34"/>
    <x v="0"/>
    <s v="01/10/2024"/>
    <s v="MILANO                 "/>
    <x v="0"/>
    <x v="0"/>
    <s v="I"/>
    <x v="0"/>
    <s v="B3 "/>
    <x v="9"/>
    <s v="01/10/2024"/>
    <s v="01/10/2024"/>
    <s v="10/09/1996"/>
    <s v="A"/>
    <s v="A.IN FORZA"/>
    <s v="1  -ASSUNZIONE                1"/>
    <s v=""/>
    <s v=" "/>
    <s v=""/>
    <s v=""/>
    <n v="3136"/>
    <s v="00"/>
    <n v="100"/>
    <s v="FULL TIME      100000000FF100-FULL TIME"/>
    <s v="01/10/2024"/>
    <s v=""/>
    <s v="  "/>
    <s v=""/>
    <s v="EN  "/>
    <s v="    "/>
    <x v="0"/>
    <s v=""/>
    <s v="giulia.iasenza@ilsole24ore.com                    "/>
    <s v="F"/>
    <s v="F-FIRMA"/>
    <s v="1 "/>
    <s v="1=5 X 8"/>
    <s v="01/07/2025"/>
    <s v="TEMPO DETERMINATO"/>
    <s v="31/05/2027"/>
    <s v="0015003047                    "/>
    <s v="VITALE MARCO"/>
    <n v="29"/>
    <s v="I  "/>
  </r>
  <r>
    <x v="0"/>
    <n v="1847"/>
    <x v="0"/>
    <s v="R           "/>
    <s v="DG M&amp;B - BUSINESS DEVELOPMENT - RADIOCOR"/>
    <x v="51"/>
    <x v="47"/>
    <s v="G1240030    "/>
    <s v="G1240030 PRODOTTI PERSONALIZZATI"/>
    <s v="RENZI                           "/>
    <s v="LISETTA           "/>
    <s v="RNZLTT66M57A944B"/>
    <x v="0"/>
    <s v="31"/>
    <x v="1"/>
    <s v="18/05/2009"/>
    <s v="ROMA                   "/>
    <x v="0"/>
    <x v="0"/>
    <s v="I"/>
    <x v="0"/>
    <s v="AS "/>
    <x v="7"/>
    <s v="01/02/2001"/>
    <s v="19/06/2000"/>
    <s v="17/08/1966"/>
    <s v="A"/>
    <s v="A.IN FORZA"/>
    <s v="2  -VARIAZIONE SOCIETARIA     2"/>
    <s v=""/>
    <s v=" "/>
    <s v=""/>
    <s v=""/>
    <n v="1467"/>
    <s v="00"/>
    <n v="100"/>
    <s v="FULL TIME      100000000FF100-FULL TIME"/>
    <s v="01/02/2001"/>
    <s v=""/>
    <s v="  "/>
    <s v=""/>
    <s v="EV  "/>
    <s v="    "/>
    <x v="0"/>
    <s v="C.G.I.L.           C.G.I.L"/>
    <s v="lisetta.renzi@ilsole24ore.com                     "/>
    <s v="F"/>
    <s v="F-FIRMA"/>
    <s v="1 "/>
    <s v="1=5 X 8"/>
    <s v="01/07/2025"/>
    <s v="TEMPO DETERMINATO"/>
    <s v="31/05/2027"/>
    <s v="0015003047                    "/>
    <s v="VITALE MARCO"/>
    <n v="59"/>
    <s v="I  "/>
  </r>
  <r>
    <x v="0"/>
    <n v="3073"/>
    <x v="0"/>
    <s v="S           "/>
    <s v="AFFARI LEGALI E SOCIETARI"/>
    <x v="1"/>
    <x v="1"/>
    <s v="016100      "/>
    <s v="016100   INTERNAL AUDITING"/>
    <s v="EVOLO                           "/>
    <s v="FRANCESCO         "/>
    <s v="VLEFNC96H12F537P"/>
    <x v="1"/>
    <s v="34"/>
    <x v="0"/>
    <s v="11/04/2023"/>
    <s v="MILANO                 "/>
    <x v="0"/>
    <x v="0"/>
    <s v="I"/>
    <x v="0"/>
    <s v="B1 "/>
    <x v="10"/>
    <s v="11/04/2023"/>
    <s v="11/04/2023"/>
    <s v="12/06/1996"/>
    <s v="A"/>
    <s v="A.IN FORZA"/>
    <s v="1  -ASSUNZIONE                1"/>
    <s v=""/>
    <s v=" "/>
    <s v=""/>
    <s v=""/>
    <n v="3073"/>
    <s v="00"/>
    <n v="100"/>
    <s v="FULL TIME      100000000FF100-FULL TIME"/>
    <s v="11/04/2023"/>
    <s v=""/>
    <s v="  "/>
    <s v=""/>
    <s v="EN  "/>
    <s v="    "/>
    <x v="0"/>
    <s v=""/>
    <s v="francesco.evolo@ilsole24ore.com                   "/>
    <s v="T"/>
    <s v="T-TIMBRA"/>
    <s v="1 "/>
    <s v="1=5 X 8"/>
    <s v="01/07/2025"/>
    <s v="TEMPO DETERMINATO"/>
    <s v="31/05/2027"/>
    <s v="0015003114                    "/>
    <s v="ALTEI ALESSANDRO"/>
    <n v="29"/>
    <s v="I  "/>
  </r>
  <r>
    <x v="0"/>
    <n v="828"/>
    <x v="0"/>
    <s v="T           "/>
    <s v="DIREZIONE PROCUREMENT E PROCESSI DI ACQU"/>
    <x v="52"/>
    <x v="48"/>
    <s v="413000      "/>
    <s v="413000   PROCUREMENT"/>
    <s v="CACCIA                          "/>
    <s v="RAFFAELLA         "/>
    <s v="CCCRFL69M52F205Y"/>
    <x v="0"/>
    <s v="34"/>
    <x v="0"/>
    <s v="01/04/2021"/>
    <s v="MILANO                 "/>
    <x v="0"/>
    <x v="0"/>
    <s v="I"/>
    <x v="0"/>
    <s v="B2 "/>
    <x v="17"/>
    <s v="01/02/1995"/>
    <s v="01/01/1996"/>
    <s v="12/08/1969"/>
    <s v="A"/>
    <s v="A.IN FORZA"/>
    <s v="1  -ASSUNZIONE                1"/>
    <s v=""/>
    <s v=" "/>
    <s v=""/>
    <s v=""/>
    <n v="628"/>
    <s v="01"/>
    <n v="50"/>
    <s v="20 H O GRA/COMM050000000PP20.0/40- PT 50.00-P"/>
    <s v="01/02/2024"/>
    <s v="31/01/2026"/>
    <s v="  "/>
    <s v=""/>
    <s v="EV  "/>
    <s v="    "/>
    <x v="0"/>
    <s v="C.I.S.L.           C.I.S.L"/>
    <s v="raffaella.caccia@ilsole24ore.com                  "/>
    <s v="T"/>
    <s v="T-TIMBRA"/>
    <s v="1 "/>
    <s v="1=5 X 8"/>
    <s v="01/07/2025"/>
    <s v="TEMPO DETERMINATO"/>
    <s v="31/05/2027"/>
    <s v="0015002930                    "/>
    <s v="LO CAMPO ALESSANDRO"/>
    <n v="56"/>
    <s v="I  "/>
  </r>
  <r>
    <x v="0"/>
    <n v="1636"/>
    <x v="0"/>
    <s v="T           "/>
    <s v="DIREZIONE PROCUREMENT E PROCESSI DI ACQU"/>
    <x v="52"/>
    <x v="48"/>
    <s v="413000      "/>
    <s v="413000   PROCUREMENT"/>
    <s v="GRANDE                          "/>
    <s v="IVANA             "/>
    <s v="GRNVNI74E70G388X"/>
    <x v="0"/>
    <s v="34"/>
    <x v="0"/>
    <s v="01/04/2021"/>
    <s v="MILANO                 "/>
    <x v="0"/>
    <x v="0"/>
    <s v="I"/>
    <x v="0"/>
    <s v="B1 "/>
    <x v="10"/>
    <s v="01/11/2000"/>
    <s v="01/11/2000"/>
    <s v="30/05/1974"/>
    <s v="A"/>
    <s v="A.IN FORZA"/>
    <s v="1  -ASSUNZIONE                1"/>
    <s v=""/>
    <s v=" "/>
    <s v=""/>
    <s v=""/>
    <n v="1297"/>
    <s v="00"/>
    <n v="100"/>
    <s v="FULL TIME      100000000FF100-FULL TIME"/>
    <s v="01/01/2023"/>
    <s v=""/>
    <s v="  "/>
    <s v=""/>
    <s v="EV  "/>
    <s v="    "/>
    <x v="0"/>
    <s v=""/>
    <s v="ivana.grande@ilsole24ore.com                      "/>
    <s v="F"/>
    <s v="F-FIRMA"/>
    <s v="1 "/>
    <s v="1=5 X 8"/>
    <s v="01/07/2025"/>
    <s v="TEMPO DETERMINATO"/>
    <s v="31/05/2027"/>
    <s v="0015002930                    "/>
    <s v="LO CAMPO ALESSANDRO"/>
    <n v="51"/>
    <s v="I  "/>
  </r>
  <r>
    <x v="0"/>
    <n v="2930"/>
    <x v="0"/>
    <s v="T           "/>
    <s v="DIREZIONE PROCUREMENT E PROCESSI DI ACQU"/>
    <x v="52"/>
    <x v="48"/>
    <s v="413000      "/>
    <s v="413000   PROCUREMENT"/>
    <s v="LO CAMPO                        "/>
    <s v="ALESSANDRO        "/>
    <s v="LCMLSN74P22I158T"/>
    <x v="1"/>
    <s v="34"/>
    <x v="0"/>
    <s v="01/04/2021"/>
    <s v="MILANO                 "/>
    <x v="1"/>
    <x v="1"/>
    <s v="D"/>
    <x v="1"/>
    <s v="D  "/>
    <x v="1"/>
    <s v="06/11/2017"/>
    <s v="06/11/2017"/>
    <s v="22/09/1974"/>
    <s v="A"/>
    <s v="A.IN FORZA"/>
    <s v="1  -ASSUNZIONE                1"/>
    <s v=""/>
    <s v=" "/>
    <s v=""/>
    <s v=""/>
    <n v="2930"/>
    <s v="00"/>
    <n v="100"/>
    <s v="FULL TIME      100000000FF100-FULL TIME"/>
    <s v="06/11/2017"/>
    <s v=""/>
    <s v="  "/>
    <s v=""/>
    <s v="DD  "/>
    <s v="    "/>
    <x v="0"/>
    <s v=""/>
    <s v="alessandro.locampo@ilsole24ore.com                "/>
    <s v="E"/>
    <s v="E-ESENTE"/>
    <s v="1 "/>
    <s v="1=5 X 8"/>
    <s v="01/07/2025"/>
    <s v="TEMPO DETERMINATO"/>
    <s v="31/05/2026"/>
    <s v="0015002960                    "/>
    <s v="SILVESTRI FEDERICO"/>
    <n v="51"/>
    <s v="I  "/>
  </r>
  <r>
    <x v="0"/>
    <n v="1336"/>
    <x v="0"/>
    <s v="T           "/>
    <s v="DIREZIONE PROCUREMENT E PROCESSI DI ACQU"/>
    <x v="52"/>
    <x v="48"/>
    <s v="413000      "/>
    <s v="413000   PROCUREMENT"/>
    <s v="MALANCA                         "/>
    <s v="LAURA             "/>
    <s v="MLNLRA72B63I441R"/>
    <x v="0"/>
    <s v="34"/>
    <x v="0"/>
    <s v="01/04/2021"/>
    <s v="MILANO                 "/>
    <x v="0"/>
    <x v="0"/>
    <s v="I"/>
    <x v="0"/>
    <s v="AS "/>
    <x v="7"/>
    <s v="16/11/1999"/>
    <s v="16/11/1999"/>
    <s v="23/02/1972"/>
    <s v="A"/>
    <s v="A.IN FORZA"/>
    <s v="1  -ASSUNZIONE                1"/>
    <s v=""/>
    <s v=" "/>
    <s v=""/>
    <s v=""/>
    <n v="1059"/>
    <s v="00"/>
    <n v="100"/>
    <s v="FULL TIME      100000000FF100-FULL TIME"/>
    <s v="01/09/2015"/>
    <s v=""/>
    <s v="05"/>
    <s v="INVALIDI CIVILI"/>
    <s v="EV  "/>
    <s v="    "/>
    <x v="0"/>
    <s v=""/>
    <s v="laura.malanca@ilsole24ore.com                     "/>
    <s v="F"/>
    <s v="F-FIRMA"/>
    <s v="1 "/>
    <s v="1=5 X 8"/>
    <s v="01/07/2025"/>
    <s v="TEMPO DETERMINATO"/>
    <s v="31/05/2027"/>
    <s v="0015002930                    "/>
    <s v="LO CAMPO ALESSANDRO"/>
    <n v="53"/>
    <s v="I  "/>
  </r>
  <r>
    <x v="0"/>
    <n v="3002"/>
    <x v="0"/>
    <s v="T           "/>
    <s v="DIREZIONE PROCUREMENT E PROCESSI DI ACQU"/>
    <x v="52"/>
    <x v="48"/>
    <s v="413000      "/>
    <s v="413000   PROCUREMENT"/>
    <s v="MARINO                          "/>
    <s v="SANDRO            "/>
    <s v="MRNSDR71T04F205F"/>
    <x v="1"/>
    <s v="34"/>
    <x v="0"/>
    <s v="01/04/2021"/>
    <s v="MILANO                 "/>
    <x v="0"/>
    <x v="0"/>
    <s v="I"/>
    <x v="0"/>
    <s v="AS "/>
    <x v="7"/>
    <s v="01/09/2020"/>
    <s v="01/09/2020"/>
    <s v="04/12/1971"/>
    <s v="A"/>
    <s v="A.IN FORZA"/>
    <s v="1  -ASSUNZIONE                1"/>
    <s v=""/>
    <s v=" "/>
    <s v=""/>
    <s v=""/>
    <n v="3002"/>
    <s v="00"/>
    <n v="100"/>
    <s v="FULL TIME      100000000FF100-FULL TIME"/>
    <s v="01/09/2020"/>
    <s v=""/>
    <s v="05"/>
    <s v="INVALIDI CIVILI"/>
    <s v="EV  "/>
    <s v="    "/>
    <x v="0"/>
    <s v=""/>
    <s v="sandro.marino@ilsole24ore.com                     "/>
    <s v="F"/>
    <s v="F-FIRMA"/>
    <s v="1 "/>
    <s v="1=5 X 8"/>
    <s v="01/07/2025"/>
    <s v="TEMPO DETERMINATO"/>
    <s v="31/05/2027"/>
    <s v="0015002930                    "/>
    <s v="LO CAMPO ALESSANDRO"/>
    <n v="54"/>
    <s v="I  "/>
  </r>
  <r>
    <x v="0"/>
    <n v="1556"/>
    <x v="0"/>
    <s v="T           "/>
    <s v="DIREZIONE PROCUREMENT E PROCESSI DI ACQU"/>
    <x v="52"/>
    <x v="48"/>
    <s v="413000      "/>
    <s v="413000   PROCUREMENT"/>
    <s v="RIGAMONTI                       "/>
    <s v="ERIKA             "/>
    <s v="RGMRKE71H49G337S"/>
    <x v="0"/>
    <s v="34"/>
    <x v="0"/>
    <s v="01/04/2021"/>
    <s v="MILANO                 "/>
    <x v="0"/>
    <x v="0"/>
    <s v="I"/>
    <x v="0"/>
    <s v="AS "/>
    <x v="7"/>
    <s v="17/05/2000"/>
    <s v="17/05/2000"/>
    <s v="09/06/1971"/>
    <s v="A"/>
    <s v="A.IN FORZA"/>
    <s v="1  -ASSUNZIONE                1"/>
    <s v=""/>
    <s v=" "/>
    <s v=""/>
    <s v=""/>
    <n v="1227"/>
    <s v="00"/>
    <n v="100"/>
    <s v="FULL TIME      100000000FF100-FULL TIME"/>
    <s v="17/05/2000"/>
    <s v=""/>
    <s v="  "/>
    <s v=""/>
    <s v="EV  "/>
    <s v="    "/>
    <x v="0"/>
    <s v=""/>
    <s v="erika.rigamonti@ilsole24ore.com                   "/>
    <s v="F"/>
    <s v="F-FIRMA"/>
    <s v="1 "/>
    <s v="1=5 X 8"/>
    <s v="01/07/2025"/>
    <s v="TEMPO DETERMINATO"/>
    <s v="31/05/2027"/>
    <s v="0015002930                    "/>
    <s v="LO CAMPO ALESSANDRO"/>
    <n v="54"/>
    <s v="I  "/>
  </r>
  <r>
    <x v="0"/>
    <n v="3096"/>
    <x v="0"/>
    <s v="T           "/>
    <s v="DIREZIONE PROCUREMENT E PROCESSI DI ACQU"/>
    <x v="52"/>
    <x v="48"/>
    <s v="413000      "/>
    <s v="413000   PROCUREMENT"/>
    <s v="SANTORO                         "/>
    <s v="DOMENICO          "/>
    <s v="SNTDNC87S23D643K"/>
    <x v="1"/>
    <s v="34"/>
    <x v="0"/>
    <s v="02/10/2023"/>
    <s v="MILANO                 "/>
    <x v="0"/>
    <x v="0"/>
    <s v="I"/>
    <x v="0"/>
    <s v="A  "/>
    <x v="0"/>
    <s v="02/10/2023"/>
    <s v="02/10/2023"/>
    <s v="23/11/1987"/>
    <s v="A"/>
    <s v="A.IN FORZA"/>
    <s v="1  -ASSUNZIONE                1"/>
    <s v=""/>
    <s v=" "/>
    <s v=""/>
    <s v=""/>
    <n v="3096"/>
    <s v="00"/>
    <n v="100"/>
    <s v="FULL TIME      100000000FF100-FULL TIME"/>
    <s v="02/10/2023"/>
    <s v=""/>
    <s v="05"/>
    <s v="INVALIDI CIVILI"/>
    <s v="EN  "/>
    <s v="    "/>
    <x v="0"/>
    <s v=""/>
    <s v="domenico.santoro@ilsole24ore.com                  "/>
    <s v="F"/>
    <s v="F-FIRMA"/>
    <s v="1 "/>
    <s v="1=5 X 8"/>
    <s v="01/07/2025"/>
    <s v="TEMPO DETERMINATO"/>
    <s v="31/05/2027"/>
    <s v="0015002930                    "/>
    <s v="LO CAMPO ALESSANDRO"/>
    <n v="38"/>
    <s v="I  "/>
  </r>
  <r>
    <x v="0"/>
    <n v="1687"/>
    <x v="0"/>
    <s v="T           "/>
    <s v="DIREZIONE PROCUREMENT E PROCESSI DI ACQU"/>
    <x v="52"/>
    <x v="48"/>
    <s v="G12600      "/>
    <s v="G12600 ANALISI &amp; REPORTING OPERATIVO"/>
    <s v="LONGHI                          "/>
    <s v="IVAN CARLO        "/>
    <s v="LNGVCR71L08F965F"/>
    <x v="1"/>
    <s v="34"/>
    <x v="0"/>
    <s v="01/04/2021"/>
    <s v="MILANO                 "/>
    <x v="0"/>
    <x v="0"/>
    <s v="F"/>
    <x v="2"/>
    <s v="Q  "/>
    <x v="8"/>
    <s v="04/12/2000"/>
    <s v="04/12/2000"/>
    <s v="08/07/1971"/>
    <s v="A"/>
    <s v="A.IN FORZA"/>
    <s v="1  -ASSUNZIONE                1"/>
    <s v=""/>
    <s v=" "/>
    <s v=""/>
    <s v=""/>
    <n v="1344"/>
    <s v="00"/>
    <n v="100"/>
    <s v="FULL TIME      100000000FF100-FULL TIME"/>
    <s v="04/12/2000"/>
    <s v=""/>
    <s v="05"/>
    <s v="INVALIDI CIVILI"/>
    <s v="EV  "/>
    <s v="    "/>
    <x v="0"/>
    <s v=""/>
    <s v="ivan.longhi@ilsole24ore.com                       "/>
    <s v="F"/>
    <s v="F-FIRMA"/>
    <s v="1 "/>
    <s v="1=5 X 8"/>
    <s v="01/07/2025"/>
    <s v="TEMPO DETERMINATO"/>
    <s v="31/05/2027"/>
    <s v="0015002930                    "/>
    <s v="LO CAMPO ALESSANDRO"/>
    <n v="54"/>
    <s v="I  "/>
  </r>
  <r>
    <x v="0"/>
    <n v="1836"/>
    <x v="0"/>
    <s v="T           "/>
    <s v="DIREZIONE PROCUREMENT E PROCESSI DI ACQU"/>
    <x v="52"/>
    <x v="48"/>
    <s v="R14300      "/>
    <s v="R14300   BANDI E GARE D'APPALTO"/>
    <s v="GUGLIELMI                       "/>
    <s v="ALBERTO           "/>
    <s v="GGLLRT69E31H501P"/>
    <x v="1"/>
    <s v="31"/>
    <x v="1"/>
    <s v="18/05/2009"/>
    <s v="ROMA                   "/>
    <x v="0"/>
    <x v="0"/>
    <s v="F"/>
    <x v="2"/>
    <s v="Q  "/>
    <x v="8"/>
    <s v="01/02/2001"/>
    <s v="01/09/1997"/>
    <s v="31/05/1969"/>
    <s v="A"/>
    <s v="A.IN FORZA"/>
    <s v="2  -VARIAZIONE SOCIETARIA     2"/>
    <s v=""/>
    <s v=" "/>
    <s v=""/>
    <s v=""/>
    <n v="1456"/>
    <s v="00"/>
    <n v="100"/>
    <s v="FULL TIME      100000000FF100-FULL TIME"/>
    <s v="01/02/2001"/>
    <s v=""/>
    <s v="  "/>
    <s v=""/>
    <s v="EV  "/>
    <s v="    "/>
    <x v="0"/>
    <s v=""/>
    <s v="alberto.guglielmi@ilsole24ore.com                 "/>
    <s v="F"/>
    <s v="F-FIRMA"/>
    <s v="1 "/>
    <s v="1=5 X 8"/>
    <s v="01/07/2025"/>
    <s v="TEMPO DETERMINATO"/>
    <s v="31/05/2027"/>
    <s v="0015002930                    "/>
    <s v="LO CAMPO ALESSANDRO"/>
    <n v="56"/>
    <s v="I  "/>
  </r>
  <r>
    <x v="0"/>
    <n v="573"/>
    <x v="0"/>
    <s v="T           "/>
    <s v="DIREZIONE PROCUREMENT E PROCESSI DI ACQU"/>
    <x v="52"/>
    <x v="48"/>
    <s v="R14300      "/>
    <s v="R14300   BANDI E GARE D'APPALTO"/>
    <s v="ZAMBARBIERI                     "/>
    <s v="NADIA             "/>
    <s v="ZMBNDA66M53F205Z"/>
    <x v="0"/>
    <s v="34"/>
    <x v="0"/>
    <s v="01/04/2021"/>
    <s v="MILANO                 "/>
    <x v="0"/>
    <x v="0"/>
    <s v="I"/>
    <x v="0"/>
    <s v="A  "/>
    <x v="0"/>
    <s v="01/10/1991"/>
    <s v="01/10/1991"/>
    <s v="13/08/1966"/>
    <s v="A"/>
    <s v="A.IN FORZA"/>
    <s v="1  -ASSUNZIONE                1"/>
    <s v=""/>
    <s v=" "/>
    <s v=""/>
    <s v=""/>
    <n v="408"/>
    <s v="00"/>
    <n v="100"/>
    <s v="FULL TIME      100000000FF100-FULL TIME"/>
    <s v="01/10/1991"/>
    <s v=""/>
    <s v="  "/>
    <s v=""/>
    <s v="EP  "/>
    <s v="    "/>
    <x v="0"/>
    <s v=""/>
    <s v="nadia.zambarbieri@ilsole24ore.com                 "/>
    <s v="F"/>
    <s v="F-FIRMA"/>
    <s v="1 "/>
    <s v="1=5 X 8"/>
    <s v="01/07/2025"/>
    <s v="TEMPO DETERMINATO"/>
    <s v="31/05/2027"/>
    <s v="0015002930                    "/>
    <s v="LO CAMPO ALESSANDRO"/>
    <n v="59"/>
    <s v="I  "/>
  </r>
  <r>
    <x v="1"/>
    <n v="64"/>
    <x v="1"/>
    <s v="W           "/>
    <s v="24 ORE CULTURA"/>
    <x v="53"/>
    <x v="49"/>
    <s v="W19050      "/>
    <s v="W19050   MUDEC E TICKETING"/>
    <s v="LECCIOLI                        "/>
    <s v="MARIA CINZIA      "/>
    <s v="LCCMCN67A64F205Y"/>
    <x v="0"/>
    <s v="19"/>
    <x v="9"/>
    <s v="01/01/2019"/>
    <s v="MILANO                 "/>
    <x v="0"/>
    <x v="0"/>
    <s v="I"/>
    <x v="0"/>
    <s v="B2 "/>
    <x v="17"/>
    <s v="01/01/2019"/>
    <s v="09/02/2015"/>
    <s v="24/01/1967"/>
    <s v="A"/>
    <s v="A.IN FORZA"/>
    <s v="2T-TRASFERIMENTO AZIENDA/RAMO 2T"/>
    <s v=""/>
    <s v=" "/>
    <s v=""/>
    <s v=""/>
    <n v="64"/>
    <s v="00"/>
    <n v="100"/>
    <s v="FULL TIME      100000000FF100-FULL TIME"/>
    <s v="09/02/2015"/>
    <s v=""/>
    <s v="  "/>
    <s v=""/>
    <s v="EO  "/>
    <s v="    "/>
    <x v="0"/>
    <s v=""/>
    <s v="cinzia.leccioli@24orecultura.com                  "/>
    <s v="F"/>
    <s v="F-FIRMA"/>
    <s v="1 "/>
    <s v="1=5 X 8"/>
    <s v="01/07/2025"/>
    <s v="TEMPO DETERMINATO"/>
    <s v="31/05/2027"/>
    <s v="0028000051                    "/>
    <s v="SERINI SIMONA"/>
    <n v="59"/>
    <s v="I  "/>
  </r>
  <r>
    <x v="1"/>
    <n v="96"/>
    <x v="1"/>
    <s v="W           "/>
    <s v="24 ORE CULTURA"/>
    <x v="53"/>
    <x v="49"/>
    <s v="W19050      "/>
    <s v="W19050   MUDEC E TICKETING"/>
    <s v="SCANDROGLIO                     "/>
    <s v="ANNALISA          "/>
    <s v="SCNNLS85T51B300R"/>
    <x v="0"/>
    <s v="19"/>
    <x v="9"/>
    <s v="02/09/2024"/>
    <s v="MILANO                 "/>
    <x v="0"/>
    <x v="0"/>
    <s v="I"/>
    <x v="0"/>
    <s v="B2 "/>
    <x v="17"/>
    <s v="02/09/2024"/>
    <s v="02/09/2024"/>
    <s v="11/12/1985"/>
    <s v="A"/>
    <s v="A.IN FORZA"/>
    <s v="1S-ASSUNZIONE STABILIZZAZIONE 1S"/>
    <s v=""/>
    <s v=" "/>
    <s v=""/>
    <s v=""/>
    <n v="96"/>
    <s v="00"/>
    <n v="100"/>
    <s v="FULL TIME      100000000FF100-FULL TIME"/>
    <s v="02/09/2024"/>
    <s v=""/>
    <s v="  "/>
    <s v=""/>
    <s v="EO  "/>
    <s v="    "/>
    <x v="0"/>
    <s v=""/>
    <s v="annalisa.scandroglio@24orecultura.com             "/>
    <s v="F"/>
    <s v="F-FIRMA"/>
    <s v="1 "/>
    <s v="1=5 X 8"/>
    <s v="01/07/2025"/>
    <s v="TEMPO DETERMINATO"/>
    <s v="31/05/2027"/>
    <s v="0028000051                    "/>
    <s v="SERINI SIMONA"/>
    <n v="40"/>
    <s v="I  "/>
  </r>
  <r>
    <x v="1"/>
    <n v="51"/>
    <x v="1"/>
    <s v="W           "/>
    <s v="24 ORE CULTURA"/>
    <x v="53"/>
    <x v="49"/>
    <s v="W19050      "/>
    <s v="W19050   MUDEC E TICKETING"/>
    <s v="SERINI                          "/>
    <s v="SIMONA            "/>
    <s v="SRNSMN79P59A662X"/>
    <x v="0"/>
    <s v="34"/>
    <x v="0"/>
    <s v="01/04/2021"/>
    <s v="MILANO                 "/>
    <x v="0"/>
    <x v="0"/>
    <s v="F"/>
    <x v="2"/>
    <s v="Q  "/>
    <x v="8"/>
    <s v="04/05/2015"/>
    <s v="04/05/2015"/>
    <s v="19/09/1979"/>
    <s v="A"/>
    <s v="A.IN FORZA"/>
    <s v="1  -ASSUNZIONE                1"/>
    <s v=""/>
    <s v=" "/>
    <s v=""/>
    <s v=""/>
    <n v="51"/>
    <s v="00"/>
    <n v="100"/>
    <s v="FULL TIME      100000000FF100-FULL TIME"/>
    <s v="04/05/2015"/>
    <s v=""/>
    <s v="  "/>
    <s v=""/>
    <s v="EA  "/>
    <s v="    "/>
    <x v="0"/>
    <s v=""/>
    <s v="simona.serini@24orecultura.com                    "/>
    <s v="F"/>
    <s v="F-FIRMA"/>
    <s v="1 "/>
    <s v="1=5 X 8"/>
    <s v="01/07/2025"/>
    <s v="TEMPO DETERMINATO"/>
    <s v="31/05/2027"/>
    <s v="0015002960                    "/>
    <s v="SILVESTRI FEDERICO"/>
    <n v="46"/>
    <s v="I  "/>
  </r>
  <r>
    <x v="1"/>
    <n v="12"/>
    <x v="1"/>
    <s v="W           "/>
    <s v="24 ORE CULTURA"/>
    <x v="53"/>
    <x v="49"/>
    <s v="W1910010    "/>
    <s v="W1910010 OPERATIONS MOSTRE 24 ORE CULTUR"/>
    <s v="COLOMBO                         "/>
    <s v="ELISABETTA        "/>
    <s v="CLMLBT65C57F205E"/>
    <x v="0"/>
    <s v="34"/>
    <x v="0"/>
    <s v="01/04/2021"/>
    <s v="MILANO                 "/>
    <x v="0"/>
    <x v="0"/>
    <s v="I"/>
    <x v="0"/>
    <s v="B1 "/>
    <x v="10"/>
    <s v="07/02/2005"/>
    <s v="07/02/2005"/>
    <s v="17/03/1965"/>
    <s v="A"/>
    <s v="A.IN FORZA"/>
    <s v="1  -ASSUNZIONE                1"/>
    <s v=""/>
    <s v=" "/>
    <s v=""/>
    <s v=""/>
    <n v="11"/>
    <s v="00"/>
    <n v="100"/>
    <s v="FULL TIME      100000000FF100-FULL TIME"/>
    <s v="07/02/2005"/>
    <s v=""/>
    <s v="  "/>
    <s v=""/>
    <s v="EA  "/>
    <s v="    "/>
    <x v="0"/>
    <s v="C.G.I.L.           C.G.I.L"/>
    <s v="elisabetta.colombo@24orecultura.com               "/>
    <s v="F"/>
    <s v="F-FIRMA"/>
    <s v="1 "/>
    <s v="1=5 X 8"/>
    <s v="01/07/2025"/>
    <s v="TEMPO DETERMINATO"/>
    <s v="31/05/2027"/>
    <s v="0028000056                    "/>
    <s v="CAPPITELLI PAOLA MONICA"/>
    <n v="60"/>
    <s v="I  "/>
  </r>
  <r>
    <x v="1"/>
    <n v="19"/>
    <x v="1"/>
    <s v="W           "/>
    <s v="24 ORE CULTURA"/>
    <x v="53"/>
    <x v="49"/>
    <s v="W1910020    "/>
    <s v="W1910020 OPERATIONS MUDEC 24 ORE CULTURA"/>
    <s v="MONTAGNA                        "/>
    <s v="GIORGIA           "/>
    <s v="MNTGRG77T56F205Q"/>
    <x v="0"/>
    <s v="34"/>
    <x v="0"/>
    <s v="01/04/2021"/>
    <s v="MILANO                 "/>
    <x v="0"/>
    <x v="0"/>
    <s v="I"/>
    <x v="0"/>
    <s v="B2 "/>
    <x v="17"/>
    <s v="02/05/2006"/>
    <s v="02/05/2006"/>
    <s v="16/12/1977"/>
    <s v="A"/>
    <s v="A.IN FORZA"/>
    <s v="1  -ASSUNZIONE                1"/>
    <s v=""/>
    <s v=" "/>
    <s v=""/>
    <s v=""/>
    <n v="27"/>
    <s v="00"/>
    <n v="100"/>
    <s v="FULL TIME      100000000FF100-FULL TIME"/>
    <s v="02/05/2006"/>
    <s v=""/>
    <s v="  "/>
    <s v=""/>
    <s v="EA  "/>
    <s v="    "/>
    <x v="0"/>
    <s v=""/>
    <s v="giorgia.montagna@24orecultura.com                 "/>
    <s v="F"/>
    <s v="F-FIRMA"/>
    <s v="1 "/>
    <s v="1=5 X 8"/>
    <s v="01/07/2025"/>
    <s v="TEMPO DETERMINATO"/>
    <s v="31/05/2027"/>
    <s v="0028000051                    "/>
    <s v="SERINI SIMONA"/>
    <n v="48"/>
    <s v="I  "/>
  </r>
  <r>
    <x v="1"/>
    <n v="76"/>
    <x v="1"/>
    <s v="W           "/>
    <s v="24 ORE CULTURA"/>
    <x v="53"/>
    <x v="49"/>
    <s v="W19510      "/>
    <s v="W19510   EDITORIA &amp; BOOKSHOP"/>
    <s v="IANNAZZO                        "/>
    <s v="VERDIANA          "/>
    <s v="NNZVDN87P49M208F"/>
    <x v="0"/>
    <s v="34"/>
    <x v="0"/>
    <s v="01/04/2021"/>
    <s v="MILANO                 "/>
    <x v="0"/>
    <x v="0"/>
    <s v="I"/>
    <x v="0"/>
    <s v="B3 "/>
    <x v="9"/>
    <s v="02/03/2020"/>
    <s v="02/03/2020"/>
    <s v="09/09/1987"/>
    <s v="A"/>
    <s v="A.IN FORZA"/>
    <s v="1S-ASSUNZIONE STABILIZZAZIONE 1S"/>
    <s v=""/>
    <s v=" "/>
    <s v=""/>
    <s v=""/>
    <n v="76"/>
    <s v="00"/>
    <n v="100"/>
    <s v="FULL TIME      100000000FF100-FULL TIME"/>
    <s v="02/03/2020"/>
    <s v=""/>
    <s v="  "/>
    <s v=""/>
    <s v="EO  "/>
    <s v="    "/>
    <x v="0"/>
    <s v=""/>
    <s v="verdiana.iannazzo@24orecultura.com                "/>
    <s v="F"/>
    <s v="F-FIRMA"/>
    <s v="1 "/>
    <s v="1=5 X 8"/>
    <s v="01/07/2025"/>
    <s v="TEMPO DETERMINATO"/>
    <s v="31/05/2027"/>
    <s v="0028000042                    "/>
    <s v="SAVINO MARIA CHIARA"/>
    <n v="38"/>
    <s v="I  "/>
  </r>
  <r>
    <x v="1"/>
    <n v="95"/>
    <x v="1"/>
    <s v="W           "/>
    <s v="24 ORE CULTURA"/>
    <x v="53"/>
    <x v="49"/>
    <s v="W19510      "/>
    <s v="W19510   EDITORIA &amp; BOOKSHOP"/>
    <s v="MILINCIC                        "/>
    <s v="GORANA            "/>
    <s v="MLNGRN84B61Z153M"/>
    <x v="0"/>
    <s v="34"/>
    <x v="0"/>
    <s v="15/05/2024"/>
    <s v="MILANO                 "/>
    <x v="0"/>
    <x v="0"/>
    <s v="I"/>
    <x v="0"/>
    <s v="B2 "/>
    <x v="17"/>
    <s v="15/05/2024"/>
    <s v="15/05/2024"/>
    <s v="21/02/1984"/>
    <s v="A"/>
    <s v="A.IN FORZA"/>
    <s v="1  -ASSUNZIONE                1"/>
    <s v=""/>
    <s v=" "/>
    <s v=""/>
    <s v=""/>
    <n v="95"/>
    <s v="00"/>
    <n v="100"/>
    <s v="FULL TIME      100000000FF100-FULL TIME"/>
    <s v="15/05/2024"/>
    <s v=""/>
    <s v="  "/>
    <s v=""/>
    <s v="EO  "/>
    <s v="    "/>
    <x v="0"/>
    <s v=""/>
    <s v="gorana.milincic@24orecultura.com                  "/>
    <s v="F"/>
    <s v="F-FIRMA"/>
    <s v="1 "/>
    <s v="1=5 X 8"/>
    <s v="01/07/2025"/>
    <s v="TEMPO DETERMINATO"/>
    <s v="31/05/2027"/>
    <s v="0028000042                    "/>
    <s v="SAVINO MARIA CHIARA"/>
    <n v="41"/>
    <s v="I  "/>
  </r>
  <r>
    <x v="1"/>
    <n v="80"/>
    <x v="1"/>
    <s v="W           "/>
    <s v="24 ORE CULTURA"/>
    <x v="53"/>
    <x v="49"/>
    <s v="W19510      "/>
    <s v="W19510   EDITORIA &amp; BOOKSHOP"/>
    <s v="PANCIERA                        "/>
    <s v="MONICA            "/>
    <s v="PNCMNC72M63I690I"/>
    <x v="0"/>
    <s v="34"/>
    <x v="0"/>
    <s v="03/05/2021"/>
    <s v="MILANO                 "/>
    <x v="0"/>
    <x v="0"/>
    <s v="I"/>
    <x v="0"/>
    <s v="B1 "/>
    <x v="10"/>
    <s v="03/05/2021"/>
    <s v="03/05/2021"/>
    <s v="23/08/1972"/>
    <s v="A"/>
    <s v="A.IN FORZA"/>
    <s v="1  -ASSUNZIONE                1"/>
    <s v=""/>
    <s v=" "/>
    <s v=""/>
    <s v=""/>
    <n v="80"/>
    <s v="00"/>
    <n v="100"/>
    <s v="FULL TIME      100000000FF100-FULL TIME"/>
    <s v="03/05/2021"/>
    <s v=""/>
    <s v="  "/>
    <s v=""/>
    <s v="EO  "/>
    <s v="    "/>
    <x v="0"/>
    <s v="C.G.I.L.           C.G.I.L"/>
    <s v="monica.panciera@24orecultura.com                  "/>
    <s v="F"/>
    <s v="F-FIRMA"/>
    <s v="1 "/>
    <s v="1=5 X 8"/>
    <s v="01/07/2025"/>
    <s v="TEMPO DETERMINATO"/>
    <s v="31/05/2027"/>
    <s v="0028000042                    "/>
    <s v="SAVINO MARIA CHIARA"/>
    <n v="53"/>
    <s v="I  "/>
  </r>
  <r>
    <x v="1"/>
    <n v="86"/>
    <x v="1"/>
    <s v="W           "/>
    <s v="24 ORE CULTURA"/>
    <x v="53"/>
    <x v="49"/>
    <s v="W19510      "/>
    <s v="W19510   EDITORIA &amp; BOOKSHOP"/>
    <s v="RICCA                           "/>
    <s v="MONICA            "/>
    <s v="RCCMNC88B68A940X"/>
    <x v="0"/>
    <s v="34"/>
    <x v="0"/>
    <s v="18/11/2021"/>
    <s v="MILANO                 "/>
    <x v="0"/>
    <x v="0"/>
    <s v="I"/>
    <x v="0"/>
    <s v="C1 "/>
    <x v="30"/>
    <s v="18/11/2021"/>
    <s v="18/11/2021"/>
    <s v="28/02/1988"/>
    <s v="A"/>
    <s v="A.IN FORZA"/>
    <s v="1  -ASSUNZIONE                1"/>
    <s v=""/>
    <s v=" "/>
    <s v=""/>
    <s v=""/>
    <n v="86"/>
    <s v="00"/>
    <n v="100"/>
    <s v="FULL TIME      100000000FF100-FULL TIME"/>
    <s v="18/11/2021"/>
    <s v=""/>
    <s v="05"/>
    <s v="INVALIDI CIVILI"/>
    <s v="EO  "/>
    <s v="    "/>
    <x v="0"/>
    <s v=""/>
    <s v="monica.ricca@24orecultura.com                     "/>
    <s v="F"/>
    <s v="F-FIRMA"/>
    <s v="1 "/>
    <s v="1=5 X 8"/>
    <s v="01/07/2025"/>
    <s v="TEMPO DETERMINATO"/>
    <s v="31/05/2027"/>
    <s v="0028000042                    "/>
    <s v="SAVINO MARIA CHIARA"/>
    <n v="37"/>
    <s v="I  "/>
  </r>
  <r>
    <x v="1"/>
    <n v="42"/>
    <x v="1"/>
    <s v="W           "/>
    <s v="24 ORE CULTURA"/>
    <x v="53"/>
    <x v="49"/>
    <s v="W19510      "/>
    <s v="W19510   EDITORIA &amp; BOOKSHOP"/>
    <s v="SAVINO                          "/>
    <s v="MARIA CHIARA      "/>
    <s v="SVNMCH74E61B300S"/>
    <x v="0"/>
    <s v="34"/>
    <x v="0"/>
    <s v="01/04/2021"/>
    <s v="MILANO                 "/>
    <x v="0"/>
    <x v="0"/>
    <s v="F"/>
    <x v="2"/>
    <s v="Q  "/>
    <x v="8"/>
    <s v="25/03/2013"/>
    <s v="25/03/2013"/>
    <s v="21/05/1974"/>
    <s v="A"/>
    <s v="A.IN FORZA"/>
    <s v="1  -ASSUNZIONE                1"/>
    <s v=""/>
    <s v=" "/>
    <s v=""/>
    <s v=""/>
    <n v="42"/>
    <s v="00"/>
    <n v="100"/>
    <s v="FULL TIME      100000000FF100-FULL TIME"/>
    <s v="25/03/2013"/>
    <s v=""/>
    <s v="  "/>
    <s v=""/>
    <s v="EA  "/>
    <s v="    "/>
    <x v="0"/>
    <s v=""/>
    <s v="chiara.savino@24orecultura.com                    "/>
    <s v="F"/>
    <s v="F-FIRMA"/>
    <s v="1 "/>
    <s v="1=5 X 8"/>
    <s v="01/07/2025"/>
    <s v="TEMPO DETERMINATO"/>
    <s v="31/05/2027"/>
    <s v="0015002960                    "/>
    <s v="SILVESTRI FEDERICO"/>
    <n v="51"/>
    <s v="I  "/>
  </r>
  <r>
    <x v="1"/>
    <n v="15"/>
    <x v="1"/>
    <s v="W           "/>
    <s v="24 ORE CULTURA"/>
    <x v="53"/>
    <x v="49"/>
    <s v="W19510      "/>
    <s v="W19510   EDITORIA &amp; BOOKSHOP"/>
    <s v="SIVIERI                         "/>
    <s v="GIANMARCO         "/>
    <s v="SVRGMR69R20F205K"/>
    <x v="1"/>
    <s v="34"/>
    <x v="0"/>
    <s v="01/04/2021"/>
    <s v="MILANO                 "/>
    <x v="0"/>
    <x v="0"/>
    <s v="I"/>
    <x v="0"/>
    <s v="A  "/>
    <x v="0"/>
    <s v="01/01/2006"/>
    <s v="01/01/2006"/>
    <s v="20/10/1969"/>
    <s v="A"/>
    <s v="A.IN FORZA"/>
    <s v="1  -ASSUNZIONE                1"/>
    <s v=""/>
    <s v=" "/>
    <s v=""/>
    <s v=""/>
    <n v="14"/>
    <s v="00"/>
    <n v="100"/>
    <s v="FULL TIME      100000000FF100-FULL TIME"/>
    <s v="01/01/2006"/>
    <s v=""/>
    <s v="  "/>
    <s v=""/>
    <s v="EA  "/>
    <s v="    "/>
    <x v="0"/>
    <s v="C.G.I.L.           C.G.I.L"/>
    <s v="gianmarco.sivieri@24orecultura.com                "/>
    <s v="F"/>
    <s v="F-FIRMA"/>
    <s v="1 "/>
    <s v="1=5 X 8"/>
    <s v="01/07/2025"/>
    <s v="TEMPO DETERMINATO"/>
    <s v="31/05/2027"/>
    <s v="0028000042                    "/>
    <s v="SAVINO MARIA CHIARA"/>
    <n v="56"/>
    <s v="I  "/>
  </r>
  <r>
    <x v="1"/>
    <n v="11"/>
    <x v="1"/>
    <s v="W           "/>
    <s v="24 ORE CULTURA"/>
    <x v="53"/>
    <x v="49"/>
    <s v="W19510      "/>
    <s v="W19510   EDITORIA &amp; BOOKSHOP"/>
    <s v="VADRUCCI                        "/>
    <s v="STEFANIA          "/>
    <s v="VDRSFN74H45F205N"/>
    <x v="0"/>
    <s v="34"/>
    <x v="0"/>
    <s v="01/04/2021"/>
    <s v="MILANO                 "/>
    <x v="0"/>
    <x v="0"/>
    <s v="I"/>
    <x v="0"/>
    <s v="A  "/>
    <x v="0"/>
    <s v="01/01/2005"/>
    <s v="01/01/2005"/>
    <s v="05/06/1974"/>
    <s v="A"/>
    <s v="A.IN FORZA"/>
    <s v="1  -ASSUNZIONE                1"/>
    <s v=""/>
    <s v=" "/>
    <s v=""/>
    <s v=""/>
    <n v="10"/>
    <s v="00"/>
    <n v="100"/>
    <s v="FULL TIME      100000000FF100-FULL TIME"/>
    <s v="01/09/2014"/>
    <s v=""/>
    <s v="  "/>
    <s v=""/>
    <s v="EA  "/>
    <s v="    "/>
    <x v="0"/>
    <s v="C.G.I.L.           C.G.I.L"/>
    <s v="stefania.vadrucci@24orecultura.com                "/>
    <s v="F"/>
    <s v="F-FIRMA"/>
    <s v="1 "/>
    <s v="1=5 X 8"/>
    <s v="01/07/2025"/>
    <s v="TEMPO DETERMINATO"/>
    <s v="31/05/2027"/>
    <s v="0028000042                    "/>
    <s v="SAVINO MARIA CHIARA"/>
    <n v="51"/>
    <s v="I  "/>
  </r>
  <r>
    <x v="1"/>
    <n v="83"/>
    <x v="1"/>
    <s v="W           "/>
    <s v="24 ORE CULTURA"/>
    <x v="53"/>
    <x v="49"/>
    <s v="W19510      "/>
    <s v="W19510   EDITORIA &amp; BOOKSHOP"/>
    <s v="VALBUZZI                        "/>
    <s v="MARIKA            "/>
    <s v="VLBMRK79M53L175I"/>
    <x v="0"/>
    <s v="34"/>
    <x v="0"/>
    <s v="01/09/2021"/>
    <s v="MILANO                 "/>
    <x v="0"/>
    <x v="0"/>
    <s v="I"/>
    <x v="0"/>
    <s v="B2 "/>
    <x v="17"/>
    <s v="01/09/2021"/>
    <s v="01/09/2021"/>
    <s v="13/08/1979"/>
    <s v="A"/>
    <s v="A.IN FORZA"/>
    <s v="1S-ASSUNZIONE STABILIZZAZIONE 1S"/>
    <s v=""/>
    <s v=" "/>
    <s v=""/>
    <s v=""/>
    <n v="83"/>
    <s v="00"/>
    <n v="100"/>
    <s v="FULL TIME      100000000FF100-FULL TIME"/>
    <s v="01/09/2021"/>
    <s v=""/>
    <s v="  "/>
    <s v=""/>
    <s v="EO  "/>
    <s v="    "/>
    <x v="0"/>
    <s v=""/>
    <s v="marika.valbuzzi@24orecultura.com                  "/>
    <s v="F"/>
    <s v="F-FIRMA"/>
    <s v="1 "/>
    <s v="1=5 X 8"/>
    <s v="01/07/2025"/>
    <s v="TEMPO DETERMINATO"/>
    <s v="31/05/2027"/>
    <s v="0028000042                    "/>
    <s v="SAVINO MARIA CHIARA"/>
    <n v="46"/>
    <s v="I  "/>
  </r>
  <r>
    <x v="1"/>
    <n v="56"/>
    <x v="1"/>
    <s v="W           "/>
    <s v="24 ORE CULTURA"/>
    <x v="53"/>
    <x v="49"/>
    <s v="W19520      "/>
    <s v="W19520   SVILUPPO COMMERCIALE &amp; MOSTRE"/>
    <s v="CAPPITELLI                      "/>
    <s v="PAOLA MONICA      "/>
    <s v="CPPPMN69C60F205Y"/>
    <x v="0"/>
    <s v="34"/>
    <x v="0"/>
    <s v="01/04/2021"/>
    <s v="MILANO                 "/>
    <x v="0"/>
    <x v="0"/>
    <s v="F"/>
    <x v="2"/>
    <s v="Q  "/>
    <x v="8"/>
    <s v="12/04/2017"/>
    <s v="12/04/2017"/>
    <s v="20/03/1969"/>
    <s v="A"/>
    <s v="A.IN FORZA"/>
    <s v="1  -ASSUNZIONE                1"/>
    <s v=""/>
    <s v=" "/>
    <s v=""/>
    <s v=""/>
    <n v="56"/>
    <s v="00"/>
    <n v="100"/>
    <s v="FULL TIME      100000000FF100-FULL TIME"/>
    <s v="12/04/2017"/>
    <s v=""/>
    <s v="  "/>
    <s v=""/>
    <s v="EA  "/>
    <s v="    "/>
    <x v="0"/>
    <s v=""/>
    <s v="paola.cappitelli@24orecultura.com                 "/>
    <s v="F"/>
    <s v="F-FIRMA"/>
    <s v="1 "/>
    <s v="1=5 X 8"/>
    <s v="01/07/2025"/>
    <s v="TEMPO DETERMINATO"/>
    <s v="31/05/2027"/>
    <s v="0015002960                    "/>
    <s v="SILVESTRI FEDERICO"/>
    <n v="56"/>
    <s v="I  "/>
  </r>
  <r>
    <x v="1"/>
    <n v="90"/>
    <x v="1"/>
    <s v="W           "/>
    <s v="24 ORE CULTURA"/>
    <x v="53"/>
    <x v="49"/>
    <s v="W1952010    "/>
    <s v="W1952010 MOSTRE"/>
    <s v="CALASSO                         "/>
    <s v="ELENA             "/>
    <s v="CLSLNE84A51F205L"/>
    <x v="0"/>
    <s v="34"/>
    <x v="0"/>
    <s v="16/01/2023"/>
    <s v="MILANO                 "/>
    <x v="0"/>
    <x v="0"/>
    <s v="I"/>
    <x v="0"/>
    <s v="B2 "/>
    <x v="17"/>
    <s v="16/01/2023"/>
    <s v="16/01/2023"/>
    <s v="11/01/1984"/>
    <s v="A"/>
    <s v="A.IN FORZA"/>
    <s v="1  -ASSUNZIONE                1"/>
    <s v=""/>
    <s v=" "/>
    <s v=""/>
    <s v=""/>
    <n v="90"/>
    <s v="00"/>
    <n v="100"/>
    <s v="FULL TIME      100000000FF100-FULL TIME"/>
    <s v="16/01/2023"/>
    <s v=""/>
    <s v="  "/>
    <s v=""/>
    <s v="EO  "/>
    <s v="    "/>
    <x v="0"/>
    <s v=""/>
    <s v="elena.calasso@24orecultura.com                    "/>
    <s v="F"/>
    <s v="F-FIRMA"/>
    <s v="1 "/>
    <s v="1=5 X 8"/>
    <s v="01/07/2025"/>
    <s v="TEMPO DETERMINATO"/>
    <s v="31/05/2027"/>
    <s v="0028000056                    "/>
    <s v="CAPPITELLI PAOLA MONICA"/>
    <n v="42"/>
    <s v="I  "/>
  </r>
  <r>
    <x v="1"/>
    <n v="72"/>
    <x v="1"/>
    <s v="W           "/>
    <s v="24 ORE CULTURA"/>
    <x v="53"/>
    <x v="49"/>
    <s v="W1952010    "/>
    <s v="W1952010 MOSTRE"/>
    <s v="CAVOLA                          "/>
    <s v="FRANCESCA         "/>
    <s v="CVLFNC92M44H501B"/>
    <x v="0"/>
    <s v="34"/>
    <x v="0"/>
    <s v="01/04/2021"/>
    <s v="MILANO                 "/>
    <x v="0"/>
    <x v="0"/>
    <s v="I"/>
    <x v="0"/>
    <s v="B1S"/>
    <x v="11"/>
    <s v="10/02/2020"/>
    <s v="10/02/2020"/>
    <s v="04/08/1992"/>
    <s v="A"/>
    <s v="A.IN FORZA"/>
    <s v="1  -ASSUNZIONE                1"/>
    <s v=""/>
    <s v=" "/>
    <s v=""/>
    <s v=""/>
    <n v="72"/>
    <s v="00"/>
    <n v="100"/>
    <s v="FULL TIME      100000000FF100-FULL TIME"/>
    <s v="10/02/2020"/>
    <s v=""/>
    <s v="  "/>
    <s v=""/>
    <s v="EO  "/>
    <s v="    "/>
    <x v="0"/>
    <s v=""/>
    <s v="francesca.cavola@24orecultura.com                 "/>
    <s v="F"/>
    <s v="F-FIRMA"/>
    <s v="1 "/>
    <s v="1=5 X 8"/>
    <s v="01/07/2025"/>
    <s v="TEMPO DETERMINATO"/>
    <s v="31/05/2027"/>
    <s v="0028000056                    "/>
    <s v="CAPPITELLI PAOLA MONICA"/>
    <n v="33"/>
    <s v="I  "/>
  </r>
  <r>
    <x v="1"/>
    <n v="88"/>
    <x v="1"/>
    <s v="W           "/>
    <s v="24 ORE CULTURA"/>
    <x v="53"/>
    <x v="49"/>
    <s v="W1952010    "/>
    <s v="W1952010 MOSTRE"/>
    <s v="FERRARO                         "/>
    <s v="RAFFAELLA         "/>
    <s v="FRRRFL91H66L845E"/>
    <x v="0"/>
    <s v="34"/>
    <x v="0"/>
    <s v="20/04/2022"/>
    <s v="MILANO                 "/>
    <x v="0"/>
    <x v="0"/>
    <s v="I"/>
    <x v="0"/>
    <s v="B2 "/>
    <x v="17"/>
    <s v="20/04/2022"/>
    <s v="20/04/2022"/>
    <s v="26/06/1991"/>
    <s v="A"/>
    <s v="A.IN FORZA"/>
    <s v="1S-ASSUNZIONE STABILIZZAZIONE 1S"/>
    <s v=""/>
    <s v=" "/>
    <s v=""/>
    <s v=""/>
    <n v="88"/>
    <s v="00"/>
    <n v="100"/>
    <s v="FULL TIME      100000000FF100-FULL TIME"/>
    <s v="20/04/2022"/>
    <s v=""/>
    <s v="  "/>
    <s v=""/>
    <s v="EO  "/>
    <s v="    "/>
    <x v="0"/>
    <s v=""/>
    <s v="raffaella.ferraro@24orecultura.com                "/>
    <s v="F"/>
    <s v="F-FIRMA"/>
    <s v="1 "/>
    <s v="1=5 X 8"/>
    <s v="01/07/2025"/>
    <s v="TEMPO DETERMINATO"/>
    <s v="31/05/2027"/>
    <s v="0028000056                    "/>
    <s v="CAPPITELLI PAOLA MONICA"/>
    <n v="34"/>
    <s v="I  "/>
  </r>
  <r>
    <x v="1"/>
    <n v="78"/>
    <x v="1"/>
    <s v="W           "/>
    <s v="24 ORE CULTURA"/>
    <x v="53"/>
    <x v="49"/>
    <s v="W1952010    "/>
    <s v="W1952010 MOSTRE"/>
    <s v="FRASSONI                        "/>
    <s v="LUCIA             "/>
    <s v="FRSLCU84D45D969U"/>
    <x v="0"/>
    <s v="34"/>
    <x v="0"/>
    <s v="01/04/2021"/>
    <s v="MILANO                 "/>
    <x v="0"/>
    <x v="0"/>
    <s v="I"/>
    <x v="0"/>
    <s v="B2 "/>
    <x v="17"/>
    <s v="20/01/2021"/>
    <s v="20/01/2021"/>
    <s v="05/04/1984"/>
    <s v="A"/>
    <s v="A.IN FORZA"/>
    <s v="1  -ASSUNZIONE                1"/>
    <s v=""/>
    <s v=" "/>
    <s v=""/>
    <s v=""/>
    <n v="78"/>
    <s v="00"/>
    <n v="100"/>
    <s v="FULL TIME      100000000FF100-FULL TIME"/>
    <s v="20/01/2021"/>
    <s v=""/>
    <s v="  "/>
    <s v=""/>
    <s v="EO  "/>
    <s v="    "/>
    <x v="0"/>
    <s v="C.G.I.L.           C.G.I.L"/>
    <s v="lucia.frassoni@24orecultura.com                   "/>
    <s v="F"/>
    <s v="F-FIRMA"/>
    <s v="1 "/>
    <s v="1=5 X 8"/>
    <s v="23/09/2025"/>
    <s v="TEMPO DETERMINATO"/>
    <s v="31/05/2027"/>
    <s v="0028000056                    "/>
    <s v="CAPPITELLI PAOLA MONICA"/>
    <n v="41"/>
    <s v="I  "/>
  </r>
  <r>
    <x v="1"/>
    <n v="2"/>
    <x v="1"/>
    <s v="W           "/>
    <s v="24 ORE CULTURA"/>
    <x v="53"/>
    <x v="49"/>
    <s v="W1953010    "/>
    <s v="W1953010 COMUNICAZIONE DI PRODOTTO"/>
    <s v="BARTOMIOLI                      "/>
    <s v="MAURIZIO          "/>
    <s v="BRTMRZ78A25F205K"/>
    <x v="1"/>
    <s v="34"/>
    <x v="0"/>
    <s v="01/04/2021"/>
    <s v="MILANO                 "/>
    <x v="0"/>
    <x v="0"/>
    <s v="I"/>
    <x v="0"/>
    <s v="A  "/>
    <x v="0"/>
    <s v="17/07/2000"/>
    <s v="17/07/2000"/>
    <s v="25/01/1978"/>
    <s v="A"/>
    <s v="A.IN FORZA"/>
    <s v="1  -ASSUNZIONE                1"/>
    <s v=""/>
    <s v=" "/>
    <s v=""/>
    <s v=""/>
    <n v="2"/>
    <s v="00"/>
    <n v="100"/>
    <s v="FULL TIME      100000000FF100-FULL TIME"/>
    <s v="17/07/2000"/>
    <s v=""/>
    <s v="  "/>
    <s v=""/>
    <s v="EA  "/>
    <s v="    "/>
    <x v="0"/>
    <s v=""/>
    <s v="maurizio.bartomioli@24orecultura.com              "/>
    <s v="F"/>
    <s v="F-FIRMA"/>
    <s v="1 "/>
    <s v="1=5 X 8"/>
    <s v="01/07/2025"/>
    <s v="TEMPO DETERMINATO"/>
    <s v="31/05/2027"/>
    <s v="0028000051                    "/>
    <s v="SERINI SIMONA"/>
    <n v="48"/>
    <s v="I  "/>
  </r>
  <r>
    <x v="1"/>
    <n v="92"/>
    <x v="1"/>
    <s v="W           "/>
    <s v="24 ORE CULTURA"/>
    <x v="53"/>
    <x v="49"/>
    <s v="W1953010    "/>
    <s v="W1953010 COMUNICAZIONE DI PRODOTTO"/>
    <s v="FABBRI                          "/>
    <s v="REBECCA           "/>
    <s v="FBBRCC94L43F241O"/>
    <x v="0"/>
    <s v="34"/>
    <x v="0"/>
    <s v="21/08/2023"/>
    <s v="MILANO                 "/>
    <x v="0"/>
    <x v="0"/>
    <s v="I"/>
    <x v="0"/>
    <s v="B2 "/>
    <x v="17"/>
    <s v="21/08/2023"/>
    <s v="21/08/2023"/>
    <s v="03/07/1994"/>
    <s v="A"/>
    <s v="A.IN FORZA"/>
    <s v="1  -ASSUNZIONE                1"/>
    <s v=""/>
    <s v=" "/>
    <s v=""/>
    <s v=""/>
    <n v="92"/>
    <s v="00"/>
    <n v="100"/>
    <s v="FULL TIME      100000000FF100-FULL TIME"/>
    <s v="21/08/2023"/>
    <s v=""/>
    <s v="  "/>
    <s v=""/>
    <s v="EO  "/>
    <s v="    "/>
    <x v="0"/>
    <s v=""/>
    <s v="rebecca.fabbri@24orecultura.com                   "/>
    <s v="F"/>
    <s v="F-FIRMA"/>
    <s v="1 "/>
    <s v="1=5 X 8"/>
    <s v="01/07/2025"/>
    <s v="TEMPO DETERMINATO"/>
    <s v="31/05/2027"/>
    <s v="0028000051                    "/>
    <s v="SERINI SIMONA"/>
    <n v="31"/>
    <s v="I  "/>
  </r>
  <r>
    <x v="1"/>
    <n v="70"/>
    <x v="1"/>
    <s v="W           "/>
    <s v="24 ORE CULTURA"/>
    <x v="53"/>
    <x v="49"/>
    <s v="W1953020    "/>
    <s v="W1953020 COMMERCIALE MOSTRE"/>
    <s v="CASSINARI                       "/>
    <s v="FRANCESCO         "/>
    <s v="CSSFNC91C21G535W"/>
    <x v="1"/>
    <s v="34"/>
    <x v="0"/>
    <s v="01/04/2021"/>
    <s v="MILANO                 "/>
    <x v="0"/>
    <x v="0"/>
    <s v="I"/>
    <x v="0"/>
    <s v="B2 "/>
    <x v="17"/>
    <s v="02/12/2019"/>
    <s v="02/12/2019"/>
    <s v="21/03/1991"/>
    <s v="A"/>
    <s v="A.IN FORZA"/>
    <s v="1S-ASSUNZIONE STABILIZZAZIONE 1S"/>
    <s v=""/>
    <s v=" "/>
    <s v=""/>
    <s v=""/>
    <n v="70"/>
    <s v="00"/>
    <n v="100"/>
    <s v="FULL TIME      100000000FF100-FULL TIME"/>
    <s v="02/12/2019"/>
    <s v=""/>
    <s v="  "/>
    <s v=""/>
    <s v="EO  "/>
    <s v="    "/>
    <x v="0"/>
    <s v=""/>
    <s v="francesco.cassinari@24orecultura.com              "/>
    <s v="F"/>
    <s v="F-FIRMA"/>
    <s v="1 "/>
    <s v="1=5 X 8"/>
    <s v="01/07/2025"/>
    <s v="TEMPO DETERMINATO"/>
    <s v="31/05/2027"/>
    <s v="0028000056                    "/>
    <s v="CAPPITELLI PAOLA MONICA"/>
    <n v="34"/>
    <s v="I  "/>
  </r>
  <r>
    <x v="1"/>
    <n v="71"/>
    <x v="1"/>
    <s v="W           "/>
    <s v="24 ORE CULTURA"/>
    <x v="53"/>
    <x v="49"/>
    <s v="W1953020    "/>
    <s v="W1953020 COMMERCIALE MOSTRE"/>
    <s v="KASPAR                          "/>
    <s v="VICTORIA SARA     "/>
    <s v="KSPVTR94M60F205S"/>
    <x v="0"/>
    <s v="34"/>
    <x v="0"/>
    <s v="01/04/2021"/>
    <s v="MILANO                 "/>
    <x v="0"/>
    <x v="0"/>
    <s v="I"/>
    <x v="0"/>
    <s v="B3 "/>
    <x v="9"/>
    <s v="20/01/2020"/>
    <s v="20/01/2020"/>
    <s v="20/08/1994"/>
    <s v="A"/>
    <s v="A.IN FORZA"/>
    <s v="1S-ASSUNZIONE STABILIZZAZIONE 1S"/>
    <s v=""/>
    <s v=" "/>
    <s v=""/>
    <s v=""/>
    <n v="71"/>
    <s v="00"/>
    <n v="100"/>
    <s v="FULL TIME      100000000FF100-FULL TIME"/>
    <s v="20/01/2020"/>
    <s v=""/>
    <s v="  "/>
    <s v=""/>
    <s v="EO  "/>
    <s v="    "/>
    <x v="0"/>
    <s v=""/>
    <s v="victoria.kaspar@24orecultura.com                  "/>
    <s v="F"/>
    <s v="F-FIRMA"/>
    <s v="1 "/>
    <s v="1=5 X 8"/>
    <s v="01/07/2025"/>
    <s v="TEMPO DETERMINATO"/>
    <s v="31/05/2027"/>
    <s v="0028000056                    "/>
    <s v="CAPPITELLI PAOLA MONICA"/>
    <n v="31"/>
    <s v="I  "/>
  </r>
  <r>
    <x v="1"/>
    <n v="68"/>
    <x v="1"/>
    <s v="W           "/>
    <s v="24 ORE CULTURA"/>
    <x v="53"/>
    <x v="49"/>
    <s v="W1953020    "/>
    <s v="W1953020 COMMERCIALE MOSTRE"/>
    <s v="PIUZZI                          "/>
    <s v="DANIELA           "/>
    <s v="PZZDNL65C48H501X"/>
    <x v="0"/>
    <s v="34"/>
    <x v="0"/>
    <s v="01/04/2021"/>
    <s v="MILANO                 "/>
    <x v="0"/>
    <x v="0"/>
    <s v="I"/>
    <x v="0"/>
    <s v="AS "/>
    <x v="7"/>
    <s v="02/09/2019"/>
    <s v="02/09/2019"/>
    <s v="08/03/1965"/>
    <s v="A"/>
    <s v="A.IN FORZA"/>
    <s v="1  -ASSUNZIONE                1"/>
    <s v=""/>
    <s v=" "/>
    <s v=""/>
    <s v=""/>
    <n v="68"/>
    <s v="00"/>
    <n v="100"/>
    <s v="FULL TIME      100000000FF100-FULL TIME"/>
    <s v="02/09/2019"/>
    <s v=""/>
    <s v="  "/>
    <s v=""/>
    <s v="EO  "/>
    <s v="    "/>
    <x v="0"/>
    <s v=""/>
    <s v="daniela.piuzzi@24orecultura.com                   "/>
    <s v="F"/>
    <s v="F-FIRMA"/>
    <s v="1 "/>
    <s v="1=5 X 8"/>
    <s v="01/07/2025"/>
    <s v="TEMPO DETERMINATO"/>
    <s v="31/05/2027"/>
    <s v="0028000056                    "/>
    <s v="CAPPITELLI PAOLA MONICA"/>
    <n v="60"/>
    <s v="I  "/>
  </r>
  <r>
    <x v="2"/>
    <n v="18"/>
    <x v="2"/>
    <s v="U           "/>
    <s v="24 ORE EVENTI SRL"/>
    <x v="54"/>
    <x v="50"/>
    <s v="L19050      "/>
    <s v="L19050 MARKETING E COMUNICAZIONE"/>
    <s v="ARCHIVIO                        "/>
    <s v="STEFANIA          "/>
    <s v="RCHSFN90S59L049L"/>
    <x v="0"/>
    <s v="34"/>
    <x v="0"/>
    <s v="09/01/2023"/>
    <s v="MILANO                 "/>
    <x v="0"/>
    <x v="0"/>
    <s v="I"/>
    <x v="0"/>
    <s v="B1 "/>
    <x v="10"/>
    <s v="09/01/2023"/>
    <s v="09/01/2023"/>
    <s v="19/11/1990"/>
    <s v="A"/>
    <s v="A.IN FORZA"/>
    <s v="1  -ASSUNZIONE                1"/>
    <s v=""/>
    <s v=" "/>
    <s v=""/>
    <s v=""/>
    <n v="18"/>
    <s v="00"/>
    <n v="100"/>
    <s v="FULL TIME      100000000FF100-FULL TIME"/>
    <s v="09/01/2023"/>
    <s v=""/>
    <s v="  "/>
    <s v=""/>
    <s v="EO  "/>
    <s v="    "/>
    <x v="0"/>
    <s v=""/>
    <s v="stefania.archivio@ilsole24ore.com                 "/>
    <s v="F"/>
    <s v="F-FIRMA"/>
    <s v="1 "/>
    <s v="1=5 X 8"/>
    <s v="01/07/2025"/>
    <s v="TEMPO DETERMINATO"/>
    <s v="31/05/2027"/>
    <s v="0035000010                    "/>
    <s v="TREBBI ROBERTA"/>
    <n v="35"/>
    <s v="I  "/>
  </r>
  <r>
    <x v="2"/>
    <n v="22"/>
    <x v="2"/>
    <s v="U           "/>
    <s v="24 ORE EVENTI SRL"/>
    <x v="54"/>
    <x v="50"/>
    <s v="L19050      "/>
    <s v="L19050 MARKETING E COMUNICAZIONE"/>
    <s v="ARIOLI                          "/>
    <s v="SIMONA            "/>
    <s v="RLASMN81D69F205Q"/>
    <x v="0"/>
    <s v="34"/>
    <x v="0"/>
    <s v="21/02/2024"/>
    <s v="MILANO                 "/>
    <x v="0"/>
    <x v="0"/>
    <s v="I"/>
    <x v="0"/>
    <s v="A  "/>
    <x v="0"/>
    <s v="21/02/2024"/>
    <s v="21/02/2024"/>
    <s v="29/04/1981"/>
    <s v="A"/>
    <s v="A.IN FORZA"/>
    <s v="1  -ASSUNZIONE                1"/>
    <s v=""/>
    <s v=" "/>
    <s v=""/>
    <s v=""/>
    <n v="22"/>
    <s v="00"/>
    <n v="100"/>
    <s v="FULL TIME      100000000FF100-FULL TIME"/>
    <s v="21/02/2024"/>
    <s v=""/>
    <s v="  "/>
    <s v=""/>
    <s v="EO  "/>
    <s v="    "/>
    <x v="0"/>
    <s v=""/>
    <s v="simona.arioli@ilsole24ore.com                     "/>
    <s v="F"/>
    <s v="F-FIRMA"/>
    <s v="1 "/>
    <s v="1=5 X 8"/>
    <s v="01/07/2025"/>
    <s v="TEMPO DETERMINATO"/>
    <s v="31/05/2027"/>
    <s v="0035000010                    "/>
    <s v="TREBBI ROBERTA"/>
    <n v="44"/>
    <s v="I  "/>
  </r>
  <r>
    <x v="2"/>
    <n v="16"/>
    <x v="2"/>
    <s v="U           "/>
    <s v="24 ORE EVENTI SRL"/>
    <x v="54"/>
    <x v="50"/>
    <s v="L19050      "/>
    <s v="L19050 MARKETING E COMUNICAZIONE"/>
    <s v="CATANIA                         "/>
    <s v="GIULIA            "/>
    <s v="CTNGLI88H53H501I"/>
    <x v="0"/>
    <s v="34"/>
    <x v="0"/>
    <s v="02/11/2022"/>
    <s v="MILANO                 "/>
    <x v="0"/>
    <x v="0"/>
    <s v="I"/>
    <x v="0"/>
    <s v="A  "/>
    <x v="0"/>
    <s v="02/11/2022"/>
    <s v="02/11/2022"/>
    <s v="13/06/1988"/>
    <s v="A"/>
    <s v="A.IN FORZA"/>
    <s v="1  -ASSUNZIONE                1"/>
    <s v=""/>
    <s v=" "/>
    <s v=""/>
    <s v=""/>
    <n v="16"/>
    <s v="00"/>
    <n v="100"/>
    <s v="FULL TIME      100000000FF100-FULL TIME"/>
    <s v="02/11/2022"/>
    <s v=""/>
    <s v="  "/>
    <s v=""/>
    <s v="EO  "/>
    <s v="    "/>
    <x v="0"/>
    <s v="C.I.S.L.           C.I.S.L"/>
    <s v="giulia.catania@ilsole24ore.com                    "/>
    <s v="F"/>
    <s v="F-FIRMA"/>
    <s v="1 "/>
    <s v="1=5 X 8"/>
    <s v="01/07/2025"/>
    <s v="TEMPO DETERMINATO"/>
    <s v="31/05/2027"/>
    <s v="0035000010                    "/>
    <s v="TREBBI ROBERTA"/>
    <n v="37"/>
    <s v="I  "/>
  </r>
  <r>
    <x v="2"/>
    <n v="11"/>
    <x v="2"/>
    <s v="U           "/>
    <s v="24 ORE EVENTI SRL"/>
    <x v="54"/>
    <x v="50"/>
    <s v="L19050      "/>
    <s v="L19050 MARKETING E COMUNICAZIONE"/>
    <s v="D'ADDA                          "/>
    <s v="PAOLA             "/>
    <s v="DDDPLA89B58F205H"/>
    <x v="0"/>
    <s v="34"/>
    <x v="0"/>
    <s v="23/08/2021"/>
    <s v="MILANO                 "/>
    <x v="0"/>
    <x v="0"/>
    <s v="I"/>
    <x v="0"/>
    <s v="A  "/>
    <x v="0"/>
    <s v="23/08/2021"/>
    <s v="23/08/2021"/>
    <s v="18/02/1989"/>
    <s v="A"/>
    <s v="A.IN FORZA"/>
    <s v="1  -ASSUNZIONE                1"/>
    <s v=""/>
    <s v=" "/>
    <s v=""/>
    <s v=""/>
    <n v="11"/>
    <s v="00"/>
    <n v="100"/>
    <s v="FULL TIME      100000000FF100-FULL TIME"/>
    <s v="23/08/2021"/>
    <s v=""/>
    <s v="  "/>
    <s v=""/>
    <s v="EO  "/>
    <s v="    "/>
    <x v="0"/>
    <s v=""/>
    <s v="paola.dadda@ilsole24ore.com                       "/>
    <s v="F"/>
    <s v="F-FIRMA"/>
    <s v="1 "/>
    <s v="1=5 X 8"/>
    <s v="01/07/2025"/>
    <s v="TEMPO DETERMINATO"/>
    <s v="31/05/2027"/>
    <s v="0035000010                    "/>
    <s v="TREBBI ROBERTA"/>
    <n v="36"/>
    <s v="I  "/>
  </r>
  <r>
    <x v="2"/>
    <n v="23"/>
    <x v="2"/>
    <s v="U           "/>
    <s v="24 ORE EVENTI SRL"/>
    <x v="54"/>
    <x v="50"/>
    <s v="L19050      "/>
    <s v="L19050 MARKETING E COMUNICAZIONE"/>
    <s v="D'ORSI                          "/>
    <s v="ALESSIA           "/>
    <s v="DRSLSS92L42H501D"/>
    <x v="0"/>
    <s v="34"/>
    <x v="0"/>
    <s v="04/03/2024"/>
    <s v="MILANO                 "/>
    <x v="0"/>
    <x v="0"/>
    <s v="I"/>
    <x v="0"/>
    <s v="A  "/>
    <x v="0"/>
    <s v="04/03/2024"/>
    <s v="04/03/2024"/>
    <s v="02/07/1992"/>
    <s v="A"/>
    <s v="A.IN FORZA"/>
    <s v="1  -ASSUNZIONE                1"/>
    <s v=""/>
    <s v=" "/>
    <s v=""/>
    <s v=""/>
    <n v="23"/>
    <s v="00"/>
    <n v="100"/>
    <s v="FULL TIME      100000000FF100-FULL TIME"/>
    <s v="04/03/2024"/>
    <s v=""/>
    <s v="  "/>
    <s v=""/>
    <s v="EO  "/>
    <s v="    "/>
    <x v="0"/>
    <s v=""/>
    <s v="alessia.dorsi@ilsole24ore.com                     "/>
    <s v="F"/>
    <s v="F-FIRMA"/>
    <s v="1 "/>
    <s v="1=5 X 8"/>
    <s v="01/07/2025"/>
    <s v="TEMPO DETERMINATO"/>
    <s v="31/05/2027"/>
    <s v="0035000010                    "/>
    <s v="TREBBI ROBERTA"/>
    <n v="33"/>
    <s v="I  "/>
  </r>
  <r>
    <x v="2"/>
    <n v="24"/>
    <x v="2"/>
    <s v="U           "/>
    <s v="24 ORE EVENTI SRL"/>
    <x v="54"/>
    <x v="50"/>
    <s v="L19050      "/>
    <s v="L19050 MARKETING E COMUNICAZIONE"/>
    <s v="DE CUPPIS                       "/>
    <s v="SARA              "/>
    <s v="DCPSRA82D69A794Y"/>
    <x v="0"/>
    <s v="34"/>
    <x v="0"/>
    <s v="19/01/2026"/>
    <s v="MILANO                 "/>
    <x v="0"/>
    <x v="0"/>
    <s v="I"/>
    <x v="0"/>
    <s v="AS "/>
    <x v="7"/>
    <s v="19/01/2026"/>
    <s v="19/01/2026"/>
    <s v="29/04/1982"/>
    <s v="A"/>
    <s v="A.IN FORZA"/>
    <s v="1  -ASSUNZIONE                1"/>
    <s v=""/>
    <s v=" "/>
    <s v=""/>
    <s v=""/>
    <n v="24"/>
    <s v="00"/>
    <n v="100"/>
    <s v="FULL TIME      100000000FF100-FULL TIME"/>
    <s v="19/01/2026"/>
    <s v=""/>
    <s v="  "/>
    <s v=""/>
    <s v="EO  "/>
    <s v="    "/>
    <x v="0"/>
    <s v=""/>
    <s v="sara.decuppis@ilsole24ore.com                     "/>
    <s v="F"/>
    <s v="F-FIRMA"/>
    <s v="1 "/>
    <s v="1=5 X 8"/>
    <s v=""/>
    <s v=""/>
    <s v=""/>
    <s v="0035000010                    "/>
    <s v="TREBBI ROBERTA"/>
    <n v="43"/>
    <s v="I  "/>
  </r>
  <r>
    <x v="2"/>
    <n v="19"/>
    <x v="2"/>
    <s v="U           "/>
    <s v="24 ORE EVENTI SRL"/>
    <x v="54"/>
    <x v="50"/>
    <s v="L19050      "/>
    <s v="L19050 MARKETING E COMUNICAZIONE"/>
    <s v="DEVINCENZO                      "/>
    <s v="GIULIA            "/>
    <s v="DVNGLI92M57F205W"/>
    <x v="0"/>
    <s v="34"/>
    <x v="0"/>
    <s v="06/06/2023"/>
    <s v="MILANO                 "/>
    <x v="0"/>
    <x v="0"/>
    <s v="I"/>
    <x v="0"/>
    <s v="B1 "/>
    <x v="10"/>
    <s v="06/06/2023"/>
    <s v="06/06/2023"/>
    <s v="17/08/1992"/>
    <s v="A"/>
    <s v="A.IN FORZA"/>
    <s v="1  -ASSUNZIONE                1"/>
    <s v=""/>
    <s v=" "/>
    <s v=""/>
    <s v=""/>
    <n v="19"/>
    <s v="00"/>
    <n v="100"/>
    <s v="FULL TIME      100000000FF100-FULL TIME"/>
    <s v="06/06/2023"/>
    <s v=""/>
    <s v="05"/>
    <s v="INVALIDI CIVILI"/>
    <s v="EO  "/>
    <s v="    "/>
    <x v="0"/>
    <s v=""/>
    <s v="giulia.devincenzo@ilsole24ore.com                 "/>
    <s v="F"/>
    <s v="F-FIRMA"/>
    <s v="1 "/>
    <s v="1=5 X 8"/>
    <s v="01/07/2025"/>
    <s v="TEMPO DETERMINATO"/>
    <s v="31/05/2027"/>
    <s v="0035000010                    "/>
    <s v="TREBBI ROBERTA"/>
    <n v="33"/>
    <s v="I  "/>
  </r>
  <r>
    <x v="2"/>
    <n v="20"/>
    <x v="2"/>
    <s v="U           "/>
    <s v="24 ORE EVENTI SRL"/>
    <x v="54"/>
    <x v="50"/>
    <s v="L19050      "/>
    <s v="L19050 MARKETING E COMUNICAZIONE"/>
    <s v="ESPOSITO                        "/>
    <s v="ALICE             "/>
    <s v="SPSLCA96S48F704S"/>
    <x v="0"/>
    <s v="34"/>
    <x v="0"/>
    <s v="19/06/2023"/>
    <s v="MILANO                 "/>
    <x v="0"/>
    <x v="0"/>
    <s v="I"/>
    <x v="0"/>
    <s v="B1 "/>
    <x v="10"/>
    <s v="19/06/2023"/>
    <s v="19/06/2023"/>
    <s v="08/11/1996"/>
    <s v="A"/>
    <s v="A.IN FORZA"/>
    <s v="1  -ASSUNZIONE                1"/>
    <s v=""/>
    <s v=" "/>
    <s v=""/>
    <s v=""/>
    <n v="20"/>
    <s v="00"/>
    <n v="100"/>
    <s v="FULL TIME      100000000FF100-FULL TIME"/>
    <s v="19/06/2023"/>
    <s v=""/>
    <s v="  "/>
    <s v=""/>
    <s v="EO  "/>
    <s v="    "/>
    <x v="0"/>
    <s v=""/>
    <s v="alice.esposito@ilsole24ore.com                    "/>
    <s v="F"/>
    <s v="F-FIRMA"/>
    <s v="1 "/>
    <s v="1=5 X 8"/>
    <s v="01/07/2025"/>
    <s v="TEMPO DETERMINATO"/>
    <s v="31/05/2027"/>
    <s v="0035000010                    "/>
    <s v="TREBBI ROBERTA"/>
    <n v="29"/>
    <s v="I  "/>
  </r>
  <r>
    <x v="2"/>
    <n v="14"/>
    <x v="2"/>
    <s v="U           "/>
    <s v="24 ORE EVENTI SRL"/>
    <x v="54"/>
    <x v="50"/>
    <s v="L19050      "/>
    <s v="L19050 MARKETING E COMUNICAZIONE"/>
    <s v="LANZANI                         "/>
    <s v="MARIACRISTINA     "/>
    <s v="LNZMCR75A41I625J"/>
    <x v="0"/>
    <s v="34"/>
    <x v="0"/>
    <s v="01/10/2021"/>
    <s v="MILANO                 "/>
    <x v="0"/>
    <x v="0"/>
    <s v="I"/>
    <x v="0"/>
    <s v="A  "/>
    <x v="0"/>
    <s v="01/10/2021"/>
    <s v="01/04/2009"/>
    <s v="01/01/1975"/>
    <s v="A"/>
    <s v="A.IN FORZA"/>
    <s v="2T-TRASFERIMENTO AZIENDA/RAMO 2T"/>
    <s v=""/>
    <s v=" "/>
    <s v=""/>
    <s v=""/>
    <n v="14"/>
    <s v="00"/>
    <n v="100"/>
    <s v="FULL TIME      100000000FF100-FULL TIME"/>
    <s v="01/10/2021"/>
    <s v=""/>
    <s v="  "/>
    <s v=""/>
    <s v="EO  "/>
    <s v="    "/>
    <x v="0"/>
    <s v=""/>
    <s v="cristina.lanzani@ilsole24ore.com                  "/>
    <s v="F"/>
    <s v="F-FIRMA"/>
    <s v="1 "/>
    <s v="1=5 X 8"/>
    <s v="01/07/2025"/>
    <s v="TEMPO DETERMINATO"/>
    <s v="31/05/2027"/>
    <s v="0035000010                    "/>
    <s v="TREBBI ROBERTA"/>
    <n v="51"/>
    <s v="I  "/>
  </r>
  <r>
    <x v="2"/>
    <n v="2"/>
    <x v="2"/>
    <s v="U           "/>
    <s v="24 ORE EVENTI SRL"/>
    <x v="54"/>
    <x v="50"/>
    <s v="L19050      "/>
    <s v="L19050 MARKETING E COMUNICAZIONE"/>
    <s v="MARTIN PICCINI                  "/>
    <s v="TATIANA           "/>
    <s v="MRTTTN74L65Z131L"/>
    <x v="0"/>
    <s v="34"/>
    <x v="0"/>
    <s v="01/04/2021"/>
    <s v="MILANO                 "/>
    <x v="0"/>
    <x v="0"/>
    <s v="F"/>
    <x v="2"/>
    <s v="Q  "/>
    <x v="8"/>
    <s v="10/12/2019"/>
    <s v="25/02/2013"/>
    <s v="25/07/1974"/>
    <s v="A"/>
    <s v="A.IN FORZA"/>
    <s v="2T-TRASFERIMENTO AZIENDA/RAMO 2T"/>
    <s v=""/>
    <s v=" "/>
    <s v=""/>
    <s v=""/>
    <n v="2"/>
    <s v="00"/>
    <n v="100"/>
    <s v="FULL TIME      100000000FF100-FULL TIME"/>
    <s v="25/02/2013"/>
    <s v=""/>
    <s v="  "/>
    <s v=""/>
    <s v="EA  "/>
    <s v="    "/>
    <x v="0"/>
    <s v=""/>
    <s v="tatiana.martin@ilsole24ore.com                    "/>
    <s v="F"/>
    <s v="F-FIRMA"/>
    <s v="1 "/>
    <s v="1=5 X 8"/>
    <s v="01/07/2025"/>
    <s v="TEMPO DETERMINATO"/>
    <s v="31/05/2027"/>
    <s v="0035000010                    "/>
    <s v="TREBBI ROBERTA"/>
    <n v="51"/>
    <s v="I  "/>
  </r>
  <r>
    <x v="2"/>
    <n v="17"/>
    <x v="2"/>
    <s v="U           "/>
    <s v="24 ORE EVENTI SRL"/>
    <x v="54"/>
    <x v="50"/>
    <s v="L19050      "/>
    <s v="L19050 MARKETING E COMUNICAZIONE"/>
    <s v="MISCEO                          "/>
    <s v="ANNALISA          "/>
    <s v="MSCNLS75H54A662Z"/>
    <x v="0"/>
    <s v="34"/>
    <x v="0"/>
    <s v="07/11/2022"/>
    <s v="MILANO                 "/>
    <x v="0"/>
    <x v="0"/>
    <s v="I"/>
    <x v="0"/>
    <s v="A  "/>
    <x v="0"/>
    <s v="07/11/2022"/>
    <s v="07/11/2022"/>
    <s v="14/06/1975"/>
    <s v="A"/>
    <s v="A.IN FORZA"/>
    <s v="1  -ASSUNZIONE                1"/>
    <s v=""/>
    <s v=" "/>
    <s v=""/>
    <s v=""/>
    <n v="17"/>
    <s v="00"/>
    <n v="100"/>
    <s v="FULL TIME      100000000FF100-FULL TIME"/>
    <s v="07/11/2022"/>
    <s v=""/>
    <s v="  "/>
    <s v=""/>
    <s v="EO  "/>
    <s v="    "/>
    <x v="0"/>
    <s v=""/>
    <s v="annalisa.misceo@ilsole24ore.com                   "/>
    <s v="F"/>
    <s v="F-FIRMA"/>
    <s v="1 "/>
    <s v="1=5 X 8"/>
    <s v="01/07/2025"/>
    <s v="TEMPO DETERMINATO"/>
    <s v="31/05/2027"/>
    <s v="0035000010                    "/>
    <s v="TREBBI ROBERTA"/>
    <n v="50"/>
    <s v="I  "/>
  </r>
  <r>
    <x v="2"/>
    <n v="21"/>
    <x v="2"/>
    <s v="U           "/>
    <s v="24 ORE EVENTI SRL"/>
    <x v="54"/>
    <x v="50"/>
    <s v="L19050      "/>
    <s v="L19050 MARKETING E COMUNICAZIONE"/>
    <s v="PANNI                           "/>
    <s v="LUCIA             "/>
    <s v="PNNLCU94R50I608X"/>
    <x v="0"/>
    <s v="34"/>
    <x v="0"/>
    <s v="12/02/2024"/>
    <s v="MILANO                 "/>
    <x v="0"/>
    <x v="0"/>
    <s v="I"/>
    <x v="0"/>
    <s v="B2 "/>
    <x v="17"/>
    <s v="12/02/2024"/>
    <s v="12/02/2024"/>
    <s v="10/10/1994"/>
    <s v="A"/>
    <s v="A.IN FORZA"/>
    <s v="1S-ASSUNZIONE STABILIZZAZIONE 1S"/>
    <s v=""/>
    <s v=" "/>
    <s v=""/>
    <s v=""/>
    <n v="21"/>
    <s v="00"/>
    <n v="100"/>
    <s v="FULL TIME      100000000FF100-FULL TIME"/>
    <s v="12/02/2024"/>
    <s v=""/>
    <s v="  "/>
    <s v=""/>
    <s v="EO  "/>
    <s v="    "/>
    <x v="0"/>
    <s v=""/>
    <s v="lucia.panni@ilsole24ore.com                       "/>
    <s v="F"/>
    <s v="F-FIRMA"/>
    <s v="1 "/>
    <s v="1=5 X 8"/>
    <s v="01/07/2025"/>
    <s v="TEMPO DETERMINATO"/>
    <s v="31/05/2027"/>
    <s v="0035000010                    "/>
    <s v="TREBBI ROBERTA"/>
    <n v="31"/>
    <s v="I  "/>
  </r>
  <r>
    <x v="2"/>
    <n v="5"/>
    <x v="2"/>
    <s v="U           "/>
    <s v="24 ORE EVENTI SRL"/>
    <x v="54"/>
    <x v="50"/>
    <s v="L19050      "/>
    <s v="L19050 MARKETING E COMUNICAZIONE"/>
    <s v="RAMELLA                         "/>
    <s v="NICOL             "/>
    <s v="RMLNCL78D42F205N"/>
    <x v="0"/>
    <s v="34"/>
    <x v="0"/>
    <s v="01/04/2021"/>
    <s v="MILANO                 "/>
    <x v="0"/>
    <x v="0"/>
    <s v="I"/>
    <x v="0"/>
    <s v="AS "/>
    <x v="7"/>
    <s v="31/12/2019"/>
    <s v="21/11/2007"/>
    <s v="02/04/1978"/>
    <s v="A"/>
    <s v="A.IN FORZA"/>
    <s v="2T-TRASFERIMENTO AZIENDA/RAMO 2T"/>
    <s v=""/>
    <s v=" "/>
    <s v=""/>
    <s v=""/>
    <n v="5"/>
    <s v="00"/>
    <n v="100"/>
    <s v="FULL TIME      100000000FF100-FULL TIME"/>
    <s v="21/11/2007"/>
    <s v=""/>
    <s v="  "/>
    <s v=""/>
    <s v="EA  "/>
    <s v="    "/>
    <x v="0"/>
    <s v=""/>
    <s v="nicol.ramella@ilsole24ore.com                     "/>
    <s v="F"/>
    <s v="F-FIRMA"/>
    <s v="1 "/>
    <s v="1=5 X 8"/>
    <s v="01/07/2025"/>
    <s v="TEMPO DETERMINATO"/>
    <s v="31/05/2027"/>
    <s v="0035000010                    "/>
    <s v="TREBBI ROBERTA"/>
    <n v="47"/>
    <s v="I  "/>
  </r>
  <r>
    <x v="2"/>
    <n v="13"/>
    <x v="2"/>
    <s v="U           "/>
    <s v="24 ORE EVENTI SRL"/>
    <x v="54"/>
    <x v="50"/>
    <s v="L19050      "/>
    <s v="L19050 MARKETING E COMUNICAZIONE"/>
    <s v="RONCHETTO                       "/>
    <s v="MARCO GIOVANNI    "/>
    <s v="RNCMCG71C10D208X"/>
    <x v="1"/>
    <s v="34"/>
    <x v="0"/>
    <s v="01/09/2021"/>
    <s v="MILANO                 "/>
    <x v="0"/>
    <x v="0"/>
    <s v="I"/>
    <x v="0"/>
    <s v="AS "/>
    <x v="7"/>
    <s v="01/09/2021"/>
    <s v="01/09/2021"/>
    <s v="10/03/1971"/>
    <s v="A"/>
    <s v="A.IN FORZA"/>
    <s v="1  -ASSUNZIONE                1"/>
    <s v=""/>
    <s v=" "/>
    <s v=""/>
    <s v=""/>
    <n v="13"/>
    <s v="00"/>
    <n v="100"/>
    <s v="FULL TIME      100000000FF100-FULL TIME"/>
    <s v="01/09/2021"/>
    <s v=""/>
    <s v="  "/>
    <s v=""/>
    <s v="EO  "/>
    <s v="    "/>
    <x v="0"/>
    <s v=""/>
    <s v="marco.ronchetto@ilsole24ore.com                   "/>
    <s v="F"/>
    <s v="F-FIRMA"/>
    <s v="1 "/>
    <s v="1=5 X 8"/>
    <s v="01/07/2025"/>
    <s v="TEMPO DETERMINATO"/>
    <s v="31/05/2027"/>
    <s v="0035000010                    "/>
    <s v="TREBBI ROBERTA"/>
    <n v="54"/>
    <s v="I  "/>
  </r>
  <r>
    <x v="2"/>
    <n v="6"/>
    <x v="2"/>
    <s v="U           "/>
    <s v="24 ORE EVENTI SRL"/>
    <x v="54"/>
    <x v="50"/>
    <s v="L19050      "/>
    <s v="L19050 MARKETING E COMUNICAZIONE"/>
    <s v="SOLAZZO                         "/>
    <s v="VALERIA           "/>
    <s v="SLZVLR75E70A662X"/>
    <x v="0"/>
    <s v="34"/>
    <x v="0"/>
    <s v="01/04/2021"/>
    <s v="MILANO                 "/>
    <x v="0"/>
    <x v="0"/>
    <s v="F"/>
    <x v="2"/>
    <s v="Q  "/>
    <x v="8"/>
    <s v="31/12/2019"/>
    <s v="20/12/1999"/>
    <s v="30/05/1975"/>
    <s v="A"/>
    <s v="A.IN FORZA"/>
    <s v="2T-TRASFERIMENTO AZIENDA/RAMO 2T"/>
    <s v=""/>
    <s v=" "/>
    <s v=""/>
    <s v=""/>
    <n v="6"/>
    <s v="00"/>
    <n v="100"/>
    <s v="FULL TIME      100000000FF100-FULL TIME"/>
    <s v="20/12/1999"/>
    <s v=""/>
    <s v="  "/>
    <s v=""/>
    <s v="EA  "/>
    <s v="    "/>
    <x v="0"/>
    <s v=""/>
    <s v="valeria.solazzo@ilsole24ore.com                   "/>
    <s v="F"/>
    <s v="F-FIRMA"/>
    <s v="1 "/>
    <s v="1=5 X 8"/>
    <s v="01/07/2025"/>
    <s v="TEMPO DETERMINATO"/>
    <s v="31/05/2027"/>
    <s v="0035000010                    "/>
    <s v="TREBBI ROBERTA"/>
    <n v="50"/>
    <s v="I  "/>
  </r>
  <r>
    <x v="2"/>
    <n v="10"/>
    <x v="2"/>
    <s v="U           "/>
    <s v="24 ORE EVENTI SRL"/>
    <x v="54"/>
    <x v="50"/>
    <s v="L19050      "/>
    <s v="L19050 MARKETING E COMUNICAZIONE"/>
    <s v="TREBBI                          "/>
    <s v="ROBERTA           "/>
    <s v="TRBRRT70R66I459I"/>
    <x v="0"/>
    <s v="34"/>
    <x v="0"/>
    <s v="01/04/2021"/>
    <s v="MILANO                 "/>
    <x v="1"/>
    <x v="1"/>
    <s v="D"/>
    <x v="1"/>
    <s v="D  "/>
    <x v="1"/>
    <s v="01/02/2020"/>
    <s v="01/02/2000"/>
    <s v="26/10/1970"/>
    <s v="A"/>
    <s v="A.IN FORZA"/>
    <s v="9  -ALTRE MOTIVAZIONI         9"/>
    <s v=""/>
    <s v=" "/>
    <s v=""/>
    <s v=""/>
    <n v="10"/>
    <s v="00"/>
    <n v="100"/>
    <s v="FULL TIME      100000000FF100-FULL TIME"/>
    <s v="01/02/2001"/>
    <s v=""/>
    <s v="  "/>
    <s v=""/>
    <s v="DD  "/>
    <s v="    "/>
    <x v="0"/>
    <s v=""/>
    <s v="roberta.trebbi@ilsole24ore.com                    "/>
    <s v="F"/>
    <s v="F-FIRMA"/>
    <s v="1 "/>
    <s v="1=5 X 8"/>
    <s v="01/07/2025"/>
    <s v="TEMPO DETERMINATO"/>
    <s v="31/05/2026"/>
    <s v="0015002960                    "/>
    <s v="SILVESTRI FEDERICO"/>
    <n v="55"/>
    <s v="I  "/>
  </r>
  <r>
    <x v="2"/>
    <n v="7"/>
    <x v="2"/>
    <s v="U           "/>
    <s v="24 ORE EVENTI SRL"/>
    <x v="54"/>
    <x v="50"/>
    <s v="L19050      "/>
    <s v="L19050 MARKETING E COMUNICAZIONE"/>
    <s v="TRUNGADI                        "/>
    <s v="ELISA             "/>
    <s v="TRNLSE63C48E479J"/>
    <x v="0"/>
    <s v="34"/>
    <x v="0"/>
    <s v="01/04/2021"/>
    <s v="MILANO                 "/>
    <x v="0"/>
    <x v="0"/>
    <s v="I"/>
    <x v="0"/>
    <s v="A  "/>
    <x v="0"/>
    <s v="31/12/2019"/>
    <s v="02/09/1999"/>
    <s v="08/03/1963"/>
    <s v="A"/>
    <s v="A.IN FORZA"/>
    <s v="2T-TRASFERIMENTO AZIENDA/RAMO 2T"/>
    <s v=""/>
    <s v=" "/>
    <s v=""/>
    <s v=""/>
    <n v="7"/>
    <s v="00"/>
    <n v="100"/>
    <s v="FULL TIME      100000000FF100-FULL TIME"/>
    <s v="02/09/1999"/>
    <s v=""/>
    <s v="  "/>
    <s v=""/>
    <s v="EA  "/>
    <s v="    "/>
    <x v="0"/>
    <s v=""/>
    <s v="elisa.trungadi@ilsole24ore.com                    "/>
    <s v="F"/>
    <s v="F-FIRMA"/>
    <s v="1 "/>
    <s v="1=5 X 8"/>
    <s v="04/12/2025"/>
    <s v="TEMPO DETERMINATO"/>
    <s v="31/05/2027"/>
    <s v="0035000010                    "/>
    <s v="TREBBI ROBERTA"/>
    <n v="62"/>
    <s v="I  "/>
  </r>
  <r>
    <x v="2"/>
    <n v="9"/>
    <x v="2"/>
    <s v="U           "/>
    <s v="24 ORE EVENTI SRL"/>
    <x v="54"/>
    <x v="50"/>
    <s v="L19060      "/>
    <s v="L19060 SALES"/>
    <s v="GAIA                            "/>
    <s v="FEDERICA          "/>
    <s v="GAIFRC71D62G388V"/>
    <x v="0"/>
    <s v="34"/>
    <x v="0"/>
    <s v="01/04/2021"/>
    <s v="MILANO                 "/>
    <x v="0"/>
    <x v="0"/>
    <s v="F"/>
    <x v="2"/>
    <s v="Q  "/>
    <x v="8"/>
    <s v="02/01/2020"/>
    <s v="02/01/2020"/>
    <s v="22/04/1971"/>
    <s v="A"/>
    <s v="A.IN FORZA"/>
    <s v="1  -ASSUNZIONE                1"/>
    <s v=""/>
    <s v=" "/>
    <s v=""/>
    <s v=""/>
    <n v="9"/>
    <s v="00"/>
    <n v="100"/>
    <s v="FULL TIME      100000000FF100-FULL TIME"/>
    <s v="02/01/2020"/>
    <s v=""/>
    <s v="  "/>
    <s v=""/>
    <s v="EA  "/>
    <s v="    "/>
    <x v="0"/>
    <s v=""/>
    <s v="federica.gaia@ilsole24ore.com                     "/>
    <s v="F"/>
    <s v="F-FIRMA"/>
    <s v="1 "/>
    <s v="1=5 X 8"/>
    <s v="01/07/2025"/>
    <s v="TEMPO DETERMINATO"/>
    <s v="31/05/2027"/>
    <s v="0015002960                    "/>
    <s v="SILVESTRI FEDERICO"/>
    <n v="54"/>
    <s v="I  "/>
  </r>
  <r>
    <x v="2"/>
    <n v="1"/>
    <x v="2"/>
    <s v="U           "/>
    <s v="24 ORE EVENTI SRL"/>
    <x v="54"/>
    <x v="50"/>
    <s v="L19060      "/>
    <s v="L19060 SALES"/>
    <s v="GOTTINI                         "/>
    <s v="MIRELLA           "/>
    <s v="GTTMLL66P48L388L"/>
    <x v="0"/>
    <s v="34"/>
    <x v="0"/>
    <s v="01/04/2021"/>
    <s v="MILANO                 "/>
    <x v="0"/>
    <x v="0"/>
    <s v="F"/>
    <x v="2"/>
    <s v="Q  "/>
    <x v="8"/>
    <s v="10/12/2019"/>
    <s v="01/10/1999"/>
    <s v="08/09/1966"/>
    <s v="A"/>
    <s v="A.IN FORZA"/>
    <s v="2T-TRASFERIMENTO AZIENDA/RAMO 2T"/>
    <s v=""/>
    <s v=" "/>
    <s v=""/>
    <s v=""/>
    <n v="1"/>
    <s v="00"/>
    <n v="100"/>
    <s v="FULL TIME      100000000FF100-FULL TIME"/>
    <s v="01/10/1999"/>
    <s v=""/>
    <s v="  "/>
    <s v=""/>
    <s v="EA  "/>
    <s v="    "/>
    <x v="0"/>
    <s v="C.I.S.L.           C.I.S.L"/>
    <s v="mirella.gottini@ilsole24ore.com                   "/>
    <s v="F"/>
    <s v="F-FIRMA"/>
    <s v="1 "/>
    <s v="1=5 X 8"/>
    <s v="01/07/2025"/>
    <s v="TEMPO DETERMINATO"/>
    <s v="31/05/2027"/>
    <s v="0035000010                    "/>
    <s v="TREBBI ROBERTA"/>
    <n v="59"/>
    <s v="I  "/>
  </r>
  <r>
    <x v="2"/>
    <n v="8"/>
    <x v="2"/>
    <s v="U           "/>
    <s v="24 ORE EVENTI SRL"/>
    <x v="54"/>
    <x v="50"/>
    <s v="L19060      "/>
    <s v="L19060 SALES"/>
    <s v="MATALETTI                       "/>
    <s v="DANIELE           "/>
    <s v="MTLDNL61R30H501T"/>
    <x v="1"/>
    <s v="31"/>
    <x v="1"/>
    <s v="18/05/2009"/>
    <s v="ROMA                   "/>
    <x v="0"/>
    <x v="0"/>
    <s v="F"/>
    <x v="2"/>
    <s v="Q  "/>
    <x v="8"/>
    <s v="31/12/2019"/>
    <s v="01/02/2000"/>
    <s v="30/10/1961"/>
    <s v="A"/>
    <s v="A.IN FORZA"/>
    <s v="2T-TRASFERIMENTO AZIENDA/RAMO 2T"/>
    <s v=""/>
    <s v=" "/>
    <s v=""/>
    <s v=""/>
    <n v="8"/>
    <s v="00"/>
    <n v="100"/>
    <s v="FULL TIME      100000000FF100-FULL TIME"/>
    <s v="01/02/2000"/>
    <s v=""/>
    <s v="  "/>
    <s v=""/>
    <s v="EA  "/>
    <s v="    "/>
    <x v="0"/>
    <s v=""/>
    <s v="daniele.mataletti@ilsole24ore.com                 "/>
    <s v="F"/>
    <s v="F-FIRMA"/>
    <s v="1 "/>
    <s v="1=5 X 8"/>
    <s v="01/07/2025"/>
    <s v="TEMPO DETERMINATO"/>
    <s v="31/05/2027"/>
    <s v="0035000010                    "/>
    <s v="TREBBI ROBERTA"/>
    <n v="64"/>
    <s v="I  "/>
  </r>
  <r>
    <x v="3"/>
    <n v="579"/>
    <x v="3"/>
    <s v="B           "/>
    <s v="DG M&amp;B - DG RADIO 24"/>
    <x v="55"/>
    <x v="51"/>
    <s v="Q18000      "/>
    <s v="Q18000   TECNICI DI REGIA"/>
    <s v="GARRAMONE                       "/>
    <s v="MARTIN            "/>
    <s v="GRRMTN00L29Z601R"/>
    <x v="1"/>
    <s v="34"/>
    <x v="0"/>
    <s v="20/10/2025"/>
    <s v="MILANO                 "/>
    <x v="5"/>
    <x v="5"/>
    <s v="B"/>
    <x v="5"/>
    <s v="02 "/>
    <x v="31"/>
    <s v="20/10/2025"/>
    <s v="20/10/2025"/>
    <s v="29/07/2000"/>
    <s v="A"/>
    <s v="A.IN FORZA"/>
    <s v="1  -ASSUNZIONE                1"/>
    <s v=""/>
    <s v="D"/>
    <s v="19/04/2026"/>
    <s v=""/>
    <n v="0"/>
    <s v="00"/>
    <n v="100"/>
    <s v="FULL TIME      100000000FF100-FULL TIME"/>
    <s v="20/10/2025"/>
    <s v=""/>
    <s v="  "/>
    <s v=""/>
    <s v="    "/>
    <s v="    "/>
    <x v="0"/>
    <s v=""/>
    <s v="ext.martin.garramone@radio24.it                   "/>
    <s v=" "/>
    <s v=""/>
    <s v="  "/>
    <s v=""/>
    <s v=""/>
    <s v=""/>
    <s v=""/>
    <s v="0015002756                    "/>
    <s v="PREVIATO MICHELE"/>
    <n v="25"/>
    <s v="I  "/>
  </r>
  <r>
    <x v="3"/>
    <n v="580"/>
    <x v="3"/>
    <s v="B           "/>
    <s v="DG M&amp;B - DG RADIO 24"/>
    <x v="2"/>
    <x v="4"/>
    <s v="Q16000      "/>
    <s v="Q16000   PRODUZIONE PROGRAMMI RADIO"/>
    <s v="LUNGHI                          "/>
    <s v="CRISTINA          "/>
    <s v="LNGCST98M46E202P"/>
    <x v="0"/>
    <s v="34"/>
    <x v="0"/>
    <s v="19/11/2025"/>
    <s v="MILANO                 "/>
    <x v="5"/>
    <x v="5"/>
    <s v="B"/>
    <x v="5"/>
    <s v="02 "/>
    <x v="31"/>
    <s v="19/11/2025"/>
    <s v="19/11/2025"/>
    <s v="06/08/1998"/>
    <s v="A"/>
    <s v="A.IN FORZA"/>
    <s v="1  -ASSUNZIONE                1"/>
    <s v=""/>
    <s v="D"/>
    <s v="18/05/2026"/>
    <s v=""/>
    <n v="0"/>
    <s v="00"/>
    <n v="100"/>
    <s v="FULL TIME      100000000FF100-FULL TIME"/>
    <s v="19/11/2025"/>
    <s v=""/>
    <s v="  "/>
    <s v=""/>
    <s v="    "/>
    <s v="    "/>
    <x v="0"/>
    <s v=""/>
    <s v="ext.cristina.lunghi@radio24.it                    "/>
    <s v=" "/>
    <s v=""/>
    <s v="  "/>
    <s v=""/>
    <s v=""/>
    <s v=""/>
    <s v=""/>
    <s v="0015002764                    "/>
    <s v="SCOTTI GUIDO"/>
    <n v="27"/>
    <s v="I  "/>
  </r>
  <r>
    <x v="3"/>
    <n v="581"/>
    <x v="3"/>
    <s v="B           "/>
    <s v="DG M&amp;B - DG RADIO 24"/>
    <x v="2"/>
    <x v="4"/>
    <s v="Q16000      "/>
    <s v="Q16000   PRODUZIONE PROGRAMMI RADIO"/>
    <s v="VALENTINO                       "/>
    <s v="PAOLO             "/>
    <s v="VLNPLA01L28G482L"/>
    <x v="1"/>
    <s v="34"/>
    <x v="0"/>
    <s v="07/01/2026"/>
    <s v="MILANO                 "/>
    <x v="5"/>
    <x v="5"/>
    <s v="B"/>
    <x v="5"/>
    <s v="02 "/>
    <x v="31"/>
    <s v="07/01/2026"/>
    <s v="07/01/2026"/>
    <s v="28/07/2001"/>
    <s v="A"/>
    <s v="A.IN FORZA"/>
    <s v="1  -ASSUNZIONE                1"/>
    <s v=""/>
    <s v="D"/>
    <s v="06/07/2026"/>
    <s v=""/>
    <n v="581"/>
    <s v="00"/>
    <n v="100"/>
    <s v="FULL TIME      100000000FF100-FULL TIME"/>
    <s v="07/01/2026"/>
    <s v=""/>
    <s v="  "/>
    <s v=""/>
    <s v="0   "/>
    <s v="    "/>
    <x v="0"/>
    <s v=""/>
    <s v="ext.paolo.valentino@radio24.it                    "/>
    <s v=" "/>
    <s v=""/>
    <s v="  "/>
    <s v=""/>
    <s v=""/>
    <s v=""/>
    <s v=""/>
    <s v="0015002764                    "/>
    <s v="SCOTTI GUIDO"/>
    <n v="24"/>
    <s v="I  "/>
  </r>
  <r>
    <x v="3"/>
    <n v="582"/>
    <x v="3"/>
    <s v="E           "/>
    <s v="DIREZIONE GENERALE CORPORATE E CFO"/>
    <x v="17"/>
    <x v="16"/>
    <s v="C11000      "/>
    <s v="C11000   AMMINISTRAZIONE VENDITE CENTRAL"/>
    <s v="ROBOTTI                         "/>
    <s v="VIVIAN VANESSA    "/>
    <s v="RBTVNV00B41Z604J"/>
    <x v="0"/>
    <s v="34"/>
    <x v="0"/>
    <s v="12/01/2026"/>
    <s v="MILANO                 "/>
    <x v="5"/>
    <x v="5"/>
    <s v="B"/>
    <x v="5"/>
    <s v="02 "/>
    <x v="31"/>
    <s v="12/01/2026"/>
    <s v="12/01/2026"/>
    <s v="01/02/2000"/>
    <s v="A"/>
    <s v="A.IN FORZA"/>
    <s v="1  -ASSUNZIONE                1"/>
    <s v=""/>
    <s v="D"/>
    <s v="10/07/2026"/>
    <s v=""/>
    <n v="582"/>
    <s v="00"/>
    <n v="100"/>
    <s v="FULL TIME      100000000FF100-FULL TIME"/>
    <s v="12/01/2026"/>
    <s v=""/>
    <s v="  "/>
    <s v=""/>
    <s v="    "/>
    <s v="    "/>
    <x v="0"/>
    <s v=""/>
    <s v="ext.vivianvanessa.robotti@ilsole24ore.com         "/>
    <s v=" "/>
    <s v=""/>
    <s v="  "/>
    <s v=""/>
    <s v=""/>
    <s v=""/>
    <s v=""/>
    <s v="0015002848                    "/>
    <s v="DELLAVEDOVA SARA"/>
    <n v="25"/>
    <s v="I  "/>
  </r>
  <r>
    <x v="4"/>
    <n v="444"/>
    <x v="4"/>
    <s v="A           "/>
    <s v="CORPORATE"/>
    <x v="0"/>
    <x v="0"/>
    <s v="011000      "/>
    <s v="011000   CORPORATE"/>
    <s v="SILVESTRI                       "/>
    <s v="FEDERICO          "/>
    <s v="SLVFRC71A14F205W"/>
    <x v="1"/>
    <s v="34"/>
    <x v="0"/>
    <s v="30/04/2025"/>
    <s v="MILANO                 "/>
    <x v="6"/>
    <x v="6"/>
    <s v="C"/>
    <x v="6"/>
    <s v="01 "/>
    <x v="32"/>
    <s v="30/04/2025"/>
    <s v="30/04/2025"/>
    <s v="14/01/1971"/>
    <s v="A"/>
    <s v="A.IN FORZA"/>
    <s v="9  -ALTRE MOTIVAZIONI         9"/>
    <s v=""/>
    <s v=" "/>
    <s v=""/>
    <s v=""/>
    <n v="444"/>
    <s v="00"/>
    <n v="100"/>
    <s v="FULL TIME      100000000FF100-FULL TIME"/>
    <s v="30/04/2025"/>
    <s v=""/>
    <s v="  "/>
    <s v=""/>
    <s v="DD  "/>
    <s v="    "/>
    <x v="0"/>
    <s v=""/>
    <s v="                                                  "/>
    <s v="E"/>
    <s v="E-ESENTE"/>
    <s v="  "/>
    <s v=""/>
    <s v=""/>
    <s v=""/>
    <s v=""/>
    <s v="                              "/>
    <s v=""/>
    <n v="55"/>
    <s v="I  "/>
  </r>
  <r>
    <x v="4"/>
    <n v="457"/>
    <x v="4"/>
    <s v="B           "/>
    <s v="DG M&amp;B - DG RADIO 24"/>
    <x v="38"/>
    <x v="37"/>
    <s v="015000      "/>
    <s v="015000 DG SERVIZI PROFESSIONALI E FORMAZ"/>
    <s v="CERATI                          "/>
    <s v="FRANCESCA         "/>
    <s v="CRTFNC62B54E507Y"/>
    <x v="0"/>
    <s v="66"/>
    <x v="10"/>
    <s v="01/01/2026"/>
    <s v="                       "/>
    <x v="6"/>
    <x v="6"/>
    <s v="C"/>
    <x v="6"/>
    <s v="01 "/>
    <x v="32"/>
    <s v="01/01/2026"/>
    <s v="01/01/2026"/>
    <s v="14/02/1962"/>
    <s v="A"/>
    <s v="A.IN FORZA"/>
    <s v="9  -ALTRE MOTIVAZIONI         9"/>
    <s v="31/12/2027"/>
    <s v=" "/>
    <s v=""/>
    <s v=""/>
    <n v="0"/>
    <s v="00"/>
    <n v="100"/>
    <s v="FULL TIME      100000000FF100-FULL TIME"/>
    <s v="01/01/2026"/>
    <s v=""/>
    <s v="  "/>
    <s v=""/>
    <s v="0   "/>
    <s v="    "/>
    <x v="0"/>
    <s v=""/>
    <s v="                                                  "/>
    <s v="E"/>
    <s v="E-ESENTE"/>
    <s v="  "/>
    <s v=""/>
    <s v=""/>
    <s v=""/>
    <s v=""/>
    <s v="                              "/>
    <s v=""/>
    <n v="63"/>
    <s v="I  "/>
  </r>
  <r>
    <x v="4"/>
    <n v="370"/>
    <x v="4"/>
    <s v="H           "/>
    <s v="DG SERVIZI PROFESSIONALI E FORMAZIONE"/>
    <x v="28"/>
    <x v="27"/>
    <s v="015000      "/>
    <s v="015000 DG SERVIZI PROFESSIONALI E FORMAZ"/>
    <s v="BAGNASCO                        "/>
    <s v="GIACOMO           "/>
    <s v="BGNGCM57P06D969I"/>
    <x v="1"/>
    <s v="66"/>
    <x v="10"/>
    <s v="20/01/2020"/>
    <s v="                       "/>
    <x v="6"/>
    <x v="6"/>
    <s v="C"/>
    <x v="6"/>
    <s v="01 "/>
    <x v="32"/>
    <s v="20/01/2020"/>
    <s v="01/10/2017"/>
    <s v="06/09/1957"/>
    <s v="A"/>
    <s v="A.IN FORZA"/>
    <s v="9  -ALTRE MOTIVAZIONI         9"/>
    <s v="31/08/2026"/>
    <s v=" "/>
    <s v=""/>
    <s v=""/>
    <n v="422"/>
    <s v="00"/>
    <n v="100"/>
    <s v="FULL TIME      100000000FF100-FULL TIME"/>
    <s v=""/>
    <s v=""/>
    <s v="  "/>
    <s v=""/>
    <s v="0   "/>
    <s v="    "/>
    <x v="0"/>
    <s v=""/>
    <s v="giacomobagnasco57@gmail.com                       "/>
    <s v="E"/>
    <s v="E-ESENTE"/>
    <s v="  "/>
    <s v=""/>
    <s v=""/>
    <s v=""/>
    <s v=""/>
    <s v="                              "/>
    <s v=""/>
    <n v="68"/>
    <s v="I  "/>
  </r>
  <r>
    <x v="4"/>
    <n v="456"/>
    <x v="4"/>
    <s v="H           "/>
    <s v="DG SERVIZI PROFESSIONALI E FORMAZIONE"/>
    <x v="28"/>
    <x v="27"/>
    <s v="015000      "/>
    <s v="015000 DG SERVIZI PROFESSIONALI E FORMAZ"/>
    <s v="BARLAAM                         "/>
    <s v="RICCARDO          "/>
    <s v="BRLRCR65E03G438D"/>
    <x v="1"/>
    <s v="66"/>
    <x v="10"/>
    <s v="01/01/2026"/>
    <s v="                       "/>
    <x v="6"/>
    <x v="6"/>
    <s v="C"/>
    <x v="6"/>
    <s v="01 "/>
    <x v="32"/>
    <s v="01/01/2026"/>
    <s v="01/01/2026"/>
    <s v="03/05/1965"/>
    <s v="A"/>
    <s v="A.IN FORZA"/>
    <s v="9  -ALTRE MOTIVAZIONI         9"/>
    <s v="31/12/2027"/>
    <s v=" "/>
    <s v=""/>
    <s v=""/>
    <n v="0"/>
    <s v="00"/>
    <n v="100"/>
    <s v="FULL TIME      100000000FF100-FULL TIME"/>
    <s v="01/01/2026"/>
    <s v=""/>
    <s v="  "/>
    <s v=""/>
    <s v="0   "/>
    <s v="    "/>
    <x v="0"/>
    <s v=""/>
    <s v="                                                  "/>
    <s v="E"/>
    <s v="E-ESENTE"/>
    <s v="  "/>
    <s v=""/>
    <s v=""/>
    <s v=""/>
    <s v=""/>
    <s v="                              "/>
    <s v=""/>
    <n v="60"/>
    <s v="I  "/>
  </r>
  <r>
    <x v="4"/>
    <n v="441"/>
    <x v="4"/>
    <s v="H           "/>
    <s v="DG SERVIZI PROFESSIONALI E FORMAZIONE"/>
    <x v="28"/>
    <x v="27"/>
    <s v="015000      "/>
    <s v="015000 DG SERVIZI PROFESSIONALI E FORMAZ"/>
    <s v="DEL FREO                        "/>
    <s v="ANNA              "/>
    <s v="DLFNNA62L66B832E"/>
    <x v="0"/>
    <s v="66"/>
    <x v="10"/>
    <s v="01/11/2024"/>
    <s v="                       "/>
    <x v="6"/>
    <x v="6"/>
    <s v="C"/>
    <x v="6"/>
    <s v="01 "/>
    <x v="32"/>
    <s v="01/11/2024"/>
    <s v="01/11/2024"/>
    <s v="26/07/1962"/>
    <s v="A"/>
    <s v="A.IN FORZA"/>
    <s v="9  -ALTRE MOTIVAZIONI         9"/>
    <s v=""/>
    <s v=" "/>
    <s v=""/>
    <s v=""/>
    <n v="492"/>
    <s v="00"/>
    <n v="100"/>
    <s v="FULL TIME      100000000FF100-FULL TIME"/>
    <s v="01/11/2024"/>
    <s v=""/>
    <s v="  "/>
    <s v=""/>
    <s v="GSS "/>
    <s v="    "/>
    <x v="0"/>
    <s v="NON ISCRITTO       NON ISCRITTO"/>
    <s v="ext.anna.delfreo@ilsole24ore.com                  "/>
    <s v="E"/>
    <s v="E-ESENTE"/>
    <s v="  "/>
    <s v=""/>
    <s v="01/12/2024"/>
    <s v=""/>
    <s v=""/>
    <s v="                              "/>
    <s v=""/>
    <n v="63"/>
    <s v="I  "/>
  </r>
  <r>
    <x v="4"/>
    <n v="365"/>
    <x v="4"/>
    <s v="H           "/>
    <s v="DG SERVIZI PROFESSIONALI E FORMAZIONE"/>
    <x v="28"/>
    <x v="27"/>
    <s v="015000      "/>
    <s v="015000 DG SERVIZI PROFESSIONALI E FORMAZ"/>
    <s v="PADULA                          "/>
    <s v="SALVATORE         "/>
    <s v="PDLSVT58L17D416Y"/>
    <x v="1"/>
    <s v="34"/>
    <x v="0"/>
    <s v="01/07/2017"/>
    <s v="MILANO                 "/>
    <x v="6"/>
    <x v="6"/>
    <s v="C"/>
    <x v="6"/>
    <s v="01 "/>
    <x v="32"/>
    <s v="17/05/2021"/>
    <s v="01/07/2017"/>
    <s v="17/07/1958"/>
    <s v="Q"/>
    <s v="Q.ULTIMO CEDOLINO"/>
    <s v="9  -ALTRE MOTIVAZIONI         9"/>
    <s v="31/01/2026"/>
    <s v=" "/>
    <s v=""/>
    <s v="31/01/2026"/>
    <n v="417"/>
    <s v="00"/>
    <n v="100"/>
    <s v="FULL TIME      100000000FF100-FULL TIME"/>
    <s v=""/>
    <s v=""/>
    <s v="  "/>
    <s v=""/>
    <s v="0   "/>
    <s v="    "/>
    <x v="0"/>
    <s v=""/>
    <s v="ext.salvatore.padula@ilsole24ore.com              "/>
    <s v="E"/>
    <s v="E-ESENTE"/>
    <s v="  "/>
    <s v=""/>
    <s v=""/>
    <s v=""/>
    <s v=""/>
    <s v="                              "/>
    <s v=""/>
    <n v="67"/>
    <s v="I  "/>
  </r>
  <r>
    <x v="4"/>
    <n v="395"/>
    <x v="4"/>
    <s v="H           "/>
    <s v="DG SERVIZI PROFESSIONALI E FORMAZIONE"/>
    <x v="28"/>
    <x v="27"/>
    <s v="816000      "/>
    <s v="816000   SOFTWARE GESTIONALI"/>
    <s v="BONELLI                         "/>
    <s v="FRANCESCO         "/>
    <s v="BNLFNC49M12B201O"/>
    <x v="1"/>
    <s v="34"/>
    <x v="0"/>
    <s v="01/04/2021"/>
    <s v="MILANO                 "/>
    <x v="6"/>
    <x v="6"/>
    <s v="C"/>
    <x v="6"/>
    <s v="01 "/>
    <x v="32"/>
    <s v="02/01/2022"/>
    <s v="01/04/2019"/>
    <s v="12/08/1949"/>
    <s v="A"/>
    <s v="A.IN FORZA"/>
    <s v="9  -ALTRE MOTIVAZIONI         9"/>
    <s v="31/12/2022"/>
    <s v=" "/>
    <s v=""/>
    <s v=""/>
    <n v="447"/>
    <s v="00"/>
    <n v="100"/>
    <s v="FULL TIME      100000000FF100-FULL TIME"/>
    <s v=""/>
    <s v=""/>
    <s v="  "/>
    <s v=""/>
    <s v="0   "/>
    <s v="    "/>
    <x v="0"/>
    <s v=""/>
    <s v="ext.francesco.bonelli@ilsole24ore.com             "/>
    <s v=" "/>
    <s v=""/>
    <s v="  "/>
    <s v=""/>
    <s v=""/>
    <s v=""/>
    <s v=""/>
    <s v="                              "/>
    <s v=""/>
    <n v="76"/>
    <s v="I  "/>
  </r>
  <r>
    <x v="4"/>
    <n v="420"/>
    <x v="4"/>
    <s v="H           "/>
    <s v="DG SERVIZI PROFESSIONALI E FORMAZIONE"/>
    <x v="31"/>
    <x v="30"/>
    <s v="815115      "/>
    <s v="815115   AREA FISCO LAVORO"/>
    <s v="MUTTI                           "/>
    <s v="MASSIMO           "/>
    <s v="MTTMSM60S03L304S"/>
    <x v="1"/>
    <s v="34"/>
    <x v="0"/>
    <s v="01/07/2022"/>
    <s v="MILANO                 "/>
    <x v="6"/>
    <x v="6"/>
    <s v="C"/>
    <x v="6"/>
    <s v="01 "/>
    <x v="32"/>
    <s v="01/07/2022"/>
    <s v="01/07/2022"/>
    <s v="03/11/1960"/>
    <s v="A"/>
    <s v="A.IN FORZA"/>
    <s v="9  -ALTRE MOTIVAZIONI         9"/>
    <s v=""/>
    <s v=" "/>
    <s v=""/>
    <s v=""/>
    <n v="472"/>
    <s v="00"/>
    <n v="100"/>
    <s v="FULL TIME      100000000FF100-FULL TIME"/>
    <s v="01/07/2022"/>
    <s v=""/>
    <s v="  "/>
    <s v=""/>
    <s v="    "/>
    <s v="    "/>
    <x v="0"/>
    <s v=""/>
    <s v="ext.massimo.mutti@ilsole24ore.com                 "/>
    <s v=" "/>
    <s v=""/>
    <s v="  "/>
    <s v=""/>
    <s v=""/>
    <s v=""/>
    <s v=""/>
    <s v="                              "/>
    <s v=""/>
    <n v="65"/>
    <s v="I  "/>
  </r>
  <r>
    <x v="4"/>
    <n v="407"/>
    <x v="4"/>
    <s v="H           "/>
    <s v="DG SERVIZI PROFESSIONALI E FORMAZIONE"/>
    <x v="33"/>
    <x v="32"/>
    <s v="81800010    "/>
    <s v="81800010 AREA PARTNER 24 ORE E COMM.DEVE"/>
    <s v="VILLANI                         "/>
    <s v="PAOLA MARIA NOVELL"/>
    <s v="VLLPMR61R60L219O"/>
    <x v="0"/>
    <s v="34"/>
    <x v="0"/>
    <s v="01/04/2021"/>
    <s v="MILANO                 "/>
    <x v="6"/>
    <x v="6"/>
    <s v="C"/>
    <x v="6"/>
    <s v="01 "/>
    <x v="32"/>
    <s v="02/01/2021"/>
    <s v="27/08/2020"/>
    <s v="20/10/1961"/>
    <s v="A"/>
    <s v="A.IN FORZA"/>
    <s v="9  -ALTRE MOTIVAZIONI         9"/>
    <s v=""/>
    <s v=" "/>
    <s v=""/>
    <s v=""/>
    <n v="459"/>
    <s v="00"/>
    <n v="100"/>
    <s v="FULL TIME      100000000FF100-FULL TIME"/>
    <s v=""/>
    <s v=""/>
    <s v="  "/>
    <s v=""/>
    <s v="    "/>
    <s v="    "/>
    <x v="0"/>
    <s v=""/>
    <s v="ext.paolamaria.villani@ilsole24ore.com            "/>
    <s v=" "/>
    <s v=""/>
    <s v="  "/>
    <s v=""/>
    <s v=""/>
    <s v=""/>
    <s v=""/>
    <s v="                              "/>
    <s v=""/>
    <n v="64"/>
    <s v="I  "/>
  </r>
  <r>
    <x v="4"/>
    <n v="439"/>
    <x v="4"/>
    <s v="K           "/>
    <s v="REDAZIONI GIORNALISTICHE"/>
    <x v="37"/>
    <x v="36"/>
    <s v="514300      "/>
    <s v="514300   REDAZIONE MILANO"/>
    <s v="BUFACCHI                        "/>
    <s v="ISABELLA          "/>
    <s v="BFCSLL61S57H501J"/>
    <x v="0"/>
    <s v="66"/>
    <x v="10"/>
    <s v="10/09/2024"/>
    <s v="                       "/>
    <x v="6"/>
    <x v="6"/>
    <s v="C"/>
    <x v="6"/>
    <s v="01 "/>
    <x v="32"/>
    <s v="10/09/2024"/>
    <s v="10/09/2024"/>
    <s v="17/11/1961"/>
    <s v="A"/>
    <s v="A.IN FORZA"/>
    <s v="1  -ASSUNZIONE                1"/>
    <s v=""/>
    <s v=" "/>
    <s v=""/>
    <s v=""/>
    <n v="490"/>
    <s v="00"/>
    <n v="100"/>
    <s v="FULL TIME      100000000FF100-FULL TIME"/>
    <s v="01/11/1990"/>
    <s v=""/>
    <s v="  "/>
    <s v=""/>
    <s v="GSS "/>
    <s v="    "/>
    <x v="0"/>
    <s v="NON ISCRITTO       NON ISCRITTO"/>
    <s v="ext.isabella.bufacchi@ilsole24ore.com             "/>
    <s v="E"/>
    <s v="E-ESENTE"/>
    <s v="  "/>
    <s v=""/>
    <s v=""/>
    <s v=""/>
    <s v=""/>
    <s v="                              "/>
    <s v=""/>
    <n v="64"/>
    <s v="I  "/>
  </r>
  <r>
    <x v="4"/>
    <n v="249"/>
    <x v="4"/>
    <s v="K           "/>
    <s v="REDAZIONI GIORNALISTICHE"/>
    <x v="37"/>
    <x v="36"/>
    <s v="514300      "/>
    <s v="514300   REDAZIONE MILANO"/>
    <s v="CERRETELLI                      "/>
    <s v="ADRIANA           "/>
    <s v="CRRDRN48E67F205W"/>
    <x v="0"/>
    <s v="34"/>
    <x v="0"/>
    <s v="01/04/2021"/>
    <s v="MILANO                 "/>
    <x v="6"/>
    <x v="6"/>
    <s v="C"/>
    <x v="6"/>
    <s v="01 "/>
    <x v="32"/>
    <s v="01/02/2020"/>
    <s v="01/10/2011"/>
    <s v="27/05/1948"/>
    <s v="A"/>
    <s v="A.IN FORZA"/>
    <s v="9  -ALTRE MOTIVAZIONI         9"/>
    <s v=""/>
    <s v=" "/>
    <s v=""/>
    <s v=""/>
    <n v="302"/>
    <s v="00"/>
    <n v="100"/>
    <s v="FULL TIME      100000000FF100-FULL TIME"/>
    <s v=""/>
    <s v=""/>
    <s v="  "/>
    <s v=""/>
    <s v="0   "/>
    <s v="    "/>
    <x v="0"/>
    <s v=""/>
    <s v="ext.adriana.cerretelli@ilsole24ore.com            "/>
    <s v="E"/>
    <s v="E-ESENTE"/>
    <s v="  "/>
    <s v=""/>
    <s v=""/>
    <s v=""/>
    <s v=""/>
    <s v="                              "/>
    <s v=""/>
    <n v="77"/>
    <s v="I  "/>
  </r>
  <r>
    <x v="4"/>
    <n v="318"/>
    <x v="4"/>
    <s v="K           "/>
    <s v="REDAZIONI GIORNALISTICHE"/>
    <x v="37"/>
    <x v="36"/>
    <s v="514300      "/>
    <s v="514300   REDAZIONE MILANO"/>
    <s v="DEGLI INNOCENTI                 "/>
    <s v="NICOLETTA         "/>
    <s v="DGLNLT62C57B157Q"/>
    <x v="0"/>
    <s v="66"/>
    <x v="10"/>
    <s v="09/02/2015"/>
    <s v="                       "/>
    <x v="6"/>
    <x v="6"/>
    <s v="C"/>
    <x v="6"/>
    <s v="01 "/>
    <x v="32"/>
    <s v="01/08/2018"/>
    <s v="01/08/2018"/>
    <s v="17/03/1962"/>
    <s v="A"/>
    <s v="A.IN FORZA"/>
    <s v="9  -ALTRE MOTIVAZIONI         9"/>
    <s v=""/>
    <s v=" "/>
    <s v=""/>
    <s v=""/>
    <n v="371"/>
    <s v="00"/>
    <n v="100"/>
    <s v="FULL TIME      100000000FF100-FULL TIME"/>
    <s v=""/>
    <s v=""/>
    <s v="  "/>
    <s v=""/>
    <s v="0   "/>
    <s v="    "/>
    <x v="0"/>
    <s v=""/>
    <s v="nicoldynes@aol.com                                "/>
    <s v="E"/>
    <s v="E-ESENTE"/>
    <s v="  "/>
    <s v=""/>
    <s v=""/>
    <s v=""/>
    <s v=""/>
    <s v="                              "/>
    <s v=""/>
    <n v="63"/>
    <s v="I  "/>
  </r>
  <r>
    <x v="4"/>
    <n v="440"/>
    <x v="4"/>
    <s v="K           "/>
    <s v="REDAZIONI GIORNALISTICHE"/>
    <x v="37"/>
    <x v="36"/>
    <s v="514300      "/>
    <s v="514300   REDAZIONE MILANO"/>
    <s v="FATIGUSO                        "/>
    <s v="RITA FRANCESCA    "/>
    <s v="FTGRFR62R62A662A"/>
    <x v="0"/>
    <s v="66"/>
    <x v="10"/>
    <s v="01/10/2024"/>
    <s v="                       "/>
    <x v="6"/>
    <x v="6"/>
    <s v="C"/>
    <x v="6"/>
    <s v="01 "/>
    <x v="32"/>
    <s v="02/01/2025"/>
    <s v="01/10/2024"/>
    <s v="22/10/1962"/>
    <s v="A"/>
    <s v="A.IN FORZA"/>
    <s v="1  -ASSUNZIONE                1"/>
    <s v=""/>
    <s v=" "/>
    <s v=""/>
    <s v=""/>
    <n v="491"/>
    <s v="00"/>
    <n v="100"/>
    <s v="FULL TIME      100000000FF100-FULL TIME"/>
    <s v=""/>
    <s v=""/>
    <s v="  "/>
    <s v=""/>
    <s v="GSS "/>
    <s v="    "/>
    <x v="0"/>
    <s v="NON ISCRITTO       NON ISCRITTO"/>
    <s v="ext.rita.fatiguso@ilsole24ore.com                 "/>
    <s v="E"/>
    <s v="E-ESENTE"/>
    <s v="  "/>
    <s v=""/>
    <s v="01/10/2024"/>
    <s v=""/>
    <s v=""/>
    <s v="                              "/>
    <s v=""/>
    <n v="63"/>
    <s v="I  "/>
  </r>
  <r>
    <x v="4"/>
    <n v="454"/>
    <x v="4"/>
    <s v="K           "/>
    <s v="REDAZIONI GIORNALISTICHE"/>
    <x v="37"/>
    <x v="36"/>
    <s v="514300      "/>
    <s v="514300   REDAZIONE MILANO"/>
    <s v="MARCHESINI                      "/>
    <s v="EVELINA           "/>
    <s v="MRCVLN64R63Z611D"/>
    <x v="0"/>
    <s v="66"/>
    <x v="10"/>
    <s v="01/11/2025"/>
    <s v="                       "/>
    <x v="6"/>
    <x v="6"/>
    <s v="C"/>
    <x v="6"/>
    <s v="01 "/>
    <x v="32"/>
    <s v="01/11/2025"/>
    <s v="01/11/2025"/>
    <s v="23/10/1964"/>
    <s v="A"/>
    <s v="A.IN FORZA"/>
    <s v="1  -ASSUNZIONE                1"/>
    <s v=""/>
    <s v=" "/>
    <s v=""/>
    <s v=""/>
    <n v="0"/>
    <s v="00"/>
    <n v="100"/>
    <s v="FULL TIME      100000000FF100-FULL TIME"/>
    <s v="01/11/2025"/>
    <s v=""/>
    <s v="  "/>
    <s v=""/>
    <s v="GSS "/>
    <s v="    "/>
    <x v="0"/>
    <s v="NON ISCRITTO       NON ISCRITTO"/>
    <s v="evelina.marchesini@gmail.com                      "/>
    <s v="E"/>
    <s v="E-ESENTE"/>
    <s v="  "/>
    <s v=""/>
    <s v=""/>
    <s v=""/>
    <s v=""/>
    <s v="                              "/>
    <s v=""/>
    <n v="61"/>
    <s v="I  "/>
  </r>
  <r>
    <x v="4"/>
    <n v="445"/>
    <x v="4"/>
    <s v="K           "/>
    <s v="REDAZIONI GIORNALISTICHE"/>
    <x v="37"/>
    <x v="36"/>
    <s v="514300      "/>
    <s v="514300   REDAZIONE MILANO"/>
    <s v="MEAZZA                          "/>
    <s v="MAURO             "/>
    <s v="MZZMRA62S13F205Q"/>
    <x v="1"/>
    <s v="66"/>
    <x v="10"/>
    <s v="03/06/2025"/>
    <s v="                       "/>
    <x v="6"/>
    <x v="6"/>
    <s v="C"/>
    <x v="6"/>
    <s v="01 "/>
    <x v="32"/>
    <s v="03/06/2025"/>
    <s v="03/06/2025"/>
    <s v="13/11/1962"/>
    <s v="A"/>
    <s v="A.IN FORZA"/>
    <s v="9  -ALTRE MOTIVAZIONI         9"/>
    <s v="31/05/2028"/>
    <s v=" "/>
    <s v=""/>
    <s v=""/>
    <n v="445"/>
    <s v="00"/>
    <n v="100"/>
    <s v="FULL TIME      100000000FF100-FULL TIME"/>
    <s v="03/06/2025"/>
    <s v=""/>
    <s v="  "/>
    <s v=""/>
    <s v="GSS "/>
    <s v="    "/>
    <x v="0"/>
    <s v=""/>
    <s v="ext.mauro.meazza@ilsole24ore.com                  "/>
    <s v="E"/>
    <s v="E-ESENTE"/>
    <s v="2 "/>
    <s v="2=6 X 6"/>
    <s v=""/>
    <s v=""/>
    <s v=""/>
    <s v="                              "/>
    <s v=""/>
    <n v="63"/>
    <s v="I  "/>
  </r>
  <r>
    <x v="4"/>
    <n v="299"/>
    <x v="4"/>
    <s v="K           "/>
    <s v="REDAZIONI GIORNALISTICHE"/>
    <x v="37"/>
    <x v="36"/>
    <s v="514300      "/>
    <s v="514300   REDAZIONE MILANO"/>
    <s v="PIERACCINI                      "/>
    <s v="SILVIA            "/>
    <s v="PRCSLV67P44G999H"/>
    <x v="0"/>
    <s v="34"/>
    <x v="0"/>
    <s v="01/04/2021"/>
    <s v="MILANO                 "/>
    <x v="6"/>
    <x v="6"/>
    <s v="C"/>
    <x v="6"/>
    <s v="01 "/>
    <x v="32"/>
    <s v="01/03/2014"/>
    <s v="01/03/2014"/>
    <s v="04/09/1967"/>
    <s v="A"/>
    <s v="A.IN FORZA"/>
    <s v="9  -ALTRE MOTIVAZIONI         9"/>
    <s v="28/02/2026"/>
    <s v=" "/>
    <s v=""/>
    <s v=""/>
    <n v="352"/>
    <s v="00"/>
    <n v="100"/>
    <s v="FULL TIME      100000000FF100-FULL TIME"/>
    <s v="01/03/2014"/>
    <s v=""/>
    <s v="  "/>
    <s v=""/>
    <s v="0   "/>
    <s v="    "/>
    <x v="0"/>
    <s v=""/>
    <s v="ext.silvia.pieraccini@ilsole24ore.com             "/>
    <s v="E"/>
    <s v="E-ESENTE"/>
    <s v="  "/>
    <s v=""/>
    <s v=""/>
    <s v=""/>
    <s v=""/>
    <s v="                              "/>
    <s v=""/>
    <n v="58"/>
    <s v="I  "/>
  </r>
  <r>
    <x v="4"/>
    <n v="417"/>
    <x v="4"/>
    <s v="K           "/>
    <s v="REDAZIONI GIORNALISTICHE"/>
    <x v="37"/>
    <x v="36"/>
    <s v="514300      "/>
    <s v="514300   REDAZIONE MILANO"/>
    <s v="SCOTT                           "/>
    <s v="ANTONELLA         "/>
    <s v="SCTNNL62A64F205Y"/>
    <x v="0"/>
    <s v="34"/>
    <x v="0"/>
    <s v="09/05/2022"/>
    <s v="MILANO                 "/>
    <x v="6"/>
    <x v="6"/>
    <s v="C"/>
    <x v="6"/>
    <s v="01 "/>
    <x v="32"/>
    <s v="09/05/2022"/>
    <s v="09/05/2022"/>
    <s v="24/01/1962"/>
    <s v="A"/>
    <s v="A.IN FORZA"/>
    <s v="9  -ALTRE MOTIVAZIONI         9"/>
    <s v="31/05/2026"/>
    <s v=" "/>
    <s v=""/>
    <s v=""/>
    <n v="469"/>
    <s v="00"/>
    <n v="100"/>
    <s v="FULL TIME      100000000FF100-FULL TIME"/>
    <s v="09/05/2022"/>
    <s v=""/>
    <s v="  "/>
    <s v=""/>
    <s v="0   "/>
    <s v="    "/>
    <x v="0"/>
    <s v=""/>
    <s v="ext.antonella.scott@ilsole24ore.com               "/>
    <s v="E"/>
    <s v="E-ESENTE"/>
    <s v="  "/>
    <s v=""/>
    <s v=""/>
    <s v=""/>
    <s v=""/>
    <s v="                              "/>
    <s v=""/>
    <n v="64"/>
    <s v="I  "/>
  </r>
  <r>
    <x v="4"/>
    <n v="320"/>
    <x v="4"/>
    <s v="K           "/>
    <s v="REDAZIONI GIORNALISTICHE"/>
    <x v="37"/>
    <x v="36"/>
    <s v="514300      "/>
    <s v="514300   REDAZIONE MILANO"/>
    <s v="TORNO                           "/>
    <s v="ARMANDO           "/>
    <s v="TRNRND53R22F205P"/>
    <x v="1"/>
    <s v="34"/>
    <x v="0"/>
    <s v="01/04/2021"/>
    <s v="MILANO                 "/>
    <x v="6"/>
    <x v="6"/>
    <s v="C"/>
    <x v="6"/>
    <s v="01 "/>
    <x v="32"/>
    <s v="05/05/2015"/>
    <s v="05/05/2015"/>
    <s v="22/10/1953"/>
    <s v="A"/>
    <s v="A.IN FORZA"/>
    <s v="9  -ALTRE MOTIVAZIONI         9"/>
    <s v=""/>
    <s v=" "/>
    <s v=""/>
    <s v=""/>
    <n v="373"/>
    <s v="00"/>
    <n v="100"/>
    <s v="FULL TIME      100000000FF100-FULL TIME"/>
    <s v=""/>
    <s v=""/>
    <s v="  "/>
    <s v=""/>
    <s v="0   "/>
    <s v="    "/>
    <x v="0"/>
    <s v=""/>
    <s v="ext.armando.torno@ilsole24ore.com                 "/>
    <s v="E"/>
    <s v="E-ESENTE"/>
    <s v="  "/>
    <s v=""/>
    <s v=""/>
    <s v=""/>
    <s v=""/>
    <s v="                              "/>
    <s v=""/>
    <n v="72"/>
    <s v="I  "/>
  </r>
  <r>
    <x v="4"/>
    <n v="314"/>
    <x v="4"/>
    <s v="K           "/>
    <s v="REDAZIONI GIORNALISTICHE"/>
    <x v="37"/>
    <x v="36"/>
    <s v="514700      "/>
    <s v="514700   REDAZIONE ROMA"/>
    <s v="PESOLE                          "/>
    <s v="AGOSTINO          "/>
    <s v="PSLGTN51L28H501N"/>
    <x v="1"/>
    <s v="31"/>
    <x v="1"/>
    <s v="01/11/2014"/>
    <s v="ROMA                   "/>
    <x v="6"/>
    <x v="6"/>
    <s v="C"/>
    <x v="6"/>
    <s v="01 "/>
    <x v="32"/>
    <s v="01/11/2014"/>
    <s v="01/11/2014"/>
    <s v="28/07/1951"/>
    <s v="A"/>
    <s v="A.IN FORZA"/>
    <s v="9  -ALTRE MOTIVAZIONI         9"/>
    <s v=""/>
    <s v=" "/>
    <s v=""/>
    <s v=""/>
    <n v="367"/>
    <s v="00"/>
    <n v="100"/>
    <s v="FULL TIME      100000000FF100-FULL TIME"/>
    <s v="01/11/2014"/>
    <s v=""/>
    <s v="  "/>
    <s v=""/>
    <s v="0   "/>
    <s v="    "/>
    <x v="0"/>
    <s v=""/>
    <s v="dino.pesole@ilsole24ore.com                       "/>
    <s v="E"/>
    <s v="E-ESENTE"/>
    <s v="  "/>
    <s v=""/>
    <s v=""/>
    <s v=""/>
    <s v=""/>
    <s v="                              "/>
    <s v=""/>
    <n v="74"/>
    <s v="I  "/>
  </r>
  <r>
    <x v="4"/>
    <n v="418"/>
    <x v="4"/>
    <s v="K           "/>
    <s v="REDAZIONI GIORNALISTICHE"/>
    <x v="37"/>
    <x v="36"/>
    <s v="514700      "/>
    <s v="514700   REDAZIONE ROMA"/>
    <s v="PICCHIO                         "/>
    <s v="NICOLETTA         "/>
    <s v="PCCNLT58R61G478S"/>
    <x v="0"/>
    <s v="31"/>
    <x v="1"/>
    <s v="20/06/2022"/>
    <s v="ROMA                   "/>
    <x v="6"/>
    <x v="6"/>
    <s v="C"/>
    <x v="6"/>
    <s v="01 "/>
    <x v="32"/>
    <s v="20/06/2022"/>
    <s v="20/06/2022"/>
    <s v="21/10/1958"/>
    <s v="A"/>
    <s v="A.IN FORZA"/>
    <s v="9  -ALTRE MOTIVAZIONI         9"/>
    <s v="31/05/2026"/>
    <s v=" "/>
    <s v=""/>
    <s v=""/>
    <n v="470"/>
    <s v="00"/>
    <n v="100"/>
    <s v="FULL TIME      100000000FF100-FULL TIME"/>
    <s v="20/06/2022"/>
    <s v=""/>
    <s v="  "/>
    <s v=""/>
    <s v="0   "/>
    <s v="    "/>
    <x v="0"/>
    <s v=""/>
    <s v="np@nicolettapicchio.com                           "/>
    <s v="E"/>
    <s v="E-ESENTE"/>
    <s v="  "/>
    <s v=""/>
    <s v=""/>
    <s v=""/>
    <s v=""/>
    <s v="                              "/>
    <s v=""/>
    <n v="67"/>
    <s v="I  "/>
  </r>
  <r>
    <x v="4"/>
    <n v="374"/>
    <x v="4"/>
    <s v="K           "/>
    <s v="REDAZIONI GIORNALISTICHE"/>
    <x v="38"/>
    <x v="37"/>
    <s v="Q17000      "/>
    <s v="Q17000   REDAZIONE GIORNALISTICA PROGRAM"/>
    <s v="BUSSOLA                         "/>
    <s v="MATTEO            "/>
    <s v="BSSMTT71S14F861P"/>
    <x v="1"/>
    <s v="34"/>
    <x v="0"/>
    <s v="01/04/2021"/>
    <s v="MILANO                 "/>
    <x v="6"/>
    <x v="6"/>
    <s v="S"/>
    <x v="7"/>
    <s v="01 "/>
    <x v="33"/>
    <s v="08/09/2019"/>
    <s v="03/11/2017"/>
    <s v="14/11/1971"/>
    <s v="A"/>
    <s v="A.IN FORZA"/>
    <s v="9  -ALTRE MOTIVAZIONI         9"/>
    <s v="26/07/2026"/>
    <s v=" "/>
    <s v=""/>
    <s v=""/>
    <n v="426"/>
    <s v="00"/>
    <n v="100"/>
    <s v="FULL TIME      100000000FF100-FULL TIME"/>
    <s v=""/>
    <s v=""/>
    <s v="  "/>
    <s v=""/>
    <s v="0   "/>
    <s v="    "/>
    <x v="0"/>
    <s v=""/>
    <s v="ext.matteo.bussola@radio24.it                     "/>
    <s v="E"/>
    <s v="E-ESENTE"/>
    <s v="  "/>
    <s v=""/>
    <s v=""/>
    <s v=""/>
    <s v=""/>
    <s v="                              "/>
    <s v=""/>
    <n v="54"/>
    <s v="I  "/>
  </r>
  <r>
    <x v="4"/>
    <n v="286"/>
    <x v="4"/>
    <s v="K           "/>
    <s v="REDAZIONI GIORNALISTICHE"/>
    <x v="38"/>
    <x v="37"/>
    <s v="Q17000      "/>
    <s v="Q17000   REDAZIONE GIORNALISTICA PROGRAM"/>
    <s v="CARBONE                         "/>
    <s v="NICOLETTA         "/>
    <s v="CRBNLT60H57L219U"/>
    <x v="0"/>
    <s v="34"/>
    <x v="0"/>
    <s v="01/04/2021"/>
    <s v="MILANO                 "/>
    <x v="6"/>
    <x v="6"/>
    <s v="C"/>
    <x v="6"/>
    <s v="01 "/>
    <x v="32"/>
    <s v="01/01/2014"/>
    <s v="01/08/2006"/>
    <s v="17/06/1960"/>
    <s v="A"/>
    <s v="A.IN FORZA"/>
    <s v="9  -ALTRE MOTIVAZIONI         9"/>
    <s v="26/07/2026"/>
    <s v=" "/>
    <s v=""/>
    <s v=""/>
    <n v="339"/>
    <s v="00"/>
    <n v="100"/>
    <s v="FULL TIME      100000000FF100-FULL TIME"/>
    <s v=""/>
    <s v=""/>
    <s v="  "/>
    <s v=""/>
    <s v="0   "/>
    <s v="    "/>
    <x v="0"/>
    <s v=""/>
    <s v="ext.nicoletta.carbone@radio24.it                  "/>
    <s v="E"/>
    <s v="E-ESENTE"/>
    <s v="  "/>
    <s v=""/>
    <s v=""/>
    <s v=""/>
    <s v=""/>
    <s v="                              "/>
    <s v=""/>
    <n v="65"/>
    <s v="I  "/>
  </r>
  <r>
    <x v="4"/>
    <n v="228"/>
    <x v="4"/>
    <s v="K           "/>
    <s v="REDAZIONI GIORNALISTICHE"/>
    <x v="38"/>
    <x v="37"/>
    <s v="Q17000      "/>
    <s v="Q17000   REDAZIONE GIORNALISTICA PROGRAM"/>
    <s v="CARRUBBA                        "/>
    <s v="SALVATORE         "/>
    <s v="CRRSVT51E19C351G"/>
    <x v="1"/>
    <s v="66"/>
    <x v="10"/>
    <s v="01/01/2025"/>
    <s v="                       "/>
    <x v="6"/>
    <x v="6"/>
    <s v="C"/>
    <x v="6"/>
    <s v="01 "/>
    <x v="32"/>
    <s v="01/01/2025"/>
    <s v="11/10/2010"/>
    <s v="19/05/1951"/>
    <s v="A"/>
    <s v="A.IN FORZA"/>
    <s v="9  -ALTRE MOTIVAZIONI         9"/>
    <s v="31/08/2026"/>
    <s v=" "/>
    <s v=""/>
    <s v=""/>
    <n v="281"/>
    <s v="00"/>
    <n v="100"/>
    <s v="FULL TIME      100000000FF100-FULL TIME"/>
    <s v="11/10/2010"/>
    <s v=""/>
    <s v="  "/>
    <s v=""/>
    <s v="0   "/>
    <s v="    "/>
    <x v="0"/>
    <s v=""/>
    <s v="ext.salvatore.carrubba@ilsole24ore.com            "/>
    <s v="E"/>
    <s v="E-ESENTE"/>
    <s v="  "/>
    <s v=""/>
    <s v=""/>
    <s v=""/>
    <s v=""/>
    <s v="                              "/>
    <s v=""/>
    <n v="74"/>
    <s v="I  "/>
  </r>
  <r>
    <x v="4"/>
    <n v="288"/>
    <x v="4"/>
    <s v="K           "/>
    <s v="REDAZIONI GIORNALISTICHE"/>
    <x v="38"/>
    <x v="37"/>
    <s v="Q17000      "/>
    <s v="Q17000   REDAZIONE GIORNALISTICA PROGRAM"/>
    <s v="NICOLETTI                       "/>
    <s v="GIANLUCA          "/>
    <s v="NCLGLC54M17G478C"/>
    <x v="1"/>
    <s v="31"/>
    <x v="1"/>
    <s v="01/06/2009"/>
    <s v="ROMA                   "/>
    <x v="6"/>
    <x v="6"/>
    <s v="C"/>
    <x v="6"/>
    <s v="01 "/>
    <x v="32"/>
    <s v="01/01/2014"/>
    <s v="01/01/2006"/>
    <s v="17/08/1954"/>
    <s v="A"/>
    <s v="A.IN FORZA"/>
    <s v="1  -ASSUNZIONE                1"/>
    <s v="31/07/2026"/>
    <s v=" "/>
    <s v=""/>
    <s v=""/>
    <n v="341"/>
    <s v="00"/>
    <n v="100"/>
    <s v="FULL TIME      100000000FF100-FULL TIME"/>
    <s v="01/01/2006"/>
    <s v=""/>
    <s v="  "/>
    <s v=""/>
    <s v="0   "/>
    <s v="    "/>
    <x v="0"/>
    <s v=""/>
    <s v="gianluca.nicoletti@radio24.it                     "/>
    <s v="E"/>
    <s v="E-ESENTE"/>
    <s v="  "/>
    <s v=""/>
    <s v=""/>
    <s v=""/>
    <s v=""/>
    <s v="                              "/>
    <s v=""/>
    <n v="71"/>
    <s v="I  "/>
  </r>
  <r>
    <x v="4"/>
    <n v="443"/>
    <x v="4"/>
    <s v="K           "/>
    <s v="REDAZIONI GIORNALISTICHE"/>
    <x v="38"/>
    <x v="37"/>
    <s v="Q17000      "/>
    <s v="Q17000   REDAZIONE GIORNALISTICA PROGRAM"/>
    <s v="PELLEGATTI                      "/>
    <s v="CARLO             "/>
    <s v="PLLCRL50D11F205F"/>
    <x v="1"/>
    <s v="66"/>
    <x v="10"/>
    <s v="05/02/2025"/>
    <s v="                       "/>
    <x v="6"/>
    <x v="6"/>
    <s v="C"/>
    <x v="6"/>
    <s v="01 "/>
    <x v="32"/>
    <s v="05/02/2025"/>
    <s v="05/02/2025"/>
    <s v="11/04/1950"/>
    <s v="A"/>
    <s v="A.IN FORZA"/>
    <s v="9  -ALTRE MOTIVAZIONI         9"/>
    <s v="26/07/2026"/>
    <s v=" "/>
    <s v=""/>
    <s v=""/>
    <n v="494"/>
    <s v="00"/>
    <n v="100"/>
    <s v="FULL TIME      100000000FF100-FULL TIME"/>
    <s v="05/02/2025"/>
    <s v=""/>
    <s v="  "/>
    <s v=""/>
    <s v="0   "/>
    <s v="    "/>
    <x v="0"/>
    <s v=""/>
    <s v="ext.carlo.pellegatti@radio24.it                   "/>
    <s v="E"/>
    <s v="E-ESENTE"/>
    <s v="  "/>
    <s v=""/>
    <s v=""/>
    <s v=""/>
    <s v=""/>
    <s v="                              "/>
    <s v=""/>
    <n v="75"/>
    <s v="I  "/>
  </r>
  <r>
    <x v="4"/>
    <n v="311"/>
    <x v="4"/>
    <s v="K           "/>
    <s v="REDAZIONI GIORNALISTICHE"/>
    <x v="56"/>
    <x v="52"/>
    <s v="518200      "/>
    <s v="518200   HOW TO SPEND IT"/>
    <s v="FERRARI                         "/>
    <s v="NICOLETTA         "/>
    <s v="FRRNLT61B66F205E"/>
    <x v="0"/>
    <s v="34"/>
    <x v="0"/>
    <s v="01/04/2021"/>
    <s v="MILANO                 "/>
    <x v="6"/>
    <x v="6"/>
    <s v="C"/>
    <x v="6"/>
    <s v="01 "/>
    <x v="32"/>
    <s v="03/01/2022"/>
    <s v="19/08/2014"/>
    <s v="26/02/1961"/>
    <s v="A"/>
    <s v="A.IN FORZA"/>
    <s v="9  -ALTRE MOTIVAZIONI         9"/>
    <s v="31/12/2026"/>
    <s v=" "/>
    <s v=""/>
    <s v=""/>
    <n v="364"/>
    <s v="00"/>
    <n v="100"/>
    <s v="FULL TIME      100000000FF100-FULL TIME"/>
    <s v=""/>
    <s v=""/>
    <s v="  "/>
    <s v=""/>
    <s v="0   "/>
    <s v="    "/>
    <x v="0"/>
    <s v=""/>
    <s v="ext.nicoletta.ferrari@ilsole24ore.com             "/>
    <s v="E"/>
    <s v="E-ESENTE"/>
    <s v="  "/>
    <s v=""/>
    <s v=""/>
    <s v=""/>
    <s v=""/>
    <s v="                              "/>
    <s v=""/>
    <n v="64"/>
    <s v="I  "/>
  </r>
  <r>
    <x v="4"/>
    <n v="371"/>
    <x v="4"/>
    <s v="K           "/>
    <s v="REDAZIONI GIORNALISTICHE"/>
    <x v="40"/>
    <x v="39"/>
    <s v="515010      "/>
    <s v="515010   RCO+ FINANZA E MERCATI MI"/>
    <s v="LICINI                          "/>
    <s v="GIULIANA          "/>
    <s v="LCNGLN57D41D530W"/>
    <x v="0"/>
    <s v="34"/>
    <x v="0"/>
    <s v="01/04/2021"/>
    <s v="MILANO                 "/>
    <x v="6"/>
    <x v="6"/>
    <s v="C"/>
    <x v="6"/>
    <s v="01 "/>
    <x v="32"/>
    <s v="09/10/2017"/>
    <s v="09/10/2017"/>
    <s v="01/04/1957"/>
    <s v="A"/>
    <s v="A.IN FORZA"/>
    <s v="9  -ALTRE MOTIVAZIONI         9"/>
    <s v=""/>
    <s v=" "/>
    <s v=""/>
    <s v=""/>
    <n v="423"/>
    <s v="00"/>
    <n v="100"/>
    <s v="FULL TIME      100000000FF100-FULL TIME"/>
    <s v="09/10/2017"/>
    <s v=""/>
    <s v="  "/>
    <s v=""/>
    <s v="0   "/>
    <s v="    "/>
    <x v="0"/>
    <s v=""/>
    <s v="ext.giuliana.licini@ilsole24ore.com               "/>
    <s v="E"/>
    <s v="E-ESENTE"/>
    <s v="  "/>
    <s v=""/>
    <s v=""/>
    <s v=""/>
    <s v=""/>
    <s v="                              "/>
    <s v=""/>
    <n v="68"/>
    <s v="I  "/>
  </r>
  <r>
    <x v="4"/>
    <n v="426"/>
    <x v="4"/>
    <s v="K           "/>
    <s v="REDAZIONI GIORNALISTICHE"/>
    <x v="40"/>
    <x v="39"/>
    <s v="515010      "/>
    <s v="515010   RCO+ FINANZA E MERCATI MI"/>
    <s v="MADEDDU                         "/>
    <s v="DAVIDE            "/>
    <s v="MDDDVD71S07E281E"/>
    <x v="1"/>
    <s v="66"/>
    <x v="10"/>
    <s v="01/11/2022"/>
    <s v="                       "/>
    <x v="6"/>
    <x v="6"/>
    <s v="C"/>
    <x v="6"/>
    <s v="01 "/>
    <x v="32"/>
    <s v="01/11/2022"/>
    <s v="01/11/2022"/>
    <s v="07/11/1971"/>
    <s v="A"/>
    <s v="A.IN FORZA"/>
    <s v="9  -ALTRE MOTIVAZIONI         9"/>
    <s v=""/>
    <s v=" "/>
    <s v=""/>
    <s v=""/>
    <n v="478"/>
    <s v="00"/>
    <n v="100"/>
    <s v="FULL TIME      100000000FF100-FULL TIME"/>
    <s v="01/11/2022"/>
    <s v=""/>
    <s v="  "/>
    <s v=""/>
    <s v="0   "/>
    <s v="    "/>
    <x v="0"/>
    <s v=""/>
    <s v="ext.davide.madeddu@ilsole24ore.com                "/>
    <s v="E"/>
    <s v="E-ESENTE"/>
    <s v="  "/>
    <s v=""/>
    <s v=""/>
    <s v=""/>
    <s v=""/>
    <s v="                              "/>
    <s v=""/>
    <n v="54"/>
    <s v="I  "/>
  </r>
  <r>
    <x v="5"/>
    <n v="16"/>
    <x v="5"/>
    <s v="W           "/>
    <s v="24 ORE CULTURA"/>
    <x v="53"/>
    <x v="49"/>
    <s v="W1952010    "/>
    <s v="W1952010 MOSTRE"/>
    <s v="SERAFINI                        "/>
    <s v="SANDRA            "/>
    <s v="SRFSDR79B65C745J"/>
    <x v="0"/>
    <s v="66"/>
    <x v="11"/>
    <s v="02/01/2023"/>
    <s v="                       "/>
    <x v="6"/>
    <x v="6"/>
    <s v="C"/>
    <x v="6"/>
    <s v="01 "/>
    <x v="32"/>
    <s v="02/01/2023"/>
    <s v="02/01/2023"/>
    <s v="25/02/1979"/>
    <s v="A"/>
    <s v="A.IN FORZA"/>
    <s v="9  -ALTRE MOTIVAZIONI         9"/>
    <s v=""/>
    <s v=" "/>
    <s v=""/>
    <s v=""/>
    <n v="16"/>
    <s v="00"/>
    <n v="100"/>
    <s v="FULL TIME      100000000FF100-FULL TIME"/>
    <s v="02/01/2023"/>
    <s v=""/>
    <s v="  "/>
    <s v=""/>
    <s v="    "/>
    <s v="    "/>
    <x v="0"/>
    <s v=""/>
    <s v="ext.sandra.serafini@24orecultura.com              "/>
    <s v=" "/>
    <s v=""/>
    <s v="  "/>
    <s v=""/>
    <s v=""/>
    <s v=""/>
    <s v=""/>
    <s v="                              "/>
    <s v=""/>
    <n v="46"/>
    <s v="I  "/>
  </r>
  <r>
    <x v="6"/>
    <n v="82"/>
    <x v="4"/>
    <s v="B           "/>
    <s v="DG M&amp;B - DG RADIO 24"/>
    <x v="4"/>
    <x v="4"/>
    <s v="Q14000      "/>
    <s v="Q14000   SERVIZI RADIOFONICI"/>
    <s v="LONGOBARDO                      "/>
    <s v="ROSA              "/>
    <s v="LNGRSO80E55F205O"/>
    <x v="0"/>
    <s v="34"/>
    <x v="0"/>
    <s v="01/04/2021"/>
    <s v="MILANO                 "/>
    <x v="7"/>
    <x v="7"/>
    <s v="Z"/>
    <x v="8"/>
    <s v="INT"/>
    <x v="34"/>
    <s v="01/10/2019"/>
    <s v="01/01/2019"/>
    <s v="15/05/1980"/>
    <s v="A"/>
    <s v="A.IN FORZA"/>
    <s v="1  -ASSUNZIONE                1"/>
    <s v=""/>
    <s v=" "/>
    <s v=""/>
    <s v=""/>
    <n v="82"/>
    <s v="00"/>
    <n v="100"/>
    <s v="FULL TIME      100000000FF100-FULL TIME"/>
    <s v=""/>
    <s v=""/>
    <s v="  "/>
    <s v=""/>
    <s v="0   "/>
    <s v="    "/>
    <x v="0"/>
    <s v=""/>
    <s v="                                                  "/>
    <s v="E"/>
    <s v="E-ESENTE"/>
    <s v="  "/>
    <s v=""/>
    <s v=""/>
    <s v=""/>
    <s v=""/>
    <s v="                              "/>
    <s v=""/>
    <n v="45"/>
    <s v="I  "/>
  </r>
  <r>
    <x v="6"/>
    <n v="94"/>
    <x v="4"/>
    <s v="B           "/>
    <s v="DG M&amp;B - DG RADIO 24"/>
    <x v="4"/>
    <x v="4"/>
    <s v="Q14000      "/>
    <s v="Q14000   SERVIZI RADIOFONICI"/>
    <s v="MOROSATO                        "/>
    <s v="SAMANTHA          "/>
    <s v="MRSSNT81R58F205X"/>
    <x v="0"/>
    <s v="34"/>
    <x v="0"/>
    <s v="20/09/2021"/>
    <s v="MILANO                 "/>
    <x v="7"/>
    <x v="7"/>
    <s v="Z"/>
    <x v="8"/>
    <s v="INT"/>
    <x v="34"/>
    <s v="20/09/2021"/>
    <s v="20/09/2021"/>
    <s v="18/10/1981"/>
    <s v="A"/>
    <s v="A.IN FORZA"/>
    <s v="1  -ASSUNZIONE                1"/>
    <s v=""/>
    <s v=" "/>
    <s v=""/>
    <s v=""/>
    <n v="94"/>
    <s v="00"/>
    <n v="100"/>
    <s v="FULL TIME      100000000FF100-FULL TIME"/>
    <s v="20/09/2021"/>
    <s v=""/>
    <s v="  "/>
    <s v=""/>
    <s v="    "/>
    <s v="    "/>
    <x v="0"/>
    <s v=""/>
    <s v="ext.samantha.morosato@radio24.it                  "/>
    <s v=" "/>
    <s v=""/>
    <s v="  "/>
    <s v=""/>
    <s v=""/>
    <s v=""/>
    <s v=""/>
    <s v="                              "/>
    <s v=""/>
    <n v="44"/>
    <s v="I  "/>
  </r>
  <r>
    <x v="6"/>
    <n v="83"/>
    <x v="4"/>
    <s v="B           "/>
    <s v="DG M&amp;B - DG RADIO 24"/>
    <x v="4"/>
    <x v="4"/>
    <s v="Q14000      "/>
    <s v="Q14000   SERVIZI RADIOFONICI"/>
    <s v="SANTINI                         "/>
    <s v="MICOL             "/>
    <s v="SNTMCL82M42D548Y"/>
    <x v="0"/>
    <s v="34"/>
    <x v="0"/>
    <s v="01/04/2021"/>
    <s v="MILANO                 "/>
    <x v="7"/>
    <x v="7"/>
    <s v="Z"/>
    <x v="8"/>
    <s v="INT"/>
    <x v="34"/>
    <s v="01/10/2019"/>
    <s v="01/01/2019"/>
    <s v="02/08/1982"/>
    <s v="A"/>
    <s v="A.IN FORZA"/>
    <s v="1  -ASSUNZIONE                1"/>
    <s v=""/>
    <s v=" "/>
    <s v=""/>
    <s v=""/>
    <n v="83"/>
    <s v="00"/>
    <n v="100"/>
    <s v="FULL TIME      100000000FF100-FULL TIME"/>
    <s v=""/>
    <s v=""/>
    <s v="  "/>
    <s v=""/>
    <s v="0   "/>
    <s v="    "/>
    <x v="0"/>
    <s v=""/>
    <s v="ext.micol.santini@radio24.it                      "/>
    <s v="E"/>
    <s v="E-ESENTE"/>
    <s v="  "/>
    <s v=""/>
    <s v=""/>
    <s v=""/>
    <s v=""/>
    <s v="                              "/>
    <s v=""/>
    <n v="43"/>
    <s v="I  "/>
  </r>
  <r>
    <x v="6"/>
    <n v="103"/>
    <x v="4"/>
    <s v="F           "/>
    <s v="DIR CENTRALE PERSONALE, ORGANIZZA E SOST"/>
    <x v="22"/>
    <x v="21"/>
    <s v="514800      "/>
    <s v="514800   STRUTTURA MEDIA FACTORY ENEL"/>
    <s v="DI BONA                         "/>
    <s v="CRISTINA          "/>
    <s v="DBNCST88L46A486N"/>
    <x v="0"/>
    <s v="36"/>
    <x v="2"/>
    <s v="07/04/2025"/>
    <s v="ROMA                   "/>
    <x v="7"/>
    <x v="7"/>
    <s v="Z"/>
    <x v="8"/>
    <s v="INT"/>
    <x v="34"/>
    <s v="07/04/2025"/>
    <s v="07/04/2025"/>
    <s v="06/07/1988"/>
    <s v="A"/>
    <s v="A.IN FORZA"/>
    <s v="1C-ASSUNZIONE CONTR. A TERMINE1"/>
    <s v=""/>
    <s v=" "/>
    <s v=""/>
    <s v=""/>
    <n v="103"/>
    <s v="00"/>
    <n v="100"/>
    <s v="FULL TIME      100000000FF100-FULL TIME"/>
    <s v="07/04/2025"/>
    <s v=""/>
    <s v="  "/>
    <s v=""/>
    <s v="0   "/>
    <s v="    "/>
    <x v="0"/>
    <s v=""/>
    <s v="                                                  "/>
    <s v=" "/>
    <s v=""/>
    <s v="  "/>
    <s v=""/>
    <s v=""/>
    <s v=""/>
    <s v=""/>
    <s v="                              "/>
    <s v=""/>
    <n v="37"/>
    <s v="I  "/>
  </r>
  <r>
    <x v="6"/>
    <n v="86"/>
    <x v="4"/>
    <s v="F           "/>
    <s v="DIR CENTRALE PERSONALE, ORGANIZZA E SOST"/>
    <x v="22"/>
    <x v="21"/>
    <s v="514800      "/>
    <s v="514800   STRUTTURA MEDIA FACTORY ENEL"/>
    <s v="FIORITO                         "/>
    <s v="ALESSIO           "/>
    <s v="FRTLSS88H14F205G"/>
    <x v="1"/>
    <s v="36"/>
    <x v="2"/>
    <s v="09/12/2024"/>
    <s v="ROMA                   "/>
    <x v="7"/>
    <x v="7"/>
    <s v="Z"/>
    <x v="8"/>
    <s v="INT"/>
    <x v="34"/>
    <s v="26/07/2019"/>
    <s v="26/07/2019"/>
    <s v="14/06/1988"/>
    <s v="A"/>
    <s v="A.IN FORZA"/>
    <s v="1  -ASSUNZIONE                1"/>
    <s v=""/>
    <s v=" "/>
    <s v=""/>
    <s v=""/>
    <n v="86"/>
    <s v="00"/>
    <n v="100"/>
    <s v="FULL TIME      100000000FF100-FULL TIME"/>
    <s v=""/>
    <s v=""/>
    <s v="  "/>
    <s v=""/>
    <s v="0   "/>
    <s v="    "/>
    <x v="0"/>
    <s v=""/>
    <s v="                                                  "/>
    <s v="E"/>
    <s v="E-ESENTE"/>
    <s v="  "/>
    <s v=""/>
    <s v=""/>
    <s v=""/>
    <s v=""/>
    <s v="                              "/>
    <s v=""/>
    <n v="37"/>
    <s v="I  "/>
  </r>
  <r>
    <x v="6"/>
    <n v="106"/>
    <x v="4"/>
    <s v="F           "/>
    <s v="DIR CENTRALE PERSONALE, ORGANIZZA E SOST"/>
    <x v="22"/>
    <x v="21"/>
    <s v="514800      "/>
    <s v="514800   STRUTTURA MEDIA FACTORY ENEL"/>
    <s v="GRAZIANI                        "/>
    <s v="MARIA RITA        "/>
    <s v="GRZMRT84C55A345I"/>
    <x v="0"/>
    <s v="36"/>
    <x v="2"/>
    <s v="01/11/2025"/>
    <s v="ROMA                   "/>
    <x v="7"/>
    <x v="7"/>
    <s v="Z"/>
    <x v="8"/>
    <s v="INT"/>
    <x v="34"/>
    <s v="07/10/2025"/>
    <s v="07/10/2025"/>
    <s v="15/03/1984"/>
    <s v="A"/>
    <s v="A.IN FORZA"/>
    <s v="1C-ASSUNZIONE CONTR. A TERMINE1"/>
    <s v=""/>
    <s v=" "/>
    <s v=""/>
    <s v=""/>
    <n v="0"/>
    <s v="00"/>
    <n v="100"/>
    <s v="FULL TIME      100000000FF100-FULL TIME"/>
    <s v="01/11/2025"/>
    <s v=""/>
    <s v="  "/>
    <s v=""/>
    <s v="    "/>
    <s v="    "/>
    <x v="0"/>
    <s v=""/>
    <s v="                                                  "/>
    <s v=" "/>
    <s v=""/>
    <s v="  "/>
    <s v=""/>
    <s v=""/>
    <s v=""/>
    <s v=""/>
    <s v="                              "/>
    <s v=""/>
    <n v="41"/>
    <s v="I  "/>
  </r>
  <r>
    <x v="6"/>
    <n v="98"/>
    <x v="4"/>
    <s v="F           "/>
    <s v="DIR CENTRALE PERSONALE, ORGANIZZA E SOST"/>
    <x v="22"/>
    <x v="21"/>
    <s v="514800      "/>
    <s v="514800   STRUTTURA MEDIA FACTORY ENEL"/>
    <s v="LEONE                           "/>
    <s v="ALESSANDRO        "/>
    <s v="LNELSN93H01L113S"/>
    <x v="1"/>
    <s v="36"/>
    <x v="2"/>
    <s v="09/12/2024"/>
    <s v="ROMA                   "/>
    <x v="7"/>
    <x v="7"/>
    <s v="Z"/>
    <x v="8"/>
    <s v="INT"/>
    <x v="34"/>
    <s v="01/03/2023"/>
    <s v="01/03/2023"/>
    <s v="01/06/1993"/>
    <s v="A"/>
    <s v="A.IN FORZA"/>
    <s v="1  -ASSUNZIONE                1"/>
    <s v=""/>
    <s v=" "/>
    <s v=""/>
    <s v=""/>
    <n v="98"/>
    <s v="00"/>
    <n v="100"/>
    <s v="FULL TIME      100000000FF100-FULL TIME"/>
    <s v="01/03/2023"/>
    <s v=""/>
    <s v="  "/>
    <s v=""/>
    <s v="    "/>
    <s v="    "/>
    <x v="0"/>
    <s v=""/>
    <s v="                                                  "/>
    <s v=" "/>
    <s v=""/>
    <s v="  "/>
    <s v=""/>
    <s v=""/>
    <s v=""/>
    <s v=""/>
    <s v="                              "/>
    <s v=""/>
    <n v="32"/>
    <s v="I  "/>
  </r>
  <r>
    <x v="6"/>
    <n v="96"/>
    <x v="4"/>
    <s v="F           "/>
    <s v="DIR CENTRALE PERSONALE, ORGANIZZA E SOST"/>
    <x v="22"/>
    <x v="21"/>
    <s v="514800      "/>
    <s v="514800   STRUTTURA MEDIA FACTORY ENEL"/>
    <s v="MALTAGLIATI                     "/>
    <s v="DIANA             "/>
    <s v="MLTDNI88E62E514S"/>
    <x v="0"/>
    <s v="36"/>
    <x v="2"/>
    <s v="09/12/2024"/>
    <s v="ROMA                   "/>
    <x v="7"/>
    <x v="7"/>
    <s v="Z"/>
    <x v="8"/>
    <s v="INT"/>
    <x v="34"/>
    <s v="17/12/2022"/>
    <s v="17/12/2022"/>
    <s v="22/05/1988"/>
    <s v="A"/>
    <s v="A.IN FORZA"/>
    <s v="1  -ASSUNZIONE                1"/>
    <s v=""/>
    <s v=" "/>
    <s v=""/>
    <s v=""/>
    <n v="96"/>
    <s v="00"/>
    <n v="100"/>
    <s v="FULL TIME      100000000FF100-FULL TIME"/>
    <s v="17/12/2022"/>
    <s v=""/>
    <s v="  "/>
    <s v=""/>
    <s v="    "/>
    <s v="    "/>
    <x v="0"/>
    <s v=""/>
    <s v="                                                  "/>
    <s v=" "/>
    <s v=""/>
    <s v="  "/>
    <s v=""/>
    <s v=""/>
    <s v=""/>
    <s v=""/>
    <s v="                              "/>
    <s v=""/>
    <n v="37"/>
    <s v="I  "/>
  </r>
  <r>
    <x v="6"/>
    <n v="105"/>
    <x v="4"/>
    <s v="F           "/>
    <s v="DIR CENTRALE PERSONALE, ORGANIZZA E SOST"/>
    <x v="22"/>
    <x v="21"/>
    <s v="514800      "/>
    <s v="514800   STRUTTURA MEDIA FACTORY ENEL"/>
    <s v="NATALI                          "/>
    <s v="ELISA NANCY       "/>
    <s v="NTLLNN81S55Z700Y"/>
    <x v="0"/>
    <s v="36"/>
    <x v="2"/>
    <s v="01/11/2025"/>
    <s v="ROMA                   "/>
    <x v="7"/>
    <x v="7"/>
    <s v="Z"/>
    <x v="8"/>
    <s v="INT"/>
    <x v="34"/>
    <s v="26/06/2025"/>
    <s v="26/06/2025"/>
    <s v="15/11/1981"/>
    <s v="A"/>
    <s v="A.IN FORZA"/>
    <s v="1C-ASSUNZIONE CONTR. A TERMINE1"/>
    <s v=""/>
    <s v=" "/>
    <s v=""/>
    <s v=""/>
    <n v="105"/>
    <s v="00"/>
    <n v="100"/>
    <s v="FULL TIME      100000000FF100-FULL TIME"/>
    <s v="26/06/2025"/>
    <s v=""/>
    <s v="  "/>
    <s v=""/>
    <s v="0   "/>
    <s v="    "/>
    <x v="0"/>
    <s v=""/>
    <s v="                                                  "/>
    <s v=" "/>
    <s v=""/>
    <s v="  "/>
    <s v=""/>
    <s v=""/>
    <s v=""/>
    <s v=""/>
    <s v="                              "/>
    <s v=""/>
    <n v="44"/>
    <s v="I  "/>
  </r>
  <r>
    <x v="6"/>
    <n v="95"/>
    <x v="4"/>
    <s v="F           "/>
    <s v="DIR CENTRALE PERSONALE, ORGANIZZA E SOST"/>
    <x v="22"/>
    <x v="21"/>
    <s v="514800      "/>
    <s v="514800   STRUTTURA MEDIA FACTORY ENEL"/>
    <s v="ORSINI                          "/>
    <s v="CAMILLA           "/>
    <s v="RSNCLL91S55D786C"/>
    <x v="0"/>
    <s v="36"/>
    <x v="2"/>
    <s v="09/12/2024"/>
    <s v="ROMA                   "/>
    <x v="7"/>
    <x v="7"/>
    <s v="Z"/>
    <x v="8"/>
    <s v="INT"/>
    <x v="34"/>
    <s v="07/03/2022"/>
    <s v="07/03/2022"/>
    <s v="15/11/1991"/>
    <s v="A"/>
    <s v="A.IN FORZA"/>
    <s v="1  -ASSUNZIONE                1"/>
    <s v=""/>
    <s v=" "/>
    <s v=""/>
    <s v=""/>
    <n v="95"/>
    <s v="00"/>
    <n v="100"/>
    <s v="FULL TIME      100000000FF100-FULL TIME"/>
    <s v="07/03/2022"/>
    <s v=""/>
    <s v="  "/>
    <s v=""/>
    <s v="    "/>
    <s v="    "/>
    <x v="0"/>
    <s v=""/>
    <s v="                                                  "/>
    <s v=" "/>
    <s v=""/>
    <s v="  "/>
    <s v=""/>
    <s v=""/>
    <s v=""/>
    <s v=""/>
    <s v="                              "/>
    <s v=""/>
    <n v="34"/>
    <s v="I  "/>
  </r>
  <r>
    <x v="6"/>
    <n v="104"/>
    <x v="4"/>
    <s v="F           "/>
    <s v="DIR CENTRALE PERSONALE, ORGANIZZA E SOST"/>
    <x v="22"/>
    <x v="21"/>
    <s v="514800      "/>
    <s v="514800   STRUTTURA MEDIA FACTORY ENEL"/>
    <s v="PISELLI                         "/>
    <s v="CHIARA            "/>
    <s v="PSLCHR87A66D761F"/>
    <x v="0"/>
    <s v="36"/>
    <x v="2"/>
    <s v="02/01/2025"/>
    <s v="ROMA                   "/>
    <x v="7"/>
    <x v="7"/>
    <s v="Z"/>
    <x v="8"/>
    <s v="INT"/>
    <x v="34"/>
    <s v="02/01/2025"/>
    <s v="02/01/2025"/>
    <s v="26/01/1987"/>
    <s v="A"/>
    <s v="A.IN FORZA"/>
    <s v="1C-ASSUNZIONE CONTR. A TERMINE1"/>
    <s v=""/>
    <s v=" "/>
    <s v=""/>
    <s v=""/>
    <n v="104"/>
    <s v="00"/>
    <n v="100"/>
    <s v="FULL TIME      100000000FF100-FULL TIME"/>
    <s v="02/01/2025"/>
    <s v=""/>
    <s v="  "/>
    <s v=""/>
    <s v="0   "/>
    <s v="    "/>
    <x v="0"/>
    <s v=""/>
    <s v="                                                  "/>
    <s v=" "/>
    <s v=""/>
    <s v="  "/>
    <s v=""/>
    <s v=""/>
    <s v=""/>
    <s v=""/>
    <s v="                              "/>
    <s v=""/>
    <n v="39"/>
    <s v="I  "/>
  </r>
  <r>
    <x v="7"/>
    <m/>
    <x v="6"/>
    <m/>
    <m/>
    <x v="57"/>
    <x v="53"/>
    <m/>
    <m/>
    <m/>
    <m/>
    <m/>
    <x v="2"/>
    <m/>
    <x v="12"/>
    <m/>
    <m/>
    <x v="8"/>
    <x v="8"/>
    <m/>
    <x v="9"/>
    <m/>
    <x v="35"/>
    <m/>
    <m/>
    <m/>
    <m/>
    <m/>
    <m/>
    <m/>
    <m/>
    <m/>
    <m/>
    <m/>
    <m/>
    <m/>
    <m/>
    <m/>
    <m/>
    <m/>
    <m/>
    <m/>
    <m/>
    <x v="23"/>
    <m/>
    <m/>
    <m/>
    <m/>
    <m/>
    <m/>
    <m/>
    <m/>
    <m/>
    <m/>
    <m/>
    <m/>
    <m/>
  </r>
  <r>
    <x v="7"/>
    <m/>
    <x v="6"/>
    <m/>
    <m/>
    <x v="57"/>
    <x v="53"/>
    <m/>
    <m/>
    <m/>
    <m/>
    <m/>
    <x v="2"/>
    <m/>
    <x v="12"/>
    <m/>
    <m/>
    <x v="8"/>
    <x v="8"/>
    <m/>
    <x v="9"/>
    <m/>
    <x v="35"/>
    <m/>
    <m/>
    <m/>
    <m/>
    <m/>
    <m/>
    <m/>
    <m/>
    <m/>
    <m/>
    <m/>
    <m/>
    <m/>
    <m/>
    <m/>
    <m/>
    <m/>
    <m/>
    <m/>
    <m/>
    <x v="23"/>
    <m/>
    <m/>
    <m/>
    <m/>
    <m/>
    <m/>
    <m/>
    <m/>
    <m/>
    <m/>
    <m/>
    <m/>
    <m/>
  </r>
  <r>
    <x v="7"/>
    <m/>
    <x v="6"/>
    <m/>
    <m/>
    <x v="57"/>
    <x v="53"/>
    <m/>
    <m/>
    <m/>
    <m/>
    <m/>
    <x v="2"/>
    <m/>
    <x v="12"/>
    <m/>
    <m/>
    <x v="8"/>
    <x v="8"/>
    <m/>
    <x v="9"/>
    <m/>
    <x v="35"/>
    <m/>
    <m/>
    <m/>
    <m/>
    <m/>
    <m/>
    <m/>
    <m/>
    <m/>
    <m/>
    <m/>
    <m/>
    <m/>
    <m/>
    <m/>
    <m/>
    <m/>
    <m/>
    <m/>
    <m/>
    <x v="23"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6">
  <r>
    <x v="0"/>
    <n v="3161"/>
    <s v="IL SOLE 24 ORE S.P.A.                   "/>
    <s v="A           "/>
    <s v="CORPORATE"/>
    <s v="A01 "/>
    <x v="0"/>
    <s v="011000      "/>
    <s v="011000   CORPORATE"/>
    <s v="MANGANO                         "/>
    <s v="CINZIA            "/>
    <s v="MNGCNZ80L52G273V"/>
    <x v="0"/>
    <s v="34"/>
    <x v="0"/>
    <s v="06/10/2025"/>
    <s v="MILANO                 "/>
    <s v="21"/>
    <x v="0"/>
    <s v="I"/>
    <x v="0"/>
    <s v="A  "/>
    <s v="A LIV. IMPIEGATO              "/>
    <s v="06/10/2025"/>
    <s v="06/10/2025"/>
    <s v="12/07/1980"/>
    <s v="A"/>
    <s v="A.IN FORZA"/>
    <s v="1S-ASSUNZIONE STABILIZZAZIONE 1S"/>
    <s v=""/>
    <s v=" "/>
    <s v=""/>
    <s v=""/>
    <n v="3161"/>
    <s v="00"/>
    <n v="100"/>
    <s v="FULL TIME      100000000FF100-FULL TIME"/>
    <s v="06/10/2025"/>
    <s v=""/>
    <s v="  "/>
    <s v=""/>
    <s v="EN  "/>
    <s v="    "/>
    <s v=""/>
    <s v=""/>
    <s v="cinzia.mangano@ilsole24ore.com                    "/>
    <s v="F"/>
    <s v="F-FIRMA"/>
    <s v="1 "/>
    <s v="1=5 X 8"/>
    <s v="09/10/2025"/>
    <s v="TEMPO DETERMINATO"/>
    <s v="31/05/2027"/>
    <s v="0015003123                    "/>
    <s v="BOROMEI PAOLA"/>
    <n v="45"/>
  </r>
  <r>
    <x v="0"/>
    <n v="3100"/>
    <s v="IL SOLE 24 ORE S.P.A.                   "/>
    <s v="A           "/>
    <s v="CORPORATE"/>
    <s v="A01 "/>
    <x v="0"/>
    <s v="011000      "/>
    <s v="011000   CORPORATE"/>
    <s v="MUSELLA                         "/>
    <s v="SERENA            "/>
    <s v="MSLSRN90T67F205E"/>
    <x v="0"/>
    <s v="34"/>
    <x v="0"/>
    <s v="20/11/2023"/>
    <s v="MILANO                 "/>
    <s v="21"/>
    <x v="0"/>
    <s v="I"/>
    <x v="0"/>
    <s v="A  "/>
    <s v="A LIV. IMPIEGATO              "/>
    <s v="20/11/2023"/>
    <s v="20/11/2023"/>
    <s v="27/12/1990"/>
    <s v="A"/>
    <s v="A.IN FORZA"/>
    <s v="1  -ASSUNZIONE                1"/>
    <s v=""/>
    <s v=" "/>
    <s v=""/>
    <s v=""/>
    <n v="3100"/>
    <s v="00"/>
    <n v="100"/>
    <s v="FULL TIME      100000000FF100-FULL TIME"/>
    <s v="20/11/2023"/>
    <s v=""/>
    <s v="  "/>
    <s v=""/>
    <s v="EN  "/>
    <s v="    "/>
    <s v=""/>
    <s v=""/>
    <s v="serena.musella@ilsole24ore.com                    "/>
    <s v="F"/>
    <s v="F-FIRMA"/>
    <s v="1 "/>
    <s v="1=5 X 8"/>
    <s v="01/07/2025"/>
    <s v="TEMPO DETERMINATO"/>
    <s v="31/05/2027"/>
    <s v="0015002960                    "/>
    <s v="SILVESTRI FEDERICO"/>
    <n v="35"/>
  </r>
  <r>
    <x v="0"/>
    <n v="1663"/>
    <s v="IL SOLE 24 ORE S.P.A.                   "/>
    <s v="A           "/>
    <s v="CORPORATE"/>
    <s v="A01 "/>
    <x v="0"/>
    <s v="011000      "/>
    <s v="011000   CORPORATE"/>
    <s v="POZZATO                         "/>
    <s v="CRISTINA          "/>
    <s v="PZZCST67M58F205P"/>
    <x v="0"/>
    <s v="34"/>
    <x v="0"/>
    <s v="01/04/2021"/>
    <s v="MILANO                 "/>
    <s v="21"/>
    <x v="0"/>
    <s v="I"/>
    <x v="0"/>
    <s v="A  "/>
    <s v="A LIV. IMPIEGATO              "/>
    <s v="01/11/2000"/>
    <s v="01/11/2000"/>
    <s v="18/08/1967"/>
    <s v="A"/>
    <s v="A.IN FORZA"/>
    <s v="1  -ASSUNZIONE                1"/>
    <s v=""/>
    <s v=" "/>
    <s v=""/>
    <s v=""/>
    <n v="1324"/>
    <s v="00"/>
    <n v="100"/>
    <s v="FULL TIME      100000000FF100-FULL TIME"/>
    <s v="01/11/2000"/>
    <s v=""/>
    <s v="  "/>
    <s v=""/>
    <s v="EV  "/>
    <s v="    "/>
    <s v=""/>
    <s v=""/>
    <s v="cristina.pozzato@ilsole24ore.com                  "/>
    <s v="F"/>
    <s v="F-FIRMA"/>
    <s v="1 "/>
    <s v="1=5 X 8"/>
    <s v="01/07/2025"/>
    <s v="TEMPO DETERMINATO"/>
    <s v="31/05/2027"/>
    <s v="0015002960                    "/>
    <s v="SILVESTRI FEDERICO"/>
    <n v="58"/>
  </r>
  <r>
    <x v="0"/>
    <n v="3164"/>
    <s v="IL SOLE 24 ORE S.P.A.                   "/>
    <s v="A           "/>
    <s v="CORPORATE"/>
    <s v="A04 "/>
    <x v="1"/>
    <s v="016100      "/>
    <s v="016100   INTERNAL AUDITING"/>
    <s v="MONTEVERDI                      "/>
    <s v="SERENA            "/>
    <s v="MNTSRN82M71G337H"/>
    <x v="0"/>
    <s v="34"/>
    <x v="0"/>
    <s v="10/11/2025"/>
    <s v="MILANO                 "/>
    <s v="90"/>
    <x v="1"/>
    <s v="D"/>
    <x v="1"/>
    <s v="D  "/>
    <s v="DIRIGENTE INDUSTRIA           "/>
    <s v="10/11/2025"/>
    <s v="10/11/2025"/>
    <s v="31/08/1982"/>
    <s v="A"/>
    <s v="A.IN FORZA"/>
    <s v="1  -ASSUNZIONE                1"/>
    <s v=""/>
    <s v=" "/>
    <s v=""/>
    <s v=""/>
    <n v="3164"/>
    <s v="00"/>
    <n v="100"/>
    <s v="FULL TIME      100000000FF100-FULL TIME"/>
    <s v="10/11/2025"/>
    <s v=""/>
    <s v="  "/>
    <s v=""/>
    <s v="DD  "/>
    <s v="    "/>
    <s v=""/>
    <s v=""/>
    <s v="serena.monteverdi@ilsole24ore.com                 "/>
    <s v="E"/>
    <s v="E-ESENTE"/>
    <s v="1 "/>
    <s v="1=5 X 8"/>
    <s v="01/12/2025"/>
    <s v="TEMPO DETERMINATO"/>
    <s v="31/05/2026"/>
    <s v="                              "/>
    <s v=""/>
    <n v="43"/>
  </r>
  <r>
    <x v="0"/>
    <n v="2199"/>
    <s v="IL SOLE 24 ORE S.P.A.                   "/>
    <s v="B           "/>
    <s v="DG M&amp;B - DG RADIO 24"/>
    <s v="B03 "/>
    <x v="2"/>
    <s v="Q11000      "/>
    <s v="Q11000   MARKETING RADI0 24"/>
    <s v="CASA                            "/>
    <s v="ROBERTA           "/>
    <s v="CSARRT73T43A662J"/>
    <x v="0"/>
    <s v="34"/>
    <x v="0"/>
    <s v="01/04/2021"/>
    <s v="MILANO                 "/>
    <s v="RR"/>
    <x v="2"/>
    <s v="F"/>
    <x v="2"/>
    <s v="6Q "/>
    <s v="6Q LIV. QUADRO                "/>
    <s v="15/06/2007"/>
    <s v="15/06/2007"/>
    <s v="03/12/1973"/>
    <s v="A"/>
    <s v="A.IN FORZA"/>
    <s v="1  -ASSUNZIONE                1"/>
    <s v=""/>
    <s v=" "/>
    <s v=""/>
    <s v=""/>
    <n v="1651"/>
    <s v="00"/>
    <n v="100"/>
    <s v="FULL TIME      100000000FF100-FULL TIME"/>
    <s v="15/06/2007"/>
    <s v=""/>
    <s v="  "/>
    <s v=""/>
    <s v="RN  "/>
    <s v="    "/>
    <s v=""/>
    <s v=""/>
    <s v="roberta.casa@ilsole24ore.com                      "/>
    <s v="F"/>
    <s v="F-FIRMA"/>
    <s v="1 "/>
    <s v="1=5 X 8"/>
    <s v="01/07/2025"/>
    <s v="TEMPO DETERMINATO"/>
    <s v="31/05/2027"/>
    <s v="0015003123                    "/>
    <s v="BOROMEI PAOLA"/>
    <n v="52"/>
  </r>
  <r>
    <x v="0"/>
    <n v="2685"/>
    <s v="IL SOLE 24 ORE S.P.A.                   "/>
    <s v="B           "/>
    <s v="DG M&amp;B - DG RADIO 24"/>
    <s v="B04 "/>
    <x v="3"/>
    <s v="Q12000      "/>
    <s v="Q12000   ALTA FREQUENZA"/>
    <s v="AGNELLI                         "/>
    <s v="ROBERTA           "/>
    <s v="GNLRRT77P64M102F"/>
    <x v="0"/>
    <s v="34"/>
    <x v="0"/>
    <s v="01/04/2021"/>
    <s v="MILANO                 "/>
    <s v="RR"/>
    <x v="2"/>
    <s v="I"/>
    <x v="0"/>
    <s v="4  "/>
    <s v="4^  LIV. IMPIEGATO            "/>
    <s v="01/01/2014"/>
    <s v="22/08/2005"/>
    <s v="24/09/1977"/>
    <s v="A"/>
    <s v="A.IN FORZA"/>
    <s v="1  -ASSUNZIONE                1"/>
    <s v=""/>
    <s v=" "/>
    <s v=""/>
    <s v=""/>
    <n v="2685"/>
    <s v="00"/>
    <n v="100"/>
    <s v="FULL TIME      100000000FF100-FULL TIME"/>
    <s v="22/08/2005"/>
    <s v=""/>
    <s v="  "/>
    <s v=""/>
    <s v="RN  "/>
    <s v="    "/>
    <s v=""/>
    <s v=""/>
    <s v="roberta.agnelli@radio24.it                        "/>
    <s v="F"/>
    <s v="F-FIRMA"/>
    <s v="1 "/>
    <s v="1=5 X 8"/>
    <s v="01/07/2025"/>
    <s v="TEMPO DETERMINATO"/>
    <s v="31/05/2027"/>
    <s v="0015002960                    "/>
    <s v="SILVESTRI FEDERICO"/>
    <n v="48"/>
  </r>
  <r>
    <x v="0"/>
    <n v="2687"/>
    <s v="IL SOLE 24 ORE S.P.A.                   "/>
    <s v="B           "/>
    <s v="DG M&amp;B - DG RADIO 24"/>
    <s v="B04 "/>
    <x v="3"/>
    <s v="Q12000      "/>
    <s v="Q12000   ALTA FREQUENZA"/>
    <s v="ARBULLA                         "/>
    <s v="DARIO             "/>
    <s v="RBLDRA61D28F205N"/>
    <x v="1"/>
    <s v="34"/>
    <x v="0"/>
    <s v="01/04/2021"/>
    <s v="MILANO                 "/>
    <s v="RR"/>
    <x v="2"/>
    <s v="F"/>
    <x v="2"/>
    <s v="6Q "/>
    <s v="6Q LIV. QUADRO                "/>
    <s v="01/01/2014"/>
    <s v="28/12/2004"/>
    <s v="28/04/1961"/>
    <s v="A"/>
    <s v="A.IN FORZA"/>
    <s v="1  -ASSUNZIONE                1"/>
    <s v=""/>
    <s v=" "/>
    <s v=""/>
    <s v=""/>
    <n v="2687"/>
    <s v="00"/>
    <n v="100"/>
    <s v="FULL TIME      100000000FF100-FULL TIME"/>
    <s v=""/>
    <s v=""/>
    <s v="  "/>
    <s v=""/>
    <s v="RN  "/>
    <s v="    "/>
    <s v=""/>
    <s v="NON ISCRITTO       NON ISCRITTO"/>
    <s v="dario.arbulla@radio24.it                          "/>
    <s v="F"/>
    <s v="F-FIRMA"/>
    <s v="1 "/>
    <s v="1=5 X 8"/>
    <s v="01/07/2025"/>
    <s v="TEMPO DETERMINATO"/>
    <s v="31/05/2027"/>
    <s v="0015002960                    "/>
    <s v="SILVESTRI FEDERICO"/>
    <n v="64"/>
  </r>
  <r>
    <x v="0"/>
    <n v="687"/>
    <s v="IL SOLE 24 ORE S.P.A.                   "/>
    <s v="B           "/>
    <s v="DG M&amp;B - DG RADIO 24"/>
    <s v="B04 "/>
    <x v="3"/>
    <s v="Q12000      "/>
    <s v="Q12000   ALTA FREQUENZA"/>
    <s v="ZELLINO                         "/>
    <s v="SIMONA            "/>
    <s v="ZLLSMN69A46F205Y"/>
    <x v="0"/>
    <s v="34"/>
    <x v="0"/>
    <s v="01/04/2021"/>
    <s v="MILANO                 "/>
    <s v="RR"/>
    <x v="2"/>
    <s v="I"/>
    <x v="0"/>
    <s v="4  "/>
    <s v="4^  LIV. IMPIEGATO            "/>
    <s v="01/05/1993"/>
    <s v="07/03/1989"/>
    <s v="06/01/1969"/>
    <s v="A"/>
    <s v="A.IN FORZA"/>
    <s v="1  -ASSUNZIONE                1"/>
    <s v=""/>
    <s v=" "/>
    <s v=""/>
    <s v=""/>
    <n v="505"/>
    <s v="00"/>
    <n v="100"/>
    <s v="FULL TIME      100000000FF100-FULL TIME"/>
    <s v="01/01/2025"/>
    <s v=""/>
    <s v="  "/>
    <s v=""/>
    <s v="RN  "/>
    <s v="    "/>
    <s v=""/>
    <s v=""/>
    <s v="simona.zellino@radio24.it                         "/>
    <s v="F"/>
    <s v="F-FIRMA"/>
    <s v="1 "/>
    <s v="1=5 X 8"/>
    <s v="01/07/2025"/>
    <s v="TEMPO DETERMINATO"/>
    <s v="31/05/2027"/>
    <s v="0015002960                    "/>
    <s v="SILVESTRI FEDERICO"/>
    <n v="57"/>
  </r>
  <r>
    <x v="0"/>
    <n v="2916"/>
    <s v="IL SOLE 24 ORE S.P.A.                   "/>
    <s v="B           "/>
    <s v="DG M&amp;B - DG RADIO 24"/>
    <s v="B04 "/>
    <x v="3"/>
    <s v="Q13000      "/>
    <s v="Q13000   BASSA FREQUENZA"/>
    <s v="ALICINO                         "/>
    <s v="DANILO            "/>
    <s v="LCNDNL65C25F205T"/>
    <x v="1"/>
    <s v="34"/>
    <x v="0"/>
    <s v="01/04/2021"/>
    <s v="MILANO                 "/>
    <s v="RR"/>
    <x v="2"/>
    <s v="I"/>
    <x v="0"/>
    <s v="5  "/>
    <s v="5^  LIV. IMPIEGATO            "/>
    <s v="01/06/2017"/>
    <s v="01/06/2017"/>
    <s v="25/03/1965"/>
    <s v="A"/>
    <s v="A.IN FORZA"/>
    <s v="1  -ASSUNZIONE                1"/>
    <s v=""/>
    <s v=" "/>
    <s v=""/>
    <s v=""/>
    <n v="2916"/>
    <s v="00"/>
    <n v="100"/>
    <s v="FULL TIME      100000000FF100-FULL TIME"/>
    <s v="01/06/2017"/>
    <s v=""/>
    <s v="  "/>
    <s v=""/>
    <s v="RN  "/>
    <s v="    "/>
    <s v=""/>
    <s v=""/>
    <s v="danilo.alicino@radio24.it                         "/>
    <s v="F"/>
    <s v="F-FIRMA"/>
    <s v="1 "/>
    <s v="1=5 X 8"/>
    <s v="01/07/2025"/>
    <s v="TEMPO DETERMINATO"/>
    <s v="31/05/2027"/>
    <s v="0015002960                    "/>
    <s v="SILVESTRI FEDERICO"/>
    <n v="60"/>
  </r>
  <r>
    <x v="0"/>
    <n v="2917"/>
    <s v="IL SOLE 24 ORE S.P.A.                   "/>
    <s v="B           "/>
    <s v="DG M&amp;B - DG RADIO 24"/>
    <s v="B04 "/>
    <x v="3"/>
    <s v="Q13000      "/>
    <s v="Q13000   BASSA FREQUENZA"/>
    <s v="FORTUNATI                       "/>
    <s v="SANDRO            "/>
    <s v="FRTSDR66H30F205V"/>
    <x v="1"/>
    <s v="34"/>
    <x v="0"/>
    <s v="01/04/2021"/>
    <s v="MILANO                 "/>
    <s v="RR"/>
    <x v="2"/>
    <s v="I"/>
    <x v="0"/>
    <s v="5  "/>
    <s v="5^  LIV. IMPIEGATO            "/>
    <s v="01/06/2017"/>
    <s v="01/06/2017"/>
    <s v="30/06/1966"/>
    <s v="A"/>
    <s v="A.IN FORZA"/>
    <s v="1  -ASSUNZIONE                1"/>
    <s v=""/>
    <s v=" "/>
    <s v=""/>
    <s v=""/>
    <n v="2917"/>
    <s v="00"/>
    <n v="100"/>
    <s v="FULL TIME      100000000FF100-FULL TIME"/>
    <s v="01/06/2017"/>
    <s v=""/>
    <s v="  "/>
    <s v=""/>
    <s v="RN  "/>
    <s v="    "/>
    <s v=""/>
    <s v=""/>
    <s v="sandro.fortunati@radio24.it                       "/>
    <s v="F"/>
    <s v="F-FIRMA"/>
    <s v="1 "/>
    <s v="1=5 X 8"/>
    <s v="01/07/2025"/>
    <s v="TEMPO DETERMINATO"/>
    <s v="31/05/2027"/>
    <s v="0015002960                    "/>
    <s v="SILVESTRI FEDERICO"/>
    <n v="59"/>
  </r>
  <r>
    <x v="0"/>
    <n v="2688"/>
    <s v="IL SOLE 24 ORE S.P.A.                   "/>
    <s v="B           "/>
    <s v="DG M&amp;B - DG RADIO 24"/>
    <s v="B04 "/>
    <x v="3"/>
    <s v="Q18000      "/>
    <s v="Q18000   TECNICI DI REGIA"/>
    <s v="AUREGGI                         "/>
    <s v="FILIPPO           "/>
    <s v="RGGFPP72A12F205X"/>
    <x v="1"/>
    <s v="34"/>
    <x v="0"/>
    <s v="01/04/2021"/>
    <s v="MILANO                 "/>
    <s v="RR"/>
    <x v="2"/>
    <s v="I"/>
    <x v="0"/>
    <s v="4  "/>
    <s v="4^  LIV. IMPIEGATO            "/>
    <s v="01/01/2014"/>
    <s v="06/11/2001"/>
    <s v="12/01/1972"/>
    <s v="A"/>
    <s v="A.IN FORZA"/>
    <s v="1  -ASSUNZIONE                1"/>
    <s v=""/>
    <s v=" "/>
    <s v=""/>
    <s v=""/>
    <n v="2688"/>
    <s v="00"/>
    <n v="100"/>
    <s v="FULL TIME      100000000FF100-FULL TIME"/>
    <s v="06/11/2001"/>
    <s v=""/>
    <s v="  "/>
    <s v=""/>
    <s v="RN  "/>
    <s v="    "/>
    <s v=""/>
    <s v=""/>
    <s v="filippo.aureggi@radio24.it                        "/>
    <s v="T"/>
    <s v="T-TIMBRA"/>
    <s v="1 "/>
    <s v="1=5 X 8"/>
    <s v=""/>
    <s v=""/>
    <s v=""/>
    <s v="0015002756                    "/>
    <s v="PREVIATO MICHELE"/>
    <n v="54"/>
  </r>
  <r>
    <x v="0"/>
    <n v="2690"/>
    <s v="IL SOLE 24 ORE S.P.A.                   "/>
    <s v="B           "/>
    <s v="DG M&amp;B - DG RADIO 24"/>
    <s v="B04 "/>
    <x v="3"/>
    <s v="Q18000      "/>
    <s v="Q18000   TECNICI DI REGIA"/>
    <s v="BERNARDI                        "/>
    <s v="VALERIA           "/>
    <s v="BRNVLR76L58H501U"/>
    <x v="0"/>
    <s v="34"/>
    <x v="0"/>
    <s v="01/04/2021"/>
    <s v="MILANO                 "/>
    <s v="RR"/>
    <x v="2"/>
    <s v="I"/>
    <x v="0"/>
    <s v="3  "/>
    <s v="3^  LIV. IMPIEGATO            "/>
    <s v="01/01/2014"/>
    <s v="22/10/1999"/>
    <s v="18/07/1976"/>
    <s v="A"/>
    <s v="A.IN FORZA"/>
    <s v="1  -ASSUNZIONE                1"/>
    <s v=""/>
    <s v=" "/>
    <s v=""/>
    <s v=""/>
    <n v="2690"/>
    <s v="00"/>
    <n v="100"/>
    <s v="FULL TIME      100000000FF100-FULL TIME"/>
    <s v="22/10/1999"/>
    <s v=""/>
    <s v="  "/>
    <s v=""/>
    <s v="RN  "/>
    <s v="    "/>
    <s v=""/>
    <s v=""/>
    <s v="valeria.bernardi@radio24.it                       "/>
    <s v="T"/>
    <s v="T-TIMBRA"/>
    <s v="1 "/>
    <s v="1=5 X 8"/>
    <s v=""/>
    <s v=""/>
    <s v=""/>
    <s v="0015002756                    "/>
    <s v="PREVIATO MICHELE"/>
    <n v="49"/>
  </r>
  <r>
    <x v="0"/>
    <n v="2705"/>
    <s v="IL SOLE 24 ORE S.P.A.                   "/>
    <s v="B           "/>
    <s v="DG M&amp;B - DG RADIO 24"/>
    <s v="B04 "/>
    <x v="3"/>
    <s v="Q18000      "/>
    <s v="Q18000   TECNICI DI REGIA"/>
    <s v="CHIAPPINI                       "/>
    <s v="ALESSANDRO        "/>
    <s v="CHPLSN75A27A132X"/>
    <x v="1"/>
    <s v="31"/>
    <x v="1"/>
    <s v="01/06/2009"/>
    <s v="ROMA                   "/>
    <s v="RR"/>
    <x v="2"/>
    <s v="I"/>
    <x v="0"/>
    <s v="3  "/>
    <s v="3^  LIV. IMPIEGATO            "/>
    <s v="01/01/2014"/>
    <s v="01/10/2001"/>
    <s v="27/01/1975"/>
    <s v="A"/>
    <s v="A.IN FORZA"/>
    <s v="1  -ASSUNZIONE                1"/>
    <s v=""/>
    <s v=" "/>
    <s v=""/>
    <s v=""/>
    <n v="2705"/>
    <s v="00"/>
    <n v="100"/>
    <s v="FULL TIME      100000000FF100-FULL TIME"/>
    <s v="01/10/2001"/>
    <s v=""/>
    <s v="  "/>
    <s v=""/>
    <s v="RN  "/>
    <s v="    "/>
    <s v=""/>
    <s v=""/>
    <s v="alessandro.chiappini@radio24.it                   "/>
    <s v="T"/>
    <s v="T-TIMBRA"/>
    <s v="1 "/>
    <s v="1=5 X 8"/>
    <s v=""/>
    <s v=""/>
    <s v=""/>
    <s v="0015002756                    "/>
    <s v="PREVIATO MICHELE"/>
    <n v="51"/>
  </r>
  <r>
    <x v="0"/>
    <n v="2707"/>
    <s v="IL SOLE 24 ORE S.P.A.                   "/>
    <s v="B           "/>
    <s v="DG M&amp;B - DG RADIO 24"/>
    <s v="B04 "/>
    <x v="3"/>
    <s v="Q18000      "/>
    <s v="Q18000   TECNICI DI REGIA"/>
    <s v="CORLEONI                        "/>
    <s v="PAOLO             "/>
    <s v="CRLPLA74B05I608R"/>
    <x v="1"/>
    <s v="34"/>
    <x v="0"/>
    <s v="01/04/2021"/>
    <s v="MILANO                 "/>
    <s v="RR"/>
    <x v="2"/>
    <s v="I"/>
    <x v="0"/>
    <s v="3  "/>
    <s v="3^  LIV. IMPIEGATO            "/>
    <s v="01/01/2014"/>
    <s v="02/10/2009"/>
    <s v="05/02/1974"/>
    <s v="A"/>
    <s v="A.IN FORZA"/>
    <s v="1  -ASSUNZIONE                1"/>
    <s v=""/>
    <s v=" "/>
    <s v=""/>
    <s v=""/>
    <n v="2707"/>
    <s v="00"/>
    <n v="100"/>
    <s v="FULL TIME      100000000FF100-FULL TIME"/>
    <s v="02/10/2009"/>
    <s v=""/>
    <s v="  "/>
    <s v=""/>
    <s v="RN  "/>
    <s v="    "/>
    <s v=""/>
    <s v=""/>
    <s v="paolo.corleoni@radio24.it                         "/>
    <s v="T"/>
    <s v="T-TIMBRA"/>
    <s v="1 "/>
    <s v="1=5 X 8"/>
    <s v="01/09/2022"/>
    <s v=""/>
    <s v=""/>
    <s v="0015002756                    "/>
    <s v="PREVIATO MICHELE"/>
    <n v="51"/>
  </r>
  <r>
    <x v="0"/>
    <n v="2717"/>
    <s v="IL SOLE 24 ORE S.P.A.                   "/>
    <s v="B           "/>
    <s v="DG M&amp;B - DG RADIO 24"/>
    <s v="B04 "/>
    <x v="3"/>
    <s v="Q18000      "/>
    <s v="Q18000   TECNICI DI REGIA"/>
    <s v="FERRONATO                       "/>
    <s v="GIAN MARCO        "/>
    <s v="FRRGMR87P18F205V"/>
    <x v="1"/>
    <s v="34"/>
    <x v="0"/>
    <s v="01/04/2021"/>
    <s v="MILANO                 "/>
    <s v="RR"/>
    <x v="2"/>
    <s v="I"/>
    <x v="0"/>
    <s v="3  "/>
    <s v="3^  LIV. IMPIEGATO            "/>
    <s v="01/01/2014"/>
    <s v="21/01/2013"/>
    <s v="18/09/1987"/>
    <s v="A"/>
    <s v="A.IN FORZA"/>
    <s v="1  -ASSUNZIONE                1"/>
    <s v=""/>
    <s v=" "/>
    <s v=""/>
    <s v=""/>
    <n v="2717"/>
    <s v="00"/>
    <n v="100"/>
    <s v="FULL TIME      100000000FF100-FULL TIME"/>
    <s v="21/01/2013"/>
    <s v=""/>
    <s v="  "/>
    <s v=""/>
    <s v="RN  "/>
    <s v="    "/>
    <s v=""/>
    <s v=""/>
    <s v="gianmarco.ferronato@radio24.it                    "/>
    <s v="T"/>
    <s v="T-TIMBRA"/>
    <s v="1 "/>
    <s v="1=5 X 8"/>
    <s v=""/>
    <s v=""/>
    <s v=""/>
    <s v="0015002756                    "/>
    <s v="PREVIATO MICHELE"/>
    <n v="38"/>
  </r>
  <r>
    <x v="0"/>
    <n v="2718"/>
    <s v="IL SOLE 24 ORE S.P.A.                   "/>
    <s v="B           "/>
    <s v="DG M&amp;B - DG RADIO 24"/>
    <s v="B04 "/>
    <x v="3"/>
    <s v="Q18000      "/>
    <s v="Q18000   TECNICI DI REGIA"/>
    <s v="FESTORAZZI                      "/>
    <s v="LORENZO FRANCESCO "/>
    <s v="FSTLNZ63D09C623R"/>
    <x v="1"/>
    <s v="34"/>
    <x v="0"/>
    <s v="01/04/2021"/>
    <s v="MILANO                 "/>
    <s v="RR"/>
    <x v="2"/>
    <s v="I"/>
    <x v="0"/>
    <s v="4  "/>
    <s v="4^  LIV. IMPIEGATO            "/>
    <s v="01/01/2014"/>
    <s v="01/01/2008"/>
    <s v="09/04/1963"/>
    <s v="A"/>
    <s v="A.IN FORZA"/>
    <s v="1  -ASSUNZIONE                1"/>
    <s v=""/>
    <s v=" "/>
    <s v=""/>
    <s v=""/>
    <n v="2718"/>
    <s v="00"/>
    <n v="100"/>
    <s v="FULL TIME      100000000FF100-FULL TIME"/>
    <s v="01/01/2008"/>
    <s v=""/>
    <s v="  "/>
    <s v=""/>
    <s v="RN  "/>
    <s v="    "/>
    <s v=""/>
    <s v="U.I.L.             U.I.L"/>
    <s v="lorenzo.festorazzi@radio24.it                     "/>
    <s v="T"/>
    <s v="T-TIMBRA"/>
    <s v="1 "/>
    <s v="1=5 X 8"/>
    <s v="01/07/2025"/>
    <s v="TEMPO DETERMINATO"/>
    <s v="31/05/2027"/>
    <s v="0015002756                    "/>
    <s v="PREVIATO MICHELE"/>
    <n v="62"/>
  </r>
  <r>
    <x v="0"/>
    <n v="2819"/>
    <s v="IL SOLE 24 ORE S.P.A.                   "/>
    <s v="B           "/>
    <s v="DG M&amp;B - DG RADIO 24"/>
    <s v="B04 "/>
    <x v="3"/>
    <s v="Q18000      "/>
    <s v="Q18000   TECNICI DI REGIA"/>
    <s v="FRISANI                         "/>
    <s v="ROBERTA           "/>
    <s v="FRSRRT86B68L049R"/>
    <x v="0"/>
    <s v="34"/>
    <x v="0"/>
    <s v="01/04/2021"/>
    <s v="MILANO                 "/>
    <s v="RR"/>
    <x v="2"/>
    <s v="I"/>
    <x v="0"/>
    <s v="3  "/>
    <s v="3^  LIV. IMPIEGATO            "/>
    <s v="09/03/2015"/>
    <s v="09/03/2015"/>
    <s v="28/02/1986"/>
    <s v="A"/>
    <s v="A.IN FORZA"/>
    <s v="1  -ASSUNZIONE                1"/>
    <s v=""/>
    <s v=" "/>
    <s v=""/>
    <s v=""/>
    <n v="2819"/>
    <s v="00"/>
    <n v="100"/>
    <s v="FULL TIME      100000000FF100-FULL TIME"/>
    <s v="09/03/2015"/>
    <s v=""/>
    <s v="  "/>
    <s v=""/>
    <s v="RN  "/>
    <s v="    "/>
    <s v=""/>
    <s v=""/>
    <s v="roberta.frisani@radio24.it                        "/>
    <s v="T"/>
    <s v="T-TIMBRA"/>
    <s v="1 "/>
    <s v="1=5 X 8"/>
    <s v=""/>
    <s v=""/>
    <s v=""/>
    <s v="0015002756                    "/>
    <s v="PREVIATO MICHELE"/>
    <n v="39"/>
  </r>
  <r>
    <x v="0"/>
    <n v="2728"/>
    <s v="IL SOLE 24 ORE S.P.A.                   "/>
    <s v="B           "/>
    <s v="DG M&amp;B - DG RADIO 24"/>
    <s v="B04 "/>
    <x v="3"/>
    <s v="Q18000      "/>
    <s v="Q18000   TECNICI DI REGIA"/>
    <s v="LA CORTE                        "/>
    <s v="PIETRO            "/>
    <s v="LCRPTR78A16G273X"/>
    <x v="1"/>
    <s v="34"/>
    <x v="0"/>
    <s v="01/04/2021"/>
    <s v="MILANO                 "/>
    <s v="RR"/>
    <x v="2"/>
    <s v="I"/>
    <x v="0"/>
    <s v="3  "/>
    <s v="3^  LIV. IMPIEGATO            "/>
    <s v="01/01/2014"/>
    <s v="01/04/2006"/>
    <s v="16/01/1978"/>
    <s v="A"/>
    <s v="A.IN FORZA"/>
    <s v="1  -ASSUNZIONE                1"/>
    <s v=""/>
    <s v=" "/>
    <s v=""/>
    <s v=""/>
    <n v="2728"/>
    <s v="00"/>
    <n v="100"/>
    <s v="FULL TIME      100000000FF100-FULL TIME"/>
    <s v="01/04/2006"/>
    <s v=""/>
    <s v="  "/>
    <s v=""/>
    <s v="RN  "/>
    <s v="    "/>
    <s v=""/>
    <s v=""/>
    <s v="pietro.lacorte@radio24.it                         "/>
    <s v="T"/>
    <s v="T-TIMBRA"/>
    <s v="1 "/>
    <s v="1=5 X 8"/>
    <s v=""/>
    <s v=""/>
    <s v=""/>
    <s v="0015002756                    "/>
    <s v="PREVIATO MICHELE"/>
    <n v="48"/>
  </r>
  <r>
    <x v="0"/>
    <n v="2729"/>
    <s v="IL SOLE 24 ORE S.P.A.                   "/>
    <s v="B           "/>
    <s v="DG M&amp;B - DG RADIO 24"/>
    <s v="B04 "/>
    <x v="3"/>
    <s v="Q18000      "/>
    <s v="Q18000   TECNICI DI REGIA"/>
    <s v="LAURICELLA                      "/>
    <s v="CARMELO           "/>
    <s v="LRCCML74R15F704B"/>
    <x v="1"/>
    <s v="34"/>
    <x v="0"/>
    <s v="01/04/2021"/>
    <s v="MILANO                 "/>
    <s v="RR"/>
    <x v="2"/>
    <s v="I"/>
    <x v="0"/>
    <s v="3  "/>
    <s v="3^  LIV. IMPIEGATO            "/>
    <s v="01/01/2014"/>
    <s v="23/08/1999"/>
    <s v="15/10/1974"/>
    <s v="A"/>
    <s v="A.IN FORZA"/>
    <s v="1  -ASSUNZIONE                1"/>
    <s v=""/>
    <s v=" "/>
    <s v=""/>
    <s v=""/>
    <n v="2729"/>
    <s v="00"/>
    <n v="100"/>
    <s v="FULL TIME      100000000FF100-FULL TIME"/>
    <s v="23/08/1999"/>
    <s v=""/>
    <s v="  "/>
    <s v=""/>
    <s v="RN  "/>
    <s v="    "/>
    <s v=""/>
    <s v="U.I.L.             U.I.L"/>
    <s v="carmelo.lauricella@radio24.it                     "/>
    <s v="T"/>
    <s v="T-TIMBRA"/>
    <s v="1 "/>
    <s v="1=5 X 8"/>
    <s v=""/>
    <s v=""/>
    <s v=""/>
    <s v="0015002756                    "/>
    <s v="PREVIATO MICHELE"/>
    <n v="51"/>
  </r>
  <r>
    <x v="0"/>
    <n v="2756"/>
    <s v="IL SOLE 24 ORE S.P.A.                   "/>
    <s v="B           "/>
    <s v="DG M&amp;B - DG RADIO 24"/>
    <s v="B04 "/>
    <x v="3"/>
    <s v="Q18000      "/>
    <s v="Q18000   TECNICI DI REGIA"/>
    <s v="PREVIATO                        "/>
    <s v="MICHELE           "/>
    <s v="PRVMHL75H25F205R"/>
    <x v="1"/>
    <s v="34"/>
    <x v="0"/>
    <s v="01/04/2021"/>
    <s v="MILANO                 "/>
    <s v="RR"/>
    <x v="2"/>
    <s v="F"/>
    <x v="2"/>
    <s v="6Q "/>
    <s v="6Q LIV. QUADRO                "/>
    <s v="01/01/2014"/>
    <s v="16/11/1999"/>
    <s v="25/06/1975"/>
    <s v="A"/>
    <s v="A.IN FORZA"/>
    <s v="1  -ASSUNZIONE                1"/>
    <s v=""/>
    <s v=" "/>
    <s v=""/>
    <s v=""/>
    <n v="2756"/>
    <s v="00"/>
    <n v="100"/>
    <s v="FULL TIME      100000000FF100-FULL TIME"/>
    <s v="16/11/1999"/>
    <s v=""/>
    <s v="  "/>
    <s v=""/>
    <s v="RN  "/>
    <s v="    "/>
    <s v=""/>
    <s v=""/>
    <s v="michele.previato@radio24.it                       "/>
    <s v="F"/>
    <s v="F-FIRMA"/>
    <s v="1 "/>
    <s v="1=5 X 8"/>
    <s v=""/>
    <s v=""/>
    <s v=""/>
    <s v="0015002960                    "/>
    <s v="SILVESTRI FEDERICO"/>
    <n v="50"/>
  </r>
  <r>
    <x v="0"/>
    <n v="3025"/>
    <s v="IL SOLE 24 ORE S.P.A.                   "/>
    <s v="B           "/>
    <s v="DG M&amp;B - DG RADIO 24"/>
    <s v="B04 "/>
    <x v="3"/>
    <s v="Q18000      "/>
    <s v="Q18000   TECNICI DI REGIA"/>
    <s v="RIVA                            "/>
    <s v="ANNA ELENA        "/>
    <s v="RVINLN94H62D286G"/>
    <x v="0"/>
    <s v="34"/>
    <x v="0"/>
    <s v="10/01/2022"/>
    <s v="MILANO                 "/>
    <s v="RR"/>
    <x v="2"/>
    <s v="I"/>
    <x v="0"/>
    <s v="3  "/>
    <s v="3^  LIV. IMPIEGATO            "/>
    <s v="10/01/2022"/>
    <s v="10/01/2022"/>
    <s v="22/06/1994"/>
    <s v="A"/>
    <s v="A.IN FORZA"/>
    <s v="1S-ASSUNZIONE STABILIZZAZIONE 1S"/>
    <s v=""/>
    <s v=" "/>
    <s v=""/>
    <s v=""/>
    <n v="3025"/>
    <s v="00"/>
    <n v="100"/>
    <s v="FULL TIME      100000000FF100-FULL TIME"/>
    <s v="10/01/2022"/>
    <s v=""/>
    <s v="  "/>
    <s v=""/>
    <s v="RN  "/>
    <s v="    "/>
    <s v=""/>
    <s v=""/>
    <s v="annaelena.riva@radio24.it                         "/>
    <s v="T"/>
    <s v="T-TIMBRA"/>
    <s v="1 "/>
    <s v="1=5 X 8"/>
    <s v=""/>
    <s v=""/>
    <s v=""/>
    <s v="0015002756                    "/>
    <s v="PREVIATO MICHELE"/>
    <n v="31"/>
  </r>
  <r>
    <x v="0"/>
    <n v="3048"/>
    <s v="IL SOLE 24 ORE S.P.A.                   "/>
    <s v="B           "/>
    <s v="DG M&amp;B - DG RADIO 24"/>
    <s v="B04 "/>
    <x v="3"/>
    <s v="Q18000      "/>
    <s v="Q18000   TECNICI DI REGIA"/>
    <s v="SALVATORE                       "/>
    <s v="CARLO             "/>
    <s v="SLVCRL99M26H501J"/>
    <x v="1"/>
    <s v="34"/>
    <x v="0"/>
    <s v="07/07/2022"/>
    <s v="MILANO                 "/>
    <s v="RR"/>
    <x v="2"/>
    <s v="I"/>
    <x v="0"/>
    <s v="3  "/>
    <s v="3^  LIV. IMPIEGATO            "/>
    <s v="07/07/2022"/>
    <s v="07/07/2022"/>
    <s v="26/08/1999"/>
    <s v="A"/>
    <s v="A.IN FORZA"/>
    <s v="1S-ASSUNZIONE STABILIZZAZIONE 1S"/>
    <s v="06/07/2023"/>
    <s v=" "/>
    <s v=""/>
    <s v=""/>
    <n v="3048"/>
    <s v="00"/>
    <n v="100"/>
    <s v="FULL TIME      100000000FF100-FULL TIME"/>
    <s v="07/07/2022"/>
    <s v=""/>
    <s v="  "/>
    <s v=""/>
    <s v="RN  "/>
    <s v="    "/>
    <s v=""/>
    <s v=""/>
    <s v="carlo.salvatore@radio24.it                        "/>
    <s v="T"/>
    <s v="T-TIMBRA"/>
    <s v="1 "/>
    <s v="1=5 X 8"/>
    <s v=""/>
    <s v=""/>
    <s v=""/>
    <s v="0015002756                    "/>
    <s v="PREVIATO MICHELE"/>
    <n v="26"/>
  </r>
  <r>
    <x v="0"/>
    <n v="2768"/>
    <s v="IL SOLE 24 ORE S.P.A.                   "/>
    <s v="B           "/>
    <s v="DG M&amp;B - DG RADIO 24"/>
    <s v="B04 "/>
    <x v="3"/>
    <s v="Q18000      "/>
    <s v="Q18000   TECNICI DI REGIA"/>
    <s v="TERUZZI                         "/>
    <s v="DANIELE           "/>
    <s v="TRZDNL76C09F704M"/>
    <x v="1"/>
    <s v="34"/>
    <x v="0"/>
    <s v="01/04/2021"/>
    <s v="MILANO                 "/>
    <s v="RR"/>
    <x v="2"/>
    <s v="I"/>
    <x v="0"/>
    <s v="3  "/>
    <s v="3^  LIV. IMPIEGATO            "/>
    <s v="01/01/2014"/>
    <s v="01/09/2008"/>
    <s v="09/03/1976"/>
    <s v="A"/>
    <s v="A.IN FORZA"/>
    <s v="1  -ASSUNZIONE                1"/>
    <s v=""/>
    <s v=" "/>
    <s v=""/>
    <s v=""/>
    <n v="2768"/>
    <s v="00"/>
    <n v="100"/>
    <s v="FULL TIME      100000000FF100-FULL TIME"/>
    <s v=""/>
    <s v=""/>
    <s v="05"/>
    <s v="INVALIDI CIVILI"/>
    <s v="RN  "/>
    <s v="    "/>
    <s v=""/>
    <s v="C.G.I.L.           C.G.I.L"/>
    <s v="daniele.teruzzi@radio24.it                        "/>
    <s v="T"/>
    <s v="T-TIMBRA"/>
    <s v="1 "/>
    <s v="1=5 X 8"/>
    <s v="01/10/2025"/>
    <s v="TEMPO DETERMINATO"/>
    <s v="30/06/2026"/>
    <s v="0015002756                    "/>
    <s v="PREVIATO MICHELE"/>
    <n v="49"/>
  </r>
  <r>
    <x v="0"/>
    <n v="364"/>
    <s v="IL SOLE 24 ORE S.P.A.                   "/>
    <s v="B           "/>
    <s v="DG M&amp;B - DG RADIO 24"/>
    <s v="B05 "/>
    <x v="4"/>
    <s v="Q1400001    "/>
    <s v="Q1400001   SERVIZI RADIOFONICI"/>
    <s v="FABIO                           "/>
    <s v="GIUSEPPE          "/>
    <s v="FBAGPP64C08F205B"/>
    <x v="1"/>
    <s v="34"/>
    <x v="0"/>
    <s v="01/04/2021"/>
    <s v="MILANO                 "/>
    <s v="RR"/>
    <x v="2"/>
    <s v="I"/>
    <x v="0"/>
    <s v="2  "/>
    <s v="2^  LIV. IMPIEGATO            "/>
    <s v="05/09/1988"/>
    <s v="05/09/1988"/>
    <s v="08/03/1964"/>
    <s v="A"/>
    <s v="A.IN FORZA"/>
    <s v="1  -ASSUNZIONE                1"/>
    <s v=""/>
    <s v=" "/>
    <s v=""/>
    <s v=""/>
    <n v="264"/>
    <s v="00"/>
    <n v="100"/>
    <s v="FULL TIME      100000000FF100-FULL TIME"/>
    <s v="05/09/1988"/>
    <s v=""/>
    <s v="05"/>
    <s v="INVALIDI CIVILI"/>
    <s v="RN  "/>
    <s v="    "/>
    <s v=""/>
    <s v="C.G.I.L.           C.G.I.L"/>
    <s v="giuseppe.fabio@radio24.it                         "/>
    <s v="T"/>
    <s v="T-TIMBRA"/>
    <s v="1 "/>
    <s v="1=5 X 8"/>
    <s v="01/07/2025"/>
    <s v="TEMPO DETERMINATO"/>
    <s v="31/05/2027"/>
    <s v="0015002764                    "/>
    <s v="SCOTTI GUIDO"/>
    <n v="61"/>
  </r>
  <r>
    <x v="0"/>
    <n v="2735"/>
    <s v="IL SOLE 24 ORE S.P.A.                   "/>
    <s v="B           "/>
    <s v="DG M&amp;B - DG RADIO 24"/>
    <s v="B05 "/>
    <x v="4"/>
    <s v="Q1400001    "/>
    <s v="Q1400001   SERVIZI RADIOFONICI"/>
    <s v="MADINI                          "/>
    <s v="DONATELLA         "/>
    <s v="MDNDTL67B59F205K"/>
    <x v="0"/>
    <s v="34"/>
    <x v="0"/>
    <s v="01/04/2021"/>
    <s v="MILANO                 "/>
    <s v="RR"/>
    <x v="2"/>
    <s v="I"/>
    <x v="0"/>
    <s v="3  "/>
    <s v="3^  LIV. IMPIEGATO            "/>
    <s v="01/01/2014"/>
    <s v="01/09/2000"/>
    <s v="19/02/1967"/>
    <s v="A"/>
    <s v="A.IN FORZA"/>
    <s v="1  -ASSUNZIONE                1"/>
    <s v=""/>
    <s v=" "/>
    <s v=""/>
    <s v=""/>
    <n v="2735"/>
    <s v="00"/>
    <n v="100"/>
    <s v="FULL TIME      100000000FF100-FULL TIME"/>
    <s v="01/09/2000"/>
    <s v=""/>
    <s v="  "/>
    <s v=""/>
    <s v="RN  "/>
    <s v="    "/>
    <s v=""/>
    <s v="U.I.L.             U.I.L"/>
    <s v="donatella.madini@radio24.it                       "/>
    <s v="T"/>
    <s v="T-TIMBRA"/>
    <s v="1 "/>
    <s v="1=5 X 8"/>
    <s v="01/07/2025"/>
    <s v="TEMPO DETERMINATO"/>
    <s v="31/05/2027"/>
    <s v="0015002764                    "/>
    <s v="SCOTTI GUIDO"/>
    <n v="58"/>
  </r>
  <r>
    <x v="0"/>
    <n v="2740"/>
    <s v="IL SOLE 24 ORE S.P.A.                   "/>
    <s v="B           "/>
    <s v="DG M&amp;B - DG RADIO 24"/>
    <s v="B05 "/>
    <x v="4"/>
    <s v="Q1400001    "/>
    <s v="Q1400001   SERVIZI RADIOFONICI"/>
    <s v="MAZZA                           "/>
    <s v="EMANUELA          "/>
    <s v="MZZMNL73C65H501R"/>
    <x v="0"/>
    <s v="31"/>
    <x v="1"/>
    <s v="01/06/2009"/>
    <s v="ROMA                   "/>
    <s v="RR"/>
    <x v="2"/>
    <s v="I"/>
    <x v="0"/>
    <s v="3  "/>
    <s v="3^  LIV. IMPIEGATO            "/>
    <s v="01/01/2014"/>
    <s v="04/04/2006"/>
    <s v="25/03/1973"/>
    <s v="A"/>
    <s v="A.IN FORZA"/>
    <s v="1  -ASSUNZIONE                1"/>
    <s v=""/>
    <s v=" "/>
    <s v=""/>
    <s v=""/>
    <n v="2740"/>
    <s v="02"/>
    <n v="75"/>
    <s v="30 H O GRA/RADI075000000PP30.0/40- PT 75.00-P"/>
    <s v="04/04/2006"/>
    <s v="31/12/2026"/>
    <s v="  "/>
    <s v=""/>
    <s v="RN  "/>
    <s v="    "/>
    <s v=""/>
    <s v=""/>
    <s v="emanuela.mazza@radio24.it                         "/>
    <s v="T"/>
    <s v="T-TIMBRA"/>
    <s v="1 "/>
    <s v="1=5 X 8"/>
    <s v="01/07/2025"/>
    <s v="TEMPO DETERMINATO"/>
    <s v="31/05/2027"/>
    <s v="0015002764                    "/>
    <s v="SCOTTI GUIDO"/>
    <n v="52"/>
  </r>
  <r>
    <x v="0"/>
    <n v="2741"/>
    <s v="IL SOLE 24 ORE S.P.A.                   "/>
    <s v="B           "/>
    <s v="DG M&amp;B - DG RADIO 24"/>
    <s v="B05 "/>
    <x v="4"/>
    <s v="Q1400001    "/>
    <s v="Q1400001   SERVIZI RADIOFONICI"/>
    <s v="MERATI                          "/>
    <s v="EMANUELA          "/>
    <s v="MRTMNL72L60A940S"/>
    <x v="0"/>
    <s v="34"/>
    <x v="0"/>
    <s v="01/04/2021"/>
    <s v="MILANO                 "/>
    <s v="RR"/>
    <x v="2"/>
    <s v="I"/>
    <x v="0"/>
    <s v="4  "/>
    <s v="4^  LIV. IMPIEGATO            "/>
    <s v="01/01/2014"/>
    <s v="13/09/1999"/>
    <s v="20/07/1972"/>
    <s v="A"/>
    <s v="A.IN FORZA"/>
    <s v="1  -ASSUNZIONE                1"/>
    <s v=""/>
    <s v=" "/>
    <s v=""/>
    <s v=""/>
    <n v="2741"/>
    <s v="00"/>
    <n v="100"/>
    <s v="FULL TIME      100000000FF100-FULL TIME"/>
    <s v="01/01/2016"/>
    <s v=""/>
    <s v="  "/>
    <s v=""/>
    <s v="RN  "/>
    <s v="    "/>
    <s v=""/>
    <s v=""/>
    <s v="emanuela.merati@radio24.it                        "/>
    <s v="T"/>
    <s v="T-TIMBRA"/>
    <s v="1 "/>
    <s v="1=5 X 8"/>
    <s v="01/07/2025"/>
    <s v="TEMPO DETERMINATO"/>
    <s v="31/05/2027"/>
    <s v="0015002764                    "/>
    <s v="SCOTTI GUIDO"/>
    <n v="53"/>
  </r>
  <r>
    <x v="0"/>
    <n v="2711"/>
    <s v="IL SOLE 24 ORE S.P.A.                   "/>
    <s v="B           "/>
    <s v="DG M&amp;B - DG RADIO 24"/>
    <s v="B05 "/>
    <x v="4"/>
    <s v="Q16000      "/>
    <s v="Q16000   PRODUZIONE PROGRAMMI RADIO"/>
    <s v="DE LUCA                         "/>
    <s v="GIORGIO           "/>
    <s v="DLCGRG83C01F839O"/>
    <x v="1"/>
    <s v="34"/>
    <x v="0"/>
    <s v="01/04/2021"/>
    <s v="MILANO                 "/>
    <s v="RR"/>
    <x v="2"/>
    <s v="I"/>
    <x v="0"/>
    <s v="3  "/>
    <s v="3^  LIV. IMPIEGATO            "/>
    <s v="01/01/2014"/>
    <s v="30/10/2010"/>
    <s v="01/03/1983"/>
    <s v="A"/>
    <s v="A.IN FORZA"/>
    <s v="1  -ASSUNZIONE                1"/>
    <s v=""/>
    <s v=" "/>
    <s v=""/>
    <s v=""/>
    <n v="2711"/>
    <s v="00"/>
    <n v="100"/>
    <s v="FULL TIME      100000000FF100-FULL TIME"/>
    <s v="30/10/2010"/>
    <s v=""/>
    <s v="  "/>
    <s v=""/>
    <s v="RN  "/>
    <s v="    "/>
    <s v=""/>
    <s v=""/>
    <s v="giorgio.deluca@radio24.it                         "/>
    <s v="F"/>
    <s v="F-FIRMA"/>
    <s v="1 "/>
    <s v="1=5 X 8"/>
    <s v="01/07/2025"/>
    <s v="TEMPO DETERMINATO"/>
    <s v="31/05/2027"/>
    <s v="0015002764                    "/>
    <s v="SCOTTI GUIDO"/>
    <n v="42"/>
  </r>
  <r>
    <x v="0"/>
    <n v="2982"/>
    <s v="IL SOLE 24 ORE S.P.A.                   "/>
    <s v="B           "/>
    <s v="DG M&amp;B - DG RADIO 24"/>
    <s v="B05 "/>
    <x v="4"/>
    <s v="Q16000      "/>
    <s v="Q16000   PRODUZIONE PROGRAMMI RADIO"/>
    <s v="DEFRANCHI                       "/>
    <s v="JACOPO            "/>
    <s v="DFRJCP96E28E463C"/>
    <x v="1"/>
    <s v="34"/>
    <x v="0"/>
    <s v="01/04/2021"/>
    <s v="MILANO                 "/>
    <s v="RR"/>
    <x v="2"/>
    <s v="I"/>
    <x v="0"/>
    <s v="3  "/>
    <s v="3^  LIV. IMPIEGATO            "/>
    <s v="01/10/2019"/>
    <s v="01/10/2019"/>
    <s v="28/05/1996"/>
    <s v="A"/>
    <s v="A.IN FORZA"/>
    <s v="1S-ASSUNZIONE STABILIZZAZIONE 1S"/>
    <s v=""/>
    <s v=" "/>
    <s v=""/>
    <s v=""/>
    <n v="2982"/>
    <s v="00"/>
    <n v="100"/>
    <s v="FULL TIME      100000000FF100-FULL TIME"/>
    <s v="01/10/2019"/>
    <s v=""/>
    <s v="  "/>
    <s v=""/>
    <s v="RN  "/>
    <s v="    "/>
    <s v=""/>
    <s v=""/>
    <s v="jacopo.defranchi@radio24.it                       "/>
    <s v="T"/>
    <s v="T-TIMBRA"/>
    <s v="1 "/>
    <s v="1=5 X 8"/>
    <s v="01/07/2025"/>
    <s v="TEMPO DETERMINATO"/>
    <s v="31/05/2027"/>
    <s v="0015002764                    "/>
    <s v="SCOTTI GUIDO"/>
    <n v="29"/>
  </r>
  <r>
    <x v="0"/>
    <n v="2716"/>
    <s v="IL SOLE 24 ORE S.P.A.                   "/>
    <s v="B           "/>
    <s v="DG M&amp;B - DG RADIO 24"/>
    <s v="B05 "/>
    <x v="4"/>
    <s v="Q16000      "/>
    <s v="Q16000   PRODUZIONE PROGRAMMI RADIO"/>
    <s v="FAGGIN                          "/>
    <s v="LAURA             "/>
    <s v="FGGLRA78S59D325L"/>
    <x v="0"/>
    <s v="34"/>
    <x v="0"/>
    <s v="01/04/2021"/>
    <s v="MILANO                 "/>
    <s v="RR"/>
    <x v="2"/>
    <s v="I"/>
    <x v="0"/>
    <s v="3  "/>
    <s v="3^  LIV. IMPIEGATO            "/>
    <s v="01/01/2014"/>
    <s v="02/04/2007"/>
    <s v="19/11/1978"/>
    <s v="A"/>
    <s v="A.IN FORZA"/>
    <s v="1  -ASSUNZIONE                1"/>
    <s v=""/>
    <s v=" "/>
    <s v=""/>
    <s v=""/>
    <n v="2716"/>
    <s v="02"/>
    <n v="75"/>
    <s v="30 H O GRA/RADI075000000PP30.0/40- PT 75.00-P"/>
    <s v="01/04/2020"/>
    <s v="31/07/2026"/>
    <s v="  "/>
    <s v=""/>
    <s v="RN  "/>
    <s v="    "/>
    <s v=""/>
    <s v=""/>
    <s v="laura.faggin@radio24.it                           "/>
    <s v="T"/>
    <s v="T-TIMBRA"/>
    <s v="1 "/>
    <s v="1=5 X 8"/>
    <s v="01/07/2025"/>
    <s v="TEMPO DETERMINATO"/>
    <s v="31/05/2027"/>
    <s v="0015002764                    "/>
    <s v="SCOTTI GUIDO"/>
    <n v="47"/>
  </r>
  <r>
    <x v="0"/>
    <n v="2722"/>
    <s v="IL SOLE 24 ORE S.P.A.                   "/>
    <s v="B           "/>
    <s v="DG M&amp;B - DG RADIO 24"/>
    <s v="B05 "/>
    <x v="4"/>
    <s v="Q16000      "/>
    <s v="Q16000   PRODUZIONE PROGRAMMI RADIO"/>
    <s v="FUSCONI                         "/>
    <s v="ELISABETTA        "/>
    <s v="FSCLBT74E67F205M"/>
    <x v="0"/>
    <s v="34"/>
    <x v="0"/>
    <s v="01/04/2021"/>
    <s v="MILANO                 "/>
    <s v="RR"/>
    <x v="2"/>
    <s v="I"/>
    <x v="0"/>
    <s v="4  "/>
    <s v="4^  LIV. IMPIEGATO            "/>
    <s v="01/01/2014"/>
    <s v="01/04/2006"/>
    <s v="27/05/1974"/>
    <s v="A"/>
    <s v="A.IN FORZA"/>
    <s v="1  -ASSUNZIONE                1"/>
    <s v=""/>
    <s v=" "/>
    <s v=""/>
    <s v=""/>
    <n v="2722"/>
    <s v="00"/>
    <n v="100"/>
    <s v="FULL TIME      100000000FF100-FULL TIME"/>
    <s v="01/04/2006"/>
    <s v=""/>
    <s v="  "/>
    <s v=""/>
    <s v="RN  "/>
    <s v="    "/>
    <s v=""/>
    <s v=""/>
    <s v="elisabetta.fusconi@radio24.it                     "/>
    <s v="T"/>
    <s v="T-TIMBRA"/>
    <s v="1 "/>
    <s v="1=5 X 8"/>
    <s v="01/07/2025"/>
    <s v="TEMPO DETERMINATO"/>
    <s v="31/05/2027"/>
    <s v="0015002764                    "/>
    <s v="SCOTTI GUIDO"/>
    <n v="51"/>
  </r>
  <r>
    <x v="0"/>
    <n v="3094"/>
    <s v="IL SOLE 24 ORE S.P.A.                   "/>
    <s v="B           "/>
    <s v="DG M&amp;B - DG RADIO 24"/>
    <s v="B05 "/>
    <x v="4"/>
    <s v="Q16000      "/>
    <s v="Q16000   PRODUZIONE PROGRAMMI RADIO"/>
    <s v="GIARDINO                        "/>
    <s v="GIORGIO           "/>
    <s v="GRDGRG98E28D086P"/>
    <x v="1"/>
    <s v="34"/>
    <x v="0"/>
    <s v="20/09/2023"/>
    <s v="MILANO                 "/>
    <s v="RR"/>
    <x v="2"/>
    <s v="I"/>
    <x v="0"/>
    <s v="3  "/>
    <s v="3^  LIV. IMPIEGATO            "/>
    <s v="20/09/2023"/>
    <s v="20/09/2023"/>
    <s v="28/05/1998"/>
    <s v="A"/>
    <s v="A.IN FORZA"/>
    <s v="1S-ASSUNZIONE STABILIZZAZIONE 1S"/>
    <s v=""/>
    <s v=" "/>
    <s v=""/>
    <s v=""/>
    <n v="3094"/>
    <s v="00"/>
    <n v="100"/>
    <s v="FULL TIME      100000000FF100-FULL TIME"/>
    <s v="20/09/2023"/>
    <s v=""/>
    <s v="  "/>
    <s v=""/>
    <s v="RN  "/>
    <s v="    "/>
    <s v=""/>
    <s v=""/>
    <s v="giorgio.giardino@radio24.it                       "/>
    <s v="T"/>
    <s v="T-TIMBRA"/>
    <s v="1 "/>
    <s v="1=5 X 8"/>
    <s v="01/07/2025"/>
    <s v="TEMPO DETERMINATO"/>
    <s v="31/05/2027"/>
    <s v="0015002764                    "/>
    <s v="SCOTTI GUIDO"/>
    <n v="27"/>
  </r>
  <r>
    <x v="0"/>
    <n v="2731"/>
    <s v="IL SOLE 24 ORE S.P.A.                   "/>
    <s v="B           "/>
    <s v="DG M&amp;B - DG RADIO 24"/>
    <s v="B05 "/>
    <x v="4"/>
    <s v="Q16000      "/>
    <s v="Q16000   PRODUZIONE PROGRAMMI RADIO"/>
    <s v="LOMBARDO                        "/>
    <s v="MARCO             "/>
    <s v="LMBMRC85M21F335G"/>
    <x v="1"/>
    <s v="34"/>
    <x v="0"/>
    <s v="01/04/2021"/>
    <s v="MILANO                 "/>
    <s v="RR"/>
    <x v="2"/>
    <s v="I"/>
    <x v="0"/>
    <s v="3  "/>
    <s v="3^  LIV. IMPIEGATO            "/>
    <s v="01/01/2014"/>
    <s v="22/09/2011"/>
    <s v="21/08/1985"/>
    <s v="A"/>
    <s v="A.IN FORZA"/>
    <s v="1  -ASSUNZIONE                1"/>
    <s v=""/>
    <s v=" "/>
    <s v=""/>
    <s v=""/>
    <n v="2731"/>
    <s v="00"/>
    <n v="100"/>
    <s v="FULL TIME      100000000FF100-FULL TIME"/>
    <s v="22/09/2011"/>
    <s v=""/>
    <s v="  "/>
    <s v=""/>
    <s v="RN  "/>
    <s v="    "/>
    <s v=""/>
    <s v="U.I.L.             U.I.L"/>
    <s v="marco.lombardo@radio24.it                         "/>
    <s v="T"/>
    <s v="T-TIMBRA"/>
    <s v="1 "/>
    <s v="1=5 X 8"/>
    <s v="01/07/2025"/>
    <s v="TEMPO DETERMINATO"/>
    <s v="31/05/2027"/>
    <s v="0015002764                    "/>
    <s v="SCOTTI GUIDO"/>
    <n v="40"/>
  </r>
  <r>
    <x v="0"/>
    <n v="2733"/>
    <s v="IL SOLE 24 ORE S.P.A.                   "/>
    <s v="B           "/>
    <s v="DG M&amp;B - DG RADIO 24"/>
    <s v="B05 "/>
    <x v="4"/>
    <s v="Q16000      "/>
    <s v="Q16000   PRODUZIONE PROGRAMMI RADIO"/>
    <s v="LORENZI                         "/>
    <s v="SILVIO            "/>
    <s v="LRNSLV74E28F205C"/>
    <x v="1"/>
    <s v="34"/>
    <x v="0"/>
    <s v="01/04/2021"/>
    <s v="MILANO                 "/>
    <s v="RR"/>
    <x v="2"/>
    <s v="I"/>
    <x v="0"/>
    <s v="5  "/>
    <s v="5^  LIV. IMPIEGATO            "/>
    <s v="01/01/2014"/>
    <s v="23/08/1999"/>
    <s v="28/05/1974"/>
    <s v="A"/>
    <s v="A.IN FORZA"/>
    <s v="1  -ASSUNZIONE                1"/>
    <s v=""/>
    <s v=" "/>
    <s v=""/>
    <s v=""/>
    <n v="2733"/>
    <s v="00"/>
    <n v="100"/>
    <s v="FULL TIME      100000000FF100-FULL TIME"/>
    <s v="23/08/1999"/>
    <s v=""/>
    <s v="  "/>
    <s v=""/>
    <s v="RN  "/>
    <s v="    "/>
    <s v=""/>
    <s v="U.I.L.             U.I.L"/>
    <s v="silvio.lorenzi@radio24.it                         "/>
    <s v="F"/>
    <s v="F-FIRMA"/>
    <s v="1 "/>
    <s v="1=5 X 8"/>
    <s v="01/07/2025"/>
    <s v="TEMPO DETERMINATO"/>
    <s v="31/05/2027"/>
    <s v="0015002764                    "/>
    <s v="SCOTTI GUIDO"/>
    <n v="51"/>
  </r>
  <r>
    <x v="0"/>
    <n v="2812"/>
    <s v="IL SOLE 24 ORE S.P.A.                   "/>
    <s v="B           "/>
    <s v="DG M&amp;B - DG RADIO 24"/>
    <s v="B05 "/>
    <x v="4"/>
    <s v="Q16000      "/>
    <s v="Q16000   PRODUZIONE PROGRAMMI RADIO"/>
    <s v="LUCHETTI                        "/>
    <s v="MIRIAM            "/>
    <s v="LCHMRM84A52B639Z"/>
    <x v="0"/>
    <s v="34"/>
    <x v="0"/>
    <s v="01/04/2021"/>
    <s v="MILANO                 "/>
    <s v="RR"/>
    <x v="2"/>
    <s v="I"/>
    <x v="0"/>
    <s v="3  "/>
    <s v="3^  LIV. IMPIEGATO            "/>
    <s v="12/01/2015"/>
    <s v="12/01/2015"/>
    <s v="12/01/1984"/>
    <s v="A"/>
    <s v="A.IN FORZA"/>
    <s v="1  -ASSUNZIONE                1"/>
    <s v=""/>
    <s v=" "/>
    <s v=""/>
    <s v=""/>
    <n v="2812"/>
    <s v="00"/>
    <n v="100"/>
    <s v="FULL TIME      100000000FF100-FULL TIME"/>
    <s v="12/01/2015"/>
    <s v=""/>
    <s v="  "/>
    <s v=""/>
    <s v="RN  "/>
    <s v="    "/>
    <s v=""/>
    <s v=""/>
    <s v="miriam.luchetti@radio24.it                        "/>
    <s v="T"/>
    <s v="T-TIMBRA"/>
    <s v="1 "/>
    <s v="1=5 X 8"/>
    <s v="01/07/2025"/>
    <s v="TEMPO DETERMINATO"/>
    <s v="31/05/2027"/>
    <s v="0015002764                    "/>
    <s v="SCOTTI GUIDO"/>
    <n v="42"/>
  </r>
  <r>
    <x v="0"/>
    <n v="2737"/>
    <s v="IL SOLE 24 ORE S.P.A.                   "/>
    <s v="B           "/>
    <s v="DG M&amp;B - DG RADIO 24"/>
    <s v="B05 "/>
    <x v="4"/>
    <s v="Q16000      "/>
    <s v="Q16000   PRODUZIONE PROGRAMMI RADIO"/>
    <s v="MARCOTULLI                      "/>
    <s v="ALESSANDRO        "/>
    <s v="MRCLSN72D07H501J"/>
    <x v="1"/>
    <s v="34"/>
    <x v="0"/>
    <s v="01/04/2021"/>
    <s v="MILANO                 "/>
    <s v="RR"/>
    <x v="2"/>
    <s v="I"/>
    <x v="0"/>
    <s v="4  "/>
    <s v="4^  LIV. IMPIEGATO            "/>
    <s v="01/01/2014"/>
    <s v="14/01/2008"/>
    <s v="07/04/1972"/>
    <s v="A"/>
    <s v="A.IN FORZA"/>
    <s v="1  -ASSUNZIONE                1"/>
    <s v=""/>
    <s v=" "/>
    <s v=""/>
    <s v=""/>
    <n v="2737"/>
    <s v="00"/>
    <n v="100"/>
    <s v="FULL TIME      100000000FF100-FULL TIME"/>
    <s v="14/01/2008"/>
    <s v=""/>
    <s v="  "/>
    <s v=""/>
    <s v="RN  "/>
    <s v="    "/>
    <s v=""/>
    <s v=""/>
    <s v="alessandro.marcotulli@radio24.it                  "/>
    <s v="T"/>
    <s v="T-TIMBRA"/>
    <s v="1 "/>
    <s v="1=5 X 8"/>
    <s v="01/07/2025"/>
    <s v="TEMPO DETERMINATO"/>
    <s v="31/05/2027"/>
    <s v="0015002764                    "/>
    <s v="SCOTTI GUIDO"/>
    <n v="53"/>
  </r>
  <r>
    <x v="0"/>
    <n v="2806"/>
    <s v="IL SOLE 24 ORE S.P.A.                   "/>
    <s v="B           "/>
    <s v="DG M&amp;B - DG RADIO 24"/>
    <s v="B05 "/>
    <x v="4"/>
    <s v="Q16000      "/>
    <s v="Q16000   PRODUZIONE PROGRAMMI RADIO"/>
    <s v="NESPOLI                         "/>
    <s v="LORENZO           "/>
    <s v="NSPLNZ85S28B639M"/>
    <x v="1"/>
    <s v="34"/>
    <x v="0"/>
    <s v="01/04/2021"/>
    <s v="MILANO                 "/>
    <s v="RR"/>
    <x v="2"/>
    <s v="I"/>
    <x v="0"/>
    <s v="3  "/>
    <s v="3^  LIV. IMPIEGATO            "/>
    <s v="01/10/2014"/>
    <s v="01/10/2014"/>
    <s v="28/11/1985"/>
    <s v="A"/>
    <s v="A.IN FORZA"/>
    <s v="1  -ASSUNZIONE                1"/>
    <s v=""/>
    <s v=" "/>
    <s v=""/>
    <s v=""/>
    <n v="2806"/>
    <s v="00"/>
    <n v="100"/>
    <s v="FULL TIME      100000000FF100-FULL TIME"/>
    <s v="01/03/2015"/>
    <s v=""/>
    <s v="  "/>
    <s v=""/>
    <s v="RN  "/>
    <s v="    "/>
    <s v=""/>
    <s v=""/>
    <s v="lorenzo.nespoli@radio24.it                        "/>
    <s v="T"/>
    <s v="T-TIMBRA"/>
    <s v="5 "/>
    <s v="5=6 X 6,66"/>
    <s v="01/07/2025"/>
    <s v="TEMPO DETERMINATO"/>
    <s v="31/05/2027"/>
    <s v="0015002764                    "/>
    <s v="SCOTTI GUIDO"/>
    <n v="40"/>
  </r>
  <r>
    <x v="0"/>
    <n v="2750"/>
    <s v="IL SOLE 24 ORE S.P.A.                   "/>
    <s v="B           "/>
    <s v="DG M&amp;B - DG RADIO 24"/>
    <s v="B05 "/>
    <x v="4"/>
    <s v="Q16000      "/>
    <s v="Q16000   PRODUZIONE PROGRAMMI RADIO"/>
    <s v="PANIZZA ARIOTTI                 "/>
    <s v="ANITA AURELIA     "/>
    <s v="PNZNRL77E67L219J"/>
    <x v="0"/>
    <s v="34"/>
    <x v="0"/>
    <s v="01/04/2021"/>
    <s v="MILANO                 "/>
    <s v="RR"/>
    <x v="2"/>
    <s v="I"/>
    <x v="0"/>
    <s v="4  "/>
    <s v="4^  LIV. IMPIEGATO            "/>
    <s v="01/01/2014"/>
    <s v="01/04/2006"/>
    <s v="27/05/1977"/>
    <s v="A"/>
    <s v="A.IN FORZA"/>
    <s v="1  -ASSUNZIONE                1"/>
    <s v=""/>
    <s v=" "/>
    <s v=""/>
    <s v=""/>
    <n v="2750"/>
    <s v="00"/>
    <n v="100"/>
    <s v="FULL TIME      100000000FF100-FULL TIME"/>
    <s v="01/04/2006"/>
    <s v=""/>
    <s v="  "/>
    <s v=""/>
    <s v="RN  "/>
    <s v="    "/>
    <s v=""/>
    <s v="U.I.L.             U.I.L"/>
    <s v="anita.panizza@radio24.it                          "/>
    <s v="T"/>
    <s v="T-TIMBRA"/>
    <s v="1 "/>
    <s v="1=5 X 8"/>
    <s v="01/07/2025"/>
    <s v="TEMPO DETERMINATO"/>
    <s v="31/05/2027"/>
    <s v="0015002764                    "/>
    <s v="SCOTTI GUIDO"/>
    <n v="48"/>
  </r>
  <r>
    <x v="0"/>
    <n v="2755"/>
    <s v="IL SOLE 24 ORE S.P.A.                   "/>
    <s v="B           "/>
    <s v="DG M&amp;B - DG RADIO 24"/>
    <s v="B05 "/>
    <x v="4"/>
    <s v="Q16000      "/>
    <s v="Q16000   PRODUZIONE PROGRAMMI RADIO"/>
    <s v="POLI                            "/>
    <s v="RICCARDO          "/>
    <s v="PLORCR82T24L949L"/>
    <x v="1"/>
    <s v="34"/>
    <x v="0"/>
    <s v="01/04/2021"/>
    <s v="MILANO                 "/>
    <s v="RR"/>
    <x v="2"/>
    <s v="I"/>
    <x v="0"/>
    <s v="3  "/>
    <s v="3^  LIV. IMPIEGATO            "/>
    <s v="01/01/2014"/>
    <s v="25/03/2010"/>
    <s v="24/12/1982"/>
    <s v="A"/>
    <s v="A.IN FORZA"/>
    <s v="1  -ASSUNZIONE                1"/>
    <s v=""/>
    <s v=" "/>
    <s v=""/>
    <s v=""/>
    <n v="2755"/>
    <s v="00"/>
    <n v="100"/>
    <s v="FULL TIME      100000000FF100-FULL TIME"/>
    <s v="25/03/2010"/>
    <s v=""/>
    <s v="  "/>
    <s v=""/>
    <s v="RN  "/>
    <s v="    "/>
    <s v=""/>
    <s v=""/>
    <s v="riccardo.poli@radio24.it                          "/>
    <s v="T"/>
    <s v="T-TIMBRA"/>
    <s v="1 "/>
    <s v="1=5 X 8"/>
    <s v="01/07/2025"/>
    <s v="TEMPO DETERMINATO"/>
    <s v="31/05/2027"/>
    <s v="0015002764                    "/>
    <s v="SCOTTI GUIDO"/>
    <n v="43"/>
  </r>
  <r>
    <x v="0"/>
    <n v="3006"/>
    <s v="IL SOLE 24 ORE S.P.A.                   "/>
    <s v="B           "/>
    <s v="DG M&amp;B - DG RADIO 24"/>
    <s v="B05 "/>
    <x v="4"/>
    <s v="Q16000      "/>
    <s v="Q16000   PRODUZIONE PROGRAMMI RADIO"/>
    <s v="SANTORO                         "/>
    <s v="MARCO             "/>
    <s v="SNTMRC93C14A489I"/>
    <x v="1"/>
    <s v="34"/>
    <x v="0"/>
    <s v="01/04/2021"/>
    <s v="MILANO                 "/>
    <s v="RR"/>
    <x v="2"/>
    <s v="I"/>
    <x v="0"/>
    <s v="3  "/>
    <s v="3^  LIV. IMPIEGATO            "/>
    <s v="06/10/2020"/>
    <s v="06/10/2020"/>
    <s v="14/03/1993"/>
    <s v="A"/>
    <s v="A.IN FORZA"/>
    <s v="1S-ASSUNZIONE STABILIZZAZIONE 1S"/>
    <s v="30/09/2022"/>
    <s v=" "/>
    <s v=""/>
    <s v=""/>
    <n v="3006"/>
    <s v="00"/>
    <n v="100"/>
    <s v="FULL TIME      100000000FF100-FULL TIME"/>
    <s v="06/10/2020"/>
    <s v=""/>
    <s v="  "/>
    <s v=""/>
    <s v="RN  "/>
    <s v="    "/>
    <s v=""/>
    <s v=""/>
    <s v="marco.santoro@radio24.it                          "/>
    <s v="T"/>
    <s v="T-TIMBRA"/>
    <s v="1 "/>
    <s v="1=5 X 8"/>
    <s v="01/07/2025"/>
    <s v="TEMPO DETERMINATO"/>
    <s v="31/05/2027"/>
    <s v="0015002764                    "/>
    <s v="SCOTTI GUIDO"/>
    <n v="32"/>
  </r>
  <r>
    <x v="0"/>
    <n v="2811"/>
    <s v="IL SOLE 24 ORE S.P.A.                   "/>
    <s v="B           "/>
    <s v="DG M&amp;B - DG RADIO 24"/>
    <s v="B05 "/>
    <x v="4"/>
    <s v="Q16000      "/>
    <s v="Q16000   PRODUZIONE PROGRAMMI RADIO"/>
    <s v="SCHIATTONE                      "/>
    <s v="CLAUDIA           "/>
    <s v="SCHCLD89P61C136T"/>
    <x v="0"/>
    <s v="34"/>
    <x v="0"/>
    <s v="01/04/2021"/>
    <s v="MILANO                 "/>
    <s v="RR"/>
    <x v="2"/>
    <s v="I"/>
    <x v="0"/>
    <s v="3  "/>
    <s v="3^  LIV. IMPIEGATO            "/>
    <s v="07/01/2015"/>
    <s v="07/01/2015"/>
    <s v="21/09/1989"/>
    <s v="A"/>
    <s v="A.IN FORZA"/>
    <s v="1  -ASSUNZIONE                1"/>
    <s v=""/>
    <s v=" "/>
    <s v=""/>
    <s v=""/>
    <n v="2811"/>
    <s v="00"/>
    <n v="100"/>
    <s v="FULL TIME      100000000FF100-FULL TIME"/>
    <s v="07/01/2015"/>
    <s v=""/>
    <s v="  "/>
    <s v=""/>
    <s v="RN  "/>
    <s v="    "/>
    <s v=""/>
    <s v=""/>
    <s v="claudia.schiattone@radio24.it                     "/>
    <s v="T"/>
    <s v="T-TIMBRA"/>
    <s v="1 "/>
    <s v="1=5 X 8"/>
    <s v="01/07/2025"/>
    <s v="TEMPO DETERMINATO"/>
    <s v="31/05/2027"/>
    <s v="0015002764                    "/>
    <s v="SCOTTI GUIDO"/>
    <n v="36"/>
  </r>
  <r>
    <x v="0"/>
    <n v="2998"/>
    <s v="IL SOLE 24 ORE S.P.A.                   "/>
    <s v="B           "/>
    <s v="DG M&amp;B - DG RADIO 24"/>
    <s v="B05 "/>
    <x v="4"/>
    <s v="Q16000      "/>
    <s v="Q16000   PRODUZIONE PROGRAMMI RADIO"/>
    <s v="SCHIRANO                        "/>
    <s v="ALESSANDRO        "/>
    <s v="SCHLSN89A10L049F"/>
    <x v="1"/>
    <s v="34"/>
    <x v="0"/>
    <s v="01/04/2021"/>
    <s v="MILANO                 "/>
    <s v="RR"/>
    <x v="2"/>
    <s v="I"/>
    <x v="0"/>
    <s v="3  "/>
    <s v="3^  LIV. IMPIEGATO            "/>
    <s v="22/06/2020"/>
    <s v="22/06/2020"/>
    <s v="10/01/1989"/>
    <s v="A"/>
    <s v="A.IN FORZA"/>
    <s v="1S-ASSUNZIONE STABILIZZAZIONE 1S"/>
    <s v=""/>
    <s v=" "/>
    <s v=""/>
    <s v=""/>
    <n v="2998"/>
    <s v="00"/>
    <n v="100"/>
    <s v="FULL TIME      100000000FF100-FULL TIME"/>
    <s v="22/06/2020"/>
    <s v=""/>
    <s v="05"/>
    <s v="INVALIDI CIVILI"/>
    <s v="RN  "/>
    <s v="    "/>
    <s v=""/>
    <s v=""/>
    <s v="alessandro.schirano@radio24.it                    "/>
    <s v="T"/>
    <s v="T-TIMBRA"/>
    <s v="5 "/>
    <s v="5=6 X 6,66"/>
    <s v="01/07/2025"/>
    <s v="TEMPO DETERMINATO"/>
    <s v="31/05/2027"/>
    <s v="0015002764                    "/>
    <s v="SCOTTI GUIDO"/>
    <n v="37"/>
  </r>
  <r>
    <x v="0"/>
    <n v="2764"/>
    <s v="IL SOLE 24 ORE S.P.A.                   "/>
    <s v="B           "/>
    <s v="DG M&amp;B - DG RADIO 24"/>
    <s v="B05 "/>
    <x v="4"/>
    <s v="Q16000      "/>
    <s v="Q16000   PRODUZIONE PROGRAMMI RADIO"/>
    <s v="SCOTTI                          "/>
    <s v="GUIDO             "/>
    <s v="SCTGDU74L24F704Y"/>
    <x v="1"/>
    <s v="34"/>
    <x v="0"/>
    <s v="01/04/2021"/>
    <s v="MILANO                 "/>
    <s v="RR"/>
    <x v="2"/>
    <s v="F"/>
    <x v="2"/>
    <s v="6Q "/>
    <s v="6Q LIV. QUADRO                "/>
    <s v="01/01/2014"/>
    <s v="07/02/2005"/>
    <s v="24/07/1974"/>
    <s v="A"/>
    <s v="A.IN FORZA"/>
    <s v="1  -ASSUNZIONE                1"/>
    <s v=""/>
    <s v=" "/>
    <s v=""/>
    <s v=""/>
    <n v="2764"/>
    <s v="00"/>
    <n v="100"/>
    <s v="FULL TIME      100000000FF100-FULL TIME"/>
    <s v="07/02/2005"/>
    <s v=""/>
    <s v="  "/>
    <s v=""/>
    <s v="RN  "/>
    <s v="    "/>
    <s v=""/>
    <s v=""/>
    <s v="guido.scotti@radio24.it                           "/>
    <s v="F"/>
    <s v="F-FIRMA"/>
    <s v="1 "/>
    <s v="1=5 X 8"/>
    <s v="01/07/2025"/>
    <s v="TEMPO DETERMINATO"/>
    <s v="31/05/2027"/>
    <s v="0015002960                    "/>
    <s v="SILVESTRI FEDERICO"/>
    <n v="51"/>
  </r>
  <r>
    <x v="0"/>
    <n v="2765"/>
    <s v="IL SOLE 24 ORE S.P.A.                   "/>
    <s v="B           "/>
    <s v="DG M&amp;B - DG RADIO 24"/>
    <s v="B05 "/>
    <x v="4"/>
    <s v="Q16000      "/>
    <s v="Q16000   PRODUZIONE PROGRAMMI RADIO"/>
    <s v="SPECIALE                        "/>
    <s v="LUIGI             "/>
    <s v="SPCLGU76D05G273Q"/>
    <x v="1"/>
    <s v="34"/>
    <x v="0"/>
    <s v="01/04/2021"/>
    <s v="MILANO                 "/>
    <s v="RR"/>
    <x v="2"/>
    <s v="I"/>
    <x v="0"/>
    <s v="5  "/>
    <s v="5^  LIV. IMPIEGATO            "/>
    <s v="01/01/2014"/>
    <s v="04/09/2006"/>
    <s v="05/04/1976"/>
    <s v="A"/>
    <s v="A.IN FORZA"/>
    <s v="1  -ASSUNZIONE                1"/>
    <s v=""/>
    <s v=" "/>
    <s v=""/>
    <s v=""/>
    <n v="2765"/>
    <s v="00"/>
    <n v="100"/>
    <s v="FULL TIME      100000000FF100-FULL TIME"/>
    <s v="04/09/2006"/>
    <s v=""/>
    <s v="  "/>
    <s v=""/>
    <s v="RN  "/>
    <s v="    "/>
    <s v=""/>
    <s v=""/>
    <s v="luigi.speciale@radio24.it                         "/>
    <s v="F"/>
    <s v="F-FIRMA"/>
    <s v="1 "/>
    <s v="1=5 X 8"/>
    <s v="01/07/2025"/>
    <s v="TEMPO DETERMINATO"/>
    <s v="31/05/2027"/>
    <s v="0015002764                    "/>
    <s v="SCOTTI GUIDO"/>
    <n v="49"/>
  </r>
  <r>
    <x v="0"/>
    <n v="2827"/>
    <s v="IL SOLE 24 ORE S.P.A.                   "/>
    <s v="B           "/>
    <s v="DG M&amp;B - DG RADIO 24"/>
    <s v="B05 "/>
    <x v="4"/>
    <s v="Q16000      "/>
    <s v="Q16000   PRODUZIONE PROGRAMMI RADIO"/>
    <s v="TERNULLO                        "/>
    <s v="VALENTINA         "/>
    <s v="TRNVNT82T56E281B"/>
    <x v="0"/>
    <s v="34"/>
    <x v="0"/>
    <s v="01/04/2021"/>
    <s v="MILANO                 "/>
    <s v="RR"/>
    <x v="2"/>
    <s v="I"/>
    <x v="0"/>
    <s v="3  "/>
    <s v="3^  LIV. IMPIEGATO            "/>
    <s v="11/05/2015"/>
    <s v="11/05/2015"/>
    <s v="16/12/1982"/>
    <s v="A"/>
    <s v="A.IN FORZA"/>
    <s v="1  -ASSUNZIONE                1"/>
    <s v="16/08/2022"/>
    <s v=" "/>
    <s v=""/>
    <s v=""/>
    <n v="2827"/>
    <s v="00"/>
    <n v="100"/>
    <s v="FULL TIME      100000000FF100-FULL TIME"/>
    <s v="11/05/2015"/>
    <s v=""/>
    <s v="  "/>
    <s v=""/>
    <s v="RN  "/>
    <s v="    "/>
    <s v=""/>
    <s v=""/>
    <s v="valentina.ternullo@radio24.it                     "/>
    <s v="F"/>
    <s v="F-FIRMA"/>
    <s v="1 "/>
    <s v="1=5 X 8"/>
    <s v="01/07/2025"/>
    <s v="TEMPO DETERMINATO"/>
    <s v="31/05/2027"/>
    <s v="0015002764                    "/>
    <s v="SCOTTI GUIDO"/>
    <n v="43"/>
  </r>
  <r>
    <x v="0"/>
    <n v="2771"/>
    <s v="IL SOLE 24 ORE S.P.A.                   "/>
    <s v="B           "/>
    <s v="DG M&amp;B - DG RADIO 24"/>
    <s v="B05 "/>
    <x v="4"/>
    <s v="Q16000      "/>
    <s v="Q16000   PRODUZIONE PROGRAMMI RADIO"/>
    <s v="VANOSSI                         "/>
    <s v="LAURA             "/>
    <s v="VNSLRA79C51B639A"/>
    <x v="0"/>
    <s v="34"/>
    <x v="0"/>
    <s v="01/04/2021"/>
    <s v="MILANO                 "/>
    <s v="RR"/>
    <x v="2"/>
    <s v="I"/>
    <x v="0"/>
    <s v="3  "/>
    <s v="3^  LIV. IMPIEGATO            "/>
    <s v="01/01/2014"/>
    <s v="04/04/2006"/>
    <s v="11/03/1979"/>
    <s v="A"/>
    <s v="A.IN FORZA"/>
    <s v="1  -ASSUNZIONE                1"/>
    <s v=""/>
    <s v=" "/>
    <s v=""/>
    <s v=""/>
    <n v="2771"/>
    <s v="00"/>
    <n v="100"/>
    <s v="FULL TIME      100000000FF100-FULL TIME"/>
    <s v="05/09/2019"/>
    <s v=""/>
    <s v="  "/>
    <s v=""/>
    <s v="RN  "/>
    <s v="    "/>
    <s v=""/>
    <s v=""/>
    <s v="laura.vanossi@radio24.it                          "/>
    <s v="T"/>
    <s v="T-TIMBRA"/>
    <s v="1 "/>
    <s v="1=5 X 8"/>
    <s v="01/07/2025"/>
    <s v="TEMPO DETERMINATO"/>
    <s v="31/05/2027"/>
    <s v="0015002764                    "/>
    <s v="SCOTTI GUIDO"/>
    <n v="46"/>
  </r>
  <r>
    <x v="0"/>
    <n v="2730"/>
    <s v="IL SOLE 24 ORE S.P.A.                   "/>
    <s v="B           "/>
    <s v="DG M&amp;B - DG RADIO 24"/>
    <s v="B06 "/>
    <x v="5"/>
    <s v="Q19300      "/>
    <s v="Q19300  EVENTI RADIO24"/>
    <s v="LIGIOS                          "/>
    <s v="ELENA             "/>
    <s v="LGSLNE75R53I452W"/>
    <x v="0"/>
    <s v="34"/>
    <x v="0"/>
    <s v="01/04/2021"/>
    <s v="MILANO                 "/>
    <s v="RR"/>
    <x v="2"/>
    <s v="I"/>
    <x v="0"/>
    <s v="5  "/>
    <s v="5^  LIV. IMPIEGATO            "/>
    <s v="01/01/2014"/>
    <s v="02/05/2007"/>
    <s v="13/10/1975"/>
    <s v="A"/>
    <s v="A.IN FORZA"/>
    <s v="1  -ASSUNZIONE                1"/>
    <s v=""/>
    <s v=" "/>
    <s v=""/>
    <s v=""/>
    <n v="2730"/>
    <s v="00"/>
    <n v="100"/>
    <s v="FULL TIME      100000000FF100-FULL TIME"/>
    <s v="02/05/2007"/>
    <s v=""/>
    <s v="  "/>
    <s v=""/>
    <s v="RN  "/>
    <s v="    "/>
    <s v=""/>
    <s v=""/>
    <s v="elena.ligios@radio24.it                           "/>
    <s v="F"/>
    <s v="F-FIRMA"/>
    <s v="1 "/>
    <s v="1=5 X 8"/>
    <s v="01/07/2025"/>
    <s v="TEMPO DETERMINATO"/>
    <s v="31/05/2027"/>
    <s v="0015002960                    "/>
    <s v="SILVESTRI FEDERICO"/>
    <n v="50"/>
  </r>
  <r>
    <x v="0"/>
    <n v="2237"/>
    <s v="IL SOLE 24 ORE S.P.A.                   "/>
    <s v="D           "/>
    <s v="DG M&amp;B - DG PUBLISHING &amp; DIGITAL"/>
    <s v="D02 "/>
    <x v="6"/>
    <s v="512000      "/>
    <s v="512000   MARKETING EDITORIALE"/>
    <s v="FLORIO                          "/>
    <s v="FRANCESCA         "/>
    <s v="FLRFNC80B62D086M"/>
    <x v="0"/>
    <s v="34"/>
    <x v="0"/>
    <s v="01/04/2021"/>
    <s v="MILANO                 "/>
    <s v="21"/>
    <x v="0"/>
    <s v="I"/>
    <x v="0"/>
    <s v="AS "/>
    <s v="AS LIV. IMPIEGATO             "/>
    <s v="15/10/2007"/>
    <s v="15/10/2007"/>
    <s v="22/02/1980"/>
    <s v="A"/>
    <s v="A.IN FORZA"/>
    <s v="1  -ASSUNZIONE                1"/>
    <s v=""/>
    <s v=" "/>
    <s v=""/>
    <s v=""/>
    <n v="1678"/>
    <s v="00"/>
    <n v="100"/>
    <s v="FULL TIME      100000000FF100-FULL TIME"/>
    <s v="15/10/2007"/>
    <s v=""/>
    <s v="  "/>
    <s v=""/>
    <s v="EV  "/>
    <s v="    "/>
    <s v=""/>
    <s v=""/>
    <s v="francesca.florio@ilsole24ore.com                  "/>
    <s v="F"/>
    <s v="F-FIRMA"/>
    <s v="1 "/>
    <s v="1=5 X 8"/>
    <s v="01/07/2025"/>
    <s v="TEMPO DETERMINATO"/>
    <s v="31/05/2027"/>
    <s v="0015002983                    "/>
    <s v="MUZZA MANUELA"/>
    <n v="45"/>
  </r>
  <r>
    <x v="0"/>
    <n v="1778"/>
    <s v="IL SOLE 24 ORE S.P.A.                   "/>
    <s v="D           "/>
    <s v="DG M&amp;B - DG PUBLISHING &amp; DIGITAL"/>
    <s v="D02 "/>
    <x v="6"/>
    <s v="512000      "/>
    <s v="512000   MARKETING EDITORIALE"/>
    <s v="GORINI                          "/>
    <s v="FEDERICO          "/>
    <s v="GRNFRC74A28F205D"/>
    <x v="1"/>
    <s v="34"/>
    <x v="0"/>
    <s v="01/04/2021"/>
    <s v="MILANO                 "/>
    <s v="21"/>
    <x v="0"/>
    <s v="I"/>
    <x v="0"/>
    <s v="AS "/>
    <s v="AS LIV. IMPIEGATO             "/>
    <s v="01/07/2001"/>
    <s v="03/07/2000"/>
    <s v="28/01/1974"/>
    <s v="A"/>
    <s v="A.IN FORZA"/>
    <s v="2  -VARIAZIONE SOCIETARIA     2"/>
    <s v=""/>
    <s v=" "/>
    <s v=""/>
    <s v=""/>
    <n v="1405"/>
    <s v="00"/>
    <n v="100"/>
    <s v="FULL TIME      100000000FF100-FULL TIME"/>
    <s v="01/07/2001"/>
    <s v=""/>
    <s v="  "/>
    <s v=""/>
    <s v="EV  "/>
    <s v="    "/>
    <s v=""/>
    <s v=""/>
    <s v="federico.gorini@ilsole24ore.com                   "/>
    <s v="F"/>
    <s v="F-FIRMA"/>
    <s v="1 "/>
    <s v="1=5 X 8"/>
    <s v="01/07/2025"/>
    <s v="TEMPO DETERMINATO"/>
    <s v="31/05/2027"/>
    <s v="0015002983                    "/>
    <s v="MUZZA MANUELA"/>
    <n v="52"/>
  </r>
  <r>
    <x v="0"/>
    <n v="3068"/>
    <s v="IL SOLE 24 ORE S.P.A.                   "/>
    <s v="D           "/>
    <s v="DG M&amp;B - DG PUBLISHING &amp; DIGITAL"/>
    <s v="D02 "/>
    <x v="6"/>
    <s v="512000      "/>
    <s v="512000   MARKETING EDITORIALE"/>
    <s v="LA GALA                         "/>
    <s v="ANTONIO           "/>
    <s v="LGLNTN77C17F924I"/>
    <x v="1"/>
    <s v="34"/>
    <x v="0"/>
    <s v="01/03/2023"/>
    <s v="MILANO                 "/>
    <s v="21"/>
    <x v="0"/>
    <s v="F"/>
    <x v="2"/>
    <s v="Q  "/>
    <s v="Q LIV. QUADRI                 "/>
    <s v="01/03/2023"/>
    <s v="01/03/2023"/>
    <s v="17/03/1977"/>
    <s v="A"/>
    <s v="A.IN FORZA"/>
    <s v="1  -ASSUNZIONE                1"/>
    <s v=""/>
    <s v=" "/>
    <s v=""/>
    <s v=""/>
    <n v="3068"/>
    <s v="00"/>
    <n v="100"/>
    <s v="FULL TIME      100000000FF100-FULL TIME"/>
    <s v="01/03/2023"/>
    <s v=""/>
    <s v="  "/>
    <s v=""/>
    <s v="EN  "/>
    <s v="    "/>
    <s v=""/>
    <s v=""/>
    <s v="antonio.lagala@ilsole24ore.com                    "/>
    <s v="F"/>
    <s v="F-FIRMA"/>
    <s v="1 "/>
    <s v="1=5 X 8"/>
    <s v="01/07/2025"/>
    <s v="TEMPO DETERMINATO"/>
    <s v="31/05/2027"/>
    <s v="0015002983                    "/>
    <s v="MUZZA MANUELA"/>
    <n v="48"/>
  </r>
  <r>
    <x v="0"/>
    <n v="3132"/>
    <s v="IL SOLE 24 ORE S.P.A.                   "/>
    <s v="D           "/>
    <s v="DG M&amp;B - DG PUBLISHING &amp; DIGITAL"/>
    <s v="D02 "/>
    <x v="6"/>
    <s v="512000      "/>
    <s v="512000   MARKETING EDITORIALE"/>
    <s v="PISSENATI                       "/>
    <s v="SARA              "/>
    <s v="PSSSRA98H64F205N"/>
    <x v="0"/>
    <s v="34"/>
    <x v="0"/>
    <s v="02/09/2024"/>
    <s v="MILANO                 "/>
    <s v="21"/>
    <x v="0"/>
    <s v="I"/>
    <x v="0"/>
    <s v="B3 "/>
    <s v="B3 LIV. IMPIEGATO             "/>
    <s v="02/09/2024"/>
    <s v="02/09/2024"/>
    <s v="24/06/1998"/>
    <s v="A"/>
    <s v="A.IN FORZA"/>
    <s v="1  -ASSUNZIONE                1"/>
    <s v=""/>
    <s v=" "/>
    <s v=""/>
    <s v=""/>
    <n v="3132"/>
    <s v="00"/>
    <n v="100"/>
    <s v="FULL TIME      100000000FF100-FULL TIME"/>
    <s v="02/09/2024"/>
    <s v=""/>
    <s v="  "/>
    <s v=""/>
    <s v="EN  "/>
    <s v="    "/>
    <s v=""/>
    <s v=""/>
    <s v="sara.pissenati@ilsole24ore.com                    "/>
    <s v=" "/>
    <s v=""/>
    <s v="  "/>
    <s v=""/>
    <s v="01/07/2025"/>
    <s v="TEMPO DETERMINATO"/>
    <s v="31/05/2027"/>
    <s v="0015003068                    "/>
    <s v="LA GALA ANTONIO"/>
    <n v="27"/>
  </r>
  <r>
    <x v="0"/>
    <n v="2210"/>
    <s v="IL SOLE 24 ORE S.P.A.                   "/>
    <s v="D           "/>
    <s v="DG M&amp;B - DG PUBLISHING &amp; DIGITAL"/>
    <s v="D02 "/>
    <x v="6"/>
    <s v="512000      "/>
    <s v="512000   MARKETING EDITORIALE"/>
    <s v="SCABBIA                         "/>
    <s v="STEFANO           "/>
    <s v="SCBSFN74B22F205F"/>
    <x v="1"/>
    <s v="34"/>
    <x v="0"/>
    <s v="01/04/2021"/>
    <s v="MILANO                 "/>
    <s v="21"/>
    <x v="0"/>
    <s v="I"/>
    <x v="0"/>
    <s v="B1 "/>
    <s v="B1 LIV. IMPIEGATO             "/>
    <s v="02/07/2007"/>
    <s v="02/07/2007"/>
    <s v="22/02/1974"/>
    <s v="A"/>
    <s v="A.IN FORZA"/>
    <s v="1  -ASSUNZIONE                1"/>
    <s v=""/>
    <s v=" "/>
    <s v=""/>
    <s v=""/>
    <n v="1662"/>
    <s v="00"/>
    <n v="100"/>
    <s v="FULL TIME      100000000FF100-FULL TIME"/>
    <s v="02/07/2007"/>
    <s v=""/>
    <s v="  "/>
    <s v=""/>
    <s v="EV  "/>
    <s v="    "/>
    <s v=""/>
    <s v="U.I.L.             U.I.L"/>
    <s v="stefano.scabbia@ilsole24ore.com                   "/>
    <s v="F"/>
    <s v="F-FIRMA"/>
    <s v="1 "/>
    <s v="1=5 X 8"/>
    <s v="01/07/2025"/>
    <s v="TEMPO DETERMINATO"/>
    <s v="31/05/2027"/>
    <s v="0015002983                    "/>
    <s v="MUZZA MANUELA"/>
    <n v="51"/>
  </r>
  <r>
    <x v="0"/>
    <n v="2983"/>
    <s v="IL SOLE 24 ORE S.P.A.                   "/>
    <s v="D           "/>
    <s v="DG M&amp;B - DG PUBLISHING &amp; DIGITAL"/>
    <s v="D02 "/>
    <x v="6"/>
    <s v="51210010    "/>
    <s v="51210010 SVILUPPO DIGITALE MKTG EDITORIA"/>
    <s v="MUZZA                           "/>
    <s v="MANUELA           "/>
    <s v="MZZMNL80B46F205O"/>
    <x v="0"/>
    <s v="34"/>
    <x v="0"/>
    <s v="01/04/2021"/>
    <s v="MILANO                 "/>
    <s v="90"/>
    <x v="1"/>
    <s v="D"/>
    <x v="1"/>
    <s v="D  "/>
    <s v="DIRIGENTE INDUSTRIA           "/>
    <s v="01/11/2019"/>
    <s v="01/11/2019"/>
    <s v="06/02/1980"/>
    <s v="A"/>
    <s v="A.IN FORZA"/>
    <s v="1  -ASSUNZIONE                1"/>
    <s v=""/>
    <s v=" "/>
    <s v=""/>
    <s v=""/>
    <n v="2983"/>
    <s v="00"/>
    <n v="100"/>
    <s v="FULL TIME      100000000FF100-FULL TIME"/>
    <s v="01/11/2019"/>
    <s v=""/>
    <s v="  "/>
    <s v=""/>
    <s v="DD  "/>
    <s v="    "/>
    <s v=""/>
    <s v=""/>
    <s v="manuela.muzza@ilsole24ore.com                     "/>
    <s v="E"/>
    <s v="E-ESENTE"/>
    <s v="1 "/>
    <s v="1=5 X 8"/>
    <s v="01/07/2025"/>
    <s v="TEMPO DETERMINATO"/>
    <s v="31/05/2026"/>
    <s v="0015002960                    "/>
    <s v="SILVESTRI FEDERICO"/>
    <n v="45"/>
  </r>
  <r>
    <x v="0"/>
    <n v="2454"/>
    <s v="IL SOLE 24 ORE S.P.A.                   "/>
    <s v="D           "/>
    <s v="DG M&amp;B - DG PUBLISHING &amp; DIGITAL"/>
    <s v="D03 "/>
    <x v="7"/>
    <s v="412620      "/>
    <s v="412620   COORDINAMENTO TECNICO PRODUTTIV"/>
    <s v="CROCETTI                        "/>
    <s v="GIANCARLO         "/>
    <s v="CRCGCR71E27Z133G"/>
    <x v="1"/>
    <s v="34"/>
    <x v="0"/>
    <s v="01/04/2021"/>
    <s v="MILANO                 "/>
    <s v="21"/>
    <x v="0"/>
    <s v="I"/>
    <x v="0"/>
    <s v="B1S"/>
    <s v="B1S LIV. IMPIEGATO            "/>
    <s v="01/04/1994"/>
    <s v="01/04/1994"/>
    <s v="27/05/1971"/>
    <s v="A"/>
    <s v="A.IN FORZA"/>
    <s v="1  -ASSUNZIONE                1"/>
    <s v=""/>
    <s v=" "/>
    <s v=""/>
    <s v=""/>
    <n v="2454"/>
    <s v="00"/>
    <n v="100"/>
    <s v="FULL TIME      100000000FF100-FULL TIME"/>
    <s v="01/04/1994"/>
    <s v=""/>
    <s v="  "/>
    <s v=""/>
    <s v="EP  "/>
    <s v="    "/>
    <s v=""/>
    <s v="U.I.L.             U.I.L"/>
    <s v="gianni.crocetti@ilsole24ore.com                   "/>
    <s v="F"/>
    <s v="F-FIRMA"/>
    <s v="1 "/>
    <s v="1=5 X 8"/>
    <s v="01/07/2025"/>
    <s v="TEMPO DETERMINATO"/>
    <s v="31/05/2027"/>
    <s v="0015002229                    "/>
    <s v="ROCCHETTI WALTER"/>
    <n v="54"/>
  </r>
  <r>
    <x v="0"/>
    <n v="2229"/>
    <s v="IL SOLE 24 ORE S.P.A.                   "/>
    <s v="D           "/>
    <s v="DG M&amp;B - DG PUBLISHING &amp; DIGITAL"/>
    <s v="D03 "/>
    <x v="7"/>
    <s v="412620      "/>
    <s v="412620   COORDINAMENTO TECNICO PRODUTTIV"/>
    <s v="ROCCHETTI                       "/>
    <s v="WALTER            "/>
    <s v="RCCWTR75P07F205D"/>
    <x v="1"/>
    <s v="34"/>
    <x v="0"/>
    <s v="01/04/2021"/>
    <s v="MILANO                 "/>
    <s v="21"/>
    <x v="0"/>
    <s v="I"/>
    <x v="0"/>
    <s v="A  "/>
    <s v="A LIV. IMPIEGATO              "/>
    <s v="01/10/2007"/>
    <s v="01/10/2007"/>
    <s v="07/09/1975"/>
    <s v="A"/>
    <s v="A.IN FORZA"/>
    <s v="1  -ASSUNZIONE                1"/>
    <s v=""/>
    <s v=" "/>
    <s v=""/>
    <s v=""/>
    <n v="1675"/>
    <s v="00"/>
    <n v="100"/>
    <s v="FULL TIME      100000000FF100-FULL TIME"/>
    <s v="01/10/2007"/>
    <s v=""/>
    <s v="  "/>
    <s v=""/>
    <s v="EP  "/>
    <s v="    "/>
    <s v=""/>
    <s v="U.I.L.             U.I.L"/>
    <s v="walter.rocchetti@ilsole24ore.com                  "/>
    <s v="F"/>
    <s v="F-FIRMA"/>
    <s v="1 "/>
    <s v="1=5 X 8"/>
    <s v="01/07/2025"/>
    <s v="TEMPO DETERMINATO"/>
    <s v="31/05/2027"/>
    <s v="0015001806                    "/>
    <s v="GRAZIANI MARCO"/>
    <n v="50"/>
  </r>
  <r>
    <x v="0"/>
    <n v="1892"/>
    <s v="IL SOLE 24 ORE S.P.A.                   "/>
    <s v="D           "/>
    <s v="DG M&amp;B - DG PUBLISHING &amp; DIGITAL"/>
    <s v="D03 "/>
    <x v="7"/>
    <s v="412620      "/>
    <s v="412620   COORDINAMENTO TECNICO PRODUTTIV"/>
    <s v="VERGERIO                        "/>
    <s v="ALESSANDRA        "/>
    <s v="VRGLSN63P60F205Z"/>
    <x v="0"/>
    <s v="34"/>
    <x v="0"/>
    <s v="01/04/2021"/>
    <s v="MILANO                 "/>
    <s v="21"/>
    <x v="0"/>
    <s v="I"/>
    <x v="0"/>
    <s v="B1S"/>
    <s v="B1S LIV. IMPIEGATO            "/>
    <s v="15/05/2002"/>
    <s v="15/05/2002"/>
    <s v="20/09/1963"/>
    <s v="A"/>
    <s v="A.IN FORZA"/>
    <s v="1  -ASSUNZIONE                1"/>
    <s v=""/>
    <s v=" "/>
    <s v=""/>
    <s v=""/>
    <n v="1499"/>
    <s v="00"/>
    <n v="100"/>
    <s v="FULL TIME      100000000FF100-FULL TIME"/>
    <s v="15/05/2002"/>
    <s v=""/>
    <s v="  "/>
    <s v=""/>
    <s v="EV  "/>
    <s v="    "/>
    <s v=""/>
    <s v=""/>
    <s v="alessandra.vergerio@ilsole24ore.com               "/>
    <s v="F"/>
    <s v="F-FIRMA"/>
    <s v="1 "/>
    <s v="1=5 X 8"/>
    <s v="01/07/2025"/>
    <s v="TEMPO DETERMINATO"/>
    <s v="31/05/2027"/>
    <s v="0015002229                    "/>
    <s v="ROCCHETTI WALTER"/>
    <n v="62"/>
  </r>
  <r>
    <x v="0"/>
    <n v="1806"/>
    <s v="IL SOLE 24 ORE S.P.A.                   "/>
    <s v="D           "/>
    <s v="DG M&amp;B - DG PUBLISHING &amp; DIGITAL"/>
    <s v="D03 "/>
    <x v="7"/>
    <s v="511200      "/>
    <s v="511200   OPERATIONS P&amp;D"/>
    <s v="GRAZIANI                        "/>
    <s v="MARCO             "/>
    <s v="GRZMRC66L25A345L"/>
    <x v="1"/>
    <s v="34"/>
    <x v="0"/>
    <s v="01/04/2021"/>
    <s v="MILANO                 "/>
    <s v="90"/>
    <x v="1"/>
    <s v="D"/>
    <x v="1"/>
    <s v="D  "/>
    <s v="DIRIGENTE INDUSTRIA           "/>
    <s v="01/02/2001"/>
    <s v="05/05/1997"/>
    <s v="25/07/1966"/>
    <s v="A"/>
    <s v="A.IN FORZA"/>
    <s v="2  -VARIAZIONE SOCIETARIA     2"/>
    <s v=""/>
    <s v=" "/>
    <s v=""/>
    <s v=""/>
    <n v="1426"/>
    <s v="00"/>
    <n v="100"/>
    <s v="FULL TIME      100000000FF100-FULL TIME"/>
    <s v="01/02/2001"/>
    <s v=""/>
    <s v="  "/>
    <s v=""/>
    <s v="DD  "/>
    <s v="    "/>
    <s v=""/>
    <s v=""/>
    <s v="marco.graziani@ilsole24ore.com                    "/>
    <s v="E"/>
    <s v="E-ESENTE"/>
    <s v="1 "/>
    <s v="1=5 X 8"/>
    <s v="01/07/2025"/>
    <s v="TEMPO DETERMINATO"/>
    <s v="31/05/2026"/>
    <s v="0015003022                    "/>
    <s v="BOTTARI VITO"/>
    <n v="59"/>
  </r>
  <r>
    <x v="0"/>
    <n v="1929"/>
    <s v="IL SOLE 24 ORE S.P.A.                   "/>
    <s v="D           "/>
    <s v="DG M&amp;B - DG PUBLISHING &amp; DIGITAL"/>
    <s v="D03 "/>
    <x v="7"/>
    <s v="51120001    "/>
    <s v="51120001 PROGR. PROD. E GEST. CARTA"/>
    <s v="GUARINI                         "/>
    <s v="ANGELO            "/>
    <s v="GRNNGL76D04C619N"/>
    <x v="1"/>
    <s v="34"/>
    <x v="0"/>
    <s v="01/04/2021"/>
    <s v="MILANO                 "/>
    <s v="21"/>
    <x v="0"/>
    <s v="I"/>
    <x v="0"/>
    <s v="AS "/>
    <s v="AS LIV. IMPIEGATO             "/>
    <s v="02/01/2003"/>
    <s v="02/01/2003"/>
    <s v="04/04/1976"/>
    <s v="A"/>
    <s v="A.IN FORZA"/>
    <s v="1  -ASSUNZIONE                1"/>
    <s v=""/>
    <s v=" "/>
    <s v=""/>
    <s v=""/>
    <n v="1518"/>
    <s v="00"/>
    <n v="100"/>
    <s v="FULL TIME      100000000FF100-FULL TIME"/>
    <s v="02/01/2003"/>
    <s v=""/>
    <s v="  "/>
    <s v=""/>
    <s v="EN  "/>
    <s v="    "/>
    <s v=""/>
    <s v="U.I.L.             U.I.L"/>
    <s v="angelo.guarini@ilsole24ore.com                    "/>
    <s v="F"/>
    <s v="F-FIRMA"/>
    <s v="7 "/>
    <s v="7=5 X 7.20"/>
    <s v="01/07/2025"/>
    <s v="TEMPO DETERMINATO"/>
    <s v="31/05/2027"/>
    <s v="0015001806                    "/>
    <s v="GRAZIANI MARCO"/>
    <n v="49"/>
  </r>
  <r>
    <x v="0"/>
    <n v="834"/>
    <s v="IL SOLE 24 ORE S.P.A.                   "/>
    <s v="D           "/>
    <s v="DG M&amp;B - DG PUBLISHING &amp; DIGITAL"/>
    <s v="D03 "/>
    <x v="7"/>
    <s v="51120001    "/>
    <s v="51120001 PROGR. PROD. E GEST. CARTA"/>
    <s v="RICCABONI                       "/>
    <s v="SIMONA            "/>
    <s v="RCCSMN70D53F205T"/>
    <x v="0"/>
    <s v="34"/>
    <x v="0"/>
    <s v="01/04/2021"/>
    <s v="MILANO                 "/>
    <s v="25"/>
    <x v="3"/>
    <s v="I"/>
    <x v="0"/>
    <s v="07 "/>
    <s v="7 LIV. IMPIEGATO              "/>
    <s v="15/03/1995"/>
    <s v="15/03/1995"/>
    <s v="13/04/1970"/>
    <s v="A"/>
    <s v="A.IN FORZA"/>
    <s v="1  -ASSUNZIONE                1"/>
    <s v=""/>
    <s v=" "/>
    <s v=""/>
    <s v=""/>
    <n v="633"/>
    <s v="00"/>
    <n v="100"/>
    <s v="FULL TIME      100000000FF100-FULL TIME"/>
    <s v="01/07/2021"/>
    <s v=""/>
    <s v="  "/>
    <s v=""/>
    <s v="PSO "/>
    <s v="    "/>
    <s v=""/>
    <s v="U.I.L.             U.I.L"/>
    <s v="simona.riccaboni@ilsole24ore.com                  "/>
    <s v="F"/>
    <s v="F-FIRMA"/>
    <s v="7 "/>
    <s v="7=5 X 7.20"/>
    <s v="01/07/2025"/>
    <s v="TEMPO DETERMINATO"/>
    <s v="31/05/2027"/>
    <s v="0015001929                    "/>
    <s v="GUARINI ANGELO"/>
    <n v="55"/>
  </r>
  <r>
    <x v="0"/>
    <n v="427"/>
    <s v="IL SOLE 24 ORE S.P.A.                   "/>
    <s v="D           "/>
    <s v="DG M&amp;B - DG PUBLISHING &amp; DIGITAL"/>
    <s v="D03 "/>
    <x v="7"/>
    <s v="51130012    "/>
    <s v="51130012 ASSISTENTI EDITORIALI"/>
    <s v="ARGENTIERO                      "/>
    <s v="TOMMASO           "/>
    <s v="RGNTMS70A16B180D"/>
    <x v="1"/>
    <s v="34"/>
    <x v="0"/>
    <s v="01/04/2021"/>
    <s v="MILANO                 "/>
    <s v="25"/>
    <x v="3"/>
    <s v="I"/>
    <x v="0"/>
    <s v="08 "/>
    <s v="8 LIV. IMPIEGATO              "/>
    <s v="05/07/1989"/>
    <s v="05/07/1989"/>
    <s v="16/01/1970"/>
    <s v="A"/>
    <s v="A.IN FORZA"/>
    <s v="1  -ASSUNZIONE                1"/>
    <s v=""/>
    <s v=" "/>
    <s v=""/>
    <s v=""/>
    <n v="307"/>
    <s v="00"/>
    <n v="100"/>
    <s v="FULL TIME      100000000FF100-FULL TIME"/>
    <s v="05/07/1989"/>
    <s v=""/>
    <s v="  "/>
    <s v=""/>
    <s v="PSO "/>
    <s v="    "/>
    <s v=""/>
    <s v="U.I.L.             U.I.L"/>
    <s v="tommaso.argentiero@ilsole24ore.com                "/>
    <s v="F"/>
    <s v="F-FIRMA"/>
    <s v="3 "/>
    <s v="3=5 X 7"/>
    <s v="01/07/2025"/>
    <s v="TEMPO DETERMINATO"/>
    <s v="31/05/2027"/>
    <s v="0015002125                    "/>
    <s v="PALENA LIBORIO BRUNO"/>
    <n v="56"/>
  </r>
  <r>
    <x v="0"/>
    <n v="990"/>
    <s v="IL SOLE 24 ORE S.P.A.                   "/>
    <s v="D           "/>
    <s v="DG M&amp;B - DG PUBLISHING &amp; DIGITAL"/>
    <s v="D03 "/>
    <x v="7"/>
    <s v="51130012    "/>
    <s v="51130012 ASSISTENTI EDITORIALI"/>
    <s v="BACCALINI                       "/>
    <s v="FABIO             "/>
    <s v="BCCFBA66S27G535V"/>
    <x v="1"/>
    <s v="34"/>
    <x v="0"/>
    <s v="01/04/2021"/>
    <s v="MILANO                 "/>
    <s v="25"/>
    <x v="3"/>
    <s v="I"/>
    <x v="0"/>
    <s v="09 "/>
    <s v="9 LIV. IMPIEGATO              "/>
    <s v="01/02/1997"/>
    <s v="05/10/1988"/>
    <s v="27/11/1966"/>
    <s v="A"/>
    <s v="A.IN FORZA"/>
    <s v="1  -ASSUNZIONE                1"/>
    <s v=""/>
    <s v=" "/>
    <s v=""/>
    <s v=""/>
    <n v="766"/>
    <s v="00"/>
    <n v="100"/>
    <s v="FULL TIME      100000000FF100-FULL TIME"/>
    <s v="01/02/1997"/>
    <s v=""/>
    <s v="05"/>
    <s v="INVALIDI CIVILI"/>
    <s v="PSO "/>
    <s v="    "/>
    <s v=""/>
    <s v=""/>
    <s v="fabio.baccalini@ilsole24ore.com                   "/>
    <s v="F"/>
    <s v="F-FIRMA"/>
    <s v="3 "/>
    <s v="3=5 X 7"/>
    <s v="01/07/2025"/>
    <s v="TEMPO DETERMINATO"/>
    <s v="31/05/2027"/>
    <s v="0015002125                    "/>
    <s v="PALENA LIBORIO BRUNO"/>
    <n v="59"/>
  </r>
  <r>
    <x v="0"/>
    <n v="819"/>
    <s v="IL SOLE 24 ORE S.P.A.                   "/>
    <s v="D           "/>
    <s v="DG M&amp;B - DG PUBLISHING &amp; DIGITAL"/>
    <s v="D03 "/>
    <x v="7"/>
    <s v="51130012    "/>
    <s v="51130012 ASSISTENTI EDITORIALI"/>
    <s v="BASILE                          "/>
    <s v="CARLA             "/>
    <s v="BSLCRL60P47D969D"/>
    <x v="0"/>
    <s v="34"/>
    <x v="0"/>
    <s v="01/04/2021"/>
    <s v="MILANO                 "/>
    <s v="25"/>
    <x v="3"/>
    <s v="I"/>
    <x v="0"/>
    <s v="08 "/>
    <s v="8 LIV. IMPIEGATO              "/>
    <s v="01/01/1995"/>
    <s v="01/06/1992"/>
    <s v="07/09/1960"/>
    <s v="A"/>
    <s v="A.IN FORZA"/>
    <s v="1  -ASSUNZIONE                1"/>
    <s v=""/>
    <s v=" "/>
    <s v=""/>
    <s v=""/>
    <n v="620"/>
    <s v="00"/>
    <n v="100"/>
    <s v="FULL TIME      100000000FF100-FULL TIME"/>
    <s v="01/01/1995"/>
    <s v=""/>
    <s v="  "/>
    <s v=""/>
    <s v="PSO "/>
    <s v="    "/>
    <s v=""/>
    <s v="U.I.L.             U.I.L"/>
    <s v="carla.basile@ilsole24ore.com                      "/>
    <s v="F"/>
    <s v="F-FIRMA"/>
    <s v="3 "/>
    <s v="3=5 X 7"/>
    <s v="01/07/2025"/>
    <s v="TEMPO DETERMINATO"/>
    <s v="31/05/2027"/>
    <s v="0015002125                    "/>
    <s v="PALENA LIBORIO BRUNO"/>
    <n v="65"/>
  </r>
  <r>
    <x v="0"/>
    <n v="2105"/>
    <s v="IL SOLE 24 ORE S.P.A.                   "/>
    <s v="D           "/>
    <s v="DG M&amp;B - DG PUBLISHING &amp; DIGITAL"/>
    <s v="D03 "/>
    <x v="7"/>
    <s v="51130012    "/>
    <s v="51130012 ASSISTENTI EDITORIALI"/>
    <s v="GARIMOLDI                       "/>
    <s v="MANUELA           "/>
    <s v="GRMMNL71P68F205G"/>
    <x v="0"/>
    <s v="34"/>
    <x v="0"/>
    <s v="01/04/2021"/>
    <s v="MILANO                 "/>
    <s v="25"/>
    <x v="3"/>
    <s v="I"/>
    <x v="0"/>
    <s v="08 "/>
    <s v="8 LIV. IMPIEGATO              "/>
    <s v="01/04/2006"/>
    <s v="01/04/2006"/>
    <s v="28/09/1971"/>
    <s v="A"/>
    <s v="A.IN FORZA"/>
    <s v="1  -ASSUNZIONE                1"/>
    <s v=""/>
    <s v=" "/>
    <s v=""/>
    <s v=""/>
    <n v="1593"/>
    <s v="00"/>
    <n v="100"/>
    <s v="FULL TIME      100000000FF100-FULL TIME"/>
    <s v="01/04/2006"/>
    <s v=""/>
    <s v="  "/>
    <s v=""/>
    <s v="PSO "/>
    <s v="    "/>
    <s v=""/>
    <s v="U.I.L.             U.I.L"/>
    <s v="manuela.garimoldi@ilsole24ore.com                 "/>
    <s v="F"/>
    <s v="F-FIRMA"/>
    <s v="3 "/>
    <s v="3=5 X 7"/>
    <s v="01/07/2025"/>
    <s v="TEMPO DETERMINATO"/>
    <s v="31/05/2027"/>
    <s v="0015002125                    "/>
    <s v="PALENA LIBORIO BRUNO"/>
    <n v="54"/>
  </r>
  <r>
    <x v="0"/>
    <n v="2106"/>
    <s v="IL SOLE 24 ORE S.P.A.                   "/>
    <s v="D           "/>
    <s v="DG M&amp;B - DG PUBLISHING &amp; DIGITAL"/>
    <s v="D03 "/>
    <x v="7"/>
    <s v="51130012    "/>
    <s v="51130012 ASSISTENTI EDITORIALI"/>
    <s v="LONGARI                         "/>
    <s v="LAURA             "/>
    <s v="LNGLRA62L66F205M"/>
    <x v="0"/>
    <s v="34"/>
    <x v="0"/>
    <s v="01/04/2021"/>
    <s v="MILANO                 "/>
    <s v="25"/>
    <x v="3"/>
    <s v="I"/>
    <x v="0"/>
    <s v="08 "/>
    <s v="8 LIV. IMPIEGATO              "/>
    <s v="01/04/2006"/>
    <s v="01/04/2006"/>
    <s v="26/07/1962"/>
    <s v="A"/>
    <s v="A.IN FORZA"/>
    <s v="1  -ASSUNZIONE                1"/>
    <s v=""/>
    <s v=" "/>
    <s v=""/>
    <s v=""/>
    <n v="1594"/>
    <s v="00"/>
    <n v="100"/>
    <s v="FULL TIME      100000000FF100-FULL TIME"/>
    <s v="01/04/2006"/>
    <s v=""/>
    <s v="  "/>
    <s v=""/>
    <s v="PSO "/>
    <s v="    "/>
    <s v=""/>
    <s v="U.I.L.             U.I.L"/>
    <s v="laura.longari@ilsole24ore.com                     "/>
    <s v="F"/>
    <s v="F-FIRMA"/>
    <s v="3 "/>
    <s v="3=5 X 7"/>
    <s v="01/07/2025"/>
    <s v="TEMPO DETERMINATO"/>
    <s v="31/05/2027"/>
    <s v="0015002125                    "/>
    <s v="PALENA LIBORIO BRUNO"/>
    <n v="63"/>
  </r>
  <r>
    <x v="0"/>
    <n v="3116"/>
    <s v="IL SOLE 24 ORE S.P.A.                   "/>
    <s v="D           "/>
    <s v="DG M&amp;B - DG PUBLISHING &amp; DIGITAL"/>
    <s v="D03 "/>
    <x v="7"/>
    <s v="51130012    "/>
    <s v="51130012 ASSISTENTI EDITORIALI"/>
    <s v="SALA                            "/>
    <s v="CLAUDIA           "/>
    <s v="SLACLD99P68B729C"/>
    <x v="0"/>
    <s v="34"/>
    <x v="0"/>
    <s v="02/04/2024"/>
    <s v="MILANO                 "/>
    <s v="25"/>
    <x v="3"/>
    <s v="I"/>
    <x v="0"/>
    <s v="06 "/>
    <s v="6 LIV. IMPIEGATO              "/>
    <s v="02/04/2024"/>
    <s v="02/04/2024"/>
    <s v="28/09/1999"/>
    <s v="A"/>
    <s v="A.IN FORZA"/>
    <s v="1  -ASSUNZIONE                1"/>
    <s v=""/>
    <s v=" "/>
    <s v=""/>
    <s v=""/>
    <n v="3116"/>
    <s v="00"/>
    <n v="100"/>
    <s v="FULL TIME      100000000FF100-FULL TIME"/>
    <s v="02/04/2024"/>
    <s v=""/>
    <s v="  "/>
    <s v=""/>
    <s v="PSO "/>
    <s v="    "/>
    <s v=""/>
    <s v="U.I.L.             U.I.L"/>
    <s v="claudia.sala@ilsole24ore.com                      "/>
    <s v="F"/>
    <s v="F-FIRMA"/>
    <s v="3 "/>
    <s v="3=5 X 7"/>
    <s v="01/07/2025"/>
    <s v="TEMPO DETERMINATO"/>
    <s v="31/05/2027"/>
    <s v="0015002125                    "/>
    <s v="PALENA LIBORIO BRUNO"/>
    <n v="26"/>
  </r>
  <r>
    <x v="0"/>
    <n v="485"/>
    <s v="IL SOLE 24 ORE S.P.A.                   "/>
    <s v="D           "/>
    <s v="DG M&amp;B - DG PUBLISHING &amp; DIGITAL"/>
    <s v="D03 "/>
    <x v="7"/>
    <s v="51130012    "/>
    <s v="51130012 ASSISTENTI EDITORIALI"/>
    <s v="SIRTORI                         "/>
    <s v="LORENZO           "/>
    <s v="SRTLNZ68A25F205F"/>
    <x v="1"/>
    <s v="34"/>
    <x v="0"/>
    <s v="01/04/2021"/>
    <s v="MILANO                 "/>
    <s v="25"/>
    <x v="3"/>
    <s v="I"/>
    <x v="0"/>
    <s v="08 "/>
    <s v="8 LIV. IMPIEGATO              "/>
    <s v="13/06/1990"/>
    <s v="13/06/1990"/>
    <s v="25/01/1968"/>
    <s v="A"/>
    <s v="A.IN FORZA"/>
    <s v="1  -ASSUNZIONE                1"/>
    <s v=""/>
    <s v=" "/>
    <s v=""/>
    <s v=""/>
    <n v="344"/>
    <s v="00"/>
    <n v="100"/>
    <s v="FULL TIME      100000000FF100-FULL TIME"/>
    <s v="13/06/1990"/>
    <s v=""/>
    <s v="  "/>
    <s v=""/>
    <s v="PSO "/>
    <s v="    "/>
    <s v=""/>
    <s v=""/>
    <s v="lorenzo.sirtori@ilsole24ore.com                   "/>
    <s v="F"/>
    <s v="F-FIRMA"/>
    <s v="3 "/>
    <s v="3=5 X 7"/>
    <s v=""/>
    <s v=""/>
    <s v=""/>
    <s v="0015002125                    "/>
    <s v="PALENA LIBORIO BRUNO"/>
    <n v="58"/>
  </r>
  <r>
    <x v="0"/>
    <n v="634"/>
    <s v="IL SOLE 24 ORE S.P.A.                   "/>
    <s v="D           "/>
    <s v="DG M&amp;B - DG PUBLISHING &amp; DIGITAL"/>
    <s v="D03 "/>
    <x v="7"/>
    <s v="51130012    "/>
    <s v="51130012 ASSISTENTI EDITORIALI"/>
    <s v="ZIMBARDI                        "/>
    <s v="MICHELE           "/>
    <s v="ZMBMHL70C01F205Q"/>
    <x v="1"/>
    <s v="34"/>
    <x v="0"/>
    <s v="01/04/2021"/>
    <s v="MILANO                 "/>
    <s v="25"/>
    <x v="3"/>
    <s v="I"/>
    <x v="0"/>
    <s v="08 "/>
    <s v="8 LIV. IMPIEGATO              "/>
    <s v="10/09/1992"/>
    <s v="10/09/1992"/>
    <s v="01/03/1970"/>
    <s v="A"/>
    <s v="A.IN FORZA"/>
    <s v="1  -ASSUNZIONE                1"/>
    <s v=""/>
    <s v=" "/>
    <s v=""/>
    <s v=""/>
    <n v="458"/>
    <s v="00"/>
    <n v="100"/>
    <s v="FULL TIME      100000000FF100-FULL TIME"/>
    <s v="10/09/1992"/>
    <s v=""/>
    <s v="05"/>
    <s v="INVALIDI CIVILI"/>
    <s v="PSO "/>
    <s v="    "/>
    <s v=""/>
    <s v="U.I.L.             U.I.L"/>
    <s v="michele.zimbardi@ilsole24ore.com                  "/>
    <s v="F"/>
    <s v="F-FIRMA"/>
    <s v="3 "/>
    <s v="3=5 X 7"/>
    <s v="01/07/2025"/>
    <s v="TEMPO DETERMINATO"/>
    <s v="31/05/2027"/>
    <s v="0015002125                    "/>
    <s v="PALENA LIBORIO BRUNO"/>
    <n v="55"/>
  </r>
  <r>
    <x v="0"/>
    <n v="650"/>
    <s v="IL SOLE 24 ORE S.P.A.                   "/>
    <s v="D           "/>
    <s v="DG M&amp;B - DG PUBLISHING &amp; DIGITAL"/>
    <s v="D03 "/>
    <x v="7"/>
    <s v="51130013    "/>
    <s v="51130013 GRAFICI DI REDAZIONE"/>
    <s v="BALDO                           "/>
    <s v="SIMONE FELICE     "/>
    <s v="BLDSNF71A22F704O"/>
    <x v="1"/>
    <s v="34"/>
    <x v="0"/>
    <s v="01/04/2021"/>
    <s v="MILANO                 "/>
    <s v="25"/>
    <x v="3"/>
    <s v="I"/>
    <x v="0"/>
    <s v="09 "/>
    <s v="9 LIV. IMPIEGATO              "/>
    <s v="11/01/1993"/>
    <s v="11/01/1993"/>
    <s v="22/01/1971"/>
    <s v="A"/>
    <s v="A.IN FORZA"/>
    <s v="1  -ASSUNZIONE                1"/>
    <s v=""/>
    <s v=" "/>
    <s v=""/>
    <s v=""/>
    <n v="473"/>
    <s v="00"/>
    <n v="100"/>
    <s v="FULL TIME      100000000FF100-FULL TIME"/>
    <s v="11/01/1993"/>
    <s v=""/>
    <s v="  "/>
    <s v=""/>
    <s v="PSO "/>
    <s v="    "/>
    <s v=""/>
    <s v="U.I.L.             U.I.L"/>
    <s v="simone.baldo@ilsole24ore.com                      "/>
    <s v="F"/>
    <s v="F-FIRMA"/>
    <s v="3 "/>
    <s v="3=5 X 7"/>
    <s v="01/07/2025"/>
    <s v="TEMPO DETERMINATO"/>
    <s v="31/05/2027"/>
    <s v="0015002125                    "/>
    <s v="PALENA LIBORIO BRUNO"/>
    <n v="55"/>
  </r>
  <r>
    <x v="0"/>
    <n v="1555"/>
    <s v="IL SOLE 24 ORE S.P.A.                   "/>
    <s v="D           "/>
    <s v="DG M&amp;B - DG PUBLISHING &amp; DIGITAL"/>
    <s v="D03 "/>
    <x v="7"/>
    <s v="51130013    "/>
    <s v="51130013 GRAFICI DI REDAZIONE"/>
    <s v="CASTELLI                        "/>
    <s v="IVAN              "/>
    <s v="CSTVNI76H18F205N"/>
    <x v="1"/>
    <s v="34"/>
    <x v="0"/>
    <s v="01/04/2021"/>
    <s v="MILANO                 "/>
    <s v="25"/>
    <x v="3"/>
    <s v="I"/>
    <x v="0"/>
    <s v="08 "/>
    <s v="8 LIV. IMPIEGATO              "/>
    <s v="15/05/2000"/>
    <s v="15/05/2000"/>
    <s v="18/06/1976"/>
    <s v="A"/>
    <s v="A.IN FORZA"/>
    <s v="1  -ASSUNZIONE                1"/>
    <s v=""/>
    <s v=" "/>
    <s v=""/>
    <s v=""/>
    <n v="1226"/>
    <s v="00"/>
    <n v="100"/>
    <s v="FULL TIME      100000000FF100-FULL TIME"/>
    <s v="15/05/2000"/>
    <s v=""/>
    <s v="  "/>
    <s v=""/>
    <s v="PSO "/>
    <s v="    "/>
    <s v=""/>
    <s v="U.I.L.             U.I.L"/>
    <s v="ivan.castelli@ilsole24ore.com                     "/>
    <s v="F"/>
    <s v="F-FIRMA"/>
    <s v="3 "/>
    <s v="3=5 X 7"/>
    <s v="01/07/2025"/>
    <s v="TEMPO DETERMINATO"/>
    <s v="31/05/2027"/>
    <s v="0015002125                    "/>
    <s v="PALENA LIBORIO BRUNO"/>
    <n v="49"/>
  </r>
  <r>
    <x v="0"/>
    <n v="490"/>
    <s v="IL SOLE 24 ORE S.P.A.                   "/>
    <s v="D           "/>
    <s v="DG M&amp;B - DG PUBLISHING &amp; DIGITAL"/>
    <s v="D03 "/>
    <x v="7"/>
    <s v="51130013    "/>
    <s v="51130013 GRAFICI DI REDAZIONE"/>
    <s v="CITTERIO                        "/>
    <s v="STEFANO           "/>
    <s v="CTTSFN66M03F205V"/>
    <x v="1"/>
    <s v="34"/>
    <x v="0"/>
    <s v="01/04/2021"/>
    <s v="MILANO                 "/>
    <s v="25"/>
    <x v="3"/>
    <s v="I"/>
    <x v="0"/>
    <s v="08 "/>
    <s v="8 LIV. IMPIEGATO              "/>
    <s v="31/08/1990"/>
    <s v="31/08/1990"/>
    <s v="03/08/1966"/>
    <s v="A"/>
    <s v="A.IN FORZA"/>
    <s v="1  -ASSUNZIONE                1"/>
    <s v=""/>
    <s v=" "/>
    <s v=""/>
    <s v=""/>
    <n v="347"/>
    <s v="00"/>
    <n v="100"/>
    <s v="FULL TIME      100000000FF100-FULL TIME"/>
    <s v="31/08/1990"/>
    <s v=""/>
    <s v="  "/>
    <s v=""/>
    <s v="PSO "/>
    <s v="    "/>
    <s v=""/>
    <s v="U.I.L.             U.I.L"/>
    <s v="stefano.citterio@ilsole24ore.com                  "/>
    <s v="F"/>
    <s v="F-FIRMA"/>
    <s v="3 "/>
    <s v="3=5 X 7"/>
    <s v="01/07/2025"/>
    <s v="TEMPO DETERMINATO"/>
    <s v="31/05/2027"/>
    <s v="0015002125                    "/>
    <s v="PALENA LIBORIO BRUNO"/>
    <n v="59"/>
  </r>
  <r>
    <x v="0"/>
    <n v="2207"/>
    <s v="IL SOLE 24 ORE S.P.A.                   "/>
    <s v="D           "/>
    <s v="DG M&amp;B - DG PUBLISHING &amp; DIGITAL"/>
    <s v="D03 "/>
    <x v="7"/>
    <s v="51130013    "/>
    <s v="51130013 GRAFICI DI REDAZIONE"/>
    <s v="DEL PIN                         "/>
    <s v="SOFIA             "/>
    <s v="DLPSFO81P68D286P"/>
    <x v="0"/>
    <s v="34"/>
    <x v="0"/>
    <s v="01/04/2021"/>
    <s v="MILANO                 "/>
    <s v="25"/>
    <x v="3"/>
    <s v="I"/>
    <x v="0"/>
    <s v="08 "/>
    <s v="8 LIV. IMPIEGATO              "/>
    <s v="02/07/2007"/>
    <s v="02/07/2007"/>
    <s v="28/09/1981"/>
    <s v="A"/>
    <s v="A.IN FORZA"/>
    <s v="1  -ASSUNZIONE                1"/>
    <s v=""/>
    <s v=" "/>
    <s v=""/>
    <s v=""/>
    <n v="1659"/>
    <s v="00"/>
    <n v="100"/>
    <s v="FULL TIME      100000000FF100-FULL TIME"/>
    <s v="02/07/2007"/>
    <s v=""/>
    <s v="  "/>
    <s v=""/>
    <s v="PSO "/>
    <s v="    "/>
    <s v=""/>
    <s v="U.I.L.             U.I.L"/>
    <s v="sofia.delpin@ilsole24ore.com                      "/>
    <s v="F"/>
    <s v="F-FIRMA"/>
    <s v="3 "/>
    <s v="3=5 X 7"/>
    <s v="01/07/2025"/>
    <s v="TEMPO DETERMINATO"/>
    <s v="31/05/2027"/>
    <s v="0015002125                    "/>
    <s v="PALENA LIBORIO BRUNO"/>
    <n v="44"/>
  </r>
  <r>
    <x v="0"/>
    <n v="1660"/>
    <s v="IL SOLE 24 ORE S.P.A.                   "/>
    <s v="D           "/>
    <s v="DG M&amp;B - DG PUBLISHING &amp; DIGITAL"/>
    <s v="D03 "/>
    <x v="7"/>
    <s v="51130013    "/>
    <s v="51130013 GRAFICI DI REDAZIONE"/>
    <s v="DI PAOLA                        "/>
    <s v="ALESSANDRO        "/>
    <s v="DPLLSN77R08F205G"/>
    <x v="1"/>
    <s v="34"/>
    <x v="0"/>
    <s v="01/04/2021"/>
    <s v="MILANO                 "/>
    <s v="25"/>
    <x v="3"/>
    <s v="I"/>
    <x v="0"/>
    <s v="08 "/>
    <s v="8 LIV. IMPIEGATO              "/>
    <s v="01/11/2000"/>
    <s v="01/11/2000"/>
    <s v="08/10/1977"/>
    <s v="A"/>
    <s v="A.IN FORZA"/>
    <s v="1  -ASSUNZIONE                1"/>
    <s v=""/>
    <s v=" "/>
    <s v=""/>
    <s v=""/>
    <n v="1321"/>
    <s v="00"/>
    <n v="100"/>
    <s v="FULL TIME      100000000FF100-FULL TIME"/>
    <s v="01/11/2000"/>
    <s v=""/>
    <s v="  "/>
    <s v=""/>
    <s v="PSO "/>
    <s v="    "/>
    <s v=""/>
    <s v="U.I.L.             U.I.L"/>
    <s v="alessandro.dipaola@ilsole24ore.com                "/>
    <s v="F"/>
    <s v="F-FIRMA"/>
    <s v="3 "/>
    <s v="3=5 X 7"/>
    <s v="01/07/2025"/>
    <s v="TEMPO DETERMINATO"/>
    <s v="31/05/2027"/>
    <s v="0015002125                    "/>
    <s v="PALENA LIBORIO BRUNO"/>
    <n v="48"/>
  </r>
  <r>
    <x v="0"/>
    <n v="2271"/>
    <s v="IL SOLE 24 ORE S.P.A.                   "/>
    <s v="D           "/>
    <s v="DG M&amp;B - DG PUBLISHING &amp; DIGITAL"/>
    <s v="D03 "/>
    <x v="7"/>
    <s v="51130013    "/>
    <s v="51130013 GRAFICI DI REDAZIONE"/>
    <s v="GALLI                           "/>
    <s v="ALESSANDRO        "/>
    <s v="GLLLSN76E29F205O"/>
    <x v="1"/>
    <s v="34"/>
    <x v="0"/>
    <s v="01/04/2021"/>
    <s v="MILANO                 "/>
    <s v="25"/>
    <x v="3"/>
    <s v="I"/>
    <x v="0"/>
    <s v="09 "/>
    <s v="9 LIV. IMPIEGATO              "/>
    <s v="14/01/2008"/>
    <s v="14/01/2008"/>
    <s v="29/05/1976"/>
    <s v="A"/>
    <s v="A.IN FORZA"/>
    <s v="1  -ASSUNZIONE                1"/>
    <s v=""/>
    <s v=" "/>
    <s v=""/>
    <s v=""/>
    <n v="1702"/>
    <s v="00"/>
    <n v="100"/>
    <s v="FULL TIME      100000000FF100-FULL TIME"/>
    <s v="14/01/2008"/>
    <s v=""/>
    <s v="  "/>
    <s v=""/>
    <s v="PSO "/>
    <s v="    "/>
    <s v=""/>
    <s v="U.I.L.             U.I.L"/>
    <s v="alessandro.galli@ilsole24ore.com                  "/>
    <s v="F"/>
    <s v="F-FIRMA"/>
    <s v="3 "/>
    <s v="3=5 X 7"/>
    <s v="01/07/2025"/>
    <s v="TEMPO DETERMINATO"/>
    <s v="31/05/2027"/>
    <s v="0015002125                    "/>
    <s v="PALENA LIBORIO BRUNO"/>
    <n v="49"/>
  </r>
  <r>
    <x v="0"/>
    <n v="418"/>
    <s v="IL SOLE 24 ORE S.P.A.                   "/>
    <s v="D           "/>
    <s v="DG M&amp;B - DG PUBLISHING &amp; DIGITAL"/>
    <s v="D03 "/>
    <x v="7"/>
    <s v="51130013    "/>
    <s v="51130013 GRAFICI DI REDAZIONE"/>
    <s v="LONGO                           "/>
    <s v="GIUSEPPE          "/>
    <s v="LNGGPP68M16F205G"/>
    <x v="1"/>
    <s v="34"/>
    <x v="0"/>
    <s v="01/04/2021"/>
    <s v="MILANO                 "/>
    <s v="25"/>
    <x v="3"/>
    <s v="I"/>
    <x v="0"/>
    <s v="08 "/>
    <s v="8 LIV. IMPIEGATO              "/>
    <s v="29/05/1989"/>
    <s v="29/05/1989"/>
    <s v="16/08/1968"/>
    <s v="A"/>
    <s v="A.IN FORZA"/>
    <s v="1  -ASSUNZIONE                1"/>
    <s v=""/>
    <s v=" "/>
    <s v=""/>
    <s v=""/>
    <n v="300"/>
    <s v="00"/>
    <n v="100"/>
    <s v="FULL TIME      100000000FF100-FULL TIME"/>
    <s v="29/05/1989"/>
    <s v=""/>
    <s v="  "/>
    <s v=""/>
    <s v="PSO "/>
    <s v="    "/>
    <s v=""/>
    <s v="U.I.L.             U.I.L"/>
    <s v="giuseppe.longo@ilsole24ore.com                    "/>
    <s v="F"/>
    <s v="F-FIRMA"/>
    <s v="3 "/>
    <s v="3=5 X 7"/>
    <s v="01/07/2025"/>
    <s v="TEMPO DETERMINATO"/>
    <s v="31/05/2027"/>
    <s v="0015002125                    "/>
    <s v="PALENA LIBORIO BRUNO"/>
    <n v="57"/>
  </r>
  <r>
    <x v="0"/>
    <n v="1889"/>
    <s v="IL SOLE 24 ORE S.P.A.                   "/>
    <s v="D           "/>
    <s v="DG M&amp;B - DG PUBLISHING &amp; DIGITAL"/>
    <s v="D03 "/>
    <x v="7"/>
    <s v="51130013    "/>
    <s v="51130013 GRAFICI DI REDAZIONE"/>
    <s v="MONETTI                         "/>
    <s v="FEDERICO          "/>
    <s v="MNTFRC73E06I726Q"/>
    <x v="1"/>
    <s v="34"/>
    <x v="0"/>
    <s v="01/04/2021"/>
    <s v="MILANO                 "/>
    <s v="25"/>
    <x v="3"/>
    <s v="I"/>
    <x v="0"/>
    <s v="08 "/>
    <s v="8 LIV. IMPIEGATO              "/>
    <s v="07/05/2002"/>
    <s v="07/05/2002"/>
    <s v="06/05/1973"/>
    <s v="A"/>
    <s v="A.IN FORZA"/>
    <s v="1  -ASSUNZIONE                1"/>
    <s v=""/>
    <s v=" "/>
    <s v=""/>
    <s v=""/>
    <n v="1496"/>
    <s v="00"/>
    <n v="100"/>
    <s v="FULL TIME      100000000FF100-FULL TIME"/>
    <s v="07/05/2002"/>
    <s v=""/>
    <s v="05"/>
    <s v="INVALIDI CIVILI"/>
    <s v="PSO "/>
    <s v="    "/>
    <s v=""/>
    <s v="U.I.L.             U.I.L"/>
    <s v="federico.monetti@ilsole24ore.com                  "/>
    <s v="F"/>
    <s v="F-FIRMA"/>
    <s v="3 "/>
    <s v="3=5 X 7"/>
    <s v="01/07/2025"/>
    <s v="TEMPO DETERMINATO"/>
    <s v="31/05/2027"/>
    <s v="0015002125                    "/>
    <s v="PALENA LIBORIO BRUNO"/>
    <n v="52"/>
  </r>
  <r>
    <x v="0"/>
    <n v="1924"/>
    <s v="IL SOLE 24 ORE S.P.A.                   "/>
    <s v="D           "/>
    <s v="DG M&amp;B - DG PUBLISHING &amp; DIGITAL"/>
    <s v="D03 "/>
    <x v="7"/>
    <s v="51130013    "/>
    <s v="51130013 GRAFICI DI REDAZIONE"/>
    <s v="MONTECCHI                       "/>
    <s v="CATERINA          "/>
    <s v="MNTCRN74R56Z133W"/>
    <x v="0"/>
    <s v="34"/>
    <x v="0"/>
    <s v="01/04/2021"/>
    <s v="MILANO                 "/>
    <s v="25"/>
    <x v="3"/>
    <s v="I"/>
    <x v="0"/>
    <s v="08 "/>
    <s v="8 LIV. IMPIEGATO              "/>
    <s v="01/01/2003"/>
    <s v="01/01/2003"/>
    <s v="16/10/1974"/>
    <s v="A"/>
    <s v="A.IN FORZA"/>
    <s v="1  -ASSUNZIONE                1"/>
    <s v=""/>
    <s v=" "/>
    <s v=""/>
    <s v=""/>
    <n v="1513"/>
    <s v="00"/>
    <n v="100"/>
    <s v="FULL TIME      100000000FF100-FULL TIME"/>
    <s v="01/01/2003"/>
    <s v=""/>
    <s v="  "/>
    <s v=""/>
    <s v="PSO "/>
    <s v="    "/>
    <s v=""/>
    <s v="U.I.L.             U.I.L"/>
    <s v="caterina.montecchi@ilsole24ore.com                "/>
    <s v="F"/>
    <s v="F-FIRMA"/>
    <s v="3 "/>
    <s v="3=5 X 7"/>
    <s v="01/07/2025"/>
    <s v="TEMPO DETERMINATO"/>
    <s v="31/05/2027"/>
    <s v="0015002125                    "/>
    <s v="PALENA LIBORIO BRUNO"/>
    <n v="51"/>
  </r>
  <r>
    <x v="0"/>
    <n v="2125"/>
    <s v="IL SOLE 24 ORE S.P.A.                   "/>
    <s v="D           "/>
    <s v="DG M&amp;B - DG PUBLISHING &amp; DIGITAL"/>
    <s v="D03 "/>
    <x v="7"/>
    <s v="51130013    "/>
    <s v="51130013 GRAFICI DI REDAZIONE"/>
    <s v="PALENA                          "/>
    <s v="LIBORIO BRUNO     "/>
    <s v="PLNLRB73B14F205D"/>
    <x v="1"/>
    <s v="34"/>
    <x v="0"/>
    <s v="01/04/2021"/>
    <s v="MILANO                 "/>
    <s v="25"/>
    <x v="3"/>
    <s v="F"/>
    <x v="2"/>
    <s v="10 "/>
    <s v="10 LIV. QUADRO                "/>
    <s v="25/09/2006"/>
    <s v="25/09/2006"/>
    <s v="14/02/1973"/>
    <s v="A"/>
    <s v="A.IN FORZA"/>
    <s v="1  -ASSUNZIONE                1"/>
    <s v=""/>
    <s v=" "/>
    <s v=""/>
    <s v=""/>
    <n v="1609"/>
    <s v="00"/>
    <n v="100"/>
    <s v="FULL TIME      100000000FF100-FULL TIME"/>
    <s v="25/09/2006"/>
    <s v=""/>
    <s v="  "/>
    <s v=""/>
    <s v="PSO "/>
    <s v="    "/>
    <s v=""/>
    <s v="U.I.L.             U.I.L"/>
    <s v="bruno.palena@ilsole24ore.com                      "/>
    <s v="F"/>
    <s v="F-FIRMA"/>
    <s v="3 "/>
    <s v="3=5 X 7"/>
    <s v="01/07/2025"/>
    <s v="TEMPO DETERMINATO"/>
    <s v="31/05/2027"/>
    <s v="0015001806                    "/>
    <s v="GRAZIANI MARCO"/>
    <n v="52"/>
  </r>
  <r>
    <x v="0"/>
    <n v="1293"/>
    <s v="IL SOLE 24 ORE S.P.A.                   "/>
    <s v="D           "/>
    <s v="DG M&amp;B - DG PUBLISHING &amp; DIGITAL"/>
    <s v="D03 "/>
    <x v="7"/>
    <s v="51130013    "/>
    <s v="51130013 GRAFICI DI REDAZIONE"/>
    <s v="PASTORE                         "/>
    <s v="FABIO WLADIMIRO   "/>
    <s v="PSTFWL74P21F205S"/>
    <x v="1"/>
    <s v="34"/>
    <x v="0"/>
    <s v="01/04/2021"/>
    <s v="MILANO                 "/>
    <s v="25"/>
    <x v="3"/>
    <s v="I"/>
    <x v="0"/>
    <s v="08 "/>
    <s v="8 LIV. IMPIEGATO              "/>
    <s v="20/09/1999"/>
    <s v="20/09/1999"/>
    <s v="21/09/1974"/>
    <s v="A"/>
    <s v="A.IN FORZA"/>
    <s v="1  -ASSUNZIONE                1"/>
    <s v=""/>
    <s v=" "/>
    <s v=""/>
    <s v=""/>
    <n v="1022"/>
    <s v="00"/>
    <n v="100"/>
    <s v="FULL TIME      100000000FF100-FULL TIME"/>
    <s v="20/09/1999"/>
    <s v=""/>
    <s v="  "/>
    <s v=""/>
    <s v="PSO "/>
    <s v="    "/>
    <s v=""/>
    <s v="U.I.L.             U.I.L"/>
    <s v="fabio.pastore@ilsole24ore.com                     "/>
    <s v="F"/>
    <s v="F-FIRMA"/>
    <s v="3 "/>
    <s v="3=5 X 7"/>
    <s v="01/07/2025"/>
    <s v="TEMPO DETERMINATO"/>
    <s v="31/05/2027"/>
    <s v="0015002125                    "/>
    <s v="PALENA LIBORIO BRUNO"/>
    <n v="51"/>
  </r>
  <r>
    <x v="0"/>
    <n v="2248"/>
    <s v="IL SOLE 24 ORE S.P.A.                   "/>
    <s v="D           "/>
    <s v="DG M&amp;B - DG PUBLISHING &amp; DIGITAL"/>
    <s v="D03 "/>
    <x v="7"/>
    <s v="51130013    "/>
    <s v="51130013 GRAFICI DI REDAZIONE"/>
    <s v="PERUGGIA                        "/>
    <s v="PAOLO             "/>
    <s v="PRGPLA74S19E514G"/>
    <x v="1"/>
    <s v="34"/>
    <x v="0"/>
    <s v="01/04/2021"/>
    <s v="MILANO                 "/>
    <s v="25"/>
    <x v="3"/>
    <s v="I"/>
    <x v="0"/>
    <s v="09 "/>
    <s v="9 LIV. IMPIEGATO              "/>
    <s v="01/11/2007"/>
    <s v="01/11/2007"/>
    <s v="19/11/1974"/>
    <s v="A"/>
    <s v="A.IN FORZA"/>
    <s v="1  -ASSUNZIONE                1"/>
    <s v=""/>
    <s v=" "/>
    <s v=""/>
    <s v=""/>
    <n v="1684"/>
    <s v="00"/>
    <n v="100"/>
    <s v="FULL TIME      100000000FF100-FULL TIME"/>
    <s v="01/11/2007"/>
    <s v=""/>
    <s v="  "/>
    <s v=""/>
    <s v="PSO "/>
    <s v="    "/>
    <s v=""/>
    <s v="U.I.L.             U.I.L"/>
    <s v="paolo.peruggia@ilsole24ore.com                    "/>
    <s v="F"/>
    <s v="F-FIRMA"/>
    <s v="3 "/>
    <s v="3=5 X 7"/>
    <s v="01/07/2025"/>
    <s v="TEMPO DETERMINATO"/>
    <s v="31/05/2027"/>
    <s v="0015002125                    "/>
    <s v="PALENA LIBORIO BRUNO"/>
    <n v="51"/>
  </r>
  <r>
    <x v="0"/>
    <n v="1552"/>
    <s v="IL SOLE 24 ORE S.P.A.                   "/>
    <s v="D           "/>
    <s v="DG M&amp;B - DG PUBLISHING &amp; DIGITAL"/>
    <s v="D03 "/>
    <x v="7"/>
    <s v="51130013    "/>
    <s v="51130013 GRAFICI DI REDAZIONE"/>
    <s v="POLONI                          "/>
    <s v="IVAN              "/>
    <s v="PLNVNI77E09F205E"/>
    <x v="1"/>
    <s v="34"/>
    <x v="0"/>
    <s v="01/04/2021"/>
    <s v="MILANO                 "/>
    <s v="25"/>
    <x v="3"/>
    <s v="I"/>
    <x v="0"/>
    <s v="08 "/>
    <s v="8 LIV. IMPIEGATO              "/>
    <s v="15/05/2000"/>
    <s v="15/05/2000"/>
    <s v="09/05/1977"/>
    <s v="A"/>
    <s v="A.IN FORZA"/>
    <s v="1  -ASSUNZIONE                1"/>
    <s v=""/>
    <s v=" "/>
    <s v=""/>
    <s v=""/>
    <n v="1223"/>
    <s v="00"/>
    <n v="100"/>
    <s v="FULL TIME      100000000FF100-FULL TIME"/>
    <s v="15/05/2000"/>
    <s v=""/>
    <s v="  "/>
    <s v=""/>
    <s v="PSO "/>
    <s v="    "/>
    <s v=""/>
    <s v="U.I.L.             U.I.L"/>
    <s v="ivan.poloni@ilsole24ore.com                       "/>
    <s v="F"/>
    <s v="F-FIRMA"/>
    <s v="3 "/>
    <s v="3=5 X 7"/>
    <s v="01/07/2025"/>
    <s v="TEMPO DETERMINATO"/>
    <s v="31/05/2027"/>
    <s v="0015002125                    "/>
    <s v="PALENA LIBORIO BRUNO"/>
    <n v="48"/>
  </r>
  <r>
    <x v="0"/>
    <n v="1659"/>
    <s v="IL SOLE 24 ORE S.P.A.                   "/>
    <s v="D           "/>
    <s v="DG M&amp;B - DG PUBLISHING &amp; DIGITAL"/>
    <s v="D03 "/>
    <x v="7"/>
    <s v="51130013    "/>
    <s v="51130013 GRAFICI DI REDAZIONE"/>
    <s v="RENDINA                         "/>
    <s v="ALESSANDRO        "/>
    <s v="RNDLSN73P25F205V"/>
    <x v="1"/>
    <s v="34"/>
    <x v="0"/>
    <s v="01/04/2021"/>
    <s v="MILANO                 "/>
    <s v="25"/>
    <x v="3"/>
    <s v="I"/>
    <x v="0"/>
    <s v="09 "/>
    <s v="9 LIV. IMPIEGATO              "/>
    <s v="01/11/2000"/>
    <s v="01/11/2000"/>
    <s v="25/09/1973"/>
    <s v="A"/>
    <s v="A.IN FORZA"/>
    <s v="1  -ASSUNZIONE                1"/>
    <s v=""/>
    <s v=" "/>
    <s v=""/>
    <s v=""/>
    <n v="1320"/>
    <s v="00"/>
    <n v="100"/>
    <s v="FULL TIME      100000000FF100-FULL TIME"/>
    <s v="01/11/2000"/>
    <s v=""/>
    <s v="  "/>
    <s v=""/>
    <s v="PSO "/>
    <s v="    "/>
    <s v=""/>
    <s v="U.I.L.             U.I.L"/>
    <s v="alessandro.rendina@ilsole24ore.com                "/>
    <s v="F"/>
    <s v="F-FIRMA"/>
    <s v="3 "/>
    <s v="3=5 X 7"/>
    <s v="01/07/2025"/>
    <s v="TEMPO DETERMINATO"/>
    <s v="31/05/2027"/>
    <s v="0015002125                    "/>
    <s v="PALENA LIBORIO BRUNO"/>
    <n v="52"/>
  </r>
  <r>
    <x v="0"/>
    <n v="1335"/>
    <s v="IL SOLE 24 ORE S.P.A.                   "/>
    <s v="D           "/>
    <s v="DG M&amp;B - DG PUBLISHING &amp; DIGITAL"/>
    <s v="D03 "/>
    <x v="7"/>
    <s v="51130013    "/>
    <s v="51130013 GRAFICI DI REDAZIONE"/>
    <s v="VERGARI                         "/>
    <s v="SIMONE            "/>
    <s v="VRGSMN73D08F205E"/>
    <x v="1"/>
    <s v="34"/>
    <x v="0"/>
    <s v="01/04/2021"/>
    <s v="MILANO                 "/>
    <s v="25"/>
    <x v="3"/>
    <s v="I"/>
    <x v="0"/>
    <s v="08 "/>
    <s v="8 LIV. IMPIEGATO              "/>
    <s v="08/11/1999"/>
    <s v="08/11/1999"/>
    <s v="08/04/1973"/>
    <s v="A"/>
    <s v="A.IN FORZA"/>
    <s v="1  -ASSUNZIONE                1"/>
    <s v=""/>
    <s v=" "/>
    <s v=""/>
    <s v=""/>
    <n v="1058"/>
    <s v="00"/>
    <n v="100"/>
    <s v="FULL TIME      100000000FF100-FULL TIME"/>
    <s v="08/11/1999"/>
    <s v=""/>
    <s v="  "/>
    <s v=""/>
    <s v="PSO "/>
    <s v="    "/>
    <s v=""/>
    <s v="U.I.L.             U.I.L"/>
    <s v="simone.vergari@ilsole24ore.com                    "/>
    <s v="F"/>
    <s v="F-FIRMA"/>
    <s v="3 "/>
    <s v="3=5 X 7"/>
    <s v="01/09/2025"/>
    <s v="TEMPO DETERMINATO"/>
    <s v="31/05/2027"/>
    <s v="0015002125                    "/>
    <s v="PALENA LIBORIO BRUNO"/>
    <n v="52"/>
  </r>
  <r>
    <x v="0"/>
    <n v="2783"/>
    <s v="IL SOLE 24 ORE S.P.A.                   "/>
    <s v="D           "/>
    <s v="DG M&amp;B - DG PUBLISHING &amp; DIGITAL"/>
    <s v="D03 "/>
    <x v="7"/>
    <s v="51130014    "/>
    <s v="51130014 LAB24"/>
    <s v="CALVI                           "/>
    <s v="ALICE             "/>
    <s v="CLVLCA86E48F205S"/>
    <x v="0"/>
    <s v="34"/>
    <x v="0"/>
    <s v="01/04/2021"/>
    <s v="MILANO                 "/>
    <s v="25"/>
    <x v="3"/>
    <s v="I"/>
    <x v="0"/>
    <s v="08 "/>
    <s v="8 LIV. IMPIEGATO              "/>
    <s v="01/04/2014"/>
    <s v="01/04/2014"/>
    <s v="08/05/1986"/>
    <s v="A"/>
    <s v="A.IN FORZA"/>
    <s v="1  -ASSUNZIONE                1"/>
    <s v=""/>
    <s v=" "/>
    <s v=""/>
    <s v=""/>
    <n v="2783"/>
    <s v="00"/>
    <n v="100"/>
    <s v="FULL TIME      100000000FF100-FULL TIME"/>
    <s v="01/04/2014"/>
    <s v=""/>
    <s v="  "/>
    <s v=""/>
    <s v="EV  "/>
    <s v="    "/>
    <s v=""/>
    <s v="U.I.L.             U.I.L"/>
    <s v="alice.calvi@ilsole24ore.com                       "/>
    <s v="F"/>
    <s v="F-FIRMA"/>
    <s v="1 "/>
    <s v="1=5 X 8"/>
    <s v="01/07/2025"/>
    <s v="TEMPO DETERMINATO"/>
    <s v="31/05/2027"/>
    <s v="0015002125                    "/>
    <s v="PALENA LIBORIO BRUNO"/>
    <n v="39"/>
  </r>
  <r>
    <x v="0"/>
    <n v="2345"/>
    <s v="IL SOLE 24 ORE S.P.A.                   "/>
    <s v="D           "/>
    <s v="DG M&amp;B - DG PUBLISHING &amp; DIGITAL"/>
    <s v="D03 "/>
    <x v="7"/>
    <s v="51130014    "/>
    <s v="51130014 LAB24"/>
    <s v="CAPORLINGUA                     "/>
    <s v="MARINA            "/>
    <s v="CPRMRN74T64E730G"/>
    <x v="0"/>
    <s v="34"/>
    <x v="0"/>
    <s v="01/04/2021"/>
    <s v="MILANO                 "/>
    <s v="25"/>
    <x v="3"/>
    <s v="I"/>
    <x v="0"/>
    <s v="08 "/>
    <s v="8 LIV. IMPIEGATO              "/>
    <s v="22/12/2008"/>
    <s v="22/12/2008"/>
    <s v="24/12/1974"/>
    <s v="A"/>
    <s v="A.IN FORZA"/>
    <s v="1  -ASSUNZIONE                1"/>
    <s v=""/>
    <s v=" "/>
    <s v=""/>
    <s v=""/>
    <n v="1744"/>
    <s v="00"/>
    <n v="100"/>
    <s v="FULL TIME      100000000FF100-FULL TIME"/>
    <s v="22/12/2008"/>
    <s v=""/>
    <s v="  "/>
    <s v=""/>
    <s v="PSO "/>
    <s v="    "/>
    <s v=""/>
    <s v=""/>
    <s v="marina.caporlingua@ilsole24ore.com                "/>
    <s v="F"/>
    <s v="F-FIRMA"/>
    <s v="3 "/>
    <s v="3=5 X 7"/>
    <s v="01/07/2025"/>
    <s v="TEMPO DETERMINATO"/>
    <s v="31/05/2027"/>
    <s v="0015002125                    "/>
    <s v="PALENA LIBORIO BRUNO"/>
    <n v="51"/>
  </r>
  <r>
    <x v="0"/>
    <n v="2668"/>
    <s v="IL SOLE 24 ORE S.P.A.                   "/>
    <s v="D           "/>
    <s v="DG M&amp;B - DG PUBLISHING &amp; DIGITAL"/>
    <s v="D03 "/>
    <x v="7"/>
    <s v="51130014    "/>
    <s v="51130014 LAB24"/>
    <s v="GALIMBERTI                      "/>
    <s v="LUCA              "/>
    <s v="GLMLCU81R27B729M"/>
    <x v="1"/>
    <s v="34"/>
    <x v="0"/>
    <s v="01/04/2021"/>
    <s v="MILANO                 "/>
    <s v="25"/>
    <x v="3"/>
    <s v="I"/>
    <x v="0"/>
    <s v="08 "/>
    <s v="8 LIV. IMPIEGATO              "/>
    <s v="01/08/2013"/>
    <s v="01/08/2013"/>
    <s v="27/10/1981"/>
    <s v="A"/>
    <s v="A.IN FORZA"/>
    <s v="1  -ASSUNZIONE                1"/>
    <s v=""/>
    <s v=" "/>
    <s v=""/>
    <s v=""/>
    <n v="2668"/>
    <s v="00"/>
    <n v="100"/>
    <s v="FULL TIME      100000000FF100-FULL TIME"/>
    <s v="01/08/2013"/>
    <s v=""/>
    <s v="  "/>
    <s v=""/>
    <s v="EV  "/>
    <s v="    "/>
    <s v=""/>
    <s v="U.I.L.             U.I.L"/>
    <s v="luca.galimberti@ilsole24ore.com                   "/>
    <s v="F"/>
    <s v="F-FIRMA"/>
    <s v="1 "/>
    <s v="1=5 X 8"/>
    <s v="01/07/2025"/>
    <s v="TEMPO DETERMINATO"/>
    <s v="31/05/2027"/>
    <s v="0015002125                    "/>
    <s v="PALENA LIBORIO BRUNO"/>
    <n v="44"/>
  </r>
  <r>
    <x v="0"/>
    <n v="2209"/>
    <s v="IL SOLE 24 ORE S.P.A.                   "/>
    <s v="D           "/>
    <s v="DG M&amp;B - DG PUBLISHING &amp; DIGITAL"/>
    <s v="D03 "/>
    <x v="7"/>
    <s v="51130014    "/>
    <s v="51130014 LAB24"/>
    <s v="ZITTI POZZI                     "/>
    <s v="RENATO            "/>
    <s v="ZTTRNT71L17F205T"/>
    <x v="1"/>
    <s v="34"/>
    <x v="0"/>
    <s v="01/04/2021"/>
    <s v="MILANO                 "/>
    <s v="25"/>
    <x v="3"/>
    <s v="I"/>
    <x v="0"/>
    <s v="08 "/>
    <s v="8 LIV. IMPIEGATO              "/>
    <s v="02/07/2007"/>
    <s v="02/07/2007"/>
    <s v="17/07/1971"/>
    <s v="A"/>
    <s v="A.IN FORZA"/>
    <s v="1  -ASSUNZIONE                1"/>
    <s v=""/>
    <s v=" "/>
    <s v=""/>
    <s v=""/>
    <n v="1661"/>
    <s v="00"/>
    <n v="100"/>
    <s v="FULL TIME      100000000FF100-FULL TIME"/>
    <s v="02/07/2007"/>
    <s v=""/>
    <s v="  "/>
    <s v=""/>
    <s v="PSO "/>
    <s v="    "/>
    <s v=""/>
    <s v="U.I.L.             U.I.L"/>
    <s v="renato.zittipozzi@ilsole24ore.com                 "/>
    <s v="F"/>
    <s v="F-FIRMA"/>
    <s v="3 "/>
    <s v="3=5 X 7"/>
    <s v="01/07/2025"/>
    <s v="TEMPO DETERMINATO"/>
    <s v="31/05/2027"/>
    <s v="0015002125                    "/>
    <s v="PALENA LIBORIO BRUNO"/>
    <n v="54"/>
  </r>
  <r>
    <x v="0"/>
    <n v="1925"/>
    <s v="IL SOLE 24 ORE S.P.A.                   "/>
    <s v="D           "/>
    <s v="DG M&amp;B - DG PUBLISHING &amp; DIGITAL"/>
    <s v="D03 "/>
    <x v="7"/>
    <s v="51130015    "/>
    <s v="51130015 GRAFICI INFOGRAFICI"/>
    <s v="ALBANO                          "/>
    <s v="CLAUDIA           "/>
    <s v="LBNCLD73L54H703Z"/>
    <x v="0"/>
    <s v="34"/>
    <x v="0"/>
    <s v="01/04/2021"/>
    <s v="MILANO                 "/>
    <s v="25"/>
    <x v="3"/>
    <s v="I"/>
    <x v="0"/>
    <s v="08 "/>
    <s v="8 LIV. IMPIEGATO              "/>
    <s v="02/01/2003"/>
    <s v="02/01/2003"/>
    <s v="14/07/1973"/>
    <s v="A"/>
    <s v="A.IN FORZA"/>
    <s v="1  -ASSUNZIONE                1"/>
    <s v=""/>
    <s v=" "/>
    <s v=""/>
    <s v=""/>
    <n v="1514"/>
    <s v="00"/>
    <n v="100"/>
    <s v="FULL TIME      100000000FF100-FULL TIME"/>
    <s v="02/01/2003"/>
    <s v=""/>
    <s v="  "/>
    <s v=""/>
    <s v="PSO "/>
    <s v="    "/>
    <s v=""/>
    <s v="U.I.L.             U.I.L"/>
    <s v="claudia.albano@ilsole24ore.com                    "/>
    <s v="F"/>
    <s v="F-FIRMA"/>
    <s v="3 "/>
    <s v="3=5 X 7"/>
    <s v="01/07/2025"/>
    <s v="TEMPO DETERMINATO"/>
    <s v="31/05/2027"/>
    <s v="0015002125                    "/>
    <s v="PALENA LIBORIO BRUNO"/>
    <n v="52"/>
  </r>
  <r>
    <x v="0"/>
    <n v="3119"/>
    <s v="IL SOLE 24 ORE S.P.A.                   "/>
    <s v="D           "/>
    <s v="DG M&amp;B - DG PUBLISHING &amp; DIGITAL"/>
    <s v="D03 "/>
    <x v="7"/>
    <s v="51130015    "/>
    <s v="51130015 GRAFICI INFOGRAFICI"/>
    <s v="AVANCINI                        "/>
    <s v="MARCO             "/>
    <s v="VNCMRC79H10F205O"/>
    <x v="1"/>
    <s v="34"/>
    <x v="0"/>
    <s v="16/04/2024"/>
    <s v="MILANO                 "/>
    <s v="25"/>
    <x v="3"/>
    <s v="I"/>
    <x v="0"/>
    <s v="07 "/>
    <s v="7 LIV. IMPIEGATO              "/>
    <s v="16/04/2024"/>
    <s v="16/04/2024"/>
    <s v="10/06/1979"/>
    <s v="A"/>
    <s v="A.IN FORZA"/>
    <s v="1  -ASSUNZIONE                1"/>
    <s v=""/>
    <s v=" "/>
    <s v=""/>
    <s v=""/>
    <n v="3119"/>
    <s v="00"/>
    <n v="100"/>
    <s v="FULL TIME      100000000FF100-FULL TIME"/>
    <s v="16/04/2024"/>
    <s v=""/>
    <s v="  "/>
    <s v=""/>
    <s v="PSO "/>
    <s v="    "/>
    <s v=""/>
    <s v="U.I.L.             U.I.L"/>
    <s v="marco.avancini@ilsole24ore.com                    "/>
    <s v="F"/>
    <s v="F-FIRMA"/>
    <s v="3 "/>
    <s v="3=5 X 7"/>
    <s v="01/07/2025"/>
    <s v="TEMPO DETERMINATO"/>
    <s v="31/05/2027"/>
    <s v="0015002125                    "/>
    <s v="PALENA LIBORIO BRUNO"/>
    <n v="46"/>
  </r>
  <r>
    <x v="0"/>
    <n v="2669"/>
    <s v="IL SOLE 24 ORE S.P.A.                   "/>
    <s v="D           "/>
    <s v="DG M&amp;B - DG PUBLISHING &amp; DIGITAL"/>
    <s v="D03 "/>
    <x v="7"/>
    <s v="51130015    "/>
    <s v="51130015 GRAFICI INFOGRAFICI"/>
    <s v="BARBARA                         "/>
    <s v="FEDERICO          "/>
    <s v="BRBFRC82A30F205D"/>
    <x v="1"/>
    <s v="34"/>
    <x v="0"/>
    <s v="01/04/2021"/>
    <s v="MILANO                 "/>
    <s v="25"/>
    <x v="3"/>
    <s v="I"/>
    <x v="0"/>
    <s v="09 "/>
    <s v="9 LIV. IMPIEGATO              "/>
    <s v="02/09/2013"/>
    <s v="02/09/2013"/>
    <s v="30/01/1982"/>
    <s v="A"/>
    <s v="A.IN FORZA"/>
    <s v="1  -ASSUNZIONE                1"/>
    <s v=""/>
    <s v=" "/>
    <s v=""/>
    <s v=""/>
    <n v="2669"/>
    <s v="00"/>
    <n v="100"/>
    <s v="FULL TIME      100000000FF100-FULL TIME"/>
    <s v="02/09/2013"/>
    <s v=""/>
    <s v="  "/>
    <s v=""/>
    <s v="EV  "/>
    <s v="    "/>
    <s v=""/>
    <s v="U.I.L.             U.I.L"/>
    <s v="federico.barbara@ilsole24ore.com                  "/>
    <s v="F"/>
    <s v="F-FIRMA"/>
    <s v="1 "/>
    <s v="1=5 X 8"/>
    <s v="01/07/2025"/>
    <s v="TEMPO DETERMINATO"/>
    <s v="31/05/2027"/>
    <s v="0015002125                    "/>
    <s v="PALENA LIBORIO BRUNO"/>
    <n v="44"/>
  </r>
  <r>
    <x v="0"/>
    <n v="2250"/>
    <s v="IL SOLE 24 ORE S.P.A.                   "/>
    <s v="D           "/>
    <s v="DG M&amp;B - DG PUBLISHING &amp; DIGITAL"/>
    <s v="D03 "/>
    <x v="7"/>
    <s v="51130015    "/>
    <s v="51130015 GRAFICI INFOGRAFICI"/>
    <s v="BOLDURA                         "/>
    <s v="ARIANNA           "/>
    <s v="BLDRNN72L51F205P"/>
    <x v="0"/>
    <s v="34"/>
    <x v="0"/>
    <s v="01/04/2021"/>
    <s v="MILANO                 "/>
    <s v="25"/>
    <x v="3"/>
    <s v="I"/>
    <x v="0"/>
    <s v="08 "/>
    <s v="8 LIV. IMPIEGATO              "/>
    <s v="01/11/2007"/>
    <s v="01/11/2007"/>
    <s v="11/07/1972"/>
    <s v="A"/>
    <s v="A.IN FORZA"/>
    <s v="1  -ASSUNZIONE                1"/>
    <s v=""/>
    <s v=" "/>
    <s v=""/>
    <s v=""/>
    <n v="1686"/>
    <s v="00"/>
    <n v="100"/>
    <s v="FULL TIME      100000000FF100-FULL TIME"/>
    <s v="01/11/2007"/>
    <s v=""/>
    <s v="  "/>
    <s v=""/>
    <s v="PSO "/>
    <s v="    "/>
    <s v=""/>
    <s v="U.I.L.             U.I.L"/>
    <s v="arianna.boldura@ilsole24ore.com                   "/>
    <s v="F"/>
    <s v="F-FIRMA"/>
    <s v="3 "/>
    <s v="3=5 X 7"/>
    <s v="01/07/2025"/>
    <s v="TEMPO DETERMINATO"/>
    <s v="31/05/2027"/>
    <s v="0015002125                    "/>
    <s v="PALENA LIBORIO BRUNO"/>
    <n v="53"/>
  </r>
  <r>
    <x v="0"/>
    <n v="2363"/>
    <s v="IL SOLE 24 ORE S.P.A.                   "/>
    <s v="D           "/>
    <s v="DG M&amp;B - DG PUBLISHING &amp; DIGITAL"/>
    <s v="D03 "/>
    <x v="7"/>
    <s v="51130015    "/>
    <s v="51130015 GRAFICI INFOGRAFICI"/>
    <s v="CAPPUCCINO                      "/>
    <s v="NOEMI             "/>
    <s v="CPPNMO82H41C003Q"/>
    <x v="0"/>
    <s v="34"/>
    <x v="0"/>
    <s v="01/04/2021"/>
    <s v="MILANO                 "/>
    <s v="25"/>
    <x v="3"/>
    <s v="I"/>
    <x v="0"/>
    <s v="08 "/>
    <s v="8 LIV. IMPIEGATO              "/>
    <s v="01/04/2009"/>
    <s v="01/04/2009"/>
    <s v="01/06/1982"/>
    <s v="A"/>
    <s v="A.IN FORZA"/>
    <s v="1  -ASSUNZIONE                1"/>
    <s v=""/>
    <s v=" "/>
    <s v=""/>
    <s v=""/>
    <n v="1760"/>
    <s v="00"/>
    <n v="100"/>
    <s v="FULL TIME      100000000FF100-FULL TIME"/>
    <s v="01/04/2009"/>
    <s v=""/>
    <s v="  "/>
    <s v=""/>
    <s v="PSO "/>
    <s v="    "/>
    <s v=""/>
    <s v="U.I.L.             U.I.L"/>
    <s v="noemi.cappuccino@ilsole24ore.com                  "/>
    <s v="F"/>
    <s v="F-FIRMA"/>
    <s v="3 "/>
    <s v="3=5 X 7"/>
    <s v="01/07/2025"/>
    <s v="TEMPO DETERMINATO"/>
    <s v="31/05/2027"/>
    <s v="0015002125                    "/>
    <s v="PALENA LIBORIO BRUNO"/>
    <n v="43"/>
  </r>
  <r>
    <x v="0"/>
    <n v="1333"/>
    <s v="IL SOLE 24 ORE S.P.A.                   "/>
    <s v="D           "/>
    <s v="DG M&amp;B - DG PUBLISHING &amp; DIGITAL"/>
    <s v="D03 "/>
    <x v="7"/>
    <s v="51130015    "/>
    <s v="51130015 GRAFICI INFOGRAFICI"/>
    <s v="COMPI                           "/>
    <s v="MAURIZIO          "/>
    <s v="CMPMRZ74B27F205Y"/>
    <x v="1"/>
    <s v="34"/>
    <x v="0"/>
    <s v="01/04/2021"/>
    <s v="MILANO                 "/>
    <s v="25"/>
    <x v="3"/>
    <s v="I"/>
    <x v="0"/>
    <s v="09 "/>
    <s v="9 LIV. IMPIEGATO              "/>
    <s v="08/11/1999"/>
    <s v="08/11/1999"/>
    <s v="27/02/1974"/>
    <s v="A"/>
    <s v="A.IN FORZA"/>
    <s v="1  -ASSUNZIONE                1"/>
    <s v=""/>
    <s v=" "/>
    <s v=""/>
    <s v=""/>
    <n v="1056"/>
    <s v="00"/>
    <n v="100"/>
    <s v="FULL TIME      100000000FF100-FULL TIME"/>
    <s v="08/11/1999"/>
    <s v=""/>
    <s v="  "/>
    <s v=""/>
    <s v="PSO "/>
    <s v="    "/>
    <s v=""/>
    <s v="U.I.L.             U.I.L"/>
    <s v="maurizio.compi@ilsole24ore.com                    "/>
    <s v="F"/>
    <s v="F-FIRMA"/>
    <s v="3 "/>
    <s v="3=5 X 7"/>
    <s v="01/07/2025"/>
    <s v="TEMPO DETERMINATO"/>
    <s v="31/05/2027"/>
    <s v="0015002125                    "/>
    <s v="PALENA LIBORIO BRUNO"/>
    <n v="51"/>
  </r>
  <r>
    <x v="0"/>
    <n v="2670"/>
    <s v="IL SOLE 24 ORE S.P.A.                   "/>
    <s v="D           "/>
    <s v="DG M&amp;B - DG PUBLISHING &amp; DIGITAL"/>
    <s v="D03 "/>
    <x v="7"/>
    <s v="51130015    "/>
    <s v="51130015 GRAFICI INFOGRAFICI"/>
    <s v="D'ANGELO                        "/>
    <s v="FULVIO            "/>
    <s v="DNGFLV76H22L872Y"/>
    <x v="1"/>
    <s v="34"/>
    <x v="0"/>
    <s v="01/04/2021"/>
    <s v="MILANO                 "/>
    <s v="25"/>
    <x v="3"/>
    <s v="I"/>
    <x v="0"/>
    <s v="08 "/>
    <s v="8 LIV. IMPIEGATO              "/>
    <s v="02/09/2013"/>
    <s v="02/09/2013"/>
    <s v="22/06/1976"/>
    <s v="A"/>
    <s v="A.IN FORZA"/>
    <s v="1  -ASSUNZIONE                1"/>
    <s v=""/>
    <s v=" "/>
    <s v=""/>
    <s v=""/>
    <n v="2670"/>
    <s v="00"/>
    <n v="100"/>
    <s v="FULL TIME      100000000FF100-FULL TIME"/>
    <s v="02/09/2013"/>
    <s v=""/>
    <s v="  "/>
    <s v=""/>
    <s v="EV  "/>
    <s v="    "/>
    <s v=""/>
    <s v="U.I.L.             U.I.L"/>
    <s v="fulvio.dangelo@ilsole24ore.com                    "/>
    <s v="F"/>
    <s v="F-FIRMA"/>
    <s v="1 "/>
    <s v="1=5 X 8"/>
    <s v="01/07/2025"/>
    <s v="TEMPO DETERMINATO"/>
    <s v="31/05/2027"/>
    <s v="0015002125                    "/>
    <s v="PALENA LIBORIO BRUNO"/>
    <n v="49"/>
  </r>
  <r>
    <x v="0"/>
    <n v="3122"/>
    <s v="IL SOLE 24 ORE S.P.A.                   "/>
    <s v="D           "/>
    <s v="DG M&amp;B - DG PUBLISHING &amp; DIGITAL"/>
    <s v="D03 "/>
    <x v="7"/>
    <s v="51130015    "/>
    <s v="51130015 GRAFICI INFOGRAFICI"/>
    <s v="DI STEFANO                      "/>
    <s v="GIORGIA           "/>
    <s v="DSTGRG98A49G914V"/>
    <x v="0"/>
    <s v="34"/>
    <x v="0"/>
    <s v="06/05/2024"/>
    <s v="MILANO                 "/>
    <s v="25"/>
    <x v="3"/>
    <s v="I"/>
    <x v="0"/>
    <s v="06 "/>
    <s v="6 LIV. IMPIEGATO              "/>
    <s v="06/05/2024"/>
    <s v="06/05/2024"/>
    <s v="09/01/1998"/>
    <s v="A"/>
    <s v="A.IN FORZA"/>
    <s v="1  -ASSUNZIONE                1"/>
    <s v=""/>
    <s v=" "/>
    <s v=""/>
    <s v=""/>
    <n v="3122"/>
    <s v="00"/>
    <n v="100"/>
    <s v="FULL TIME      100000000FF100-FULL TIME"/>
    <s v="06/05/2024"/>
    <s v=""/>
    <s v="  "/>
    <s v=""/>
    <s v="PSO "/>
    <s v="    "/>
    <s v=""/>
    <s v="U.I.L.             U.I.L"/>
    <s v="giorgia.distefano@ilsole24ore.com                 "/>
    <s v="F"/>
    <s v="F-FIRMA"/>
    <s v="3 "/>
    <s v="3=5 X 7"/>
    <s v="01/07/2025"/>
    <s v="TEMPO DETERMINATO"/>
    <s v="31/05/2027"/>
    <s v="0015002125                    "/>
    <s v="PALENA LIBORIO BRUNO"/>
    <n v="28"/>
  </r>
  <r>
    <x v="0"/>
    <n v="1566"/>
    <s v="IL SOLE 24 ORE S.P.A.                   "/>
    <s v="D           "/>
    <s v="DG M&amp;B - DG PUBLISHING &amp; DIGITAL"/>
    <s v="D03 "/>
    <x v="7"/>
    <s v="51130015    "/>
    <s v="51130015 GRAFICI INFOGRAFICI"/>
    <s v="FORTAREZZA                      "/>
    <s v="ANTONIO           "/>
    <s v="FRTNTN74A26F205Q"/>
    <x v="1"/>
    <s v="34"/>
    <x v="0"/>
    <s v="01/04/2021"/>
    <s v="MILANO                 "/>
    <s v="25"/>
    <x v="3"/>
    <s v="I"/>
    <x v="0"/>
    <s v="08 "/>
    <s v="8 LIV. IMPIEGATO              "/>
    <s v="05/06/2000"/>
    <s v="05/06/2000"/>
    <s v="26/01/1974"/>
    <s v="A"/>
    <s v="A.IN FORZA"/>
    <s v="1  -ASSUNZIONE                1"/>
    <s v=""/>
    <s v=" "/>
    <s v=""/>
    <s v=""/>
    <n v="1236"/>
    <s v="00"/>
    <n v="100"/>
    <s v="FULL TIME      100000000FF100-FULL TIME"/>
    <s v="05/06/2000"/>
    <s v=""/>
    <s v="  "/>
    <s v=""/>
    <s v="PSO "/>
    <s v="    "/>
    <s v=""/>
    <s v="U.I.L.             U.I.L"/>
    <s v="antonio.fortarezza@ilsole24ore.com                "/>
    <s v="F"/>
    <s v="F-FIRMA"/>
    <s v="3 "/>
    <s v="3=5 X 7"/>
    <s v="01/07/2025"/>
    <s v="TEMPO DETERMINATO"/>
    <s v="31/05/2027"/>
    <s v="0015002125                    "/>
    <s v="PALENA LIBORIO BRUNO"/>
    <n v="52"/>
  </r>
  <r>
    <x v="0"/>
    <n v="599"/>
    <s v="IL SOLE 24 ORE S.P.A.                   "/>
    <s v="D           "/>
    <s v="DG M&amp;B - DG PUBLISHING &amp; DIGITAL"/>
    <s v="D03 "/>
    <x v="7"/>
    <s v="51130015    "/>
    <s v="51130015 GRAFICI INFOGRAFICI"/>
    <s v="MALLAMACI                       "/>
    <s v="ANDREA            "/>
    <s v="MLLNDR67R18F205N"/>
    <x v="1"/>
    <s v="34"/>
    <x v="0"/>
    <s v="01/04/2021"/>
    <s v="MILANO                 "/>
    <s v="25"/>
    <x v="3"/>
    <s v="I"/>
    <x v="0"/>
    <s v="08 "/>
    <s v="8 LIV. IMPIEGATO              "/>
    <s v="08/01/1992"/>
    <s v="08/01/1992"/>
    <s v="18/10/1967"/>
    <s v="A"/>
    <s v="A.IN FORZA"/>
    <s v="1  -ASSUNZIONE                1"/>
    <s v=""/>
    <s v=" "/>
    <s v=""/>
    <s v=""/>
    <n v="428"/>
    <s v="00"/>
    <n v="100"/>
    <s v="FULL TIME      100000000FF100-FULL TIME"/>
    <s v="08/01/1992"/>
    <s v=""/>
    <s v="  "/>
    <s v=""/>
    <s v="PSO "/>
    <s v="    "/>
    <s v=""/>
    <s v="C.G.I.L.           C.G.I.L"/>
    <s v="andrea.mallamaci@ilsole24ore.com                  "/>
    <s v="F"/>
    <s v="F-FIRMA"/>
    <s v="3 "/>
    <s v="3=5 X 7"/>
    <s v="01/07/2025"/>
    <s v="TEMPO DETERMINATO"/>
    <s v="31/05/2027"/>
    <s v="0015002125                    "/>
    <s v="PALENA LIBORIO BRUNO"/>
    <n v="58"/>
  </r>
  <r>
    <x v="0"/>
    <n v="1760"/>
    <s v="IL SOLE 24 ORE S.P.A.                   "/>
    <s v="D           "/>
    <s v="DG M&amp;B - DG PUBLISHING &amp; DIGITAL"/>
    <s v="D03 "/>
    <x v="7"/>
    <s v="51130015    "/>
    <s v="51130015 GRAFICI INFOGRAFICI"/>
    <s v="NONNO                           "/>
    <s v="RENATO MARIA      "/>
    <s v="NNNRTM67H14H501J"/>
    <x v="1"/>
    <s v="34"/>
    <x v="0"/>
    <s v="01/04/2021"/>
    <s v="MILANO                 "/>
    <s v="25"/>
    <x v="3"/>
    <s v="I"/>
    <x v="0"/>
    <s v="08 "/>
    <s v="8 LIV. IMPIEGATO              "/>
    <s v="13/03/2001"/>
    <s v="13/03/2001"/>
    <s v="14/06/1967"/>
    <s v="A"/>
    <s v="A.IN FORZA"/>
    <s v="1  -ASSUNZIONE                1"/>
    <s v=""/>
    <s v=" "/>
    <s v=""/>
    <s v=""/>
    <n v="1391"/>
    <s v="00"/>
    <n v="100"/>
    <s v="FULL TIME      100000000FF100-FULL TIME"/>
    <s v="13/03/2001"/>
    <s v=""/>
    <s v="  "/>
    <s v=""/>
    <s v="PSO "/>
    <s v="    "/>
    <s v=""/>
    <s v="U.I.L.             U.I.L"/>
    <s v="renato.nonno@ilsole24ore.com                      "/>
    <s v="F"/>
    <s v="F-FIRMA"/>
    <s v="3 "/>
    <s v="3=5 X 7"/>
    <s v="01/07/2025"/>
    <s v="TEMPO DETERMINATO"/>
    <s v="31/05/2027"/>
    <s v="0015002125                    "/>
    <s v="PALENA LIBORIO BRUNO"/>
    <n v="58"/>
  </r>
  <r>
    <x v="0"/>
    <n v="845"/>
    <s v="IL SOLE 24 ORE S.P.A.                   "/>
    <s v="D           "/>
    <s v="DG M&amp;B - DG PUBLISHING &amp; DIGITAL"/>
    <s v="D03 "/>
    <x v="7"/>
    <s v="51130015    "/>
    <s v="51130015 GRAFICI INFOGRAFICI"/>
    <s v="TAVAGLIONE                      "/>
    <s v="LUCA              "/>
    <s v="TVGLCU73P15F205Q"/>
    <x v="1"/>
    <s v="34"/>
    <x v="0"/>
    <s v="01/04/2021"/>
    <s v="MILANO                 "/>
    <s v="25"/>
    <x v="3"/>
    <s v="I"/>
    <x v="0"/>
    <s v="08 "/>
    <s v="8 LIV. IMPIEGATO              "/>
    <s v="22/05/1995"/>
    <s v="22/05/1995"/>
    <s v="15/09/1973"/>
    <s v="A"/>
    <s v="A.IN FORZA"/>
    <s v="1  -ASSUNZIONE                1"/>
    <s v=""/>
    <s v=" "/>
    <s v=""/>
    <s v=""/>
    <n v="642"/>
    <s v="00"/>
    <n v="100"/>
    <s v="FULL TIME      100000000FF100-FULL TIME"/>
    <s v="22/05/1995"/>
    <s v=""/>
    <s v="  "/>
    <s v=""/>
    <s v="PSO "/>
    <s v="    "/>
    <s v=""/>
    <s v="U.I.L.             U.I.L"/>
    <s v="luca.tavaglione@ilsole24ore.com                   "/>
    <s v="F"/>
    <s v="F-FIRMA"/>
    <s v="3 "/>
    <s v="3=5 X 7"/>
    <s v="01/07/2025"/>
    <s v="TEMPO DETERMINATO"/>
    <s v="31/05/2027"/>
    <s v="0015002125                    "/>
    <s v="PALENA LIBORIO BRUNO"/>
    <n v="52"/>
  </r>
  <r>
    <x v="0"/>
    <n v="1004"/>
    <s v="IL SOLE 24 ORE S.P.A.                   "/>
    <s v="D           "/>
    <s v="DG M&amp;B - DG PUBLISHING &amp; DIGITAL"/>
    <s v="D03 "/>
    <x v="7"/>
    <s v="51130015    "/>
    <s v="51130015 GRAFICI INFOGRAFICI"/>
    <s v="ZOCCHI                          "/>
    <s v="LUCA PIETRO       "/>
    <s v="ZCCLPT65A29H736T"/>
    <x v="1"/>
    <s v="34"/>
    <x v="0"/>
    <s v="01/04/2021"/>
    <s v="MILANO                 "/>
    <s v="25"/>
    <x v="3"/>
    <s v="I"/>
    <x v="0"/>
    <s v="08 "/>
    <s v="8 LIV. IMPIEGATO              "/>
    <s v="03/02/1997"/>
    <s v="03/02/1997"/>
    <s v="29/01/1965"/>
    <s v="A"/>
    <s v="A.IN FORZA"/>
    <s v="1  -ASSUNZIONE                1"/>
    <s v=""/>
    <s v=" "/>
    <s v=""/>
    <s v=""/>
    <n v="776"/>
    <s v="00"/>
    <n v="100"/>
    <s v="FULL TIME      100000000FF100-FULL TIME"/>
    <s v="03/02/1997"/>
    <s v=""/>
    <s v="  "/>
    <s v=""/>
    <s v="PSO "/>
    <s v="    "/>
    <s v=""/>
    <s v="C.G.I.L.           C.G.I.L"/>
    <s v="lucapietro.zocchi@ilsole24ore.com                 "/>
    <s v="F"/>
    <s v="F-FIRMA"/>
    <s v="3 "/>
    <s v="3=5 X 7"/>
    <s v="01/07/2025"/>
    <s v="TEMPO DETERMINATO"/>
    <s v="31/05/2027"/>
    <s v="0015002125                    "/>
    <s v="PALENA LIBORIO BRUNO"/>
    <n v="61"/>
  </r>
  <r>
    <x v="0"/>
    <n v="2247"/>
    <s v="IL SOLE 24 ORE S.P.A.                   "/>
    <s v="D           "/>
    <s v="DG M&amp;B - DG PUBLISHING &amp; DIGITAL"/>
    <s v="D03 "/>
    <x v="7"/>
    <s v="511600      "/>
    <s v="511600   DATI BORSE E MERCATI"/>
    <s v="ABBIATI                         "/>
    <s v="MATTIA            "/>
    <s v="BBTMTT86R03F205T"/>
    <x v="1"/>
    <s v="34"/>
    <x v="0"/>
    <s v="01/04/2021"/>
    <s v="MILANO                 "/>
    <s v="25"/>
    <x v="3"/>
    <s v="I"/>
    <x v="0"/>
    <s v="08 "/>
    <s v="8 LIV. IMPIEGATO              "/>
    <s v="01/11/2007"/>
    <s v="01/11/2007"/>
    <s v="03/10/1986"/>
    <s v="A"/>
    <s v="A.IN FORZA"/>
    <s v="1  -ASSUNZIONE                1"/>
    <s v=""/>
    <s v=" "/>
    <s v=""/>
    <s v=""/>
    <n v="1683"/>
    <s v="00"/>
    <n v="100"/>
    <s v="FULL TIME      100000000FF100-FULL TIME"/>
    <s v="01/11/2007"/>
    <s v=""/>
    <s v="  "/>
    <s v=""/>
    <s v="EV  "/>
    <s v="    "/>
    <s v=""/>
    <s v="U.I.L.             U.I.L"/>
    <s v="mattia.abbiati@ilsole24ore.com                    "/>
    <s v="F"/>
    <s v="F-FIRMA"/>
    <s v="3 "/>
    <s v="3=5 X 7"/>
    <s v="01/07/2025"/>
    <s v="TEMPO DETERMINATO"/>
    <s v="31/05/2027"/>
    <s v="0015001751                    "/>
    <s v="ROCCHETTI MUNARI ENRICO AGOSTINO"/>
    <n v="39"/>
  </r>
  <r>
    <x v="0"/>
    <n v="1670"/>
    <s v="IL SOLE 24 ORE S.P.A.                   "/>
    <s v="D           "/>
    <s v="DG M&amp;B - DG PUBLISHING &amp; DIGITAL"/>
    <s v="D03 "/>
    <x v="7"/>
    <s v="511600      "/>
    <s v="511600   DATI BORSE E MERCATI"/>
    <s v="BONGIORNO                       "/>
    <s v="GIUSEPPE          "/>
    <s v="BNGGPP65H25B300J"/>
    <x v="1"/>
    <s v="34"/>
    <x v="0"/>
    <s v="01/04/2021"/>
    <s v="MILANO                 "/>
    <s v="25"/>
    <x v="3"/>
    <s v="I"/>
    <x v="0"/>
    <s v="08 "/>
    <s v="8 LIV. IMPIEGATO              "/>
    <s v="02/11/2000"/>
    <s v="02/11/2000"/>
    <s v="25/06/1965"/>
    <s v="A"/>
    <s v="A.IN FORZA"/>
    <s v="1  -ASSUNZIONE                1"/>
    <s v=""/>
    <s v=" "/>
    <s v=""/>
    <s v=""/>
    <n v="1330"/>
    <s v="00"/>
    <n v="100"/>
    <s v="FULL TIME      100000000FF100-FULL TIME"/>
    <s v="02/11/2000"/>
    <s v=""/>
    <s v="  "/>
    <s v=""/>
    <s v="EV  "/>
    <s v="    "/>
    <s v=""/>
    <s v="U.I.L.             U.I.L"/>
    <s v="giuseppe.bongiorno@ilsole24ore.com                "/>
    <s v="F"/>
    <s v="F-FIRMA"/>
    <s v="3 "/>
    <s v="3=5 X 7"/>
    <s v="01/07/2025"/>
    <s v="TEMPO DETERMINATO"/>
    <s v="31/05/2027"/>
    <s v="0015001751                    "/>
    <s v="ROCCHETTI MUNARI ENRICO AGOSTINO"/>
    <n v="60"/>
  </r>
  <r>
    <x v="0"/>
    <n v="480"/>
    <s v="IL SOLE 24 ORE S.P.A.                   "/>
    <s v="D           "/>
    <s v="DG M&amp;B - DG PUBLISHING &amp; DIGITAL"/>
    <s v="D03 "/>
    <x v="7"/>
    <s v="511600      "/>
    <s v="511600   DATI BORSE E MERCATI"/>
    <s v="DI TOMASO                       "/>
    <s v="SILVIA            "/>
    <s v="DTMSLV71A60F205G"/>
    <x v="0"/>
    <s v="34"/>
    <x v="0"/>
    <s v="01/04/2021"/>
    <s v="MILANO                 "/>
    <s v="25"/>
    <x v="3"/>
    <s v="I"/>
    <x v="0"/>
    <s v="08 "/>
    <s v="8 LIV. IMPIEGATO              "/>
    <s v="02/05/1990"/>
    <s v="01/01/1996"/>
    <s v="20/01/1971"/>
    <s v="A"/>
    <s v="A.IN FORZA"/>
    <s v="1  -ASSUNZIONE                1"/>
    <s v=""/>
    <s v=" "/>
    <s v=""/>
    <s v=""/>
    <n v="342"/>
    <s v="00"/>
    <n v="100"/>
    <s v="FULL TIME      100000000FF100-FULL TIME"/>
    <s v="02/05/1990"/>
    <s v=""/>
    <s v="  "/>
    <s v=""/>
    <s v="PSO "/>
    <s v="    "/>
    <s v=""/>
    <s v="U.I.L.             U.I.L"/>
    <s v="silvia.ditomaso@ilsole24ore.com                   "/>
    <s v="F"/>
    <s v="F-FIRMA"/>
    <s v="3 "/>
    <s v="3=5 X 7"/>
    <s v="01/07/2025"/>
    <s v="TEMPO DETERMINATO"/>
    <s v="31/05/2027"/>
    <s v="0015001751                    "/>
    <s v="ROCCHETTI MUNARI ENRICO AGOSTINO"/>
    <n v="55"/>
  </r>
  <r>
    <x v="0"/>
    <n v="1970"/>
    <s v="IL SOLE 24 ORE S.P.A.                   "/>
    <s v="D           "/>
    <s v="DG M&amp;B - DG PUBLISHING &amp; DIGITAL"/>
    <s v="D03 "/>
    <x v="7"/>
    <s v="511600      "/>
    <s v="511600   DATI BORSE E MERCATI"/>
    <s v="GIANNONE                        "/>
    <s v="CLAUDIO           "/>
    <s v="GNNCLD79H07F205K"/>
    <x v="1"/>
    <s v="34"/>
    <x v="0"/>
    <s v="01/04/2021"/>
    <s v="MILANO                 "/>
    <s v="25"/>
    <x v="3"/>
    <s v="I"/>
    <x v="0"/>
    <s v="08 "/>
    <s v="8 LIV. IMPIEGATO              "/>
    <s v="01/09/2003"/>
    <s v="01/09/2003"/>
    <s v="07/06/1979"/>
    <s v="A"/>
    <s v="A.IN FORZA"/>
    <s v="1  -ASSUNZIONE                1"/>
    <s v=""/>
    <s v=" "/>
    <s v=""/>
    <s v=""/>
    <n v="1536"/>
    <s v="00"/>
    <n v="100"/>
    <s v="FULL TIME      100000000FF100-FULL TIME"/>
    <s v="01/09/2003"/>
    <s v=""/>
    <s v="  "/>
    <s v=""/>
    <s v="EV  "/>
    <s v="    "/>
    <s v=""/>
    <s v="U.I.L.             U.I.L"/>
    <s v="claudio.giannone@ilsole24ore.com                  "/>
    <s v="F"/>
    <s v="F-FIRMA"/>
    <s v="3 "/>
    <s v="3=5 X 7"/>
    <s v="01/07/2025"/>
    <s v="TEMPO DETERMINATO"/>
    <s v="31/05/2027"/>
    <s v="0015001751                    "/>
    <s v="ROCCHETTI MUNARI ENRICO AGOSTINO"/>
    <n v="46"/>
  </r>
  <r>
    <x v="0"/>
    <n v="1751"/>
    <s v="IL SOLE 24 ORE S.P.A.                   "/>
    <s v="D           "/>
    <s v="DG M&amp;B - DG PUBLISHING &amp; DIGITAL"/>
    <s v="D03 "/>
    <x v="7"/>
    <s v="511600      "/>
    <s v="511600   DATI BORSE E MERCATI"/>
    <s v="ROCCHETTI MUNARI                "/>
    <s v="ENRICO AGOSTINO   "/>
    <s v="RCCNCG74B10F205H"/>
    <x v="1"/>
    <s v="34"/>
    <x v="0"/>
    <s v="01/04/2021"/>
    <s v="MILANO                 "/>
    <s v="25"/>
    <x v="3"/>
    <s v="I"/>
    <x v="0"/>
    <s v="09 "/>
    <s v="9 LIV. IMPIEGATO              "/>
    <s v="01/03/2001"/>
    <s v="01/03/2001"/>
    <s v="10/02/1974"/>
    <s v="A"/>
    <s v="A.IN FORZA"/>
    <s v="1  -ASSUNZIONE                1"/>
    <s v=""/>
    <s v=" "/>
    <s v=""/>
    <s v=""/>
    <n v="1382"/>
    <s v="00"/>
    <n v="100"/>
    <s v="FULL TIME      100000000FF100-FULL TIME"/>
    <s v="01/03/2001"/>
    <s v=""/>
    <s v="  "/>
    <s v=""/>
    <s v="PSO "/>
    <s v="    "/>
    <s v=""/>
    <s v=""/>
    <s v="enrico.munari@ilsole24ore.com                     "/>
    <s v="F"/>
    <s v="F-FIRMA"/>
    <s v="3 "/>
    <s v="3=5 X 7"/>
    <s v="01/07/2025"/>
    <s v="TEMPO DETERMINATO"/>
    <s v="31/05/2027"/>
    <s v="0015001806                    "/>
    <s v="GRAZIANI MARCO"/>
    <n v="51"/>
  </r>
  <r>
    <x v="0"/>
    <n v="436"/>
    <s v="IL SOLE 24 ORE S.P.A.                   "/>
    <s v="D           "/>
    <s v="DG M&amp;B - DG PUBLISHING &amp; DIGITAL"/>
    <s v="D03 "/>
    <x v="7"/>
    <s v="511600      "/>
    <s v="511600   DATI BORSE E MERCATI"/>
    <s v="ROVERSI                         "/>
    <s v="ELENA             "/>
    <s v="RVRLNE68E64F205M"/>
    <x v="0"/>
    <s v="34"/>
    <x v="0"/>
    <s v="01/04/2021"/>
    <s v="MILANO                 "/>
    <s v="25"/>
    <x v="3"/>
    <s v="I"/>
    <x v="0"/>
    <s v="08 "/>
    <s v="8 LIV. IMPIEGATO              "/>
    <s v="01/09/1989"/>
    <s v="01/09/1989"/>
    <s v="24/05/1968"/>
    <s v="A"/>
    <s v="A.IN FORZA"/>
    <s v="1  -ASSUNZIONE                1"/>
    <s v=""/>
    <s v=" "/>
    <s v=""/>
    <s v=""/>
    <n v="316"/>
    <s v="00"/>
    <n v="100"/>
    <s v="FULL TIME      100000000FF100-FULL TIME"/>
    <s v="01/09/1989"/>
    <s v=""/>
    <s v="  "/>
    <s v=""/>
    <s v="PSO "/>
    <s v="    "/>
    <s v=""/>
    <s v="U.I.L.             U.I.L"/>
    <s v="elena.roversi@ilsole24ore.com                     "/>
    <s v="F"/>
    <s v="F-FIRMA"/>
    <s v="3 "/>
    <s v="3=5 X 7"/>
    <s v="01/07/2025"/>
    <s v="TEMPO DETERMINATO"/>
    <s v="31/05/2027"/>
    <s v="0015001751                    "/>
    <s v="ROCCHETTI MUNARI ENRICO AGOSTINO"/>
    <n v="57"/>
  </r>
  <r>
    <x v="0"/>
    <n v="1669"/>
    <s v="IL SOLE 24 ORE S.P.A.                   "/>
    <s v="D           "/>
    <s v="DG M&amp;B - DG PUBLISHING &amp; DIGITAL"/>
    <s v="D06 "/>
    <x v="8"/>
    <s v="513000      "/>
    <s v="513000  POLITICHE COMMERCIALI DIFF.LOG."/>
    <s v="BOZETICKY                       "/>
    <s v="DANILO            "/>
    <s v="BZTDNL69C23F119I"/>
    <x v="1"/>
    <s v="34"/>
    <x v="0"/>
    <s v="01/04/2021"/>
    <s v="MILANO                 "/>
    <s v="21"/>
    <x v="0"/>
    <s v="I"/>
    <x v="0"/>
    <s v="B1 "/>
    <s v="B1 LIV. IMPIEGATO             "/>
    <s v="02/11/2000"/>
    <s v="02/11/2000"/>
    <s v="23/03/1969"/>
    <s v="A"/>
    <s v="A.IN FORZA"/>
    <s v="1  -ASSUNZIONE                1"/>
    <s v=""/>
    <s v=" "/>
    <s v=""/>
    <s v=""/>
    <n v="1329"/>
    <s v="00"/>
    <n v="100"/>
    <s v="FULL TIME      100000000FF100-FULL TIME"/>
    <s v="02/11/2000"/>
    <s v=""/>
    <s v="  "/>
    <s v=""/>
    <s v="EN  "/>
    <s v="    "/>
    <s v=""/>
    <s v="U.I.L.             U.I.L"/>
    <s v="danilo.bozeticky@ilsole24ore.com                  "/>
    <s v="F"/>
    <s v="F-FIRMA"/>
    <s v="1 "/>
    <s v="1=5 X 8"/>
    <s v="01/07/2025"/>
    <s v="TEMPO DETERMINATO"/>
    <s v="31/05/2027"/>
    <s v="0015002158                    "/>
    <s v="CARRASSI ALESSANDRO"/>
    <n v="56"/>
  </r>
  <r>
    <x v="0"/>
    <n v="2158"/>
    <s v="IL SOLE 24 ORE S.P.A.                   "/>
    <s v="D           "/>
    <s v="DG M&amp;B - DG PUBLISHING &amp; DIGITAL"/>
    <s v="D06 "/>
    <x v="8"/>
    <s v="513000      "/>
    <s v="513000  POLITICHE COMMERCIALI DIFF.LOG."/>
    <s v="CARRASSI                        "/>
    <s v="ALESSANDRO        "/>
    <s v="CRRLSN79E16C424J"/>
    <x v="1"/>
    <s v="34"/>
    <x v="0"/>
    <s v="01/04/2021"/>
    <s v="MILANO                 "/>
    <s v="21"/>
    <x v="0"/>
    <s v="F"/>
    <x v="2"/>
    <s v="Q  "/>
    <s v="Q LIV. QUADRI                 "/>
    <s v="03/01/2007"/>
    <s v="03/01/2007"/>
    <s v="16/05/1979"/>
    <s v="A"/>
    <s v="A.IN FORZA"/>
    <s v="1  -ASSUNZIONE                1"/>
    <s v=""/>
    <s v=" "/>
    <s v=""/>
    <s v=""/>
    <n v="1627"/>
    <s v="00"/>
    <n v="100"/>
    <s v="FULL TIME      100000000FF100-FULL TIME"/>
    <s v="03/01/2007"/>
    <s v=""/>
    <s v="05"/>
    <s v="INVALIDI CIVILI"/>
    <s v="EV  "/>
    <s v="    "/>
    <s v=""/>
    <s v=""/>
    <s v="alessandro.carrassi@ilsole24ore.com               "/>
    <s v="F"/>
    <s v="F-FIRMA"/>
    <s v="1 "/>
    <s v="1=5 X 8"/>
    <s v="01/07/2025"/>
    <s v="TEMPO DETERMINATO"/>
    <s v="31/05/2027"/>
    <s v="0015002983                    "/>
    <s v="MUZZA MANUELA"/>
    <n v="46"/>
  </r>
  <r>
    <x v="0"/>
    <n v="1812"/>
    <s v="IL SOLE 24 ORE S.P.A.                   "/>
    <s v="D           "/>
    <s v="DG M&amp;B - DG PUBLISHING &amp; DIGITAL"/>
    <s v="D06 "/>
    <x v="8"/>
    <s v="513000      "/>
    <s v="513000  POLITICHE COMMERCIALI DIFF.LOG."/>
    <s v="MUNDO                           "/>
    <s v="CLAUDIA           "/>
    <s v="MNDCLD70P70A942B"/>
    <x v="0"/>
    <s v="34"/>
    <x v="0"/>
    <s v="01/04/2021"/>
    <s v="MILANO                 "/>
    <s v="21"/>
    <x v="0"/>
    <s v="F"/>
    <x v="2"/>
    <s v="Q  "/>
    <s v="Q LIV. QUADRI                 "/>
    <s v="09/05/2000"/>
    <s v="09/05/2000"/>
    <s v="30/09/1970"/>
    <s v="A"/>
    <s v="A.IN FORZA"/>
    <s v="1  -ASSUNZIONE                1"/>
    <s v=""/>
    <s v=" "/>
    <s v=""/>
    <s v=""/>
    <n v="1432"/>
    <s v="00"/>
    <n v="100"/>
    <s v="FULL TIME      100000000FF100-FULL TIME"/>
    <s v="09/05/2000"/>
    <s v=""/>
    <s v="  "/>
    <s v=""/>
    <s v="EV  "/>
    <s v="    "/>
    <s v=""/>
    <s v=""/>
    <s v="claudia.mundo@ilsole24ore.com                     "/>
    <s v="F"/>
    <s v="F-FIRMA"/>
    <s v="1 "/>
    <s v="1=5 X 8"/>
    <s v="01/07/2025"/>
    <s v="TEMPO DETERMINATO"/>
    <s v="31/05/2027"/>
    <s v="0015002158                    "/>
    <s v="CARRASSI ALESSANDRO"/>
    <n v="55"/>
  </r>
  <r>
    <x v="0"/>
    <n v="2103"/>
    <s v="IL SOLE 24 ORE S.P.A.                   "/>
    <s v="D           "/>
    <s v="DG M&amp;B - DG PUBLISHING &amp; DIGITAL"/>
    <s v="D06 "/>
    <x v="8"/>
    <s v="51320010    "/>
    <s v="51320010 LOGISTICA"/>
    <s v="BASSANO                         "/>
    <s v="LAURA MARINA      "/>
    <s v="BSSLMR72B67F205L"/>
    <x v="0"/>
    <s v="34"/>
    <x v="0"/>
    <s v="01/04/2021"/>
    <s v="MILANO                 "/>
    <s v="21"/>
    <x v="0"/>
    <s v="I"/>
    <x v="0"/>
    <s v="B1 "/>
    <s v="B1 LIV. IMPIEGATO             "/>
    <s v="01/04/2006"/>
    <s v="01/04/2006"/>
    <s v="27/02/1972"/>
    <s v="A"/>
    <s v="A.IN FORZA"/>
    <s v="1  -ASSUNZIONE                1"/>
    <s v=""/>
    <s v=" "/>
    <s v=""/>
    <s v=""/>
    <n v="1591"/>
    <s v="00"/>
    <n v="100"/>
    <s v="FULL TIME      100000000FF100-FULL TIME"/>
    <s v="01/07/2022"/>
    <s v=""/>
    <s v="  "/>
    <s v=""/>
    <s v="EV  "/>
    <s v="    "/>
    <s v=""/>
    <s v="U.I.L.             U.I.L"/>
    <s v="laura.bassano@ilsole24ore.com                     "/>
    <s v="F"/>
    <s v="F-FIRMA"/>
    <s v="1 "/>
    <s v="1=5 X 8"/>
    <s v="01/07/2025"/>
    <s v="TEMPO DETERMINATO"/>
    <s v="31/05/2027"/>
    <s v="0015002158                    "/>
    <s v="CARRASSI ALESSANDRO"/>
    <n v="53"/>
  </r>
  <r>
    <x v="0"/>
    <n v="1313"/>
    <s v="IL SOLE 24 ORE S.P.A.                   "/>
    <s v="D           "/>
    <s v="DG M&amp;B - DG PUBLISHING &amp; DIGITAL"/>
    <s v="D06 "/>
    <x v="8"/>
    <s v="51320010    "/>
    <s v="51320010 LOGISTICA"/>
    <s v="CAPONE                          "/>
    <s v="LEONARDO          "/>
    <s v="CPNLRD72E08H501Z"/>
    <x v="1"/>
    <s v="34"/>
    <x v="0"/>
    <s v="04/04/2022"/>
    <s v="MILANO                 "/>
    <s v="21"/>
    <x v="0"/>
    <s v="I"/>
    <x v="0"/>
    <s v="A  "/>
    <s v="A LIV. IMPIEGATO              "/>
    <s v="15/10/1999"/>
    <s v="15/10/1999"/>
    <s v="08/05/1972"/>
    <s v="A"/>
    <s v="A.IN FORZA"/>
    <s v="1  -ASSUNZIONE                1"/>
    <s v=""/>
    <s v=" "/>
    <s v=""/>
    <s v=""/>
    <n v="1040"/>
    <s v="00"/>
    <n v="100"/>
    <s v="FULL TIME      100000000FF100-FULL TIME"/>
    <s v="15/10/1999"/>
    <s v=""/>
    <s v="  "/>
    <s v=""/>
    <s v="EP  "/>
    <s v="    "/>
    <s v=""/>
    <s v=""/>
    <s v="leonardo.capone@ilsole24ore.com                   "/>
    <s v="F"/>
    <s v="F-FIRMA"/>
    <s v="1 "/>
    <s v="1=5 X 8"/>
    <s v="01/07/2025"/>
    <s v="TEMPO DETERMINATO"/>
    <s v="31/05/2027"/>
    <s v="0015002158                    "/>
    <s v="CARRASSI ALESSANDRO"/>
    <n v="53"/>
  </r>
  <r>
    <x v="0"/>
    <n v="414"/>
    <s v="IL SOLE 24 ORE S.P.A.                   "/>
    <s v="D           "/>
    <s v="DG M&amp;B - DG PUBLISHING &amp; DIGITAL"/>
    <s v="D06 "/>
    <x v="8"/>
    <s v="51320010    "/>
    <s v="51320010 LOGISTICA"/>
    <s v="TURATI                          "/>
    <s v="SONIA GINA        "/>
    <s v="TRTSGN69L44F205Z"/>
    <x v="0"/>
    <s v="34"/>
    <x v="0"/>
    <s v="01/04/2021"/>
    <s v="MILANO                 "/>
    <s v="21"/>
    <x v="0"/>
    <s v="I"/>
    <x v="0"/>
    <s v="B2 "/>
    <s v="B2 LIV. IMPIEGATO             "/>
    <s v="12/05/1989"/>
    <s v="12/05/1989"/>
    <s v="04/07/1969"/>
    <s v="A"/>
    <s v="A.IN FORZA"/>
    <s v="1  -ASSUNZIONE                1"/>
    <s v=""/>
    <s v=" "/>
    <s v=""/>
    <s v=""/>
    <n v="297"/>
    <s v="00"/>
    <n v="100"/>
    <s v="FULL TIME      100000000FF100-FULL TIME"/>
    <s v="12/05/1989"/>
    <s v=""/>
    <s v="  "/>
    <s v=""/>
    <s v="EV  "/>
    <s v="    "/>
    <s v=""/>
    <s v="U.I.L.             U.I.L"/>
    <s v="sonia.turati@ilsole24ore.com                      "/>
    <s v="T"/>
    <s v="T-TIMBRA"/>
    <s v="1 "/>
    <s v="1=5 X 8"/>
    <s v="01/07/2025"/>
    <s v="TEMPO DETERMINATO"/>
    <s v="31/05/2027"/>
    <s v="0015002158                    "/>
    <s v="CARRASSI ALESSANDRO"/>
    <n v="56"/>
  </r>
  <r>
    <x v="0"/>
    <n v="2876"/>
    <s v="IL SOLE 24 ORE S.P.A.                   "/>
    <s v="D           "/>
    <s v="DG M&amp;B - DG PUBLISHING &amp; DIGITAL"/>
    <s v="D06 "/>
    <x v="8"/>
    <s v="51320020    "/>
    <s v="51320020 DIFFUSIONE"/>
    <s v="MOTTA                           "/>
    <s v="ANNA              "/>
    <s v="MTTNNA87L46E801A"/>
    <x v="0"/>
    <s v="34"/>
    <x v="0"/>
    <s v="01/04/2021"/>
    <s v="MILANO                 "/>
    <s v="21"/>
    <x v="0"/>
    <s v="I"/>
    <x v="0"/>
    <s v="A  "/>
    <s v="A LIV. IMPIEGATO              "/>
    <s v="01/02/2016"/>
    <s v="01/02/2016"/>
    <s v="06/07/1987"/>
    <s v="A"/>
    <s v="A.IN FORZA"/>
    <s v="1  -ASSUNZIONE                1"/>
    <s v=""/>
    <s v=" "/>
    <s v=""/>
    <s v=""/>
    <n v="2876"/>
    <s v="00"/>
    <n v="100"/>
    <s v="FULL TIME      100000000FF100-FULL TIME"/>
    <s v="01/02/2016"/>
    <s v=""/>
    <s v="  "/>
    <s v=""/>
    <s v="EN  "/>
    <s v="    "/>
    <s v=""/>
    <s v=""/>
    <s v="anna.motta@ilsole24ore.com                        "/>
    <s v="F"/>
    <s v="F-FIRMA"/>
    <s v="1 "/>
    <s v="1=5 X 8"/>
    <s v="01/07/2025"/>
    <s v="TEMPO DETERMINATO"/>
    <s v="31/05/2027"/>
    <s v="0015002158                    "/>
    <s v="CARRASSI ALESSANDRO"/>
    <n v="38"/>
  </r>
  <r>
    <x v="0"/>
    <n v="744"/>
    <s v="IL SOLE 24 ORE S.P.A.                   "/>
    <s v="D           "/>
    <s v="DG M&amp;B - DG PUBLISHING &amp; DIGITAL"/>
    <s v="D06 "/>
    <x v="8"/>
    <s v="513400      "/>
    <s v="513400   PIANIFICAZ. E CONTROLLO COMM.LE"/>
    <s v="BLASEOTTO                       "/>
    <s v="MONICA            "/>
    <s v="BLSMNC68R45F205Y"/>
    <x v="0"/>
    <s v="34"/>
    <x v="0"/>
    <s v="01/04/2021"/>
    <s v="MILANO                 "/>
    <s v="25"/>
    <x v="3"/>
    <s v="I"/>
    <x v="0"/>
    <s v="07 "/>
    <s v="7 LIV. IMPIEGATO              "/>
    <s v="01/03/1994"/>
    <s v="01/03/1994"/>
    <s v="05/10/1968"/>
    <s v="A"/>
    <s v="A.IN FORZA"/>
    <s v="1  -ASSUNZIONE                1"/>
    <s v=""/>
    <s v=" "/>
    <s v=""/>
    <s v=""/>
    <n v="555"/>
    <s v="00"/>
    <n v="100"/>
    <s v="FULL TIME      100000000FF100-FULL TIME"/>
    <s v="01/03/1994"/>
    <s v=""/>
    <s v="  "/>
    <s v=""/>
    <s v="PSO "/>
    <s v="    "/>
    <s v=""/>
    <s v=""/>
    <s v="monica.blaseotto@ilsole24ore.com                  "/>
    <s v="T"/>
    <s v="T-TIMBRA"/>
    <s v="7 "/>
    <s v="7=5 X 7.20"/>
    <s v="01/07/2025"/>
    <s v="TEMPO DETERMINATO"/>
    <s v="31/05/2027"/>
    <s v="0015002158                    "/>
    <s v="CARRASSI ALESSANDRO"/>
    <n v="57"/>
  </r>
  <r>
    <x v="0"/>
    <n v="800"/>
    <s v="IL SOLE 24 ORE S.P.A.                   "/>
    <s v="D           "/>
    <s v="DG M&amp;B - DG PUBLISHING &amp; DIGITAL"/>
    <s v="D06 "/>
    <x v="8"/>
    <s v="513400      "/>
    <s v="513400   PIANIFICAZ. E CONTROLLO COMM.LE"/>
    <s v="GALLUZZI                        "/>
    <s v="MASSIMILIANO      "/>
    <s v="GLLMSM66M17F205Q"/>
    <x v="1"/>
    <s v="34"/>
    <x v="0"/>
    <s v="01/04/2021"/>
    <s v="MILANO                 "/>
    <s v="25"/>
    <x v="3"/>
    <s v="I"/>
    <x v="0"/>
    <s v="07 "/>
    <s v="7 LIV. IMPIEGATO              "/>
    <s v="03/10/1994"/>
    <s v="03/10/1994"/>
    <s v="17/08/1966"/>
    <s v="A"/>
    <s v="A.IN FORZA"/>
    <s v="1  -ASSUNZIONE                1"/>
    <s v=""/>
    <s v=" "/>
    <s v=""/>
    <s v=""/>
    <n v="604"/>
    <s v="00"/>
    <n v="100"/>
    <s v="FULL TIME      100000000FF100-FULL TIME"/>
    <s v="03/10/1994"/>
    <s v=""/>
    <s v="  "/>
    <s v=""/>
    <s v="PSO "/>
    <s v="    "/>
    <s v=""/>
    <s v="U.I.L.             U.I.L"/>
    <s v="massimiliano.galluzzi@ilsole24ore.com             "/>
    <s v="T"/>
    <s v="T-TIMBRA"/>
    <s v="7 "/>
    <s v="7=5 X 7.20"/>
    <s v="01/07/2025"/>
    <s v="TEMPO DETERMINATO"/>
    <s v="31/05/2027"/>
    <s v="0015002158                    "/>
    <s v="CARRASSI ALESSANDRO"/>
    <n v="59"/>
  </r>
  <r>
    <x v="0"/>
    <n v="1882"/>
    <s v="IL SOLE 24 ORE S.P.A.                   "/>
    <s v="D           "/>
    <s v="DG M&amp;B - DG PUBLISHING &amp; DIGITAL"/>
    <s v="D07 "/>
    <x v="9"/>
    <s v="513500      "/>
    <s v="513500   VENDITE ABBON. NUOVI E RINNOVI"/>
    <s v="BRUGNOLI                        "/>
    <s v="ALESSANDRO        "/>
    <s v="BRGLSN75H28F205V"/>
    <x v="1"/>
    <s v="34"/>
    <x v="0"/>
    <s v="01/04/2021"/>
    <s v="MILANO                 "/>
    <s v="21"/>
    <x v="0"/>
    <s v="I"/>
    <x v="0"/>
    <s v="AS "/>
    <s v="AS LIV. IMPIEGATO             "/>
    <s v="19/04/2002"/>
    <s v="19/04/2002"/>
    <s v="28/06/1975"/>
    <s v="A"/>
    <s v="A.IN FORZA"/>
    <s v="1  -ASSUNZIONE                1"/>
    <s v=""/>
    <s v=" "/>
    <s v=""/>
    <s v=""/>
    <n v="1491"/>
    <s v="00"/>
    <n v="100"/>
    <s v="FULL TIME      100000000FF100-FULL TIME"/>
    <s v="19/04/2002"/>
    <s v=""/>
    <s v="  "/>
    <s v=""/>
    <s v="EV  "/>
    <s v="    "/>
    <s v=""/>
    <s v=""/>
    <s v="alessandro.brugnoli@ilsole24ore.com               "/>
    <s v="F"/>
    <s v="F-FIRMA"/>
    <s v="1 "/>
    <s v="1=5 X 8"/>
    <s v="01/07/2025"/>
    <s v="TEMPO DETERMINATO"/>
    <s v="31/05/2027"/>
    <s v="0015001695                    "/>
    <s v="RUSSO FILOMENA"/>
    <n v="50"/>
  </r>
  <r>
    <x v="0"/>
    <n v="1674"/>
    <s v="IL SOLE 24 ORE S.P.A.                   "/>
    <s v="D           "/>
    <s v="DG M&amp;B - DG PUBLISHING &amp; DIGITAL"/>
    <s v="D07 "/>
    <x v="9"/>
    <s v="513500      "/>
    <s v="513500   VENDITE ABBON. NUOVI E RINNOVI"/>
    <s v="DIGIOVANNI                      "/>
    <s v="ELISABETTA        "/>
    <s v="DGVLBT67H49F205K"/>
    <x v="0"/>
    <s v="34"/>
    <x v="0"/>
    <s v="01/04/2021"/>
    <s v="MILANO                 "/>
    <s v="25"/>
    <x v="3"/>
    <s v="I"/>
    <x v="0"/>
    <s v="07 "/>
    <s v="7 LIV. IMPIEGATO              "/>
    <s v="02/11/2000"/>
    <s v="02/11/2000"/>
    <s v="09/06/1967"/>
    <s v="A"/>
    <s v="A.IN FORZA"/>
    <s v="1  -ASSUNZIONE                1"/>
    <s v=""/>
    <s v=" "/>
    <s v=""/>
    <s v=""/>
    <n v="1334"/>
    <s v="00"/>
    <n v="100"/>
    <s v="FULL TIME      100000000FF100-FULL TIME"/>
    <s v="02/11/2000"/>
    <s v=""/>
    <s v="  "/>
    <s v=""/>
    <s v="PSO "/>
    <s v="    "/>
    <s v=""/>
    <s v="U.I.L.             U.I.L"/>
    <s v="elisabetta.digiovanni@ilsole24ore.com             "/>
    <s v="T"/>
    <s v="T-TIMBRA"/>
    <s v="7 "/>
    <s v="7=5 X 7.20"/>
    <s v="01/07/2025"/>
    <s v="TEMPO DETERMINATO"/>
    <s v="31/05/2027"/>
    <s v="0015001695                    "/>
    <s v="RUSSO FILOMENA"/>
    <n v="58"/>
  </r>
  <r>
    <x v="0"/>
    <n v="3070"/>
    <s v="IL SOLE 24 ORE S.P.A.                   "/>
    <s v="D           "/>
    <s v="DG M&amp;B - DG PUBLISHING &amp; DIGITAL"/>
    <s v="D07 "/>
    <x v="9"/>
    <s v="513500      "/>
    <s v="513500   VENDITE ABBON. NUOVI E RINNOVI"/>
    <s v="FAVARO                          "/>
    <s v="ALESSANDRO        "/>
    <s v="FVRLSN95L18I403W"/>
    <x v="1"/>
    <s v="34"/>
    <x v="0"/>
    <s v="16/03/2023"/>
    <s v="MILANO                 "/>
    <s v="21"/>
    <x v="0"/>
    <s v="I"/>
    <x v="0"/>
    <s v="B2 "/>
    <s v="B2 LIV. IMPIEGATO             "/>
    <s v="16/03/2023"/>
    <s v="16/03/2023"/>
    <s v="18/07/1995"/>
    <s v="A"/>
    <s v="A.IN FORZA"/>
    <s v="1  -ASSUNZIONE                1"/>
    <s v=""/>
    <s v=" "/>
    <s v=""/>
    <s v=""/>
    <n v="3070"/>
    <s v="00"/>
    <n v="100"/>
    <s v="FULL TIME      100000000FF100-FULL TIME"/>
    <s v="16/03/2023"/>
    <s v=""/>
    <s v="  "/>
    <s v=""/>
    <s v="EN  "/>
    <s v="    "/>
    <s v=""/>
    <s v=""/>
    <s v="alessandro.favaro@ilsole24ore.com                 "/>
    <s v="T"/>
    <s v="T-TIMBRA"/>
    <s v="1 "/>
    <s v="1=5 X 8"/>
    <s v="01/07/2025"/>
    <s v="TEMPO DETERMINATO"/>
    <s v="31/05/2027"/>
    <s v="0015001695                    "/>
    <s v="RUSSO FILOMENA"/>
    <n v="30"/>
  </r>
  <r>
    <x v="0"/>
    <n v="1695"/>
    <s v="IL SOLE 24 ORE S.P.A.                   "/>
    <s v="D           "/>
    <s v="DG M&amp;B - DG PUBLISHING &amp; DIGITAL"/>
    <s v="D07 "/>
    <x v="9"/>
    <s v="513500      "/>
    <s v="513500   VENDITE ABBON. NUOVI E RINNOVI"/>
    <s v="RUSSO                           "/>
    <s v="FILOMENA          "/>
    <s v="RSSFMN68M71G131B"/>
    <x v="0"/>
    <s v="34"/>
    <x v="0"/>
    <s v="01/04/2021"/>
    <s v="MILANO                 "/>
    <s v="21"/>
    <x v="0"/>
    <s v="F"/>
    <x v="2"/>
    <s v="Q  "/>
    <s v="Q LIV. QUADRI                 "/>
    <s v="18/12/2000"/>
    <s v="18/12/2000"/>
    <s v="31/08/1968"/>
    <s v="A"/>
    <s v="A.IN FORZA"/>
    <s v="1  -ASSUNZIONE                1"/>
    <s v=""/>
    <s v=" "/>
    <s v=""/>
    <s v=""/>
    <n v="1351"/>
    <s v="00"/>
    <n v="100"/>
    <s v="FULL TIME      100000000FF100-FULL TIME"/>
    <s v="18/12/2000"/>
    <s v=""/>
    <s v="  "/>
    <s v=""/>
    <s v="EP  "/>
    <s v="    "/>
    <s v=""/>
    <s v=""/>
    <s v="filomena.russo@ilsole24ore.com                    "/>
    <s v="F"/>
    <s v="F-FIRMA"/>
    <s v="1 "/>
    <s v="1=5 X 8"/>
    <s v="01/07/2025"/>
    <s v="TEMPO DETERMINATO"/>
    <s v="31/05/2027"/>
    <s v="0015002983                    "/>
    <s v="MUZZA MANUELA"/>
    <n v="57"/>
  </r>
  <r>
    <x v="0"/>
    <n v="2616"/>
    <s v="IL SOLE 24 ORE S.P.A.                   "/>
    <s v="D           "/>
    <s v="DG M&amp;B - DG PUBLISHING &amp; DIGITAL"/>
    <s v="D09 "/>
    <x v="6"/>
    <s v="F16000      "/>
    <s v="F16000   MARKETING SVILUPPO DIGITALE"/>
    <s v="CAROTA                          "/>
    <s v="GIULIA            "/>
    <s v="CRTGLI85H67G482Q"/>
    <x v="0"/>
    <s v="34"/>
    <x v="0"/>
    <s v="01/04/2021"/>
    <s v="MILANO                 "/>
    <s v="21"/>
    <x v="0"/>
    <s v="I"/>
    <x v="0"/>
    <s v="AS "/>
    <s v="AS LIV. IMPIEGATO             "/>
    <s v="11/07/2012"/>
    <s v="11/07/2012"/>
    <s v="27/06/1985"/>
    <s v="A"/>
    <s v="A.IN FORZA"/>
    <s v="1  -ASSUNZIONE                1"/>
    <s v=""/>
    <s v=" "/>
    <s v=""/>
    <s v=""/>
    <n v="2616"/>
    <s v="09"/>
    <n v="87.5"/>
    <s v="35 ORE GRAFICI 087500000PP35.0/40- PT 87.50-P"/>
    <s v="01/03/2024"/>
    <s v="31/03/2026"/>
    <s v="  "/>
    <s v=""/>
    <s v="EV  "/>
    <s v="    "/>
    <s v=""/>
    <s v=""/>
    <s v="giulia.carota@ilsole24ore.com                     "/>
    <s v="F"/>
    <s v="F-FIRMA"/>
    <s v="1 "/>
    <s v="1=5 X 8"/>
    <s v="01/07/2025"/>
    <s v="TEMPO DETERMINATO"/>
    <s v="31/05/2027"/>
    <s v="0015002972                    "/>
    <s v="FRANCICA FEDERICA"/>
    <n v="40"/>
  </r>
  <r>
    <x v="0"/>
    <n v="3058"/>
    <s v="IL SOLE 24 ORE S.P.A.                   "/>
    <s v="D           "/>
    <s v="DG M&amp;B - DG PUBLISHING &amp; DIGITAL"/>
    <s v="D09 "/>
    <x v="6"/>
    <s v="F16000      "/>
    <s v="F16000   MARKETING SVILUPPO DIGITALE"/>
    <s v="FAINA                           "/>
    <s v="ARIANNA           "/>
    <s v="FNARNN94A71G478V"/>
    <x v="0"/>
    <s v="34"/>
    <x v="0"/>
    <s v="01/10/2022"/>
    <s v="MILANO                 "/>
    <s v="21"/>
    <x v="0"/>
    <s v="I"/>
    <x v="0"/>
    <s v="B2 "/>
    <s v="B2 LIV. IMPIEGATO             "/>
    <s v="01/10/2022"/>
    <s v="01/10/2022"/>
    <s v="31/01/1994"/>
    <s v="A"/>
    <s v="A.IN FORZA"/>
    <s v="1  -ASSUNZIONE                1"/>
    <s v=""/>
    <s v=" "/>
    <s v=""/>
    <s v=""/>
    <n v="3058"/>
    <s v="00"/>
    <n v="100"/>
    <s v="FULL TIME      100000000FF100-FULL TIME"/>
    <s v="01/10/2022"/>
    <s v=""/>
    <s v="  "/>
    <s v=""/>
    <s v="EN  "/>
    <s v="    "/>
    <s v=""/>
    <s v=""/>
    <s v="arianna.faina@ilsole24ore.com                     "/>
    <s v="F"/>
    <s v="F-FIRMA"/>
    <s v="1 "/>
    <s v="1=5 X 8"/>
    <s v="01/07/2025"/>
    <s v="TEMPO DETERMINATO"/>
    <s v="31/05/2027"/>
    <s v="0015002972                    "/>
    <s v="FRANCICA FEDERICA"/>
    <n v="32"/>
  </r>
  <r>
    <x v="0"/>
    <n v="3117"/>
    <s v="IL SOLE 24 ORE S.P.A.                   "/>
    <s v="D           "/>
    <s v="DG M&amp;B - DG PUBLISHING &amp; DIGITAL"/>
    <s v="D09 "/>
    <x v="6"/>
    <s v="F16000      "/>
    <s v="F16000   MARKETING SVILUPPO DIGITALE"/>
    <s v="MAMMONE                         "/>
    <s v="SALVATORE         "/>
    <s v="MMMSVT83M08F537K"/>
    <x v="1"/>
    <s v="34"/>
    <x v="0"/>
    <s v="08/04/2024"/>
    <s v="MILANO                 "/>
    <s v="21"/>
    <x v="0"/>
    <s v="I"/>
    <x v="0"/>
    <s v="AS "/>
    <s v="AS LIV. IMPIEGATO             "/>
    <s v="08/04/2024"/>
    <s v="08/04/2024"/>
    <s v="08/08/1983"/>
    <s v="A"/>
    <s v="A.IN FORZA"/>
    <s v="1  -ASSUNZIONE                1"/>
    <s v=""/>
    <s v=" "/>
    <s v=""/>
    <s v=""/>
    <n v="3117"/>
    <s v="00"/>
    <n v="100"/>
    <s v="FULL TIME      100000000FF100-FULL TIME"/>
    <s v="08/04/2024"/>
    <s v=""/>
    <s v="  "/>
    <s v=""/>
    <s v="EN  "/>
    <s v="    "/>
    <s v=""/>
    <s v=""/>
    <s v="salvatore.mammone@ilsole24ore.com                 "/>
    <s v="F"/>
    <s v="F-FIRMA"/>
    <s v="1 "/>
    <s v="1=5 X 8"/>
    <s v="01/07/2025"/>
    <s v="TEMPO DETERMINATO"/>
    <s v="31/05/2027"/>
    <s v="0015002972                    "/>
    <s v="FRANCICA FEDERICA"/>
    <n v="42"/>
  </r>
  <r>
    <x v="0"/>
    <n v="3106"/>
    <s v="IL SOLE 24 ORE S.P.A.                   "/>
    <s v="D           "/>
    <s v="DG M&amp;B - DG PUBLISHING &amp; DIGITAL"/>
    <s v="D09 "/>
    <x v="6"/>
    <s v="F16000      "/>
    <s v="F16000   MARKETING SVILUPPO DIGITALE"/>
    <s v="PANCANI                         "/>
    <s v="SIMONA            "/>
    <s v="PNCSMN85B52F205X"/>
    <x v="0"/>
    <s v="34"/>
    <x v="0"/>
    <s v="15/01/2024"/>
    <s v="MILANO                 "/>
    <s v="21"/>
    <x v="0"/>
    <s v="I"/>
    <x v="0"/>
    <s v="A  "/>
    <s v="A LIV. IMPIEGATO              "/>
    <s v="15/01/2024"/>
    <s v="15/01/2024"/>
    <s v="12/02/1985"/>
    <s v="A"/>
    <s v="A.IN FORZA"/>
    <s v="1  -ASSUNZIONE                1"/>
    <s v=""/>
    <s v=" "/>
    <s v=""/>
    <s v=""/>
    <n v="3106"/>
    <s v="00"/>
    <n v="100"/>
    <s v="FULL TIME      100000000FF100-FULL TIME"/>
    <s v="15/01/2024"/>
    <s v=""/>
    <s v="  "/>
    <s v=""/>
    <s v="EN  "/>
    <s v="    "/>
    <s v=""/>
    <s v="U.I.L.             U.I.L"/>
    <s v="simona.pancani@ilsole24ore.com                    "/>
    <s v="F"/>
    <s v="F-FIRMA"/>
    <s v="1 "/>
    <s v="1=5 X 8"/>
    <s v="01/07/2025"/>
    <s v="TEMPO DETERMINATO"/>
    <s v="31/05/2027"/>
    <s v="0015002972                    "/>
    <s v="FRANCICA FEDERICA"/>
    <n v="40"/>
  </r>
  <r>
    <x v="0"/>
    <n v="1844"/>
    <s v="IL SOLE 24 ORE S.P.A.                   "/>
    <s v="D           "/>
    <s v="DG M&amp;B - DG PUBLISHING &amp; DIGITAL"/>
    <s v="D09 "/>
    <x v="6"/>
    <s v="F16000      "/>
    <s v="F16000   MARKETING SVILUPPO DIGITALE"/>
    <s v="PETRUCCI                        "/>
    <s v="SALVATORE         "/>
    <s v="PTRSVT64T18L273E"/>
    <x v="1"/>
    <s v="34"/>
    <x v="0"/>
    <s v="01/04/2021"/>
    <s v="MILANO                 "/>
    <s v="21"/>
    <x v="0"/>
    <s v="F"/>
    <x v="2"/>
    <s v="Q  "/>
    <s v="Q LIV. QUADRI                 "/>
    <s v="01/02/2001"/>
    <s v="17/07/2000"/>
    <s v="18/12/1964"/>
    <s v="A"/>
    <s v="A.IN FORZA"/>
    <s v="2  -VARIAZIONE SOCIETARIA     2"/>
    <s v=""/>
    <s v=" "/>
    <s v=""/>
    <s v=""/>
    <n v="1464"/>
    <s v="00"/>
    <n v="100"/>
    <s v="FULL TIME      100000000FF100-FULL TIME"/>
    <s v="01/02/2001"/>
    <s v=""/>
    <s v="  "/>
    <s v=""/>
    <s v="EV  "/>
    <s v="    "/>
    <s v=""/>
    <s v=""/>
    <s v="salvatore.petrucci@ilsole24ore.com                "/>
    <s v="F"/>
    <s v="F-FIRMA"/>
    <s v="1 "/>
    <s v="1=5 X 8"/>
    <s v="01/07/2025"/>
    <s v="TEMPO DETERMINATO"/>
    <s v="31/05/2027"/>
    <s v="0015002972                    "/>
    <s v="FRANCICA FEDERICA"/>
    <n v="61"/>
  </r>
  <r>
    <x v="0"/>
    <n v="3020"/>
    <s v="IL SOLE 24 ORE S.P.A.                   "/>
    <s v="D           "/>
    <s v="DG M&amp;B - DG PUBLISHING &amp; DIGITAL"/>
    <s v="D09 "/>
    <x v="6"/>
    <s v="F16000      "/>
    <s v="F16000   MARKETING SVILUPPO DIGITALE"/>
    <s v="ROSI                            "/>
    <s v="MARTINA           "/>
    <s v="RSOMTN91S69G478W"/>
    <x v="0"/>
    <s v="34"/>
    <x v="0"/>
    <s v="18/10/2021"/>
    <s v="MILANO                 "/>
    <s v="21"/>
    <x v="0"/>
    <s v="I"/>
    <x v="0"/>
    <s v="B2 "/>
    <s v="B2 LIV. IMPIEGATO             "/>
    <s v="18/10/2021"/>
    <s v="18/10/2021"/>
    <s v="29/11/1991"/>
    <s v="A"/>
    <s v="A.IN FORZA"/>
    <s v="1S-ASSUNZIONE STABILIZZAZIONE 1S"/>
    <s v="30/09/2022"/>
    <s v=" "/>
    <s v=""/>
    <s v=""/>
    <n v="3020"/>
    <s v="00"/>
    <n v="100"/>
    <s v="FULL TIME      100000000FF100-FULL TIME"/>
    <s v="18/10/2021"/>
    <s v=""/>
    <s v="  "/>
    <s v=""/>
    <s v="EN  "/>
    <s v="    "/>
    <s v=""/>
    <s v=""/>
    <s v="martina.rosi@ilsole24ore.com                      "/>
    <s v="F"/>
    <s v="F-FIRMA"/>
    <s v="1 "/>
    <s v="1=5 X 8"/>
    <s v="01/07/2025"/>
    <s v="TEMPO DETERMINATO"/>
    <s v="31/05/2027"/>
    <s v="0015002972                    "/>
    <s v="FRANCICA FEDERICA"/>
    <n v="34"/>
  </r>
  <r>
    <x v="0"/>
    <n v="3030"/>
    <s v="IL SOLE 24 ORE S.P.A.                   "/>
    <s v="D           "/>
    <s v="DG M&amp;B - DG PUBLISHING &amp; DIGITAL"/>
    <s v="D10 "/>
    <x v="10"/>
    <s v="F1600010    "/>
    <s v="F1600010 E-COMMERCE"/>
    <s v="BESTETTI                        "/>
    <s v="MARCO             "/>
    <s v="BSTMRC76L26F205R"/>
    <x v="1"/>
    <s v="34"/>
    <x v="0"/>
    <s v="02/03/2022"/>
    <s v="MILANO                 "/>
    <s v="21"/>
    <x v="0"/>
    <s v="F"/>
    <x v="2"/>
    <s v="Q  "/>
    <s v="Q LIV. QUADRI                 "/>
    <s v="02/03/2022"/>
    <s v="02/03/2022"/>
    <s v="26/07/1976"/>
    <s v="A"/>
    <s v="A.IN FORZA"/>
    <s v="1  -ASSUNZIONE                1"/>
    <s v=""/>
    <s v=" "/>
    <s v=""/>
    <s v=""/>
    <n v="3030"/>
    <s v="00"/>
    <n v="100"/>
    <s v="FULL TIME      100000000FF100-FULL TIME"/>
    <s v="02/03/2022"/>
    <s v=""/>
    <s v="  "/>
    <s v=""/>
    <s v="EN  "/>
    <s v="    "/>
    <s v=""/>
    <s v="U.I.L.             U.I.L"/>
    <s v="marco.bestetti@ilsole24ore.com                    "/>
    <s v="F"/>
    <s v="F-FIRMA"/>
    <s v="1 "/>
    <s v="1=5 X 8"/>
    <s v="01/07/2025"/>
    <s v="TEMPO DETERMINATO"/>
    <s v="31/05/2027"/>
    <s v="0015002972                    "/>
    <s v="FRANCICA FEDERICA"/>
    <n v="49"/>
  </r>
  <r>
    <x v="0"/>
    <n v="2423"/>
    <s v="IL SOLE 24 ORE S.P.A.                   "/>
    <s v="D           "/>
    <s v="DG M&amp;B - DG PUBLISHING &amp; DIGITAL"/>
    <s v="D11 "/>
    <x v="11"/>
    <s v="61207020    "/>
    <s v="61207020 DIGITAL PRODUCT DEVELOPMENT"/>
    <s v="BERTORELLI                      "/>
    <s v="WALTER PASQUALE   "/>
    <s v="BRTWTR69B22F205I"/>
    <x v="1"/>
    <s v="34"/>
    <x v="0"/>
    <s v="01/04/2021"/>
    <s v="MILANO                 "/>
    <s v="21"/>
    <x v="0"/>
    <s v="I"/>
    <x v="0"/>
    <s v="A  "/>
    <s v="A LIV. IMPIEGATO              "/>
    <s v="01/06/2000"/>
    <s v="01/06/2000"/>
    <s v="22/02/1969"/>
    <s v="A"/>
    <s v="A.IN FORZA"/>
    <s v="1  -ASSUNZIONE                1"/>
    <s v=""/>
    <s v=" "/>
    <s v=""/>
    <s v=""/>
    <n v="2423"/>
    <s v="00"/>
    <n v="100"/>
    <s v="FULL TIME      100000000FF100-FULL TIME"/>
    <s v="01/07/2005"/>
    <s v=""/>
    <s v="  "/>
    <s v=""/>
    <s v="EN  "/>
    <s v="    "/>
    <s v=""/>
    <s v=""/>
    <s v="walter.bertorelli@radio24.it                      "/>
    <s v="F"/>
    <s v="F-FIRMA"/>
    <s v="1 "/>
    <s v="1=5 X 8"/>
    <s v="01/07/2025"/>
    <s v="TEMPO DETERMINATO"/>
    <s v="31/05/2027"/>
    <s v="0015002972                    "/>
    <s v="FRANCICA FEDERICA"/>
    <n v="56"/>
  </r>
  <r>
    <x v="0"/>
    <n v="3081"/>
    <s v="IL SOLE 24 ORE S.P.A.                   "/>
    <s v="D           "/>
    <s v="DG M&amp;B - DG PUBLISHING &amp; DIGITAL"/>
    <s v="D11 "/>
    <x v="11"/>
    <s v="61207020    "/>
    <s v="61207020 DIGITAL PRODUCT DEVELOPMENT"/>
    <s v="DE MAIO                         "/>
    <s v="SIMONE            "/>
    <s v="DMESMN97S27L400B"/>
    <x v="1"/>
    <s v="34"/>
    <x v="0"/>
    <s v="05/06/2023"/>
    <s v="MILANO                 "/>
    <s v="21"/>
    <x v="0"/>
    <s v="I"/>
    <x v="0"/>
    <s v="B2 "/>
    <s v="B2 LIV. IMPIEGATO             "/>
    <s v="05/06/2023"/>
    <s v="05/06/2023"/>
    <s v="27/11/1997"/>
    <s v="A"/>
    <s v="A.IN FORZA"/>
    <s v="1  -ASSUNZIONE                1"/>
    <s v=""/>
    <s v=" "/>
    <s v=""/>
    <s v=""/>
    <n v="3081"/>
    <s v="00"/>
    <n v="100"/>
    <s v="FULL TIME      100000000FF100-FULL TIME"/>
    <s v="05/06/2023"/>
    <s v=""/>
    <s v="  "/>
    <s v=""/>
    <s v="EN  "/>
    <s v="    "/>
    <s v=""/>
    <s v=""/>
    <s v="simone.demaio@ilsole24ore.com                     "/>
    <s v="F"/>
    <s v="F-FIRMA"/>
    <s v="1 "/>
    <s v="1=5 X 8"/>
    <s v="01/07/2025"/>
    <s v="TEMPO DETERMINATO"/>
    <s v="31/05/2027"/>
    <s v="0015002972                    "/>
    <s v="FRANCICA FEDERICA"/>
    <n v="28"/>
  </r>
  <r>
    <x v="0"/>
    <n v="2972"/>
    <s v="IL SOLE 24 ORE S.P.A.                   "/>
    <s v="D           "/>
    <s v="DG M&amp;B - DG PUBLISHING &amp; DIGITAL"/>
    <s v="D11 "/>
    <x v="11"/>
    <s v="61207020    "/>
    <s v="61207020 DIGITAL PRODUCT DEVELOPMENT"/>
    <s v="FRANCICA                        "/>
    <s v="FEDERICA          "/>
    <s v="FRNFRC82L56I754T"/>
    <x v="0"/>
    <s v="34"/>
    <x v="0"/>
    <s v="01/04/2021"/>
    <s v="MILANO                 "/>
    <s v="21"/>
    <x v="0"/>
    <s v="F"/>
    <x v="2"/>
    <s v="Q  "/>
    <s v="Q LIV. QUADRI                 "/>
    <s v="02/05/2019"/>
    <s v="02/05/2019"/>
    <s v="16/07/1982"/>
    <s v="A"/>
    <s v="A.IN FORZA"/>
    <s v="1  -ASSUNZIONE                1"/>
    <s v=""/>
    <s v=" "/>
    <s v=""/>
    <s v=""/>
    <n v="2972"/>
    <s v="00"/>
    <n v="100"/>
    <s v="FULL TIME      100000000FF100-FULL TIME"/>
    <s v="02/05/2019"/>
    <s v=""/>
    <s v="  "/>
    <s v=""/>
    <s v="EV  "/>
    <s v="    "/>
    <s v=""/>
    <s v=""/>
    <s v="federica.francica@ilsole24ore.com                 "/>
    <s v="F"/>
    <s v="F-FIRMA"/>
    <s v="1 "/>
    <s v="1=5 X 8"/>
    <s v="01/07/2025"/>
    <s v="TEMPO DETERMINATO"/>
    <s v="31/05/2027"/>
    <s v="0015002960                    "/>
    <s v="SILVESTRI FEDERICO"/>
    <n v="43"/>
  </r>
  <r>
    <x v="0"/>
    <n v="3010"/>
    <s v="IL SOLE 24 ORE S.P.A.                   "/>
    <s v="D           "/>
    <s v="DG M&amp;B - DG PUBLISHING &amp; DIGITAL"/>
    <s v="D11 "/>
    <x v="11"/>
    <s v="61207020    "/>
    <s v="61207020 DIGITAL PRODUCT DEVELOPMENT"/>
    <s v="STANZIONE                       "/>
    <s v="LUCA              "/>
    <s v="STNLCU81D27F704I"/>
    <x v="1"/>
    <s v="34"/>
    <x v="0"/>
    <s v="01/04/2021"/>
    <s v="MILANO                 "/>
    <s v="21"/>
    <x v="0"/>
    <s v="I"/>
    <x v="0"/>
    <s v="AS "/>
    <s v="AS LIV. IMPIEGATO             "/>
    <s v="01/03/2021"/>
    <s v="01/03/2021"/>
    <s v="27/04/1981"/>
    <s v="A"/>
    <s v="A.IN FORZA"/>
    <s v="1  -ASSUNZIONE                1"/>
    <s v=""/>
    <s v=" "/>
    <s v=""/>
    <s v=""/>
    <n v="3010"/>
    <s v="00"/>
    <n v="100"/>
    <s v="FULL TIME      100000000FF100-FULL TIME"/>
    <s v="01/03/2021"/>
    <s v=""/>
    <s v="  "/>
    <s v=""/>
    <s v="EN  "/>
    <s v="    "/>
    <s v=""/>
    <s v=""/>
    <s v="luca.stanzione@ilsole24ore.com                    "/>
    <s v="F"/>
    <s v="F-FIRMA"/>
    <s v="1 "/>
    <s v="1=5 X 8"/>
    <s v="01/07/2025"/>
    <s v="TEMPO DETERMINATO"/>
    <s v="31/05/2027"/>
    <s v="0015002972                    "/>
    <s v="FRANCICA FEDERICA"/>
    <n v="44"/>
  </r>
  <r>
    <x v="0"/>
    <n v="2206"/>
    <s v="IL SOLE 24 ORE S.P.A.                   "/>
    <s v="E           "/>
    <s v="AMMINISTR., FINANZA E CONTROLLO"/>
    <s v="E03 "/>
    <x v="12"/>
    <s v="215100      "/>
    <s v="215100   CREDIT MANAGEMENT"/>
    <s v="BONVINI                         "/>
    <s v="FABIO             "/>
    <s v="BNVFBA74H12B201A"/>
    <x v="1"/>
    <s v="34"/>
    <x v="0"/>
    <s v="01/04/2021"/>
    <s v="MILANO                 "/>
    <s v="21"/>
    <x v="0"/>
    <s v="I"/>
    <x v="0"/>
    <s v="B1 "/>
    <s v="B1 LIV. IMPIEGATO             "/>
    <s v="02/07/2007"/>
    <s v="02/07/2007"/>
    <s v="12/06/1974"/>
    <s v="A"/>
    <s v="A.IN FORZA"/>
    <s v="1  -ASSUNZIONE                1"/>
    <s v=""/>
    <s v=" "/>
    <s v=""/>
    <s v=""/>
    <n v="1658"/>
    <s v="00"/>
    <n v="100"/>
    <s v="FULL TIME      100000000FF100-FULL TIME"/>
    <s v="02/07/2007"/>
    <s v=""/>
    <s v="  "/>
    <s v=""/>
    <s v="EV  "/>
    <s v="    "/>
    <s v=""/>
    <s v="U.I.L.             U.I.L"/>
    <s v="fabio.bonvini@ilsole24ore.com                     "/>
    <s v="F"/>
    <s v="F-FIRMA"/>
    <s v="1 "/>
    <s v="1=5 X 8"/>
    <s v="01/07/2025"/>
    <s v="TEMPO DETERMINATO"/>
    <s v="31/05/2027"/>
    <s v="0015003076                    "/>
    <s v="DALL'AGNOLA DELIA"/>
    <n v="51"/>
  </r>
  <r>
    <x v="0"/>
    <n v="3160"/>
    <s v="IL SOLE 24 ORE S.P.A.                   "/>
    <s v="E           "/>
    <s v="AMMINISTR., FINANZA E CONTROLLO"/>
    <s v="E03 "/>
    <x v="12"/>
    <s v="215100      "/>
    <s v="215100   CREDIT MANAGEMENT"/>
    <s v="BOZZELLA                        "/>
    <s v="ALESSANDRA        "/>
    <s v="BZZLSN00B44D286Z"/>
    <x v="0"/>
    <s v="34"/>
    <x v="0"/>
    <s v="01/10/2025"/>
    <s v="MILANO                 "/>
    <s v="21"/>
    <x v="0"/>
    <s v="I"/>
    <x v="0"/>
    <s v="B3 "/>
    <s v="B3 LIV. IMPIEGATO             "/>
    <s v="01/10/2025"/>
    <s v="01/10/2025"/>
    <s v="04/02/2000"/>
    <s v="A"/>
    <s v="A.IN FORZA"/>
    <s v="1C-ASSUNZIONE CONTR. A TERMINE1"/>
    <s v=""/>
    <s v="D"/>
    <s v="30/09/2026"/>
    <s v=""/>
    <n v="3160"/>
    <s v="00"/>
    <n v="100"/>
    <s v="FULL TIME      100000000FF100-FULL TIME"/>
    <s v="01/10/2025"/>
    <s v=""/>
    <s v="  "/>
    <s v=""/>
    <s v="EN  "/>
    <s v="    "/>
    <s v=""/>
    <s v=""/>
    <s v="alessandra.bozzella@ilsole24ore.com               "/>
    <s v="F"/>
    <s v="F-FIRMA"/>
    <s v="1 "/>
    <s v="1=5 X 8"/>
    <s v="02/10/2025"/>
    <s v="TEMPO DETERMINATO"/>
    <s v="31/05/2027"/>
    <s v="0015003076                    "/>
    <s v="DALL'AGNOLA DELIA"/>
    <n v="25"/>
  </r>
  <r>
    <x v="0"/>
    <n v="2284"/>
    <s v="IL SOLE 24 ORE S.P.A.                   "/>
    <s v="E           "/>
    <s v="AMMINISTR., FINANZA E CONTROLLO"/>
    <s v="E03 "/>
    <x v="12"/>
    <s v="215100      "/>
    <s v="215100   CREDIT MANAGEMENT"/>
    <s v="FOGLIA                          "/>
    <s v="ARIANNA           "/>
    <s v="FGLRNN75B54D969E"/>
    <x v="0"/>
    <s v="34"/>
    <x v="0"/>
    <s v="01/04/2021"/>
    <s v="MILANO                 "/>
    <s v="21"/>
    <x v="0"/>
    <s v="I"/>
    <x v="0"/>
    <s v="A  "/>
    <s v="A LIV. IMPIEGATO              "/>
    <s v="14/04/2008"/>
    <s v="14/04/2008"/>
    <s v="14/02/1975"/>
    <s v="A"/>
    <s v="A.IN FORZA"/>
    <s v="1  -ASSUNZIONE                1"/>
    <s v=""/>
    <s v=" "/>
    <s v=""/>
    <s v=""/>
    <n v="1709"/>
    <s v="00"/>
    <n v="100"/>
    <s v="FULL TIME      100000000FF100-FULL TIME"/>
    <s v="14/04/2008"/>
    <s v=""/>
    <s v="  "/>
    <s v=""/>
    <s v="EV  "/>
    <s v="    "/>
    <s v=""/>
    <s v=""/>
    <s v="arianna.foglia@ilsole24ore.com                    "/>
    <s v="F"/>
    <s v="F-FIRMA"/>
    <s v="1 "/>
    <s v="1=5 X 8"/>
    <s v="01/07/2025"/>
    <s v="TEMPO DETERMINATO"/>
    <s v="31/05/2027"/>
    <s v="0015003076                    "/>
    <s v="DALL'AGNOLA DELIA"/>
    <n v="50"/>
  </r>
  <r>
    <x v="0"/>
    <n v="3076"/>
    <s v="IL SOLE 24 ORE S.P.A.                   "/>
    <s v="E           "/>
    <s v="AMMINISTR., FINANZA E CONTROLLO"/>
    <s v="E03 "/>
    <x v="12"/>
    <s v="215500      "/>
    <s v="215500   FINANZA, TESORERIA E RISK MAN"/>
    <s v="DALL'AGNOLA                     "/>
    <s v="DELIA             "/>
    <s v="DLLDLE75R53F205U"/>
    <x v="0"/>
    <s v="34"/>
    <x v="0"/>
    <s v="17/04/2023"/>
    <s v="MILANO                 "/>
    <s v="21"/>
    <x v="0"/>
    <s v="F"/>
    <x v="2"/>
    <s v="Q  "/>
    <s v="Q LIV. QUADRI                 "/>
    <s v="17/04/2023"/>
    <s v="17/04/2023"/>
    <s v="13/10/1975"/>
    <s v="A"/>
    <s v="A.IN FORZA"/>
    <s v="1  -ASSUNZIONE                1"/>
    <s v=""/>
    <s v=" "/>
    <s v=""/>
    <s v=""/>
    <n v="3076"/>
    <s v="00"/>
    <n v="100"/>
    <s v="FULL TIME      100000000FF100-FULL TIME"/>
    <s v="17/04/2023"/>
    <s v=""/>
    <s v="  "/>
    <s v=""/>
    <s v="EN  "/>
    <s v="    "/>
    <s v=""/>
    <s v=""/>
    <s v="delia.dallagnola@ilsole24ore.com                  "/>
    <s v="F"/>
    <s v="F-FIRMA"/>
    <s v="1 "/>
    <s v="1=5 X 8"/>
    <s v="01/07/2025"/>
    <s v="TEMPO DETERMINATO"/>
    <s v="31/05/2027"/>
    <s v="0015003163                    "/>
    <s v="BAZZO ROBERTA"/>
    <n v="50"/>
  </r>
  <r>
    <x v="0"/>
    <n v="2214"/>
    <s v="IL SOLE 24 ORE S.P.A.                   "/>
    <s v="E           "/>
    <s v="AMMINISTR., FINANZA E CONTROLLO"/>
    <s v="E03 "/>
    <x v="12"/>
    <s v="21550001    "/>
    <s v="21550001 TESORERIA E RISK MANAGEMENT"/>
    <s v="CRIPPA                          "/>
    <s v="PAOLA             "/>
    <s v="CRPPLA80A67I625V"/>
    <x v="0"/>
    <s v="34"/>
    <x v="0"/>
    <s v="01/04/2021"/>
    <s v="MILANO                 "/>
    <s v="21"/>
    <x v="0"/>
    <s v="I"/>
    <x v="0"/>
    <s v="B2 "/>
    <s v="B2 LIV. IMPIEGATO             "/>
    <s v="11/07/2007"/>
    <s v="11/07/2007"/>
    <s v="27/01/1980"/>
    <s v="A"/>
    <s v="A.IN FORZA"/>
    <s v="1  -ASSUNZIONE                1"/>
    <s v=""/>
    <s v=" "/>
    <s v=""/>
    <s v=""/>
    <n v="1666"/>
    <s v="00"/>
    <n v="100"/>
    <s v="FULL TIME      100000000FF100-FULL TIME"/>
    <s v="11/07/2007"/>
    <s v=""/>
    <s v="  "/>
    <s v=""/>
    <s v="EV  "/>
    <s v="    "/>
    <s v=""/>
    <s v=""/>
    <s v="paola.crippa@ilsole24ore.com                      "/>
    <s v="T"/>
    <s v="T-TIMBRA"/>
    <s v="1 "/>
    <s v="1=5 X 8"/>
    <s v="01/07/2025"/>
    <s v="TEMPO DETERMINATO"/>
    <s v="31/05/2027"/>
    <s v="0015003076                    "/>
    <s v="DALL'AGNOLA DELIA"/>
    <n v="46"/>
  </r>
  <r>
    <x v="0"/>
    <n v="1567"/>
    <s v="IL SOLE 24 ORE S.P.A.                   "/>
    <s v="E           "/>
    <s v="AMMINISTR., FINANZA E CONTROLLO"/>
    <s v="E03 "/>
    <x v="12"/>
    <s v="21550001    "/>
    <s v="21550001 TESORERIA E RISK MANAGEMENT"/>
    <s v="GAGLIARDI                       "/>
    <s v="ELEONORA          "/>
    <s v="GGLLNR78A63D912M"/>
    <x v="0"/>
    <s v="34"/>
    <x v="0"/>
    <s v="01/04/2021"/>
    <s v="MILANO                 "/>
    <s v="21"/>
    <x v="0"/>
    <s v="I"/>
    <x v="0"/>
    <s v="B2 "/>
    <s v="B2 LIV. IMPIEGATO             "/>
    <s v="05/06/2000"/>
    <s v="05/06/2000"/>
    <s v="23/01/1978"/>
    <s v="A"/>
    <s v="A.IN FORZA"/>
    <s v="1  -ASSUNZIONE                1"/>
    <s v=""/>
    <s v=" "/>
    <s v=""/>
    <s v=""/>
    <n v="1237"/>
    <s v="00"/>
    <n v="100"/>
    <s v="FULL TIME      100000000FF100-FULL TIME"/>
    <s v="05/06/2000"/>
    <s v=""/>
    <s v="  "/>
    <s v=""/>
    <s v="EV  "/>
    <s v="    "/>
    <s v=""/>
    <s v="C.G.I.L.           C.G.I.L"/>
    <s v="eleonora.gagliardi@ilsole24ore.com                "/>
    <s v="T"/>
    <s v="T-TIMBRA"/>
    <s v="1 "/>
    <s v="1=5 X 8"/>
    <s v="01/07/2025"/>
    <s v="TEMPO DETERMINATO"/>
    <s v="31/05/2027"/>
    <s v="0015003076                    "/>
    <s v="DALL'AGNOLA DELIA"/>
    <n v="48"/>
  </r>
  <r>
    <x v="0"/>
    <n v="1274"/>
    <s v="IL SOLE 24 ORE S.P.A.                   "/>
    <s v="E           "/>
    <s v="AMMINISTR., FINANZA E CONTROLLO"/>
    <s v="E03 "/>
    <x v="12"/>
    <s v="21550001    "/>
    <s v="21550001 TESORERIA E RISK MANAGEMENT"/>
    <s v="SOLINAS                         "/>
    <s v="GIUSEPPE          "/>
    <s v="SLNGPP66L27D969G"/>
    <x v="1"/>
    <s v="34"/>
    <x v="0"/>
    <s v="01/04/2021"/>
    <s v="MILANO                 "/>
    <s v="21"/>
    <x v="0"/>
    <s v="F"/>
    <x v="2"/>
    <s v="Q  "/>
    <s v="Q LIV. QUADRI                 "/>
    <s v="15/07/1999"/>
    <s v="15/07/1999"/>
    <s v="27/07/1966"/>
    <s v="A"/>
    <s v="A.IN FORZA"/>
    <s v="1  -ASSUNZIONE                1"/>
    <s v=""/>
    <s v=" "/>
    <s v=""/>
    <s v=""/>
    <n v="1006"/>
    <s v="00"/>
    <n v="100"/>
    <s v="FULL TIME      100000000FF100-FULL TIME"/>
    <s v="15/07/1999"/>
    <s v=""/>
    <s v="  "/>
    <s v=""/>
    <s v="EV  "/>
    <s v="    "/>
    <s v=""/>
    <s v=""/>
    <s v="giuseppe.solinas@ilsole24ore.com                  "/>
    <s v="F"/>
    <s v="F-FIRMA"/>
    <s v="1 "/>
    <s v="1=5 X 8"/>
    <s v="01/07/2025"/>
    <s v="TEMPO DETERMINATO"/>
    <s v="31/05/2027"/>
    <s v="0015003076                    "/>
    <s v="DALL'AGNOLA DELIA"/>
    <n v="59"/>
  </r>
  <r>
    <x v="0"/>
    <n v="1690"/>
    <s v="IL SOLE 24 ORE S.P.A.                   "/>
    <s v="E           "/>
    <s v="AMMINISTR., FINANZA E CONTROLLO"/>
    <s v="E04 "/>
    <x v="13"/>
    <s v="214000      "/>
    <s v="214000   PIANIFICAZIONE E CONTROLLO DI G"/>
    <s v="BERLESE                         "/>
    <s v="SIMONA            "/>
    <s v="BRLSMN74M63L304T"/>
    <x v="0"/>
    <s v="34"/>
    <x v="0"/>
    <s v="01/04/2021"/>
    <s v="MILANO                 "/>
    <s v="21"/>
    <x v="0"/>
    <s v="F"/>
    <x v="2"/>
    <s v="Q  "/>
    <s v="Q LIV. QUADRI                 "/>
    <s v="11/12/2000"/>
    <s v="11/12/2000"/>
    <s v="23/08/1974"/>
    <s v="A"/>
    <s v="A.IN FORZA"/>
    <s v="1  -ASSUNZIONE                1"/>
    <s v=""/>
    <s v=" "/>
    <s v=""/>
    <s v=""/>
    <n v="1346"/>
    <s v="00"/>
    <n v="100"/>
    <s v="FULL TIME      100000000FF100-FULL TIME"/>
    <s v="11/12/2000"/>
    <s v=""/>
    <s v="  "/>
    <s v=""/>
    <s v="EV  "/>
    <s v="    "/>
    <s v=""/>
    <s v=""/>
    <s v="simona.berlese@ilsole24ore.com                    "/>
    <s v="F"/>
    <s v="F-FIRMA"/>
    <s v="1 "/>
    <s v="1=5 X 8"/>
    <s v="01/07/2025"/>
    <s v="TEMPO DETERMINATO"/>
    <s v="31/05/2027"/>
    <s v="0015001284                    "/>
    <s v="RODARI ANNA ADELE"/>
    <n v="51"/>
  </r>
  <r>
    <x v="0"/>
    <n v="2648"/>
    <s v="IL SOLE 24 ORE S.P.A.                   "/>
    <s v="E           "/>
    <s v="AMMINISTR., FINANZA E CONTROLLO"/>
    <s v="E04 "/>
    <x v="13"/>
    <s v="214000      "/>
    <s v="214000   PIANIFICAZIONE E CONTROLLO DI G"/>
    <s v="CARLETTI                        "/>
    <s v="CLAUDIA           "/>
    <s v="CRLCLD71T51D612S"/>
    <x v="0"/>
    <s v="34"/>
    <x v="0"/>
    <s v="01/04/2021"/>
    <s v="MILANO                 "/>
    <s v="21"/>
    <x v="0"/>
    <s v="F"/>
    <x v="2"/>
    <s v="Q  "/>
    <s v="Q LIV. QUADRI                 "/>
    <s v="01/02/2013"/>
    <s v="16/05/2012"/>
    <s v="11/12/1971"/>
    <s v="A"/>
    <s v="A.IN FORZA"/>
    <s v="2  -VARIAZIONE SOCIETARIA     2"/>
    <s v=""/>
    <s v=" "/>
    <s v=""/>
    <s v=""/>
    <n v="2648"/>
    <s v="00"/>
    <n v="100"/>
    <s v="FULL TIME      100000000FF100-FULL TIME"/>
    <s v="16/05/2012"/>
    <s v=""/>
    <s v="  "/>
    <s v=""/>
    <s v="EV  "/>
    <s v="    "/>
    <s v=""/>
    <s v=""/>
    <s v="claudia.carletti@ilsole24ore.com                  "/>
    <s v="F"/>
    <s v="F-FIRMA"/>
    <s v="1 "/>
    <s v="1=5 X 8"/>
    <s v="01/07/2025"/>
    <s v="TEMPO DETERMINATO"/>
    <s v="31/05/2027"/>
    <s v="0015001284                    "/>
    <s v="RODARI ANNA ADELE"/>
    <n v="54"/>
  </r>
  <r>
    <x v="0"/>
    <n v="3110"/>
    <s v="IL SOLE 24 ORE S.P.A.                   "/>
    <s v="E           "/>
    <s v="AMMINISTR., FINANZA E CONTROLLO"/>
    <s v="E04 "/>
    <x v="13"/>
    <s v="214000      "/>
    <s v="214000   PIANIFICAZIONE E CONTROLLO DI G"/>
    <s v="MANZOLI                         "/>
    <s v="FLAVIA LAURA      "/>
    <s v="MNZFVL93T65I690O"/>
    <x v="0"/>
    <s v="34"/>
    <x v="0"/>
    <s v="07/02/2024"/>
    <s v="MILANO                 "/>
    <s v="21"/>
    <x v="0"/>
    <s v="I"/>
    <x v="0"/>
    <s v="A  "/>
    <s v="A LIV. IMPIEGATO              "/>
    <s v="07/02/2024"/>
    <s v="07/02/2024"/>
    <s v="25/12/1993"/>
    <s v="A"/>
    <s v="A.IN FORZA"/>
    <s v="1  -ASSUNZIONE                1"/>
    <s v=""/>
    <s v=" "/>
    <s v=""/>
    <s v=""/>
    <n v="3110"/>
    <s v="00"/>
    <n v="100"/>
    <s v="FULL TIME      100000000FF100-FULL TIME"/>
    <s v="07/02/2024"/>
    <s v=""/>
    <s v="  "/>
    <s v=""/>
    <s v="EN  "/>
    <s v="    "/>
    <s v=""/>
    <s v=""/>
    <s v="flavia.manzoli@ilsole24ore.com                    "/>
    <s v="F"/>
    <s v="F-FIRMA"/>
    <s v="1 "/>
    <s v="1=5 X 8"/>
    <s v="01/07/2025"/>
    <s v="TEMPO DETERMINATO"/>
    <s v="31/05/2027"/>
    <s v="0015001284                    "/>
    <s v="RODARI ANNA ADELE"/>
    <n v="32"/>
  </r>
  <r>
    <x v="0"/>
    <n v="2262"/>
    <s v="IL SOLE 24 ORE S.P.A.                   "/>
    <s v="E           "/>
    <s v="AMMINISTR., FINANZA E CONTROLLO"/>
    <s v="E04 "/>
    <x v="13"/>
    <s v="214000      "/>
    <s v="214000   PIANIFICAZIONE E CONTROLLO DI G"/>
    <s v="MILISENNA                       "/>
    <s v="RAFFAELE          "/>
    <s v="MLSRFL79L04G273Q"/>
    <x v="1"/>
    <s v="34"/>
    <x v="0"/>
    <s v="01/04/2021"/>
    <s v="MILANO                 "/>
    <s v="21"/>
    <x v="0"/>
    <s v="I"/>
    <x v="0"/>
    <s v="AS "/>
    <s v="AS LIV. IMPIEGATO             "/>
    <s v="26/11/2007"/>
    <s v="26/11/2007"/>
    <s v="04/07/1979"/>
    <s v="A"/>
    <s v="A.IN FORZA"/>
    <s v="1  -ASSUNZIONE                1"/>
    <s v=""/>
    <s v=" "/>
    <s v=""/>
    <s v=""/>
    <n v="1695"/>
    <s v="00"/>
    <n v="100"/>
    <s v="FULL TIME      100000000FF100-FULL TIME"/>
    <s v="26/11/2007"/>
    <s v=""/>
    <s v="  "/>
    <s v=""/>
    <s v="EV  "/>
    <s v="    "/>
    <s v=""/>
    <s v=""/>
    <s v="raffaele.milisenna@ilsole24ore.com                "/>
    <s v="F"/>
    <s v="F-FIRMA"/>
    <s v="1 "/>
    <s v="1=5 X 8"/>
    <s v="01/07/2025"/>
    <s v="TEMPO DETERMINATO"/>
    <s v="31/05/2027"/>
    <s v="0015001284                    "/>
    <s v="RODARI ANNA ADELE"/>
    <n v="46"/>
  </r>
  <r>
    <x v="0"/>
    <n v="3054"/>
    <s v="IL SOLE 24 ORE S.P.A.                   "/>
    <s v="E           "/>
    <s v="AMMINISTR., FINANZA E CONTROLLO"/>
    <s v="E04 "/>
    <x v="13"/>
    <s v="214000      "/>
    <s v="214000   PIANIFICAZIONE E CONTROLLO DI G"/>
    <s v="MORTARA                         "/>
    <s v="SILVIA            "/>
    <s v="MRTSLV81L58F205H"/>
    <x v="0"/>
    <s v="34"/>
    <x v="0"/>
    <s v="01/09/2022"/>
    <s v="MILANO                 "/>
    <s v="21"/>
    <x v="0"/>
    <s v="F"/>
    <x v="2"/>
    <s v="Q  "/>
    <s v="Q LIV. QUADRI                 "/>
    <s v="01/09/2022"/>
    <s v="01/09/2022"/>
    <s v="18/07/1981"/>
    <s v="A"/>
    <s v="A.IN FORZA"/>
    <s v="1  -ASSUNZIONE                1"/>
    <s v=""/>
    <s v=" "/>
    <s v=""/>
    <s v=""/>
    <n v="3054"/>
    <s v="00"/>
    <n v="100"/>
    <s v="FULL TIME      100000000FF100-FULL TIME"/>
    <s v="01/09/2022"/>
    <s v=""/>
    <s v="  "/>
    <s v=""/>
    <s v="EN  "/>
    <s v="    "/>
    <s v=""/>
    <s v=""/>
    <s v="silvia.mortara@ilsole24ore.com                    "/>
    <s v="F"/>
    <s v="F-FIRMA"/>
    <s v="1 "/>
    <s v="1=5 X 8"/>
    <s v="01/07/2025"/>
    <s v="TEMPO DETERMINATO"/>
    <s v="31/05/2027"/>
    <s v="0015001284                    "/>
    <s v="RODARI ANNA ADELE"/>
    <n v="44"/>
  </r>
  <r>
    <x v="0"/>
    <n v="1284"/>
    <s v="IL SOLE 24 ORE S.P.A.                   "/>
    <s v="E           "/>
    <s v="AMMINISTR., FINANZA E CONTROLLO"/>
    <s v="E04 "/>
    <x v="13"/>
    <s v="214000      "/>
    <s v="214000   PIANIFICAZIONE E CONTROLLO DI G"/>
    <s v="RODARI                          "/>
    <s v="ANNA ADELE        "/>
    <s v="RDRNDL76A56F205N"/>
    <x v="0"/>
    <s v="34"/>
    <x v="0"/>
    <s v="01/04/2021"/>
    <s v="MILANO                 "/>
    <s v="21"/>
    <x v="0"/>
    <s v="F"/>
    <x v="2"/>
    <s v="Q  "/>
    <s v="Q LIV. QUADRI                 "/>
    <s v="01/09/1999"/>
    <s v="01/09/1999"/>
    <s v="16/01/1976"/>
    <s v="A"/>
    <s v="A.IN FORZA"/>
    <s v="1  -ASSUNZIONE                1"/>
    <s v=""/>
    <s v=" "/>
    <s v=""/>
    <s v=""/>
    <n v="1013"/>
    <s v="00"/>
    <n v="100"/>
    <s v="FULL TIME      100000000FF100-FULL TIME"/>
    <s v="01/09/1999"/>
    <s v=""/>
    <s v="  "/>
    <s v=""/>
    <s v="EV  "/>
    <s v="    "/>
    <s v=""/>
    <s v=""/>
    <s v="anna.rodari@ilsole24ore.com                       "/>
    <s v="F"/>
    <s v="F-FIRMA"/>
    <s v="1 "/>
    <s v="1=5 X 8"/>
    <s v="01/07/2025"/>
    <s v="TEMPO DETERMINATO"/>
    <s v="31/05/2027"/>
    <s v="0015003163                    "/>
    <s v="BAZZO ROBERTA"/>
    <n v="50"/>
  </r>
  <r>
    <x v="0"/>
    <n v="2290"/>
    <s v="IL SOLE 24 ORE S.P.A.                   "/>
    <s v="E           "/>
    <s v="AMMINISTR., FINANZA E CONTROLLO"/>
    <s v="E05 "/>
    <x v="14"/>
    <s v="21000002    "/>
    <s v="21000002 NORME, PROCESSI E SISTEMI AMMIN"/>
    <s v="CASALINI                        "/>
    <s v="FRANCESCO LUIGI   "/>
    <s v="CSLFNC72L13L174I"/>
    <x v="1"/>
    <s v="34"/>
    <x v="0"/>
    <s v="01/04/2021"/>
    <s v="MILANO                 "/>
    <s v="21"/>
    <x v="0"/>
    <s v="F"/>
    <x v="2"/>
    <s v="Q  "/>
    <s v="Q LIV. QUADRI                 "/>
    <s v="01/05/2008"/>
    <s v="01/05/2008"/>
    <s v="13/07/1972"/>
    <s v="A"/>
    <s v="A.IN FORZA"/>
    <s v="1  -ASSUNZIONE                1"/>
    <s v=""/>
    <s v=" "/>
    <s v=""/>
    <s v=""/>
    <n v="1715"/>
    <s v="00"/>
    <n v="100"/>
    <s v="FULL TIME      100000000FF100-FULL TIME"/>
    <s v="01/05/2008"/>
    <s v=""/>
    <s v="  "/>
    <s v=""/>
    <s v="EV  "/>
    <s v="    "/>
    <s v=""/>
    <s v=""/>
    <s v="francesco.casalini@ilsole24ore.com                "/>
    <s v="F"/>
    <s v="F-FIRMA"/>
    <s v="1 "/>
    <s v="1=5 X 8"/>
    <s v="01/07/2025"/>
    <s v="TEMPO DETERMINATO"/>
    <s v="31/05/2027"/>
    <s v="0015003163                    "/>
    <s v="BAZZO ROBERTA"/>
    <n v="53"/>
  </r>
  <r>
    <x v="0"/>
    <n v="1099"/>
    <s v="IL SOLE 24 ORE S.P.A.                   "/>
    <s v="E           "/>
    <s v="AMMINISTR., FINANZA E CONTROLLO"/>
    <s v="E06 "/>
    <x v="15"/>
    <s v="013000      "/>
    <s v="013000   INVESTOR RELATIONS"/>
    <s v="ROMANO                          "/>
    <s v="RAFFAELLA         "/>
    <s v="RMNRFL68M64C933O"/>
    <x v="0"/>
    <s v="34"/>
    <x v="0"/>
    <s v="01/04/2021"/>
    <s v="MILANO                 "/>
    <s v="21"/>
    <x v="0"/>
    <s v="I"/>
    <x v="0"/>
    <s v="AS "/>
    <s v="AS LIV. IMPIEGATO             "/>
    <s v="07/01/1998"/>
    <s v="07/01/1998"/>
    <s v="24/08/1968"/>
    <s v="A"/>
    <s v="A.IN FORZA"/>
    <s v="1  -ASSUNZIONE                1"/>
    <s v=""/>
    <s v=" "/>
    <s v=""/>
    <s v=""/>
    <n v="863"/>
    <s v="00"/>
    <n v="100"/>
    <s v="FULL TIME      100000000FF100-FULL TIME"/>
    <s v="07/01/1998"/>
    <s v=""/>
    <s v="  "/>
    <s v=""/>
    <s v="EV  "/>
    <s v="    "/>
    <s v=""/>
    <s v=""/>
    <s v="raffaella.romano@ilsole24ore.com                  "/>
    <s v="F"/>
    <s v="F-FIRMA"/>
    <s v="1 "/>
    <s v="1=5 X 8"/>
    <s v="01/07/2025"/>
    <s v="TEMPO DETERMINATO"/>
    <s v="31/05/2027"/>
    <s v="0015003163                    "/>
    <s v="BAZZO ROBERTA"/>
    <n v="57"/>
  </r>
  <r>
    <x v="0"/>
    <n v="3163"/>
    <s v="IL SOLE 24 ORE S.P.A.                   "/>
    <s v="E           "/>
    <s v="AMMINISTR., FINANZA E CONTROLLO"/>
    <s v="E07 "/>
    <x v="16"/>
    <s v="210000      "/>
    <s v="210000   AMMINISTRAZIONE, FINANZA E CONT"/>
    <s v="BAZZO                           "/>
    <s v="ROBERTA           "/>
    <s v="BZZRRT85E46F205L"/>
    <x v="0"/>
    <s v="34"/>
    <x v="0"/>
    <s v="01/11/2025"/>
    <s v="MILANO                 "/>
    <s v="90"/>
    <x v="1"/>
    <s v="D"/>
    <x v="1"/>
    <s v="D  "/>
    <s v="DIRIGENTE INDUSTRIA           "/>
    <s v="01/11/2025"/>
    <s v="01/11/2025"/>
    <s v="06/05/1985"/>
    <s v="A"/>
    <s v="A.IN FORZA"/>
    <s v="1  -ASSUNZIONE                1"/>
    <s v=""/>
    <s v=" "/>
    <s v=""/>
    <s v=""/>
    <n v="3163"/>
    <s v="00"/>
    <n v="100"/>
    <s v="FULL TIME      100000000FF100-FULL TIME"/>
    <s v="01/11/2025"/>
    <s v=""/>
    <s v="  "/>
    <s v=""/>
    <s v="DD  "/>
    <s v="    "/>
    <s v=""/>
    <s v=""/>
    <s v="roberta.bazzo@ilsole24ore.com                     "/>
    <s v="E"/>
    <s v="E-ESENTE"/>
    <s v="1 "/>
    <s v="1=5 X 8"/>
    <s v="03/11/2025"/>
    <s v="TEMPO DETERMINATO"/>
    <s v="31/05/2026"/>
    <s v="0015002960                    "/>
    <s v="SILVESTRI FEDERICO"/>
    <n v="40"/>
  </r>
  <r>
    <x v="0"/>
    <n v="3105"/>
    <s v="IL SOLE 24 ORE S.P.A.                   "/>
    <s v="E           "/>
    <s v="AMMINISTR., FINANZA E CONTROLLO"/>
    <s v="E07 "/>
    <x v="16"/>
    <s v="215000      "/>
    <s v="215000   AMMINISTRAZIONE E BILANCIO"/>
    <s v="CERAVOLO                        "/>
    <s v="VINCENZA          "/>
    <s v="CRVVCN70S65G034I"/>
    <x v="0"/>
    <s v="34"/>
    <x v="0"/>
    <s v="08/01/2024"/>
    <s v="MILANO                 "/>
    <s v="21"/>
    <x v="0"/>
    <s v="F"/>
    <x v="2"/>
    <s v="Q  "/>
    <s v="Q LIV. QUADRI                 "/>
    <s v="08/01/2024"/>
    <s v="08/01/2024"/>
    <s v="25/11/1970"/>
    <s v="A"/>
    <s v="A.IN FORZA"/>
    <s v="1  -ASSUNZIONE                1"/>
    <s v=""/>
    <s v=" "/>
    <s v=""/>
    <s v=""/>
    <n v="3105"/>
    <s v="00"/>
    <n v="100"/>
    <s v="FULL TIME      100000000FF100-FULL TIME"/>
    <s v="08/01/2024"/>
    <s v=""/>
    <s v="  "/>
    <s v=""/>
    <s v="EN  "/>
    <s v="    "/>
    <s v=""/>
    <s v=""/>
    <s v="enza.ceravolo@ilsole24ore.com                     "/>
    <s v="F"/>
    <s v="F-FIRMA"/>
    <s v="1 "/>
    <s v="1=5 X 8"/>
    <s v="01/07/2025"/>
    <s v="TEMPO DETERMINATO"/>
    <s v="31/05/2027"/>
    <s v="0015002329                    "/>
    <s v="DE LUCIA PAOLA"/>
    <n v="55"/>
  </r>
  <r>
    <x v="0"/>
    <n v="2329"/>
    <s v="IL SOLE 24 ORE S.P.A.                   "/>
    <s v="E           "/>
    <s v="AMMINISTR., FINANZA E CONTROLLO"/>
    <s v="E07 "/>
    <x v="16"/>
    <s v="215000      "/>
    <s v="215000   AMMINISTRAZIONE E BILANCIO"/>
    <s v="DE LUCIA                        "/>
    <s v="PAOLA             "/>
    <s v="DLCPLA72C64A390U"/>
    <x v="0"/>
    <s v="34"/>
    <x v="0"/>
    <s v="01/04/2021"/>
    <s v="MILANO                 "/>
    <s v="21"/>
    <x v="0"/>
    <s v="F"/>
    <x v="2"/>
    <s v="Q  "/>
    <s v="Q LIV. QUADRI                 "/>
    <s v="01/10/2008"/>
    <s v="01/10/2008"/>
    <s v="24/03/1972"/>
    <s v="A"/>
    <s v="A.IN FORZA"/>
    <s v="1  -ASSUNZIONE                1"/>
    <s v=""/>
    <s v=" "/>
    <s v=""/>
    <s v=""/>
    <n v="1734"/>
    <s v="00"/>
    <n v="100"/>
    <s v="FULL TIME      100000000FF100-FULL TIME"/>
    <s v="01/10/2008"/>
    <s v=""/>
    <s v="  "/>
    <s v=""/>
    <s v="EV  "/>
    <s v="    "/>
    <s v=""/>
    <s v="NON ISCRITTO       NON ISCRITTO"/>
    <s v="paola.delucia@ilsole24ore.com                     "/>
    <s v="F"/>
    <s v="F-FIRMA"/>
    <s v="1 "/>
    <s v="1=5 X 8"/>
    <s v="01/07/2025"/>
    <s v="TEMPO DETERMINATO"/>
    <s v="31/05/2027"/>
    <s v="0015003163                    "/>
    <s v="BAZZO ROBERTA"/>
    <n v="53"/>
  </r>
  <r>
    <x v="0"/>
    <n v="1678"/>
    <s v="IL SOLE 24 ORE S.P.A.                   "/>
    <s v="E           "/>
    <s v="AMMINISTR., FINANZA E CONTROLLO"/>
    <s v="E07 "/>
    <x v="16"/>
    <s v="21520011    "/>
    <s v="21520011 CONTABILITA' GENERALE"/>
    <s v="CUOCCI                          "/>
    <s v="GRAZIELLA         "/>
    <s v="CCCGZL63D65F205P"/>
    <x v="0"/>
    <s v="34"/>
    <x v="0"/>
    <s v="01/04/2021"/>
    <s v="MILANO                 "/>
    <s v="21"/>
    <x v="0"/>
    <s v="I"/>
    <x v="0"/>
    <s v="AS "/>
    <s v="AS LIV. IMPIEGATO             "/>
    <s v="10/11/2000"/>
    <s v="10/11/2000"/>
    <s v="25/04/1963"/>
    <s v="A"/>
    <s v="A.IN FORZA"/>
    <s v="1  -ASSUNZIONE                1"/>
    <s v=""/>
    <s v=" "/>
    <s v=""/>
    <s v=""/>
    <n v="1337"/>
    <s v="00"/>
    <n v="100"/>
    <s v="FULL TIME      100000000FF100-FULL TIME"/>
    <s v="10/11/2000"/>
    <s v=""/>
    <s v="05"/>
    <s v="INVALIDI CIVILI"/>
    <s v="EV  "/>
    <s v="    "/>
    <s v=""/>
    <s v=""/>
    <s v="graziella.cuocci@ilsole24ore.com                  "/>
    <s v="F"/>
    <s v="F-FIRMA"/>
    <s v="1 "/>
    <s v="1=5 X 8"/>
    <s v="01/07/2025"/>
    <s v="TEMPO DETERMINATO"/>
    <s v="31/05/2027"/>
    <s v="0015003052                    "/>
    <s v="RUSSO JURI VENERANDO"/>
    <n v="62"/>
  </r>
  <r>
    <x v="0"/>
    <n v="600"/>
    <s v="IL SOLE 24 ORE S.P.A.                   "/>
    <s v="E           "/>
    <s v="AMMINISTR., FINANZA E CONTROLLO"/>
    <s v="E07 "/>
    <x v="16"/>
    <s v="21520011    "/>
    <s v="21520011 CONTABILITA' GENERALE"/>
    <s v="GARAVAGLIA                      "/>
    <s v="LUCA              "/>
    <s v="GRVLCU69R16H264X"/>
    <x v="1"/>
    <s v="34"/>
    <x v="0"/>
    <s v="01/04/2021"/>
    <s v="MILANO                 "/>
    <s v="21"/>
    <x v="0"/>
    <s v="I"/>
    <x v="0"/>
    <s v="B1 "/>
    <s v="B1 LIV. IMPIEGATO             "/>
    <s v="16/01/1992"/>
    <s v="01/01/1996"/>
    <s v="16/10/1969"/>
    <s v="A"/>
    <s v="A.IN FORZA"/>
    <s v="1  -ASSUNZIONE                1"/>
    <s v=""/>
    <s v=" "/>
    <s v=""/>
    <s v=""/>
    <n v="429"/>
    <s v="00"/>
    <n v="100"/>
    <s v="FULL TIME      100000000FF100-FULL TIME"/>
    <s v="16/01/1992"/>
    <s v=""/>
    <s v="  "/>
    <s v=""/>
    <s v="EV  "/>
    <s v="    "/>
    <s v=""/>
    <s v=""/>
    <s v="luca.garavaglia@ilsole24ore.com                   "/>
    <s v="F"/>
    <s v="F-FIRMA"/>
    <s v="1 "/>
    <s v="1=5 X 8"/>
    <s v="01/07/2025"/>
    <s v="TEMPO DETERMINATO"/>
    <s v="31/05/2027"/>
    <s v="0015003052                    "/>
    <s v="RUSSO JURI VENERANDO"/>
    <n v="56"/>
  </r>
  <r>
    <x v="0"/>
    <n v="3052"/>
    <s v="IL SOLE 24 ORE S.P.A.                   "/>
    <s v="E           "/>
    <s v="AMMINISTR., FINANZA E CONTROLLO"/>
    <s v="E07 "/>
    <x v="16"/>
    <s v="21520011    "/>
    <s v="21520011 CONTABILITA' GENERALE"/>
    <s v="RUSSO                           "/>
    <s v="JURI VENERANDO    "/>
    <s v="RSSJVN85S27I625H"/>
    <x v="1"/>
    <s v="34"/>
    <x v="0"/>
    <s v="01/08/2022"/>
    <s v="MILANO                 "/>
    <s v="21"/>
    <x v="0"/>
    <s v="I"/>
    <x v="0"/>
    <s v="AS "/>
    <s v="AS LIV. IMPIEGATO             "/>
    <s v="01/08/2022"/>
    <s v="01/08/2022"/>
    <s v="27/11/1985"/>
    <s v="A"/>
    <s v="A.IN FORZA"/>
    <s v="1  -ASSUNZIONE                1"/>
    <s v=""/>
    <s v=" "/>
    <s v=""/>
    <s v=""/>
    <n v="3052"/>
    <s v="00"/>
    <n v="100"/>
    <s v="FULL TIME      100000000FF100-FULL TIME"/>
    <s v="01/08/2022"/>
    <s v=""/>
    <s v="05"/>
    <s v="INVALIDI CIVILI"/>
    <s v="EN  "/>
    <s v="    "/>
    <s v=""/>
    <s v=""/>
    <s v="jurivenerando.russo@ilsole24ore.com               "/>
    <s v="F"/>
    <s v="F-FIRMA"/>
    <s v="1 "/>
    <s v="1=5 X 8"/>
    <s v="01/07/2025"/>
    <s v="TEMPO DETERMINATO"/>
    <s v="31/05/2027"/>
    <s v="0015002329                    "/>
    <s v="DE LUCIA PAOLA"/>
    <n v="40"/>
  </r>
  <r>
    <x v="0"/>
    <n v="2997"/>
    <s v="IL SOLE 24 ORE S.P.A.                   "/>
    <s v="E           "/>
    <s v="AMMINISTR., FINANZA E CONTROLLO"/>
    <s v="E07 "/>
    <x v="16"/>
    <s v="21520012    "/>
    <s v="21520012 CONTABILITA' FORNITORI"/>
    <s v="CELLAMARE                       "/>
    <s v="CRISTINA          "/>
    <s v="CLLCST85D56F205X"/>
    <x v="0"/>
    <s v="34"/>
    <x v="0"/>
    <s v="01/04/2021"/>
    <s v="MILANO                 "/>
    <s v="21"/>
    <x v="0"/>
    <s v="I"/>
    <x v="0"/>
    <s v="A  "/>
    <s v="A LIV. IMPIEGATO              "/>
    <s v="01/06/2020"/>
    <s v="01/06/2020"/>
    <s v="16/04/1985"/>
    <s v="A"/>
    <s v="A.IN FORZA"/>
    <s v="1  -ASSUNZIONE                1"/>
    <s v=""/>
    <s v=" "/>
    <s v=""/>
    <s v=""/>
    <n v="2997"/>
    <s v="00"/>
    <n v="100"/>
    <s v="FULL TIME      100000000FF100-FULL TIME"/>
    <s v="01/06/2020"/>
    <s v=""/>
    <s v="  "/>
    <s v=""/>
    <s v="EN  "/>
    <s v="    "/>
    <s v=""/>
    <s v=""/>
    <s v="cristina.cellamare@ilsole24ore.com                "/>
    <s v="F"/>
    <s v="F-FIRMA"/>
    <s v="1 "/>
    <s v="1=5 X 8"/>
    <s v="01/07/2025"/>
    <s v="TEMPO DETERMINATO"/>
    <s v="31/05/2027"/>
    <s v="0015003018                    "/>
    <s v="BUSTO LORENZO"/>
    <n v="40"/>
  </r>
  <r>
    <x v="0"/>
    <n v="3149"/>
    <s v="IL SOLE 24 ORE S.P.A.                   "/>
    <s v="E           "/>
    <s v="AMMINISTR., FINANZA E CONTROLLO"/>
    <s v="E07 "/>
    <x v="16"/>
    <s v="21520012    "/>
    <s v="21520012 CONTABILITA' FORNITORI"/>
    <s v="CUMINI                          "/>
    <s v="CHIARA            "/>
    <s v="CMNCHR96B58I403S"/>
    <x v="0"/>
    <s v="34"/>
    <x v="0"/>
    <s v="03/02/2025"/>
    <s v="MILANO                 "/>
    <s v="21"/>
    <x v="0"/>
    <s v="I"/>
    <x v="0"/>
    <s v="B3 "/>
    <s v="B3 LIV. IMPIEGATO             "/>
    <s v="03/02/2025"/>
    <s v="03/02/2025"/>
    <s v="18/02/1996"/>
    <s v="A"/>
    <s v="A.IN FORZA"/>
    <s v="1  -ASSUNZIONE                1"/>
    <s v=""/>
    <s v=" "/>
    <s v=""/>
    <s v=""/>
    <n v="3149"/>
    <s v="00"/>
    <n v="100"/>
    <s v="FULL TIME      100000000FF100-FULL TIME"/>
    <s v="03/02/2025"/>
    <s v=""/>
    <s v="  "/>
    <s v=""/>
    <s v="EN  "/>
    <s v="    "/>
    <s v=""/>
    <s v=""/>
    <s v="chiara.cumini@ilsole24ore.com                     "/>
    <s v=" "/>
    <s v=""/>
    <s v="  "/>
    <s v=""/>
    <s v="01/07/2025"/>
    <s v="TEMPO DETERMINATO"/>
    <s v="31/05/2027"/>
    <s v="0015002329                    "/>
    <s v="DE LUCIA PAOLA"/>
    <n v="29"/>
  </r>
  <r>
    <x v="0"/>
    <n v="3120"/>
    <s v="IL SOLE 24 ORE S.P.A.                   "/>
    <s v="E           "/>
    <s v="AMMINISTR., FINANZA E CONTROLLO"/>
    <s v="E07 "/>
    <x v="16"/>
    <s v="21520012    "/>
    <s v="21520012 CONTABILITA' FORNITORI"/>
    <s v="RECUPERO                        "/>
    <s v="ANDREA            "/>
    <s v="RCPNDR03T31G388H"/>
    <x v="1"/>
    <s v="34"/>
    <x v="0"/>
    <s v="02/05/2024"/>
    <s v="MILANO                 "/>
    <s v="21"/>
    <x v="0"/>
    <s v="I"/>
    <x v="0"/>
    <s v="B3 "/>
    <s v="B3 LIV. IMPIEGATO             "/>
    <s v="02/05/2024"/>
    <s v="02/05/2024"/>
    <s v="31/12/2003"/>
    <s v="A"/>
    <s v="A.IN FORZA"/>
    <s v="1S-ASSUNZIONE STABILIZZAZIONE 1S"/>
    <s v=""/>
    <s v=" "/>
    <s v=""/>
    <s v=""/>
    <n v="3120"/>
    <s v="00"/>
    <n v="100"/>
    <s v="FULL TIME      100000000FF100-FULL TIME"/>
    <s v="02/05/2024"/>
    <s v=""/>
    <s v="  "/>
    <s v=""/>
    <s v="EN  "/>
    <s v="    "/>
    <s v=""/>
    <s v=""/>
    <s v="andrea.recupero@ilsole24ore.com                   "/>
    <s v="T"/>
    <s v="T-TIMBRA"/>
    <s v="1 "/>
    <s v="1=5 X 8"/>
    <s v="01/07/2025"/>
    <s v="TEMPO DETERMINATO"/>
    <s v="31/05/2027"/>
    <s v="0015003018                    "/>
    <s v="BUSTO LORENZO"/>
    <n v="22"/>
  </r>
  <r>
    <x v="0"/>
    <n v="3018"/>
    <s v="IL SOLE 24 ORE S.P.A.                   "/>
    <s v="E           "/>
    <s v="AMMINISTR., FINANZA E CONTROLLO"/>
    <s v="E07 "/>
    <x v="16"/>
    <s v="21520013    "/>
    <s v="21520013 CONTABILITA' CLIENTI"/>
    <s v="BUSTO                           "/>
    <s v="LORENZO           "/>
    <s v="BSTLNZ81E03C136O"/>
    <x v="1"/>
    <s v="34"/>
    <x v="0"/>
    <s v="12/07/2021"/>
    <s v="MILANO                 "/>
    <s v="21"/>
    <x v="0"/>
    <s v="I"/>
    <x v="0"/>
    <s v="AS "/>
    <s v="AS LIV. IMPIEGATO             "/>
    <s v="12/07/2021"/>
    <s v="12/07/2021"/>
    <s v="03/05/1981"/>
    <s v="A"/>
    <s v="A.IN FORZA"/>
    <s v="1  -ASSUNZIONE                1"/>
    <s v=""/>
    <s v=" "/>
    <s v=""/>
    <s v=""/>
    <n v="3018"/>
    <s v="00"/>
    <n v="100"/>
    <s v="FULL TIME      100000000FF100-FULL TIME"/>
    <s v="12/07/2021"/>
    <s v=""/>
    <s v="  "/>
    <s v=""/>
    <s v="EN  "/>
    <s v="    "/>
    <s v=""/>
    <s v=""/>
    <s v="lorenzo.busto@ilsole24ore.com                     "/>
    <s v="F"/>
    <s v="F-FIRMA"/>
    <s v="1 "/>
    <s v="1=5 X 8"/>
    <s v="01/07/2025"/>
    <s v="TEMPO DETERMINATO"/>
    <s v="31/05/2027"/>
    <s v="0015002329                    "/>
    <s v="DE LUCIA PAOLA"/>
    <n v="44"/>
  </r>
  <r>
    <x v="0"/>
    <n v="1111"/>
    <s v="IL SOLE 24 ORE S.P.A.                   "/>
    <s v="E           "/>
    <s v="AMMINISTR., FINANZA E CONTROLLO"/>
    <s v="E07 "/>
    <x v="16"/>
    <s v="21520013    "/>
    <s v="21520013 CONTABILITA' CLIENTI"/>
    <s v="FILICI                          "/>
    <s v="VALENTINA         "/>
    <s v="FLCVNT75L48F205F"/>
    <x v="0"/>
    <s v="34"/>
    <x v="0"/>
    <s v="01/04/2021"/>
    <s v="MILANO                 "/>
    <s v="21"/>
    <x v="0"/>
    <s v="I"/>
    <x v="0"/>
    <s v="A  "/>
    <s v="A LIV. IMPIEGATO              "/>
    <s v="18/02/1998"/>
    <s v="18/02/1998"/>
    <s v="08/07/1975"/>
    <s v="A"/>
    <s v="A.IN FORZA"/>
    <s v="1  -ASSUNZIONE                1"/>
    <s v=""/>
    <s v=" "/>
    <s v=""/>
    <s v=""/>
    <n v="876"/>
    <s v="00"/>
    <n v="100"/>
    <s v="FULL TIME      100000000FF100-FULL TIME"/>
    <s v="18/02/1998"/>
    <s v=""/>
    <s v="  "/>
    <s v=""/>
    <s v="EV  "/>
    <s v="    "/>
    <s v=""/>
    <s v="C.G.I.L.           C.G.I.L"/>
    <s v="valentina.filici@ilsole24ore.com                  "/>
    <s v="F"/>
    <s v="F-FIRMA"/>
    <s v="1 "/>
    <s v="1=5 X 8"/>
    <s v="01/07/2025"/>
    <s v="TEMPO DETERMINATO"/>
    <s v="31/05/2027"/>
    <s v="0015003018                    "/>
    <s v="BUSTO LORENZO"/>
    <n v="50"/>
  </r>
  <r>
    <x v="0"/>
    <n v="1667"/>
    <s v="IL SOLE 24 ORE S.P.A.                   "/>
    <s v="E           "/>
    <s v="AMMINISTR., FINANZA E CONTROLLO"/>
    <s v="E07 "/>
    <x v="16"/>
    <s v="21520013    "/>
    <s v="21520013 CONTABILITA' CLIENTI"/>
    <s v="FRUSTACI                        "/>
    <s v="ANTONELLA         "/>
    <s v="FRSNNL71B63I266V"/>
    <x v="0"/>
    <s v="34"/>
    <x v="0"/>
    <s v="01/04/2021"/>
    <s v="MILANO                 "/>
    <s v="21"/>
    <x v="0"/>
    <s v="I"/>
    <x v="0"/>
    <s v="B1 "/>
    <s v="B1 LIV. IMPIEGATO             "/>
    <s v="01/11/2000"/>
    <s v="01/11/2000"/>
    <s v="23/02/1971"/>
    <s v="A"/>
    <s v="A.IN FORZA"/>
    <s v="1  -ASSUNZIONE                1"/>
    <s v=""/>
    <s v=" "/>
    <s v=""/>
    <s v=""/>
    <n v="1328"/>
    <s v="00"/>
    <n v="100"/>
    <s v="FULL TIME      100000000FF100-FULL TIME"/>
    <s v="01/11/2000"/>
    <s v=""/>
    <s v="  "/>
    <s v=""/>
    <s v="EV  "/>
    <s v="    "/>
    <s v=""/>
    <s v="U.I.L.             U.I.L"/>
    <s v="antonella.frustaci@ilsole24ore.com                "/>
    <s v="F"/>
    <s v="F-FIRMA"/>
    <s v="1 "/>
    <s v="1=5 X 8"/>
    <s v="01/07/2025"/>
    <s v="TEMPO DETERMINATO"/>
    <s v="31/05/2027"/>
    <s v="0015003018                    "/>
    <s v="BUSTO LORENZO"/>
    <n v="54"/>
  </r>
  <r>
    <x v="0"/>
    <n v="1196"/>
    <s v="IL SOLE 24 ORE S.P.A.                   "/>
    <s v="E           "/>
    <s v="AMMINISTR., FINANZA E CONTROLLO"/>
    <s v="E07 "/>
    <x v="16"/>
    <s v="21520013    "/>
    <s v="21520013 CONTABILITA' CLIENTI"/>
    <s v="MASSA                           "/>
    <s v="VERONICA          "/>
    <s v="MSSVNC71S63F205B"/>
    <x v="0"/>
    <s v="34"/>
    <x v="0"/>
    <s v="01/04/2021"/>
    <s v="MILANO                 "/>
    <s v="21"/>
    <x v="0"/>
    <s v="I"/>
    <x v="0"/>
    <s v="B1 "/>
    <s v="B1 LIV. IMPIEGATO             "/>
    <s v="16/11/1998"/>
    <s v="16/11/1998"/>
    <s v="23/11/1971"/>
    <s v="A"/>
    <s v="A.IN FORZA"/>
    <s v="1  -ASSUNZIONE                1"/>
    <s v=""/>
    <s v=" "/>
    <s v=""/>
    <s v=""/>
    <n v="943"/>
    <s v="00"/>
    <n v="100"/>
    <s v="FULL TIME      100000000FF100-FULL TIME"/>
    <s v="16/11/1998"/>
    <s v=""/>
    <s v="  "/>
    <s v=""/>
    <s v="EV  "/>
    <s v="    "/>
    <s v=""/>
    <s v="U.I.L.             U.I.L"/>
    <s v="veronica.massa@ilsole24ore.com                    "/>
    <s v="F"/>
    <s v="F-FIRMA"/>
    <s v="1 "/>
    <s v="1=5 X 8"/>
    <s v="01/07/2025"/>
    <s v="TEMPO DETERMINATO"/>
    <s v="31/05/2027"/>
    <s v="0015003018                    "/>
    <s v="BUSTO LORENZO"/>
    <n v="54"/>
  </r>
  <r>
    <x v="0"/>
    <n v="1662"/>
    <s v="IL SOLE 24 ORE S.P.A.                   "/>
    <s v="E           "/>
    <s v="AMMINISTR., FINANZA E CONTROLLO"/>
    <s v="E07 "/>
    <x v="16"/>
    <s v="21520013    "/>
    <s v="21520013 CONTABILITA' CLIENTI"/>
    <s v="ROSADA                          "/>
    <s v="BARBARA           "/>
    <s v="RSDBBR75E63F205O"/>
    <x v="0"/>
    <s v="34"/>
    <x v="0"/>
    <s v="01/04/2021"/>
    <s v="MILANO                 "/>
    <s v="21"/>
    <x v="0"/>
    <s v="I"/>
    <x v="0"/>
    <s v="B1 "/>
    <s v="B1 LIV. IMPIEGATO             "/>
    <s v="01/11/2000"/>
    <s v="01/11/2000"/>
    <s v="23/05/1975"/>
    <s v="A"/>
    <s v="A.IN FORZA"/>
    <s v="1  -ASSUNZIONE                1"/>
    <s v=""/>
    <s v=" "/>
    <s v=""/>
    <s v=""/>
    <n v="1323"/>
    <s v="02"/>
    <n v="75"/>
    <s v="30 H O GRA/RADI075000000PP30.0/40- PT 75.00-P"/>
    <s v="01/04/2019"/>
    <s v="30/06/2026"/>
    <s v="  "/>
    <s v=""/>
    <s v="EV  "/>
    <s v="    "/>
    <s v=""/>
    <s v="U.I.L.             U.I.L"/>
    <s v="barbara.rosada@ilsole24ore.com                    "/>
    <s v="F"/>
    <s v="F-FIRMA"/>
    <s v="1 "/>
    <s v="1=5 X 8"/>
    <s v="01/07/2025"/>
    <s v="TEMPO DETERMINATO"/>
    <s v="31/05/2027"/>
    <s v="0015003018                    "/>
    <s v="BUSTO LORENZO"/>
    <n v="50"/>
  </r>
  <r>
    <x v="0"/>
    <n v="2848"/>
    <s v="IL SOLE 24 ORE S.P.A.                   "/>
    <s v="E           "/>
    <s v="AMMINISTR., FINANZA E CONTROLLO"/>
    <s v="E07 "/>
    <x v="16"/>
    <s v="C11000      "/>
    <s v="C11000   AMMINISTRAZIONE VENDITE"/>
    <s v="DELLAVEDOVA                     "/>
    <s v="SARA              "/>
    <s v="DLLSRA76L68D198B"/>
    <x v="0"/>
    <s v="34"/>
    <x v="0"/>
    <s v="01/04/2021"/>
    <s v="MILANO                 "/>
    <s v="21"/>
    <x v="0"/>
    <s v="F"/>
    <x v="2"/>
    <s v="Q  "/>
    <s v="Q LIV. QUADRI                 "/>
    <s v="01/10/2015"/>
    <s v="01/10/2015"/>
    <s v="28/07/1976"/>
    <s v="A"/>
    <s v="A.IN FORZA"/>
    <s v="1  -ASSUNZIONE                1"/>
    <s v=""/>
    <s v=" "/>
    <s v=""/>
    <s v=""/>
    <n v="2848"/>
    <s v="00"/>
    <n v="100"/>
    <s v="FULL TIME      100000000FF100-FULL TIME"/>
    <s v="01/10/2015"/>
    <s v=""/>
    <s v="  "/>
    <s v=""/>
    <s v="EV  "/>
    <s v="    "/>
    <s v=""/>
    <s v=""/>
    <s v="sara.dellavedova@ilsole24ore.com                  "/>
    <s v="F"/>
    <s v="F-FIRMA"/>
    <s v="1 "/>
    <s v="1=5 X 8"/>
    <s v="01/07/2025"/>
    <s v="TEMPO DETERMINATO"/>
    <s v="31/05/2027"/>
    <s v="0015003163                    "/>
    <s v="BAZZO ROBERTA"/>
    <n v="49"/>
  </r>
  <r>
    <x v="0"/>
    <n v="1480"/>
    <s v="IL SOLE 24 ORE S.P.A.                   "/>
    <s v="E           "/>
    <s v="AMMINISTR., FINANZA E CONTROLLO"/>
    <s v="E08 "/>
    <x v="17"/>
    <s v="21000001    "/>
    <s v="21000001 FISCALITA'"/>
    <s v="DI VITA                         "/>
    <s v="ALBERTO           "/>
    <s v="DVTLRT65C21C351R"/>
    <x v="1"/>
    <s v="34"/>
    <x v="0"/>
    <s v="01/04/2021"/>
    <s v="MILANO                 "/>
    <s v="90"/>
    <x v="1"/>
    <s v="D"/>
    <x v="1"/>
    <s v="D  "/>
    <s v="DIRIGENTE INDUSTRIA           "/>
    <s v="01/09/1997"/>
    <s v="01/09/1997"/>
    <s v="21/03/1965"/>
    <s v="A"/>
    <s v="A.IN FORZA"/>
    <s v="9  -ALTRE MOTIVAZIONI         9"/>
    <s v=""/>
    <s v=" "/>
    <s v=""/>
    <s v=""/>
    <n v="825"/>
    <s v="00"/>
    <n v="100"/>
    <s v="FULL TIME      100000000FF100-FULL TIME"/>
    <s v="01/02/2000"/>
    <s v=""/>
    <s v="05"/>
    <s v="INVALIDI CIVILI"/>
    <s v="DD  "/>
    <s v="    "/>
    <s v=""/>
    <s v=""/>
    <s v="alberto.divita@ilsole24ore.com                    "/>
    <s v="E"/>
    <s v="E-ESENTE"/>
    <s v="1 "/>
    <s v="1=5 X 8"/>
    <s v="01/07/2025"/>
    <s v="TEMPO DETERMINATO"/>
    <s v="31/05/2026"/>
    <s v="0015003163                    "/>
    <s v="BAZZO ROBERTA"/>
    <n v="60"/>
  </r>
  <r>
    <x v="0"/>
    <n v="2631"/>
    <s v="IL SOLE 24 ORE S.P.A.                   "/>
    <s v="E           "/>
    <s v="AMMINISTR., FINANZA E CONTROLLO"/>
    <s v="E08 "/>
    <x v="17"/>
    <s v="21000001    "/>
    <s v="21000001 FISCALITA'"/>
    <s v="RESPIGO                         "/>
    <s v="ANNA ROSA         "/>
    <s v="RSPNRS83S48F205S"/>
    <x v="0"/>
    <s v="34"/>
    <x v="0"/>
    <s v="01/04/2021"/>
    <s v="MILANO                 "/>
    <s v="21"/>
    <x v="0"/>
    <s v="I"/>
    <x v="0"/>
    <s v="AS "/>
    <s v="AS LIV. IMPIEGATO             "/>
    <s v="23/11/2012"/>
    <s v="23/11/2012"/>
    <s v="08/11/1983"/>
    <s v="A"/>
    <s v="A.IN FORZA"/>
    <s v="1  -ASSUNZIONE                1"/>
    <s v=""/>
    <s v=" "/>
    <s v=""/>
    <s v=""/>
    <n v="2631"/>
    <s v="02"/>
    <n v="75"/>
    <s v="30 H O GRA/RADI075000000PP30.0/40- PT 75.00-P"/>
    <s v="01/03/2022"/>
    <s v="31/08/2026"/>
    <s v="  "/>
    <s v=""/>
    <s v="EV  "/>
    <s v="    "/>
    <s v=""/>
    <s v=""/>
    <s v="annaRosa.respigo@ilsole24ore.com                  "/>
    <s v="F"/>
    <s v="F-FIRMA"/>
    <s v="1 "/>
    <s v="1=5 X 8"/>
    <s v="01/07/2025"/>
    <s v="TEMPO DETERMINATO"/>
    <s v="31/05/2027"/>
    <s v="0015001480                    "/>
    <s v="DI VITA ALBERTO"/>
    <n v="42"/>
  </r>
  <r>
    <x v="0"/>
    <n v="3026"/>
    <s v="IL SOLE 24 ORE S.P.A.                   "/>
    <s v="E           "/>
    <s v="AMMINISTR., FINANZA E CONTROLLO"/>
    <s v="E11 "/>
    <x v="18"/>
    <s v="C11000      "/>
    <s v="C11000   AMMINISTRAZIONE VENDITE"/>
    <s v="CERRATO                         "/>
    <s v="MICHELE           "/>
    <s v="CRRMHL78E24C129K"/>
    <x v="1"/>
    <s v="34"/>
    <x v="0"/>
    <s v="01/02/2022"/>
    <s v="MILANO                 "/>
    <s v="21"/>
    <x v="0"/>
    <s v="I"/>
    <x v="0"/>
    <s v="B1 "/>
    <s v="B1 LIV. IMPIEGATO             "/>
    <s v="01/02/2022"/>
    <s v="01/02/2022"/>
    <s v="24/05/1978"/>
    <s v="A"/>
    <s v="A.IN FORZA"/>
    <s v="1  -ASSUNZIONE                1"/>
    <s v=""/>
    <s v=" "/>
    <s v=""/>
    <s v=""/>
    <n v="3026"/>
    <s v="00"/>
    <n v="100"/>
    <s v="FULL TIME      100000000FF100-FULL TIME"/>
    <s v="01/02/2022"/>
    <s v=""/>
    <s v="  "/>
    <s v=""/>
    <s v="EN  "/>
    <s v="    "/>
    <s v=""/>
    <s v=""/>
    <s v="michele.cerrato@ilsole24ore.com                   "/>
    <s v="F"/>
    <s v="F-FIRMA"/>
    <s v="1 "/>
    <s v="1=5 X 8"/>
    <s v="01/07/2025"/>
    <s v="TEMPO DETERMINATO"/>
    <s v="31/05/2027"/>
    <s v="0015002848                    "/>
    <s v="DELLAVEDOVA SARA"/>
    <n v="47"/>
  </r>
  <r>
    <x v="0"/>
    <n v="3023"/>
    <s v="IL SOLE 24 ORE S.P.A.                   "/>
    <s v="E           "/>
    <s v="AMMINISTR., FINANZA E CONTROLLO"/>
    <s v="E11 "/>
    <x v="18"/>
    <s v="C11000      "/>
    <s v="C11000   AMMINISTRAZIONE VENDITE"/>
    <s v="GANDOLFI                        "/>
    <s v="VALERIA           "/>
    <s v="GNDVLR80S69F205C"/>
    <x v="0"/>
    <s v="34"/>
    <x v="0"/>
    <s v="10/01/2022"/>
    <s v="MILANO                 "/>
    <s v="21"/>
    <x v="0"/>
    <s v="I"/>
    <x v="0"/>
    <s v="B1 "/>
    <s v="B1 LIV. IMPIEGATO             "/>
    <s v="10/01/2022"/>
    <s v="10/01/2022"/>
    <s v="29/11/1980"/>
    <s v="A"/>
    <s v="A.IN FORZA"/>
    <s v="1  -ASSUNZIONE                1"/>
    <s v=""/>
    <s v=" "/>
    <s v=""/>
    <s v=""/>
    <n v="3023"/>
    <s v="00"/>
    <n v="100"/>
    <s v="FULL TIME      100000000FF100-FULL TIME"/>
    <s v="01/10/2025"/>
    <s v=""/>
    <s v="  "/>
    <s v=""/>
    <s v="EN  "/>
    <s v="    "/>
    <s v=""/>
    <s v=""/>
    <s v="valeria.gandolfi@ilsole24ore.com                  "/>
    <s v="F"/>
    <s v="F-FIRMA"/>
    <s v="1 "/>
    <s v="1=5 X 8"/>
    <s v="01/07/2025"/>
    <s v="TEMPO DETERMINATO"/>
    <s v="31/05/2027"/>
    <s v="0015002848                    "/>
    <s v="DELLAVEDOVA SARA"/>
    <n v="45"/>
  </r>
  <r>
    <x v="0"/>
    <n v="1342"/>
    <s v="IL SOLE 24 ORE S.P.A.                   "/>
    <s v="E           "/>
    <s v="AMMINISTR., FINANZA E CONTROLLO"/>
    <s v="E11 "/>
    <x v="18"/>
    <s v="C11000      "/>
    <s v="C11000   AMMINISTRAZIONE VENDITE"/>
    <s v="GENTILI                         "/>
    <s v="STEFANO           "/>
    <s v="GNTSFN70R23E958N"/>
    <x v="1"/>
    <s v="34"/>
    <x v="0"/>
    <s v="04/04/2022"/>
    <s v="MILANO                 "/>
    <s v="21"/>
    <x v="0"/>
    <s v="I"/>
    <x v="0"/>
    <s v="A  "/>
    <s v="A LIV. IMPIEGATO              "/>
    <s v="11/10/1991"/>
    <s v="11/10/1991"/>
    <s v="23/10/1970"/>
    <s v="A"/>
    <s v="A.IN FORZA"/>
    <s v="1  -ASSUNZIONE                1"/>
    <s v=""/>
    <s v=" "/>
    <s v=""/>
    <s v=""/>
    <n v="1063"/>
    <s v="00"/>
    <n v="100"/>
    <s v="FULL TIME      100000000FF100-FULL TIME"/>
    <s v="11/10/1991"/>
    <s v=""/>
    <s v="  "/>
    <s v=""/>
    <s v="EP  "/>
    <s v="    "/>
    <s v=""/>
    <s v=""/>
    <s v="stefano.gentili@ilsole24ore.com                   "/>
    <s v="F"/>
    <s v="F-FIRMA"/>
    <s v="1 "/>
    <s v="1=5 X 8"/>
    <s v="01/07/2025"/>
    <s v="TEMPO DETERMINATO"/>
    <s v="31/05/2027"/>
    <s v="0015002848                    "/>
    <s v="DELLAVEDOVA SARA"/>
    <n v="55"/>
  </r>
  <r>
    <x v="0"/>
    <n v="3157"/>
    <s v="IL SOLE 24 ORE S.P.A.                   "/>
    <s v="E           "/>
    <s v="AMMINISTR., FINANZA E CONTROLLO"/>
    <s v="E11 "/>
    <x v="18"/>
    <s v="C11000      "/>
    <s v="C11000   AMMINISTRAZIONE VENDITE"/>
    <s v="LAZZARINI                       "/>
    <s v="SIMONA            "/>
    <s v="LZZSMN84H52L219H"/>
    <x v="0"/>
    <s v="34"/>
    <x v="0"/>
    <s v="01/09/2025"/>
    <s v="MILANO                 "/>
    <s v="21"/>
    <x v="0"/>
    <s v="I"/>
    <x v="0"/>
    <s v="B2 "/>
    <s v="B2 LIV. IMPIEGATO             "/>
    <s v="01/09/2025"/>
    <s v="01/09/2025"/>
    <s v="12/06/1984"/>
    <s v="A"/>
    <s v="A.IN FORZA"/>
    <s v="1  -ASSUNZIONE                1"/>
    <s v=""/>
    <s v=" "/>
    <s v=""/>
    <s v=""/>
    <n v="3157"/>
    <s v="00"/>
    <n v="100"/>
    <s v="FULL TIME      100000000FF100-FULL TIME"/>
    <s v="01/09/2025"/>
    <s v=""/>
    <s v="  "/>
    <s v=""/>
    <s v="EN  "/>
    <s v="    "/>
    <s v=""/>
    <s v=""/>
    <s v="simona.lazzarini@ilsole24ore.com                  "/>
    <s v="F"/>
    <s v="F-FIRMA"/>
    <s v="1 "/>
    <s v="1=5 X 8"/>
    <s v="27/10/2025"/>
    <s v="TEMPO DETERMINATO"/>
    <s v="31/05/2027"/>
    <s v="0015002848                    "/>
    <s v="DELLAVEDOVA SARA"/>
    <n v="41"/>
  </r>
  <r>
    <x v="0"/>
    <n v="1387"/>
    <s v="IL SOLE 24 ORE S.P.A.                   "/>
    <s v="E           "/>
    <s v="AMMINISTR., FINANZA E CONTROLLO"/>
    <s v="E11 "/>
    <x v="18"/>
    <s v="C11000      "/>
    <s v="C11000   AMMINISTRAZIONE VENDITE"/>
    <s v="LUCANTONI                       "/>
    <s v="MARCO             "/>
    <s v="LCNMRC70P08H501D"/>
    <x v="1"/>
    <s v="34"/>
    <x v="0"/>
    <s v="04/04/2022"/>
    <s v="MILANO                 "/>
    <s v="21"/>
    <x v="0"/>
    <s v="I"/>
    <x v="0"/>
    <s v="B1 "/>
    <s v="B1 LIV. IMPIEGATO             "/>
    <s v="13/10/1994"/>
    <s v="13/10/1994"/>
    <s v="08/09/1970"/>
    <s v="A"/>
    <s v="A.IN FORZA"/>
    <s v="1  -ASSUNZIONE                1"/>
    <s v=""/>
    <s v=" "/>
    <s v=""/>
    <s v=""/>
    <n v="1103"/>
    <s v="00"/>
    <n v="100"/>
    <s v="FULL TIME      100000000FF100-FULL TIME"/>
    <s v="13/10/1994"/>
    <s v=""/>
    <s v="  "/>
    <s v=""/>
    <s v="EP  "/>
    <s v="    "/>
    <s v=""/>
    <s v="NON ISCRITTO       NON ISCRITTO"/>
    <s v="marco.lucantoni@ilsole24ore.com                   "/>
    <s v="F"/>
    <s v="F-FIRMA"/>
    <s v="1 "/>
    <s v="1=5 X 8"/>
    <s v="01/07/2025"/>
    <s v="TEMPO DETERMINATO"/>
    <s v="31/05/2027"/>
    <s v="0015002848                    "/>
    <s v="DELLAVEDOVA SARA"/>
    <n v="55"/>
  </r>
  <r>
    <x v="0"/>
    <n v="3035"/>
    <s v="IL SOLE 24 ORE S.P.A.                   "/>
    <s v="E           "/>
    <s v="AMMINISTR., FINANZA E CONTROLLO"/>
    <s v="E11 "/>
    <x v="18"/>
    <s v="C11000      "/>
    <s v="C11000   AMMINISTRAZIONE VENDITE"/>
    <s v="MARAZZI                         "/>
    <s v="BARBARA           "/>
    <s v="MRZBBR68L64F205L"/>
    <x v="0"/>
    <s v="34"/>
    <x v="0"/>
    <s v="01/04/2022"/>
    <s v="MILANO                 "/>
    <s v="21"/>
    <x v="0"/>
    <s v="I"/>
    <x v="0"/>
    <s v="B1 "/>
    <s v="B1 LIV. IMPIEGATO             "/>
    <s v="01/04/2022"/>
    <s v="01/04/2022"/>
    <s v="24/07/1968"/>
    <s v="A"/>
    <s v="A.IN FORZA"/>
    <s v="1S-ASSUNZIONE STABILIZZAZIONE 1S"/>
    <s v=""/>
    <s v=" "/>
    <s v=""/>
    <s v=""/>
    <n v="3035"/>
    <s v="00"/>
    <n v="100"/>
    <s v="FULL TIME      100000000FF100-FULL TIME"/>
    <s v="01/11/2025"/>
    <s v=""/>
    <s v="  "/>
    <s v=""/>
    <s v="EN  "/>
    <s v="    "/>
    <s v=""/>
    <s v=""/>
    <s v="barbara.marazzi@ilsole24ore.com                   "/>
    <s v="T"/>
    <s v="T-TIMBRA"/>
    <s v="1 "/>
    <s v="1=5 X 8"/>
    <s v="01/07/2025"/>
    <s v="TEMPO DETERMINATO"/>
    <s v="31/05/2027"/>
    <s v="0015002848                    "/>
    <s v="DELLAVEDOVA SARA"/>
    <n v="57"/>
  </r>
  <r>
    <x v="0"/>
    <n v="1390"/>
    <s v="IL SOLE 24 ORE S.P.A.                   "/>
    <s v="E           "/>
    <s v="AMMINISTR., FINANZA E CONTROLLO"/>
    <s v="E11 "/>
    <x v="18"/>
    <s v="C11000      "/>
    <s v="C11000   AMMINISTRAZIONE VENDITE"/>
    <s v="MERLINO                         "/>
    <s v="FRANCESCA         "/>
    <s v="MRLFNC65T56L047X"/>
    <x v="0"/>
    <s v="34"/>
    <x v="0"/>
    <s v="04/04/2022"/>
    <s v="MILANO                 "/>
    <s v="21"/>
    <x v="0"/>
    <s v="I"/>
    <x v="0"/>
    <s v="AS "/>
    <s v="AS LIV. IMPIEGATO             "/>
    <s v="22/05/1995"/>
    <s v="22/05/1995"/>
    <s v="16/12/1965"/>
    <s v="A"/>
    <s v="A.IN FORZA"/>
    <s v="1  -ASSUNZIONE                1"/>
    <s v=""/>
    <s v=" "/>
    <s v=""/>
    <s v=""/>
    <n v="1106"/>
    <s v="00"/>
    <n v="100"/>
    <s v="FULL TIME      100000000FF100-FULL TIME"/>
    <s v="22/05/1995"/>
    <s v=""/>
    <s v="  "/>
    <s v=""/>
    <s v="EP  "/>
    <s v="    "/>
    <s v=""/>
    <s v=""/>
    <s v="francesca.merlino@ilsole24ore.com                 "/>
    <s v="F"/>
    <s v="F-FIRMA"/>
    <s v="1 "/>
    <s v="1=5 X 8"/>
    <s v="01/07/2025"/>
    <s v="TEMPO DETERMINATO"/>
    <s v="31/05/2027"/>
    <s v="0015002848                    "/>
    <s v="DELLAVEDOVA SARA"/>
    <n v="60"/>
  </r>
  <r>
    <x v="0"/>
    <n v="3024"/>
    <s v="IL SOLE 24 ORE S.P.A.                   "/>
    <s v="E           "/>
    <s v="AMMINISTR., FINANZA E CONTROLLO"/>
    <s v="E11 "/>
    <x v="18"/>
    <s v="C11000      "/>
    <s v="C11000   AMMINISTRAZIONE VENDITE"/>
    <s v="MUNGO                           "/>
    <s v="SIMONA            "/>
    <s v="MNGSMN87R71D198L"/>
    <x v="0"/>
    <s v="34"/>
    <x v="0"/>
    <s v="10/01/2022"/>
    <s v="MILANO                 "/>
    <s v="21"/>
    <x v="0"/>
    <s v="I"/>
    <x v="0"/>
    <s v="B1 "/>
    <s v="B1 LIV. IMPIEGATO             "/>
    <s v="10/01/2022"/>
    <s v="10/01/2022"/>
    <s v="31/10/1987"/>
    <s v="A"/>
    <s v="A.IN FORZA"/>
    <s v="1  -ASSUNZIONE                1"/>
    <s v=""/>
    <s v=" "/>
    <s v=""/>
    <s v=""/>
    <n v="3024"/>
    <s v="00"/>
    <n v="100"/>
    <s v="FULL TIME      100000000FF100-FULL TIME"/>
    <s v="10/01/2022"/>
    <s v=""/>
    <s v="  "/>
    <s v=""/>
    <s v="EN  "/>
    <s v="    "/>
    <s v=""/>
    <s v="C.I.S.L.           C.I.S.L"/>
    <s v="simona.mungo@ilsole24ore.com                      "/>
    <s v="F"/>
    <s v="F-FIRMA"/>
    <s v="1 "/>
    <s v="1=5 X 8"/>
    <s v="01/07/2025"/>
    <s v="TEMPO DETERMINATO"/>
    <s v="31/05/2027"/>
    <s v="0015002848                    "/>
    <s v="DELLAVEDOVA SARA"/>
    <n v="38"/>
  </r>
  <r>
    <x v="0"/>
    <n v="617"/>
    <s v="IL SOLE 24 ORE S.P.A.                   "/>
    <s v="E           "/>
    <s v="AMMINISTR., FINANZA E CONTROLLO"/>
    <s v="E11 "/>
    <x v="18"/>
    <s v="C11000      "/>
    <s v="C11000   AMMINISTRAZIONE VENDITE"/>
    <s v="ONORATI                         "/>
    <s v="PAOLA             "/>
    <s v="NRTPLA64B44H501S"/>
    <x v="0"/>
    <s v="31"/>
    <x v="1"/>
    <s v="01/06/2009"/>
    <s v="ROMA                   "/>
    <s v="21"/>
    <x v="0"/>
    <s v="I"/>
    <x v="0"/>
    <s v="B1 "/>
    <s v="B1 LIV. IMPIEGATO             "/>
    <s v="03/04/1992"/>
    <s v="01/01/1996"/>
    <s v="04/02/1964"/>
    <s v="A"/>
    <s v="A.IN FORZA"/>
    <s v="1  -ASSUNZIONE                1"/>
    <s v=""/>
    <s v=" "/>
    <s v=""/>
    <s v=""/>
    <n v="443"/>
    <s v="00"/>
    <n v="100"/>
    <s v="FULL TIME      100000000FF100-FULL TIME"/>
    <s v="03/04/1992"/>
    <s v=""/>
    <s v="05"/>
    <s v="INVALIDI CIVILI"/>
    <s v="EV  "/>
    <s v="    "/>
    <s v=""/>
    <s v="C.G.I.L.           C.G.I.L"/>
    <s v="Paola.Onorati@ilsole24ore.com                     "/>
    <s v="F"/>
    <s v="F-FIRMA"/>
    <s v="1 "/>
    <s v="1=5 X 8"/>
    <s v="01/09/2022"/>
    <s v="TEMPO DETERMINATO"/>
    <s v="31/12/2026"/>
    <s v="0015002848                    "/>
    <s v="DELLAVEDOVA SARA"/>
    <n v="61"/>
  </r>
  <r>
    <x v="0"/>
    <n v="1353"/>
    <s v="IL SOLE 24 ORE S.P.A.                   "/>
    <s v="E           "/>
    <s v="AMMINISTR., FINANZA E CONTROLLO"/>
    <s v="E11 "/>
    <x v="18"/>
    <s v="C11000      "/>
    <s v="C11000   AMMINISTRAZIONE VENDITE"/>
    <s v="PROIETTI ALIMONTI               "/>
    <s v="MARZIA            "/>
    <s v="PRTMRZ66S70A446S"/>
    <x v="0"/>
    <s v="34"/>
    <x v="0"/>
    <s v="04/04/2022"/>
    <s v="MILANO                 "/>
    <s v="21"/>
    <x v="0"/>
    <s v="I"/>
    <x v="0"/>
    <s v="AS "/>
    <s v="AS LIV. IMPIEGATO             "/>
    <s v="18/11/1992"/>
    <s v="18/11/1992"/>
    <s v="30/11/1966"/>
    <s v="A"/>
    <s v="A.IN FORZA"/>
    <s v="1  -ASSUNZIONE                1"/>
    <s v=""/>
    <s v=" "/>
    <s v=""/>
    <s v=""/>
    <n v="1073"/>
    <s v="00"/>
    <n v="100"/>
    <s v="FULL TIME      100000000FF100-FULL TIME"/>
    <s v="01/09/2025"/>
    <s v=""/>
    <s v="  "/>
    <s v=""/>
    <s v="EP  "/>
    <s v="    "/>
    <s v=""/>
    <s v="C.I.S.L.           C.I.S.L"/>
    <s v="marzia.proietti@ilsole24ore.com                   "/>
    <s v="F"/>
    <s v="F-FIRMA"/>
    <s v="1 "/>
    <s v="1=5 X 8"/>
    <s v="01/06/2023"/>
    <s v="TEMPO DETERMINATO"/>
    <s v="31/05/2027"/>
    <s v="0015002848                    "/>
    <s v="DELLAVEDOVA SARA"/>
    <n v="59"/>
  </r>
  <r>
    <x v="0"/>
    <n v="1307"/>
    <s v="IL SOLE 24 ORE S.P.A.                   "/>
    <s v="E           "/>
    <s v="AMMINISTR., FINANZA E CONTROLLO"/>
    <s v="E11 "/>
    <x v="18"/>
    <s v="C11000      "/>
    <s v="C11000   AMMINISTRAZIONE VENDITE"/>
    <s v="SUCCI                           "/>
    <s v="FRANCESCO         "/>
    <s v="SCCFNC67R27C543R"/>
    <x v="1"/>
    <s v="34"/>
    <x v="0"/>
    <s v="04/04/2022"/>
    <s v="MILANO                 "/>
    <s v="21"/>
    <x v="0"/>
    <s v="I"/>
    <x v="0"/>
    <s v="B1 "/>
    <s v="B1 LIV. IMPIEGATO             "/>
    <s v="01/10/1999"/>
    <s v="18/01/1994"/>
    <s v="27/10/1967"/>
    <s v="A"/>
    <s v="A.IN FORZA"/>
    <s v="1  -ASSUNZIONE                1"/>
    <s v=""/>
    <s v=" "/>
    <s v=""/>
    <s v=""/>
    <n v="1034"/>
    <s v="00"/>
    <n v="100"/>
    <s v="FULL TIME      100000000FF100-FULL TIME"/>
    <s v="01/10/1999"/>
    <s v=""/>
    <s v="  "/>
    <s v=""/>
    <s v="EP  "/>
    <s v="    "/>
    <s v=""/>
    <s v="NON ISCRITTO       NON ISCRITTO"/>
    <s v="francesco.succi@ilsole24ore.com                   "/>
    <s v="T"/>
    <s v="T-TIMBRA"/>
    <s v="1 "/>
    <s v="1=5 X 8"/>
    <s v="01/07/2025"/>
    <s v="TEMPO DETERMINATO"/>
    <s v="31/05/2027"/>
    <s v="0015002848                    "/>
    <s v="DELLAVEDOVA SARA"/>
    <n v="58"/>
  </r>
  <r>
    <x v="0"/>
    <n v="741"/>
    <s v="IL SOLE 24 ORE S.P.A.                   "/>
    <s v="E           "/>
    <s v="AMMINISTR., FINANZA E CONTROLLO"/>
    <s v="E11 "/>
    <x v="18"/>
    <s v="C11000      "/>
    <s v="C11000   AMMINISTRAZIONE VENDITE"/>
    <s v="TRANQUILLI                      "/>
    <s v="VINCENZO          "/>
    <s v="TRNVCN67S30G492B"/>
    <x v="1"/>
    <s v="34"/>
    <x v="0"/>
    <s v="04/04/2022"/>
    <s v="MILANO                 "/>
    <s v="21"/>
    <x v="0"/>
    <s v="F"/>
    <x v="2"/>
    <s v="Q  "/>
    <s v="Q LIV. QUADRI                 "/>
    <s v="22/02/1994"/>
    <s v="22/02/1994"/>
    <s v="30/11/1967"/>
    <s v="A"/>
    <s v="A.IN FORZA"/>
    <s v="1  -ASSUNZIONE                1"/>
    <s v=""/>
    <s v=" "/>
    <s v=""/>
    <s v=""/>
    <n v="552"/>
    <s v="00"/>
    <n v="100"/>
    <s v="FULL TIME      100000000FF100-FULL TIME"/>
    <s v="22/02/1994"/>
    <s v=""/>
    <s v="  "/>
    <s v=""/>
    <s v="EP  "/>
    <s v="    "/>
    <s v=""/>
    <s v="NON ISCRITTO       NON ISCRITTO"/>
    <s v="vincenzo.tranquilli@ilsole24ore.com               "/>
    <s v="F"/>
    <s v="F-FIRMA"/>
    <s v="1 "/>
    <s v="1=5 X 8"/>
    <s v="18/11/2025"/>
    <s v="TEMPO DETERMINATO"/>
    <s v="31/05/2027"/>
    <s v="0015002848                    "/>
    <s v="DELLAVEDOVA SARA"/>
    <n v="58"/>
  </r>
  <r>
    <x v="0"/>
    <n v="3123"/>
    <s v="IL SOLE 24 ORE S.P.A.                   "/>
    <s v="F           "/>
    <s v="DIR CENTRALE PERSONALE, ORGANIZZA E SOST"/>
    <s v="F02 "/>
    <x v="19"/>
    <s v="310000      "/>
    <s v="310000   DIR. CENTR. PERS, ORG e SOST."/>
    <s v="BOROMEI                         "/>
    <s v="PAOLA             "/>
    <s v="BRMPLA76D51F205I"/>
    <x v="0"/>
    <s v="34"/>
    <x v="0"/>
    <s v="13/05/2024"/>
    <s v="MILANO                 "/>
    <s v="90"/>
    <x v="1"/>
    <s v="D"/>
    <x v="1"/>
    <s v="D  "/>
    <s v="DIRIGENTE INDUSTRIA           "/>
    <s v="13/05/2024"/>
    <s v="13/05/2024"/>
    <s v="11/04/1976"/>
    <s v="A"/>
    <s v="A.IN FORZA"/>
    <s v="1  -ASSUNZIONE                1"/>
    <s v=""/>
    <s v=" "/>
    <s v=""/>
    <s v=""/>
    <n v="3123"/>
    <s v="00"/>
    <n v="100"/>
    <s v="FULL TIME      100000000FF100-FULL TIME"/>
    <s v="13/05/2024"/>
    <s v=""/>
    <s v="  "/>
    <s v=""/>
    <s v="DD  "/>
    <s v="    "/>
    <s v=""/>
    <s v=""/>
    <s v="paola.boromei@ilsole24ore.com                     "/>
    <s v="E"/>
    <s v="E-ESENTE"/>
    <s v="1 "/>
    <s v="1=5 X 8"/>
    <s v="01/07/2025"/>
    <s v="TEMPO DETERMINATO"/>
    <s v="31/05/2026"/>
    <s v="0015002960                    "/>
    <s v="SILVESTRI FEDERICO"/>
    <n v="49"/>
  </r>
  <r>
    <x v="0"/>
    <n v="2200"/>
    <s v="IL SOLE 24 ORE S.P.A.                   "/>
    <s v="F           "/>
    <s v="DIR CENTRALE PERSONALE, ORGANIZZA E SOST"/>
    <s v="F02 "/>
    <x v="19"/>
    <s v="31000010    "/>
    <s v="31000010 SEL. FORMAZIONE ED EMPLOYER BRA"/>
    <s v="FORTE                           "/>
    <s v="ANNA              "/>
    <s v="FRTNNA82S65F205W"/>
    <x v="0"/>
    <s v="34"/>
    <x v="0"/>
    <s v="01/04/2021"/>
    <s v="MILANO                 "/>
    <s v="21"/>
    <x v="0"/>
    <s v="F"/>
    <x v="2"/>
    <s v="Q  "/>
    <s v="Q LIV. QUADRI                 "/>
    <s v="20/06/2007"/>
    <s v="20/06/2007"/>
    <s v="25/11/1982"/>
    <s v="A"/>
    <s v="A.IN FORZA"/>
    <s v="1  -ASSUNZIONE                1"/>
    <s v=""/>
    <s v=" "/>
    <s v=""/>
    <s v=""/>
    <n v="1652"/>
    <s v="00"/>
    <n v="100"/>
    <s v="FULL TIME      100000000FF100-FULL TIME"/>
    <s v="20/06/2007"/>
    <s v=""/>
    <s v="  "/>
    <s v=""/>
    <s v="EV  "/>
    <s v="    "/>
    <s v=""/>
    <s v=""/>
    <s v="anna.forte@ilsole24ore.com                        "/>
    <s v="F"/>
    <s v="F-FIRMA"/>
    <s v="1 "/>
    <s v="1=5 X 8"/>
    <s v="01/07/2025"/>
    <s v="TEMPO DETERMINATO"/>
    <s v="31/05/2027"/>
    <s v="0015003123                    "/>
    <s v="BOROMEI PAOLA"/>
    <n v="43"/>
  </r>
  <r>
    <x v="0"/>
    <n v="3153"/>
    <s v="IL SOLE 24 ORE S.P.A.                   "/>
    <s v="F           "/>
    <s v="DIR CENTRALE PERSONALE, ORGANIZZA E SOST"/>
    <s v="F02 "/>
    <x v="19"/>
    <s v="31000020    "/>
    <s v="31000020 ORGANIZZAZIONE"/>
    <s v="BOLZONI                         "/>
    <s v="ROBERTO           "/>
    <s v="BLZRRT85M25D969E"/>
    <x v="1"/>
    <s v="34"/>
    <x v="0"/>
    <s v="01/05/2025"/>
    <s v="MILANO                 "/>
    <s v="21"/>
    <x v="0"/>
    <s v="F"/>
    <x v="2"/>
    <s v="Q  "/>
    <s v="Q LIV. QUADRI                 "/>
    <s v="01/05/2025"/>
    <s v="01/05/2025"/>
    <s v="25/08/1985"/>
    <s v="A"/>
    <s v="A.IN FORZA"/>
    <s v="1  -ASSUNZIONE                1"/>
    <s v=""/>
    <s v=" "/>
    <s v=""/>
    <s v=""/>
    <n v="3153"/>
    <s v="00"/>
    <n v="100"/>
    <s v="FULL TIME      100000000FF100-FULL TIME"/>
    <s v="01/05/2025"/>
    <s v=""/>
    <s v="  "/>
    <s v=""/>
    <s v="EN  "/>
    <s v="    "/>
    <s v=""/>
    <s v=""/>
    <s v="roberto.bolzoni@ilsole24ore.com                   "/>
    <s v="F"/>
    <s v="F-FIRMA"/>
    <s v="1 "/>
    <s v="1=5 X 8"/>
    <s v="01/10/2025"/>
    <s v="TEMPO DETERMINATO"/>
    <s v="31/05/2027"/>
    <s v="0015003123                    "/>
    <s v="BOROMEI PAOLA"/>
    <n v="40"/>
  </r>
  <r>
    <x v="0"/>
    <n v="3124"/>
    <s v="IL SOLE 24 ORE S.P.A.                   "/>
    <s v="F           "/>
    <s v="DIR CENTRALE PERSONALE, ORGANIZZA E SOST"/>
    <s v="F02 "/>
    <x v="19"/>
    <s v="31000030    "/>
    <s v="31000030 HR ANALYTICS &amp; BUDGETING"/>
    <s v="COSTANZO                        "/>
    <s v="FABRIZIO          "/>
    <s v="CSTFRZ91H16C351O"/>
    <x v="1"/>
    <s v="34"/>
    <x v="0"/>
    <s v="15/05/2024"/>
    <s v="MILANO                 "/>
    <s v="21"/>
    <x v="0"/>
    <s v="F"/>
    <x v="2"/>
    <s v="Q  "/>
    <s v="Q LIV. QUADRI                 "/>
    <s v="15/05/2024"/>
    <s v="15/05/2024"/>
    <s v="16/06/1991"/>
    <s v="A"/>
    <s v="A.IN FORZA"/>
    <s v="1  -ASSUNZIONE                1"/>
    <s v=""/>
    <s v=" "/>
    <s v=""/>
    <s v=""/>
    <n v="3124"/>
    <s v="00"/>
    <n v="100"/>
    <s v="FULL TIME      100000000FF100-FULL TIME"/>
    <s v="15/05/2024"/>
    <s v=""/>
    <s v="  "/>
    <s v=""/>
    <s v="EN  "/>
    <s v="    "/>
    <s v=""/>
    <s v=""/>
    <s v="fabrizio.costanzo@ilsole24ore.com                 "/>
    <s v="F"/>
    <s v="F-FIRMA"/>
    <s v="1 "/>
    <s v="1=5 X 8"/>
    <s v="01/07/2025"/>
    <s v="TEMPO DETERMINATO"/>
    <s v="31/05/2027"/>
    <s v="0015003123                    "/>
    <s v="BOROMEI PAOLA"/>
    <n v="34"/>
  </r>
  <r>
    <x v="0"/>
    <n v="3146"/>
    <s v="IL SOLE 24 ORE S.P.A.                   "/>
    <s v="F           "/>
    <s v="DIR CENTRALE PERSONALE, ORGANIZZA E SOST"/>
    <s v="F02 "/>
    <x v="19"/>
    <s v="31000050    "/>
    <s v="31000050 ESG E INIZIATIVE DI SVILUPPO"/>
    <s v="FERRETTI                        "/>
    <s v="ALESSIA FRANCESCA "/>
    <s v="FRRLSF87R50I690J"/>
    <x v="0"/>
    <s v="34"/>
    <x v="0"/>
    <s v="16/01/2025"/>
    <s v="MILANO                 "/>
    <s v="21"/>
    <x v="0"/>
    <s v="I"/>
    <x v="0"/>
    <s v="AS "/>
    <s v="AS LIV. IMPIEGATO             "/>
    <s v="16/01/2025"/>
    <s v="16/01/2025"/>
    <s v="10/10/1987"/>
    <s v="A"/>
    <s v="A.IN FORZA"/>
    <s v="1  -ASSUNZIONE                1"/>
    <s v=""/>
    <s v=" "/>
    <s v=""/>
    <s v=""/>
    <n v="3146"/>
    <s v="00"/>
    <n v="100"/>
    <s v="FULL TIME      100000000FF100-FULL TIME"/>
    <s v="16/01/2025"/>
    <s v=""/>
    <s v="  "/>
    <s v=""/>
    <s v="EN  "/>
    <s v="    "/>
    <s v=""/>
    <s v=""/>
    <s v="alessia.ferretti@ilsole24ore.com                  "/>
    <s v="F"/>
    <s v="F-FIRMA"/>
    <s v="1 "/>
    <s v="1=5 X 8"/>
    <s v="01/07/2025"/>
    <s v="TEMPO DETERMINATO"/>
    <s v="31/05/2027"/>
    <s v="0015003123                    "/>
    <s v="BOROMEI PAOLA"/>
    <n v="38"/>
  </r>
  <r>
    <x v="0"/>
    <n v="986"/>
    <s v="IL SOLE 24 ORE S.P.A.                   "/>
    <s v="F           "/>
    <s v="DIR CENTRALE PERSONALE, ORGANIZZA E SOST"/>
    <s v="F02 "/>
    <x v="19"/>
    <s v="31000070    "/>
    <s v="31000070 CERTIF. ISO PARITA' DI GEN. E A"/>
    <s v="DELLE DONNE                     "/>
    <s v="DANILO            "/>
    <s v="DLLDNL64B28B301A"/>
    <x v="1"/>
    <s v="34"/>
    <x v="0"/>
    <s v="01/04/2021"/>
    <s v="MILANO                 "/>
    <s v="21"/>
    <x v="0"/>
    <s v="F"/>
    <x v="2"/>
    <s v="Q  "/>
    <s v="Q LIV. QUADRI                 "/>
    <s v="08/01/1997"/>
    <s v="08/01/1997"/>
    <s v="28/02/1964"/>
    <s v="A"/>
    <s v="A.IN FORZA"/>
    <s v="1  -ASSUNZIONE                1"/>
    <s v=""/>
    <s v=" "/>
    <s v=""/>
    <s v=""/>
    <n v="762"/>
    <s v="00"/>
    <n v="100"/>
    <s v="FULL TIME      100000000FF100-FULL TIME"/>
    <s v="08/01/1997"/>
    <s v=""/>
    <s v="  "/>
    <s v=""/>
    <s v="EP  "/>
    <s v="    "/>
    <s v=""/>
    <s v=""/>
    <s v="danilo.delledonne@ilsole24ore.com                 "/>
    <s v="F"/>
    <s v="F-FIRMA"/>
    <s v="1 "/>
    <s v="1=5 X 8"/>
    <s v="01/07/2025"/>
    <s v="TEMPO DETERMINATO"/>
    <s v="31/05/2027"/>
    <s v="0015001041                    "/>
    <s v="SORGI GIANPAOLO"/>
    <n v="61"/>
  </r>
  <r>
    <x v="0"/>
    <n v="3022"/>
    <s v="IL SOLE 24 ORE S.P.A.                   "/>
    <s v="F           "/>
    <s v="DIR CENTRALE PERSONALE, ORGANIZZA E SOST"/>
    <s v="F02 "/>
    <x v="19"/>
    <s v="311000      "/>
    <s v="311000   DIRETTORE DEL PERSONALE"/>
    <s v="BOTTARI                         "/>
    <s v="VITO              "/>
    <s v="BTTVTI63P07L042F"/>
    <x v="1"/>
    <s v="34"/>
    <x v="0"/>
    <s v="01/11/2021"/>
    <s v="MILANO                 "/>
    <s v="90"/>
    <x v="1"/>
    <s v="D"/>
    <x v="1"/>
    <s v="D  "/>
    <s v="DIRIGENTE INDUSTRIA           "/>
    <s v="01/11/2021"/>
    <s v="01/11/2021"/>
    <s v="07/09/1963"/>
    <s v="A"/>
    <s v="A.IN FORZA"/>
    <s v="1  -ASSUNZIONE                1"/>
    <s v=""/>
    <s v=" "/>
    <s v=""/>
    <s v=""/>
    <n v="3022"/>
    <s v="00"/>
    <n v="100"/>
    <s v="FULL TIME      100000000FF100-FULL TIME"/>
    <s v="01/11/2021"/>
    <s v=""/>
    <s v="  "/>
    <s v=""/>
    <s v="DD  "/>
    <s v="    "/>
    <s v=""/>
    <s v=""/>
    <s v="vito.bottari@ilsole24ore.com                      "/>
    <s v="E"/>
    <s v="E-ESENTE"/>
    <s v="1 "/>
    <s v="1=5 X 8"/>
    <s v="01/07/2024"/>
    <s v="TEMPO DETERMINATO"/>
    <s v="30/06/2025"/>
    <s v="0015003123                    "/>
    <s v="BOROMEI PAOLA"/>
    <n v="62"/>
  </r>
  <r>
    <x v="0"/>
    <n v="2815"/>
    <s v="IL SOLE 24 ORE S.P.A.                   "/>
    <s v="F           "/>
    <s v="DIR CENTRALE PERSONALE, ORGANIZZA E SOST"/>
    <s v="F02 "/>
    <x v="19"/>
    <s v="312000      "/>
    <s v="312000   AMMINISTRAZIONE DEL PERSONALE"/>
    <s v="BACCHILEGA                      "/>
    <s v="MARCO             "/>
    <s v="BCCMRC76D27F205X"/>
    <x v="1"/>
    <s v="34"/>
    <x v="0"/>
    <s v="01/04/2021"/>
    <s v="MILANO                 "/>
    <s v="21"/>
    <x v="0"/>
    <s v="F"/>
    <x v="2"/>
    <s v="Q  "/>
    <s v="Q LIV. QUADRI                 "/>
    <s v="16/02/2015"/>
    <s v="16/02/2015"/>
    <s v="27/04/1976"/>
    <s v="A"/>
    <s v="A.IN FORZA"/>
    <s v="1  -ASSUNZIONE                1"/>
    <s v=""/>
    <s v=" "/>
    <s v=""/>
    <s v=""/>
    <n v="2815"/>
    <s v="00"/>
    <n v="100"/>
    <s v="FULL TIME      100000000FF100-FULL TIME"/>
    <s v="16/02/2015"/>
    <s v=""/>
    <s v="  "/>
    <s v=""/>
    <s v="EV  "/>
    <s v="    "/>
    <s v=""/>
    <s v=""/>
    <s v="marco.bacchilega@ilsole24ore.com                  "/>
    <s v="F"/>
    <s v="F-FIRMA"/>
    <s v="1 "/>
    <s v="1=5 X 8"/>
    <s v="01/07/2025"/>
    <s v="TEMPO DETERMINATO"/>
    <s v="31/05/2027"/>
    <s v="0015003123                    "/>
    <s v="BOROMEI PAOLA"/>
    <n v="49"/>
  </r>
  <r>
    <x v="0"/>
    <n v="2112"/>
    <s v="IL SOLE 24 ORE S.P.A.                   "/>
    <s v="F           "/>
    <s v="DIR CENTRALE PERSONALE, ORGANIZZA E SOST"/>
    <s v="F02 "/>
    <x v="19"/>
    <s v="312000      "/>
    <s v="312000   AMMINISTRAZIONE DEL PERSONALE"/>
    <s v="BARABINO                        "/>
    <s v="EMANUELA          "/>
    <s v="BRBMNL76E63I452C"/>
    <x v="0"/>
    <s v="34"/>
    <x v="0"/>
    <s v="01/04/2021"/>
    <s v="MILANO                 "/>
    <s v="21"/>
    <x v="0"/>
    <s v="F"/>
    <x v="2"/>
    <s v="Q  "/>
    <s v="Q LIV. QUADRI                 "/>
    <s v="12/06/2006"/>
    <s v="12/06/2006"/>
    <s v="23/05/1976"/>
    <s v="A"/>
    <s v="A.IN FORZA"/>
    <s v="1  -ASSUNZIONE                1"/>
    <s v=""/>
    <s v=" "/>
    <s v=""/>
    <s v=""/>
    <n v="1600"/>
    <s v="00"/>
    <n v="100"/>
    <s v="FULL TIME      100000000FF100-FULL TIME"/>
    <s v="12/06/2006"/>
    <s v=""/>
    <s v="  "/>
    <s v=""/>
    <s v="EV  "/>
    <s v="    "/>
    <s v=""/>
    <s v=""/>
    <s v="emanuela.barabino@ilsole24ore.com                 "/>
    <s v="F"/>
    <s v="F-FIRMA"/>
    <s v="1 "/>
    <s v="1=5 X 8"/>
    <s v="01/07/2025"/>
    <s v="TEMPO DETERMINATO"/>
    <s v="31/05/2027"/>
    <s v="0015003123                    "/>
    <s v="BOROMEI PAOLA"/>
    <n v="49"/>
  </r>
  <r>
    <x v="0"/>
    <n v="2438"/>
    <s v="IL SOLE 24 ORE S.P.A.                   "/>
    <s v="F           "/>
    <s v="DIR CENTRALE PERSONALE, ORGANIZZA E SOST"/>
    <s v="F02 "/>
    <x v="19"/>
    <s v="312000      "/>
    <s v="312000   AMMINISTRAZIONE DEL PERSONALE"/>
    <s v="CANTONI                         "/>
    <s v="GIUSEPPINA ENRICA "/>
    <s v="CNTGPP66H55G388W"/>
    <x v="0"/>
    <s v="34"/>
    <x v="0"/>
    <s v="01/04/2021"/>
    <s v="MILANO                 "/>
    <s v="21"/>
    <x v="0"/>
    <s v="I"/>
    <x v="0"/>
    <s v="AS "/>
    <s v="AS LIV. IMPIEGATO             "/>
    <s v="01/07/1994"/>
    <s v="01/07/1994"/>
    <s v="15/06/1966"/>
    <s v="A"/>
    <s v="A.IN FORZA"/>
    <s v="1  -ASSUNZIONE                1"/>
    <s v=""/>
    <s v=" "/>
    <s v=""/>
    <s v=""/>
    <n v="2438"/>
    <s v="00"/>
    <n v="100"/>
    <s v="FULL TIME      100000000FF100-FULL TIME"/>
    <s v="01/07/1994"/>
    <s v=""/>
    <s v="  "/>
    <s v=""/>
    <s v="EV  "/>
    <s v="    "/>
    <s v=""/>
    <s v=""/>
    <s v="pinuccia.cantoni@ilsole24ore.com                  "/>
    <s v="F"/>
    <s v="F-FIRMA"/>
    <s v="1 "/>
    <s v="1=5 X 8"/>
    <s v="01/07/2025"/>
    <s v="TEMPO DETERMINATO"/>
    <s v="31/05/2027"/>
    <s v="0015002815                    "/>
    <s v="BACCHILEGA MARCO"/>
    <n v="59"/>
  </r>
  <r>
    <x v="0"/>
    <n v="2114"/>
    <s v="IL SOLE 24 ORE S.P.A.                   "/>
    <s v="F           "/>
    <s v="DIR CENTRALE PERSONALE, ORGANIZZA E SOST"/>
    <s v="F02 "/>
    <x v="19"/>
    <s v="312000      "/>
    <s v="312000   AMMINISTRAZIONE DEL PERSONALE"/>
    <s v="MARRADI                         "/>
    <s v="DANIELA           "/>
    <s v="MRRDNL71S45F205R"/>
    <x v="0"/>
    <s v="34"/>
    <x v="0"/>
    <s v="01/04/2021"/>
    <s v="MILANO                 "/>
    <s v="21"/>
    <x v="0"/>
    <s v="I"/>
    <x v="0"/>
    <s v="B2 "/>
    <s v="B2 LIV. IMPIEGATO             "/>
    <s v="01/07/2006"/>
    <s v="01/07/2006"/>
    <s v="05/11/1971"/>
    <s v="A"/>
    <s v="A.IN FORZA"/>
    <s v="1  -ASSUNZIONE                1"/>
    <s v=""/>
    <s v=" "/>
    <s v=""/>
    <s v=""/>
    <n v="1602"/>
    <s v="00"/>
    <n v="100"/>
    <s v="FULL TIME      100000000FF100-FULL TIME"/>
    <s v="01/07/2006"/>
    <s v=""/>
    <s v="05"/>
    <s v="INVALIDI CIVILI"/>
    <s v="EV  "/>
    <s v="    "/>
    <s v=""/>
    <s v=""/>
    <s v="daniela.marradi@ilsole24ore.com                   "/>
    <s v="F"/>
    <s v="F-FIRMA"/>
    <s v="1 "/>
    <s v="1=5 X 8"/>
    <s v="01/07/2025"/>
    <s v="TEMPO DETERMINATO"/>
    <s v="31/05/2027"/>
    <s v="0015002815                    "/>
    <s v="BACCHILEGA MARCO"/>
    <n v="54"/>
  </r>
  <r>
    <x v="0"/>
    <n v="3159"/>
    <s v="IL SOLE 24 ORE S.P.A.                   "/>
    <s v="F           "/>
    <s v="DIR CENTRALE PERSONALE, ORGANIZZA E SOST"/>
    <s v="F02 "/>
    <x v="19"/>
    <s v="312000      "/>
    <s v="312000   AMMINISTRAZIONE DEL PERSONALE"/>
    <s v="MONOLO                          "/>
    <s v="CINZIA            "/>
    <s v="MNLCNZ99M63E801K"/>
    <x v="0"/>
    <s v="34"/>
    <x v="0"/>
    <s v="01/10/2025"/>
    <s v="MILANO                 "/>
    <s v="21"/>
    <x v="0"/>
    <s v="I"/>
    <x v="0"/>
    <s v="B1S"/>
    <s v="B1S LIV. IMPIEGATO            "/>
    <s v="01/10/2025"/>
    <s v="01/10/2025"/>
    <s v="23/08/1999"/>
    <s v="A"/>
    <s v="A.IN FORZA"/>
    <s v="1  -ASSUNZIONE                1"/>
    <s v=""/>
    <s v=" "/>
    <s v=""/>
    <s v=""/>
    <n v="3159"/>
    <s v="00"/>
    <n v="100"/>
    <s v="FULL TIME      100000000FF100-FULL TIME"/>
    <s v="01/10/2025"/>
    <s v=""/>
    <s v="  "/>
    <s v=""/>
    <s v="EN  "/>
    <s v="    "/>
    <s v=""/>
    <s v=""/>
    <s v="cinzia.monolo@ilsole24ore.com                     "/>
    <s v="F"/>
    <s v="F-FIRMA"/>
    <s v="1 "/>
    <s v="1=5 X 8"/>
    <s v="02/10/2025"/>
    <s v="TEMPO DETERMINATO"/>
    <s v="31/05/2027"/>
    <s v="0015002815                    "/>
    <s v="BACCHILEGA MARCO"/>
    <n v="26"/>
  </r>
  <r>
    <x v="0"/>
    <n v="2152"/>
    <s v="IL SOLE 24 ORE S.P.A.                   "/>
    <s v="F           "/>
    <s v="DIR CENTRALE PERSONALE, ORGANIZZA E SOST"/>
    <s v="F02 "/>
    <x v="19"/>
    <s v="312000      "/>
    <s v="312000   AMMINISTRAZIONE DEL PERSONALE"/>
    <s v="VITTORI                         "/>
    <s v="SILVIA            "/>
    <s v="VTTSLV67A53F704W"/>
    <x v="0"/>
    <s v="34"/>
    <x v="0"/>
    <s v="01/04/2021"/>
    <s v="MILANO                 "/>
    <s v="21"/>
    <x v="0"/>
    <s v="I"/>
    <x v="0"/>
    <s v="B1 "/>
    <s v="B1 LIV. IMPIEGATO             "/>
    <s v="01/01/2007"/>
    <s v="01/01/2007"/>
    <s v="13/01/1967"/>
    <s v="A"/>
    <s v="A.IN FORZA"/>
    <s v="1  -ASSUNZIONE                1"/>
    <s v=""/>
    <s v=" "/>
    <s v=""/>
    <s v=""/>
    <n v="1623"/>
    <s v="00"/>
    <n v="100"/>
    <s v="FULL TIME      100000000FF100-FULL TIME"/>
    <s v="01/01/2007"/>
    <s v=""/>
    <s v="  "/>
    <s v=""/>
    <s v="EV  "/>
    <s v="    "/>
    <s v=""/>
    <s v=""/>
    <s v="silvia.vittori@ilsole24ore.com                    "/>
    <s v="T"/>
    <s v="T-TIMBRA"/>
    <s v="1 "/>
    <s v="1=5 X 8"/>
    <s v="01/07/2025"/>
    <s v="TEMPO DETERMINATO"/>
    <s v="31/05/2027"/>
    <s v="0015002815                    "/>
    <s v="BACCHILEGA MARCO"/>
    <n v="59"/>
  </r>
  <r>
    <x v="0"/>
    <n v="3012"/>
    <s v="IL SOLE 24 ORE S.P.A.                   "/>
    <s v="F           "/>
    <s v="DIR CENTRALE PERSONALE, ORGANIZZA E SOST"/>
    <s v="F02 "/>
    <x v="19"/>
    <s v="31200010    "/>
    <s v="31200010 GEST. AMMINISTRATIVA AGENTI"/>
    <s v="SIDA                            "/>
    <s v="MORENO            "/>
    <s v="SDIMRN73T17F205M"/>
    <x v="1"/>
    <s v="34"/>
    <x v="0"/>
    <s v="01/04/2021"/>
    <s v="MILANO                 "/>
    <s v="21"/>
    <x v="0"/>
    <s v="I"/>
    <x v="0"/>
    <s v="A  "/>
    <s v="A LIV. IMPIEGATO              "/>
    <s v="08/03/2021"/>
    <s v="08/03/2021"/>
    <s v="17/12/1973"/>
    <s v="A"/>
    <s v="A.IN FORZA"/>
    <s v="1  -ASSUNZIONE                1"/>
    <s v=""/>
    <s v=" "/>
    <s v=""/>
    <s v=""/>
    <n v="3012"/>
    <s v="00"/>
    <n v="100"/>
    <s v="FULL TIME      100000000FF100-FULL TIME"/>
    <s v="08/03/2021"/>
    <s v=""/>
    <s v="  "/>
    <s v=""/>
    <s v="EN  "/>
    <s v="    "/>
    <s v=""/>
    <s v=""/>
    <s v="moreno.sida@ilsole24ore.com                       "/>
    <s v="F"/>
    <s v="F-FIRMA"/>
    <s v="1 "/>
    <s v="1=5 X 8"/>
    <s v="01/07/2025"/>
    <s v="TEMPO DETERMINATO"/>
    <s v="31/05/2027"/>
    <s v="0015002112                    "/>
    <s v="BARABINO EMANUELA"/>
    <n v="52"/>
  </r>
  <r>
    <x v="0"/>
    <n v="1041"/>
    <s v="IL SOLE 24 ORE S.P.A.                   "/>
    <s v="F           "/>
    <s v="DIR CENTRALE PERSONALE, ORGANIZZA E SOST"/>
    <s v="F09 "/>
    <x v="20"/>
    <s v="414000      "/>
    <s v="414000   SERVIZI GENERALI SICUREZZA E AM"/>
    <s v="SORGI                           "/>
    <s v="GIANPAOLO         "/>
    <s v="SRGGPL73M12A515F"/>
    <x v="1"/>
    <s v="34"/>
    <x v="0"/>
    <s v="01/06/2021"/>
    <s v="MILANO                 "/>
    <s v="21"/>
    <x v="0"/>
    <s v="F"/>
    <x v="2"/>
    <s v="Q  "/>
    <s v="Q LIV. QUADRI                 "/>
    <s v="16/06/1997"/>
    <s v="16/06/1997"/>
    <s v="12/08/1973"/>
    <s v="A"/>
    <s v="A.IN FORZA"/>
    <s v="1  -ASSUNZIONE                1"/>
    <s v=""/>
    <s v=" "/>
    <s v=""/>
    <s v=""/>
    <n v="810"/>
    <s v="00"/>
    <n v="100"/>
    <s v="FULL TIME      100000000FF100-FULL TIME"/>
    <s v="16/06/1997"/>
    <s v=""/>
    <s v="  "/>
    <s v=""/>
    <s v="EV  "/>
    <s v="    "/>
    <s v=""/>
    <s v=""/>
    <s v="gianpaolo.sorgi@ilsole24ore.com                   "/>
    <s v="F"/>
    <s v="F-FIRMA"/>
    <s v="1 "/>
    <s v="1=5 X 8"/>
    <s v="01/07/2025"/>
    <s v="TEMPO DETERMINATO"/>
    <s v="31/05/2027"/>
    <s v="0015003123                    "/>
    <s v="BOROMEI PAOLA"/>
    <n v="52"/>
  </r>
  <r>
    <x v="0"/>
    <n v="758"/>
    <s v="IL SOLE 24 ORE S.P.A.                   "/>
    <s v="F           "/>
    <s v="DIR CENTRALE PERSONALE, ORGANIZZA E SOST"/>
    <s v="F09 "/>
    <x v="20"/>
    <s v="41400001    "/>
    <s v="41400001  SUPPORTO TECNICO E HSE"/>
    <s v="DE MARTIIS                      "/>
    <s v="VITTORIO          "/>
    <s v="DMRVTR64M08H501Z"/>
    <x v="1"/>
    <s v="34"/>
    <x v="0"/>
    <s v="04/04/2022"/>
    <s v="MILANO                 "/>
    <s v="21"/>
    <x v="0"/>
    <s v="I"/>
    <x v="0"/>
    <s v="A  "/>
    <s v="A LIV. IMPIEGATO              "/>
    <s v="01/04/1994"/>
    <s v="01/04/1994"/>
    <s v="08/08/1964"/>
    <s v="A"/>
    <s v="A.IN FORZA"/>
    <s v="1  -ASSUNZIONE                1"/>
    <s v=""/>
    <s v=" "/>
    <s v=""/>
    <s v=""/>
    <n v="567"/>
    <s v="00"/>
    <n v="100"/>
    <s v="FULL TIME      100000000FF100-FULL TIME"/>
    <s v="01/04/1994"/>
    <s v=""/>
    <s v="  "/>
    <s v=""/>
    <s v="EP  "/>
    <s v="    "/>
    <s v=""/>
    <s v="C.G.I.L.           C.G.I.L"/>
    <s v="vittorio.demartiis@ilsole24ore.com                "/>
    <s v="F"/>
    <s v="F-FIRMA"/>
    <s v="1 "/>
    <s v="1=5 X 8"/>
    <s v="01/07/2025"/>
    <s v="TEMPO DETERMINATO"/>
    <s v="31/05/2027"/>
    <s v="0015001041                    "/>
    <s v="SORGI GIANPAOLO"/>
    <n v="61"/>
  </r>
  <r>
    <x v="0"/>
    <n v="1716"/>
    <s v="IL SOLE 24 ORE S.P.A.                   "/>
    <s v="F           "/>
    <s v="DIR CENTRALE PERSONALE, ORGANIZZA E SOST"/>
    <s v="F09 "/>
    <x v="20"/>
    <s v="41400001    "/>
    <s v="41400001  SUPPORTO TECNICO E HSE"/>
    <s v="MAMBRETTI                       "/>
    <s v="ALBERTO           "/>
    <s v="MMBLRT66L19D416N"/>
    <x v="1"/>
    <s v="34"/>
    <x v="0"/>
    <s v="01/04/2021"/>
    <s v="MILANO                 "/>
    <s v="21"/>
    <x v="0"/>
    <s v="F"/>
    <x v="2"/>
    <s v="Q  "/>
    <s v="Q LIV. QUADRI                 "/>
    <s v="08/01/2001"/>
    <s v="08/01/2001"/>
    <s v="19/07/1966"/>
    <s v="A"/>
    <s v="A.IN FORZA"/>
    <s v="1  -ASSUNZIONE                1"/>
    <s v=""/>
    <s v=" "/>
    <s v=""/>
    <s v=""/>
    <n v="1362"/>
    <s v="00"/>
    <n v="100"/>
    <s v="FULL TIME      100000000FF100-FULL TIME"/>
    <s v="08/01/2001"/>
    <s v=""/>
    <s v="  "/>
    <s v=""/>
    <s v="EV  "/>
    <s v="    "/>
    <s v=""/>
    <s v=""/>
    <s v="Alberto.Mambretti@ilsole24ore.com                 "/>
    <s v="F"/>
    <s v="F-FIRMA"/>
    <s v="1 "/>
    <s v="1=5 X 8"/>
    <s v="01/07/2025"/>
    <s v="TEMPO DETERMINATO"/>
    <s v="31/05/2027"/>
    <s v="0015001041                    "/>
    <s v="SORGI GIANPAOLO"/>
    <n v="59"/>
  </r>
  <r>
    <x v="0"/>
    <n v="3104"/>
    <s v="IL SOLE 24 ORE S.P.A.                   "/>
    <s v="F           "/>
    <s v="DIR CENTRALE PERSONALE, ORGANIZZA E SOST"/>
    <s v="F09 "/>
    <x v="20"/>
    <s v="414100      "/>
    <s v="414100   COORDINAMENTO OPERATIVO"/>
    <s v="RAFFELE                         "/>
    <s v="DANIELE           "/>
    <s v="RFFDNL78S27L872C"/>
    <x v="1"/>
    <s v="34"/>
    <x v="0"/>
    <s v="03/01/2024"/>
    <s v="MILANO                 "/>
    <s v="21"/>
    <x v="0"/>
    <s v="I"/>
    <x v="0"/>
    <s v="AS "/>
    <s v="AS LIV. IMPIEGATO             "/>
    <s v="03/01/2024"/>
    <s v="03/01/2024"/>
    <s v="27/11/1978"/>
    <s v="A"/>
    <s v="A.IN FORZA"/>
    <s v="1  -ASSUNZIONE                1"/>
    <s v=""/>
    <s v=" "/>
    <s v=""/>
    <s v=""/>
    <n v="3104"/>
    <s v="00"/>
    <n v="100"/>
    <s v="FULL TIME      100000000FF100-FULL TIME"/>
    <s v="03/01/2024"/>
    <s v=""/>
    <s v="  "/>
    <s v=""/>
    <s v="EN  "/>
    <s v="    "/>
    <s v=""/>
    <s v=""/>
    <s v="daniele.raffele@ilsole24ore.com                   "/>
    <s v="F"/>
    <s v="F-FIRMA"/>
    <s v="1 "/>
    <s v="1=5 X 8"/>
    <s v="01/07/2025"/>
    <s v="TEMPO DETERMINATO"/>
    <s v="31/05/2027"/>
    <s v="0015001041                    "/>
    <s v="SORGI GIANPAOLO"/>
    <n v="47"/>
  </r>
  <r>
    <x v="0"/>
    <n v="1171"/>
    <s v="IL SOLE 24 ORE S.P.A.                   "/>
    <s v="F           "/>
    <s v="DIR CENTRALE PERSONALE, ORGANIZZA E SOST"/>
    <s v="F09 "/>
    <x v="20"/>
    <s v="511305      "/>
    <s v="511305   SUPPORTI REDAZIONALI"/>
    <s v="GENTILE                         "/>
    <s v="LUISA             "/>
    <s v="GNTLSU68L65F205Y"/>
    <x v="0"/>
    <s v="34"/>
    <x v="0"/>
    <s v="01/04/2021"/>
    <s v="MILANO                 "/>
    <s v="21"/>
    <x v="0"/>
    <s v="I"/>
    <x v="0"/>
    <s v="AS "/>
    <s v="AS LIV. IMPIEGATO             "/>
    <s v="14/09/1998"/>
    <s v="14/09/1998"/>
    <s v="25/07/1968"/>
    <s v="A"/>
    <s v="A.IN FORZA"/>
    <s v="1  -ASSUNZIONE                1"/>
    <s v=""/>
    <s v=" "/>
    <s v=""/>
    <s v=""/>
    <n v="922"/>
    <s v="00"/>
    <n v="100"/>
    <s v="FULL TIME      100000000FF100-FULL TIME"/>
    <s v="01/09/2015"/>
    <s v=""/>
    <s v="05"/>
    <s v="INVALIDI CIVILI"/>
    <s v="EV  "/>
    <s v="    "/>
    <s v=""/>
    <s v=""/>
    <s v="luisa.gentile@ilsole24ore.com                     "/>
    <s v="F"/>
    <s v="F-FIRMA"/>
    <s v="1 "/>
    <s v="1=5 X 8"/>
    <s v="01/07/2025"/>
    <s v="TEMPO DETERMINATO"/>
    <s v="31/05/2027"/>
    <s v="0015001041                    "/>
    <s v="SORGI GIANPAOLO"/>
    <n v="57"/>
  </r>
  <r>
    <x v="0"/>
    <n v="2382"/>
    <s v="IL SOLE 24 ORE S.P.A.                   "/>
    <s v="F           "/>
    <s v="DIR CENTRALE PERSONALE, ORGANIZZA E SOST"/>
    <s v="F09 "/>
    <x v="20"/>
    <s v="51130501    "/>
    <s v="51130501 SEGRETERIE REDAZIONE MILANO"/>
    <s v="CASTELLAZZI                     "/>
    <s v="ELEONORA MARIA    "/>
    <s v="CSTLRM65D43F205Z"/>
    <x v="0"/>
    <s v="34"/>
    <x v="0"/>
    <s v="01/04/2021"/>
    <s v="MILANO                 "/>
    <s v="25"/>
    <x v="3"/>
    <s v="I"/>
    <x v="0"/>
    <s v="07 "/>
    <s v="7 LIV. IMPIEGATO              "/>
    <s v="01/02/2010"/>
    <s v="01/02/2010"/>
    <s v="03/04/1965"/>
    <s v="A"/>
    <s v="A.IN FORZA"/>
    <s v="1  -ASSUNZIONE                1"/>
    <s v=""/>
    <s v=" "/>
    <s v=""/>
    <s v=""/>
    <n v="1771"/>
    <s v="00"/>
    <n v="100"/>
    <s v="FULL TIME      100000000FF100-FULL TIME"/>
    <s v="01/02/2010"/>
    <s v=""/>
    <s v="  "/>
    <s v=""/>
    <s v="PSO "/>
    <s v="    "/>
    <s v=""/>
    <s v="U.I.L.             U.I.L"/>
    <s v="eleonora.castellazzi@ilsole24ore.com              "/>
    <s v="T"/>
    <s v="T-TIMBRA"/>
    <s v="3 "/>
    <s v="3=5 X 7"/>
    <s v="01/07/2025"/>
    <s v="TEMPO DETERMINATO"/>
    <s v="31/05/2027"/>
    <s v="0015001171                    "/>
    <s v="GENTILE LUISA"/>
    <n v="60"/>
  </r>
  <r>
    <x v="0"/>
    <n v="1345"/>
    <s v="IL SOLE 24 ORE S.P.A.                   "/>
    <s v="F           "/>
    <s v="DIR CENTRALE PERSONALE, ORGANIZZA E SOST"/>
    <s v="F09 "/>
    <x v="20"/>
    <s v="51130502    "/>
    <s v="51130502 SEGRETERIE REDAZIONE ROMA"/>
    <s v="CASSETTA                        "/>
    <s v="TIZIANA           "/>
    <s v="CSSTZN69R69H501N"/>
    <x v="0"/>
    <s v="31"/>
    <x v="1"/>
    <s v="25/05/2009"/>
    <s v="ROMA                   "/>
    <s v="25"/>
    <x v="3"/>
    <s v="I"/>
    <x v="0"/>
    <s v="07 "/>
    <s v="7 LIV. IMPIEGATO              "/>
    <s v="27/01/1992"/>
    <s v="27/01/1992"/>
    <s v="29/10/1969"/>
    <s v="A"/>
    <s v="A.IN FORZA"/>
    <s v="1  -ASSUNZIONE                1"/>
    <s v=""/>
    <s v=" "/>
    <s v=""/>
    <s v=""/>
    <n v="1066"/>
    <s v="00"/>
    <n v="100"/>
    <s v="FULL TIME      100000000FF100-FULL TIME"/>
    <s v="27/01/1992"/>
    <s v=""/>
    <s v="  "/>
    <s v=""/>
    <s v="PSO "/>
    <s v="    "/>
    <s v=""/>
    <s v="C.G.I.L.           C.G.I.L"/>
    <s v="tiziana.cassetta@ilsole24ore.com                  "/>
    <s v="T"/>
    <s v="T-TIMBRA"/>
    <s v="3 "/>
    <s v="3=5 X 7"/>
    <s v="01/07/2025"/>
    <s v="TEMPO DETERMINATO"/>
    <s v="31/05/2027"/>
    <s v="0015001171                    "/>
    <s v="GENTILE LUISA"/>
    <n v="56"/>
  </r>
  <r>
    <x v="0"/>
    <n v="2107"/>
    <s v="IL SOLE 24 ORE S.P.A.                   "/>
    <s v="F           "/>
    <s v="DIR CENTRALE PERSONALE, ORGANIZZA E SOST"/>
    <s v="F09 "/>
    <x v="20"/>
    <s v="51130502    "/>
    <s v="51130502 SEGRETERIE REDAZIONE ROMA"/>
    <s v="SCANNAVINI                      "/>
    <s v="MANUELA           "/>
    <s v="SCNMNL70T71H501F"/>
    <x v="0"/>
    <s v="31"/>
    <x v="1"/>
    <s v="25/05/2009"/>
    <s v="ROMA                   "/>
    <s v="25"/>
    <x v="3"/>
    <s v="I"/>
    <x v="0"/>
    <s v="07 "/>
    <s v="7 LIV. IMPIEGATO              "/>
    <s v="01/04/2006"/>
    <s v="01/04/2006"/>
    <s v="31/12/1970"/>
    <s v="A"/>
    <s v="A.IN FORZA"/>
    <s v="1  -ASSUNZIONE                1"/>
    <s v=""/>
    <s v=" "/>
    <s v=""/>
    <s v=""/>
    <n v="1595"/>
    <s v="00"/>
    <n v="100"/>
    <s v="FULL TIME      100000000FF100-FULL TIME"/>
    <s v="01/04/2006"/>
    <s v=""/>
    <s v="  "/>
    <s v=""/>
    <s v="PSO "/>
    <s v="    "/>
    <s v=""/>
    <s v="C.G.I.L.           C.G.I.L"/>
    <s v="manuela.scannavini@ilsole24ore.com                "/>
    <s v="T"/>
    <s v="T-TIMBRA"/>
    <s v="3 "/>
    <s v="3=5 X 7"/>
    <s v="01/07/2025"/>
    <s v="TEMPO DETERMINATO"/>
    <s v="31/05/2027"/>
    <s v="0015001171                    "/>
    <s v="GENTILE LUISA"/>
    <n v="55"/>
  </r>
  <r>
    <x v="0"/>
    <n v="1113"/>
    <s v="IL SOLE 24 ORE S.P.A.                   "/>
    <s v="F           "/>
    <s v="DIR CENTRALE PERSONALE, ORGANIZZA E SOST"/>
    <s v="F09 "/>
    <x v="20"/>
    <s v="51400001    "/>
    <s v="51400001 DIREZIONE QUOTIDIANO"/>
    <s v="RADAELLI                        "/>
    <s v="VALERIA           "/>
    <s v="RDLVLR70L68F205W"/>
    <x v="0"/>
    <s v="34"/>
    <x v="0"/>
    <s v="01/04/2021"/>
    <s v="MILANO                 "/>
    <s v="25"/>
    <x v="3"/>
    <s v="I"/>
    <x v="0"/>
    <s v="08 "/>
    <s v="8 LIV. IMPIEGATO              "/>
    <s v="23/02/1998"/>
    <s v="23/02/1998"/>
    <s v="28/07/1970"/>
    <s v="A"/>
    <s v="A.IN FORZA"/>
    <s v="1  -ASSUNZIONE                1"/>
    <s v=""/>
    <s v=" "/>
    <s v=""/>
    <s v=""/>
    <n v="878"/>
    <s v="00"/>
    <n v="100"/>
    <s v="FULL TIME      100000000FF100-FULL TIME"/>
    <s v="23/02/1998"/>
    <s v=""/>
    <s v="  "/>
    <s v=""/>
    <s v="PSO "/>
    <s v="    "/>
    <s v=""/>
    <s v=""/>
    <s v="valeria.radaelli@ilsole24ore.com                  "/>
    <s v="F"/>
    <s v="F-FIRMA"/>
    <s v="3 "/>
    <s v="3=5 X 7"/>
    <s v="01/07/2025"/>
    <s v="TEMPO DETERMINATO"/>
    <s v="31/05/2027"/>
    <s v="0015001171                    "/>
    <s v="GENTILE LUISA"/>
    <n v="55"/>
  </r>
  <r>
    <x v="0"/>
    <n v="1319"/>
    <s v="IL SOLE 24 ORE S.P.A.                   "/>
    <s v="F           "/>
    <s v="DIR CENTRALE PERSONALE, ORGANIZZA E SOST"/>
    <s v="F09 "/>
    <x v="20"/>
    <s v="514600      "/>
    <s v="514600   SEGRETERIA RED. ALTRI PERIODICI"/>
    <s v="GIACINTI                        "/>
    <s v="MARIA FRANCESCA   "/>
    <s v="GCNMFR63H50H501K"/>
    <x v="0"/>
    <s v="31"/>
    <x v="1"/>
    <s v="01/04/2022"/>
    <s v="ROMA                   "/>
    <s v="21"/>
    <x v="0"/>
    <s v="I"/>
    <x v="0"/>
    <s v="B2 "/>
    <s v="B2 LIV. IMPIEGATO             "/>
    <s v="01/11/1999"/>
    <s v="01/11/1999"/>
    <s v="10/06/1963"/>
    <s v="A"/>
    <s v="A.IN FORZA"/>
    <s v="1  -ASSUNZIONE                1"/>
    <s v=""/>
    <s v=" "/>
    <s v=""/>
    <s v=""/>
    <n v="1046"/>
    <s v="01"/>
    <n v="50"/>
    <s v="20 H O GRA/COMM050000000PP20.0/40- PT 50.00-P"/>
    <s v="14/01/2026"/>
    <s v="30/09/2026"/>
    <s v="  "/>
    <s v=""/>
    <s v="EP  "/>
    <s v="    "/>
    <s v=""/>
    <s v="C.G.I.L.           C.G.I.L"/>
    <s v="mariafrancesca.giacinti@ilsole24ore.com           "/>
    <s v="T"/>
    <s v="T-TIMBRA"/>
    <s v="1 "/>
    <s v="1=5 X 8"/>
    <s v="14/01/2026"/>
    <s v="TEMPO DETERMINATO"/>
    <s v="30/09/2026"/>
    <s v="0015001171                    "/>
    <s v="GENTILE LUISA"/>
    <n v="62"/>
  </r>
  <r>
    <x v="0"/>
    <n v="1188"/>
    <s v="IL SOLE 24 ORE S.P.A.                   "/>
    <s v="F           "/>
    <s v="DIR CENTRALE PERSONALE, ORGANIZZA E SOST"/>
    <s v="F09 "/>
    <x v="20"/>
    <s v="51511001    "/>
    <s v="51511001 SUPPORTI AGENZIA"/>
    <s v="D'ANIELLO                       "/>
    <s v="ERICA             "/>
    <s v="DNLRCE65P42L483N"/>
    <x v="0"/>
    <s v="34"/>
    <x v="0"/>
    <s v="01/04/2021"/>
    <s v="MILANO                 "/>
    <s v="25"/>
    <x v="3"/>
    <s v="I"/>
    <x v="0"/>
    <s v="07 "/>
    <s v="7 LIV. IMPIEGATO              "/>
    <s v="12/10/1998"/>
    <s v="12/10/1998"/>
    <s v="02/09/1965"/>
    <s v="A"/>
    <s v="A.IN FORZA"/>
    <s v="1  -ASSUNZIONE                1"/>
    <s v=""/>
    <s v=" "/>
    <s v=""/>
    <s v=""/>
    <n v="936"/>
    <s v="00"/>
    <n v="100"/>
    <s v="FULL TIME      100000000FF100-FULL TIME"/>
    <s v="12/10/1998"/>
    <s v=""/>
    <s v="  "/>
    <s v=""/>
    <s v="PRD "/>
    <s v="    "/>
    <s v=""/>
    <s v="U.I.L.             U.I.L"/>
    <s v="erica.daniello@ilsole24ore.com                    "/>
    <s v="F"/>
    <s v="F-FIRMA"/>
    <s v="3 "/>
    <s v="3=5 X 7"/>
    <s v="01/07/2025"/>
    <s v="TEMPO DETERMINATO"/>
    <s v="31/05/2027"/>
    <s v="0015001171                    "/>
    <s v="GENTILE LUISA"/>
    <n v="60"/>
  </r>
  <r>
    <x v="0"/>
    <n v="1657"/>
    <s v="IL SOLE 24 ORE S.P.A.                   "/>
    <s v="F           "/>
    <s v="DIR CENTRALE PERSONALE, ORGANIZZA E SOST"/>
    <s v="F09 "/>
    <x v="20"/>
    <s v="51820001    "/>
    <s v="51820001   HOW TO SPEND IT"/>
    <s v="LUCCHESI                        "/>
    <s v="IVAN              "/>
    <s v="LCCVNI77L17G220Q"/>
    <x v="1"/>
    <s v="34"/>
    <x v="0"/>
    <s v="01/04/2021"/>
    <s v="MILANO                 "/>
    <s v="21"/>
    <x v="0"/>
    <s v="I"/>
    <x v="0"/>
    <s v="B2 "/>
    <s v="B2 LIV. IMPIEGATO             "/>
    <s v="01/11/2000"/>
    <s v="01/11/2000"/>
    <s v="17/07/1977"/>
    <s v="A"/>
    <s v="A.IN FORZA"/>
    <s v="1  -ASSUNZIONE                1"/>
    <s v=""/>
    <s v=" "/>
    <s v=""/>
    <s v=""/>
    <n v="1318"/>
    <s v="00"/>
    <n v="100"/>
    <s v="FULL TIME      100000000FF100-FULL TIME"/>
    <s v="01/11/2000"/>
    <s v=""/>
    <s v="  "/>
    <s v=""/>
    <s v="EV  "/>
    <s v="    "/>
    <s v=""/>
    <s v="U.I.L.             U.I.L"/>
    <s v="sergio.lucchesi@ilsole24ore.com                   "/>
    <s v="F"/>
    <s v="F-FIRMA"/>
    <s v="1 "/>
    <s v="1=5 X 8"/>
    <s v="01/07/2025"/>
    <s v="TEMPO DETERMINATO"/>
    <s v="31/05/2027"/>
    <s v="0015001171                    "/>
    <s v="GENTILE LUISA"/>
    <n v="48"/>
  </r>
  <r>
    <x v="0"/>
    <n v="2364"/>
    <s v="IL SOLE 24 ORE S.P.A.                   "/>
    <s v="F           "/>
    <s v="DIR CENTRALE PERSONALE, ORGANIZZA E SOST"/>
    <s v="F09 "/>
    <x v="20"/>
    <s v="51820001    "/>
    <s v="51820001   HOW TO SPEND IT"/>
    <s v="PIPISTRELLI                     "/>
    <s v="SIMONA MARIA CATER"/>
    <s v="PPSSNM71T53F205R"/>
    <x v="0"/>
    <s v="34"/>
    <x v="0"/>
    <s v="01/04/2021"/>
    <s v="MILANO                 "/>
    <s v="21"/>
    <x v="0"/>
    <s v="I"/>
    <x v="0"/>
    <s v="B1S"/>
    <s v="B1S LIV. IMPIEGATO            "/>
    <s v="01/04/2009"/>
    <s v="01/04/2009"/>
    <s v="13/12/1971"/>
    <s v="A"/>
    <s v="A.IN FORZA"/>
    <s v="1  -ASSUNZIONE                1"/>
    <s v=""/>
    <s v=" "/>
    <s v=""/>
    <s v=""/>
    <n v="1761"/>
    <s v="00"/>
    <n v="100"/>
    <s v="FULL TIME      100000000FF100-FULL TIME"/>
    <s v="01/04/2009"/>
    <s v=""/>
    <s v="  "/>
    <s v=""/>
    <s v="EV  "/>
    <s v="    "/>
    <s v=""/>
    <s v=""/>
    <s v="simona.pipistrelli@ilsole24ore.com                "/>
    <s v="F"/>
    <s v="F-FIRMA"/>
    <s v="1 "/>
    <s v="1=5 X 8"/>
    <s v="01/07/2025"/>
    <s v="TEMPO DETERMINATO"/>
    <s v="31/05/2027"/>
    <s v="0015001171                    "/>
    <s v="GENTILE LUISA"/>
    <n v="54"/>
  </r>
  <r>
    <x v="0"/>
    <n v="1046"/>
    <s v="IL SOLE 24 ORE S.P.A.                   "/>
    <s v="F           "/>
    <s v="DIR CENTRALE PERSONALE, ORGANIZZA E SOST"/>
    <s v="F11 "/>
    <x v="21"/>
    <s v="514800      "/>
    <s v="514800   STRUTTURA MEDIA FACTORY ENEL"/>
    <s v="LETI                            "/>
    <s v="CARLA             "/>
    <s v="LTECRL76E53H501N"/>
    <x v="0"/>
    <s v="36"/>
    <x v="2"/>
    <s v="09/12/2024"/>
    <s v="ROMA                   "/>
    <s v="21"/>
    <x v="0"/>
    <s v="I"/>
    <x v="0"/>
    <s v="A  "/>
    <s v="A LIV. IMPIEGATO              "/>
    <s v="07/07/1997"/>
    <s v="07/07/1997"/>
    <s v="13/05/1976"/>
    <s v="A"/>
    <s v="A.IN FORZA"/>
    <s v="1  -ASSUNZIONE                1"/>
    <s v=""/>
    <s v=" "/>
    <s v=""/>
    <s v=""/>
    <n v="815"/>
    <s v="00"/>
    <n v="100"/>
    <s v="FULL TIME      100000000FF100-FULL TIME"/>
    <s v="07/07/1997"/>
    <s v=""/>
    <s v="  "/>
    <s v=""/>
    <s v="EP  "/>
    <s v="    "/>
    <s v=""/>
    <s v="NON ISCRITTO       NON ISCRITTO"/>
    <s v="carla.leti@ilsole24ore.com                        "/>
    <s v="F"/>
    <s v="F-FIRMA"/>
    <s v="1 "/>
    <s v="1=5 X 8"/>
    <s v="01/07/2025"/>
    <s v="TEMPO DETERMINATO"/>
    <s v="31/05/2027"/>
    <s v="0015003022                    "/>
    <s v="BOTTARI VITO"/>
    <n v="49"/>
  </r>
  <r>
    <x v="0"/>
    <n v="1960"/>
    <s v="IL SOLE 24 ORE S.P.A.                   "/>
    <s v="F           "/>
    <s v="DIR CENTRALE PERSONALE, ORGANIZZA E SOST"/>
    <s v="F11 "/>
    <x v="21"/>
    <s v="514800      "/>
    <s v="514800   STRUTTURA MEDIA FACTORY ENEL"/>
    <s v="ZAMPINI                         "/>
    <s v="MASSIMILIANO      "/>
    <s v="ZMPMSM69E23F611H"/>
    <x v="1"/>
    <s v="36"/>
    <x v="2"/>
    <s v="09/12/2024"/>
    <s v="ROMA                   "/>
    <s v="85"/>
    <x v="4"/>
    <s v="G"/>
    <x v="3"/>
    <s v="CS "/>
    <s v="CS CAPO SERVIZIO              "/>
    <s v="01/07/2003"/>
    <s v="01/07/2003"/>
    <s v="23/05/1969"/>
    <s v="A"/>
    <s v="A.IN FORZA"/>
    <s v="1  -ASSUNZIONE                1"/>
    <s v=""/>
    <s v=" "/>
    <s v=""/>
    <s v=""/>
    <n v="402"/>
    <s v="00"/>
    <n v="100"/>
    <s v="FULL TIME      100000000FF100-FULL TIME"/>
    <s v="01/07/2003"/>
    <s v=""/>
    <s v="  "/>
    <s v=""/>
    <s v="GRR "/>
    <s v="    "/>
    <s v=""/>
    <s v="SIND.GIORN.        SINDACATO GIORNALISTI"/>
    <s v="massimiliano.zampini@ilsole24ore.com              "/>
    <s v="E"/>
    <s v="E-ESENTE"/>
    <s v="2 "/>
    <s v="2=6 X 6"/>
    <s v="01/09/2025"/>
    <s v="TEMPO DETERMINATO"/>
    <s v="31/05/2027"/>
    <s v="0015000295                    "/>
    <s v=""/>
    <n v="56"/>
  </r>
  <r>
    <x v="0"/>
    <n v="3133"/>
    <s v="IL SOLE 24 ORE S.P.A.                   "/>
    <s v="G           "/>
    <s v="DG I&amp;T - DIR INFORMATION TECHNOLOGY"/>
    <s v="G01 "/>
    <x v="22"/>
    <s v="415300      "/>
    <s v="415300   DIR INFORMATION TECHNOLOGY"/>
    <s v="PALA                            "/>
    <s v="MARIA GRAZIA      "/>
    <s v="PLAMGR94S52I452D"/>
    <x v="0"/>
    <s v="34"/>
    <x v="0"/>
    <s v="02/09/2024"/>
    <s v="MILANO                 "/>
    <s v="21"/>
    <x v="0"/>
    <s v="I"/>
    <x v="0"/>
    <s v="A  "/>
    <s v="A LIV. IMPIEGATO              "/>
    <s v="02/09/2024"/>
    <s v="02/09/2024"/>
    <s v="12/11/1994"/>
    <s v="A"/>
    <s v="A.IN FORZA"/>
    <s v="1  -ASSUNZIONE                1"/>
    <s v=""/>
    <s v=" "/>
    <s v=""/>
    <s v=""/>
    <n v="3133"/>
    <s v="00"/>
    <n v="100"/>
    <s v="FULL TIME      100000000FF100-FULL TIME"/>
    <s v="02/09/2024"/>
    <s v=""/>
    <s v="  "/>
    <s v=""/>
    <s v="EN  "/>
    <s v="    "/>
    <s v=""/>
    <s v=""/>
    <s v="maria.pala@ilsole24ore.com                        "/>
    <s v="F"/>
    <s v="F-FIRMA"/>
    <s v="1 "/>
    <s v="1=5 X 8"/>
    <s v="01/07/2025"/>
    <s v="TEMPO DETERMINATO"/>
    <s v="31/05/2027"/>
    <s v="0015003123                    "/>
    <s v="BOROMEI PAOLA"/>
    <n v="31"/>
  </r>
  <r>
    <x v="0"/>
    <n v="1584"/>
    <s v="IL SOLE 24 ORE S.P.A.                   "/>
    <s v="G           "/>
    <s v="DG I&amp;T - DIR INFORMATION TECHNOLOGY"/>
    <s v="G01 "/>
    <x v="22"/>
    <s v="41530010    "/>
    <s v="41530010 DATA PLATFORM"/>
    <s v="ARCANGELI                       "/>
    <s v="UMBERTO           "/>
    <s v="RCNMRT68H23H501I"/>
    <x v="1"/>
    <s v="31"/>
    <x v="1"/>
    <s v="01/07/2011"/>
    <s v="ROMA                   "/>
    <s v="21"/>
    <x v="0"/>
    <s v="I"/>
    <x v="0"/>
    <s v="A  "/>
    <s v="A LIV. IMPIEGATO              "/>
    <s v="03/07/2000"/>
    <s v="03/07/2000"/>
    <s v="23/06/1968"/>
    <s v="A"/>
    <s v="A.IN FORZA"/>
    <s v="1  -ASSUNZIONE                1"/>
    <s v=""/>
    <s v=" "/>
    <s v=""/>
    <s v=""/>
    <n v="1254"/>
    <s v="00"/>
    <n v="100"/>
    <s v="FULL TIME      100000000FF100-FULL TIME"/>
    <s v="03/07/2000"/>
    <s v=""/>
    <s v="  "/>
    <s v=""/>
    <s v="EP  "/>
    <s v="    "/>
    <s v=""/>
    <s v="NON ISCRITTO       NON ISCRITTO"/>
    <s v="umberto.arcangeli@ilsole24ore.com                 "/>
    <s v="F"/>
    <s v="F-FIRMA"/>
    <s v="1 "/>
    <s v="1=5 X 8"/>
    <s v="01/07/2025"/>
    <s v="TEMPO DETERMINATO"/>
    <s v="31/05/2027"/>
    <s v="0015001855                    "/>
    <s v="ZUCCONI GIOVANNI"/>
    <n v="57"/>
  </r>
  <r>
    <x v="0"/>
    <n v="1855"/>
    <s v="IL SOLE 24 ORE S.P.A.                   "/>
    <s v="G           "/>
    <s v="DG I&amp;T - DIR INFORMATION TECHNOLOGY"/>
    <s v="G01 "/>
    <x v="22"/>
    <s v="41530010    "/>
    <s v="41530010 DATA PLATFORM"/>
    <s v="ZUCCONI                         "/>
    <s v="GIOVANNI          "/>
    <s v="ZCCGNN61H26A210W"/>
    <x v="1"/>
    <s v="31"/>
    <x v="1"/>
    <s v="01/05/2010"/>
    <s v="ROMA                   "/>
    <s v="21"/>
    <x v="0"/>
    <s v="F"/>
    <x v="2"/>
    <s v="Q  "/>
    <s v="Q LIV. QUADRI                 "/>
    <s v="01/02/2001"/>
    <s v="17/06/1996"/>
    <s v="26/06/1961"/>
    <s v="A"/>
    <s v="A.IN FORZA"/>
    <s v="2  -VARIAZIONE SOCIETARIA     2"/>
    <s v=""/>
    <s v=" "/>
    <s v=""/>
    <s v=""/>
    <n v="1475"/>
    <s v="00"/>
    <n v="100"/>
    <s v="FULL TIME      100000000FF100-FULL TIME"/>
    <s v="01/02/2001"/>
    <s v=""/>
    <s v="  "/>
    <s v=""/>
    <s v="EV  "/>
    <s v="    "/>
    <s v=""/>
    <s v=""/>
    <s v="giovanni.zucconi@ilsole24ore.com                  "/>
    <s v="F"/>
    <s v="F-FIRMA"/>
    <s v="1 "/>
    <s v="1=5 X 8"/>
    <s v="01/07/2025"/>
    <s v="TEMPO DETERMINATO"/>
    <s v="31/05/2027"/>
    <s v="0015003123                    "/>
    <s v="BOROMEI PAOLA"/>
    <n v="64"/>
  </r>
  <r>
    <x v="0"/>
    <n v="772"/>
    <s v="IL SOLE 24 ORE S.P.A.                   "/>
    <s v="G           "/>
    <s v="DG I&amp;T - DIR INFORMATION TECHNOLOGY"/>
    <s v="G02 "/>
    <x v="23"/>
    <s v="415110      "/>
    <s v="415110   SISTEMI INFORMATICI GESTIONALI"/>
    <s v="CASAGRANDE                      "/>
    <s v="STEFANO           "/>
    <s v="CSGSFN67A17C523R"/>
    <x v="1"/>
    <s v="34"/>
    <x v="0"/>
    <s v="01/04/2021"/>
    <s v="MILANO                 "/>
    <s v="21"/>
    <x v="0"/>
    <s v="F"/>
    <x v="2"/>
    <s v="Q  "/>
    <s v="Q LIV. QUADRI                 "/>
    <s v="16/05/1994"/>
    <s v="16/05/1994"/>
    <s v="17/01/1967"/>
    <s v="A"/>
    <s v="A.IN FORZA"/>
    <s v="1  -ASSUNZIONE                1"/>
    <s v=""/>
    <s v=" "/>
    <s v=""/>
    <s v=""/>
    <n v="578"/>
    <s v="00"/>
    <n v="100"/>
    <s v="FULL TIME      100000000FF100-FULL TIME"/>
    <s v="16/05/1994"/>
    <s v=""/>
    <s v="  "/>
    <s v=""/>
    <s v="EV  "/>
    <s v="    "/>
    <s v=""/>
    <s v=""/>
    <s v="stefano.casagrande@ilsole24ore.com                "/>
    <s v="F"/>
    <s v="F-FIRMA"/>
    <s v="1 "/>
    <s v="1=5 X 8"/>
    <s v="01/07/2025"/>
    <s v="TEMPO DETERMINATO"/>
    <s v="31/05/2027"/>
    <s v="0015002865                    "/>
    <s v="FANTUZZI MARILISA"/>
    <n v="59"/>
  </r>
  <r>
    <x v="0"/>
    <n v="3074"/>
    <s v="IL SOLE 24 ORE S.P.A.                   "/>
    <s v="G           "/>
    <s v="DG I&amp;T - DIR INFORMATION TECHNOLOGY"/>
    <s v="G02 "/>
    <x v="23"/>
    <s v="415110      "/>
    <s v="415110   SISTEMI INFORMATICI GESTIONALI"/>
    <s v="COSENZA                         "/>
    <s v="AMERIGO           "/>
    <s v="CSNMRG88T10C349Q"/>
    <x v="1"/>
    <s v="34"/>
    <x v="0"/>
    <s v="12/04/2023"/>
    <s v="MILANO                 "/>
    <s v="21"/>
    <x v="0"/>
    <s v="F"/>
    <x v="2"/>
    <s v="Q  "/>
    <s v="Q LIV. QUADRI                 "/>
    <s v="12/04/2023"/>
    <s v="12/04/2023"/>
    <s v="10/12/1988"/>
    <s v="A"/>
    <s v="A.IN FORZA"/>
    <s v="1  -ASSUNZIONE                1"/>
    <s v=""/>
    <s v=" "/>
    <s v=""/>
    <s v=""/>
    <n v="3074"/>
    <s v="00"/>
    <n v="100"/>
    <s v="FULL TIME      100000000FF100-FULL TIME"/>
    <s v="12/04/2023"/>
    <s v=""/>
    <s v="  "/>
    <s v=""/>
    <s v="EN  "/>
    <s v="    "/>
    <s v=""/>
    <s v=""/>
    <s v="amerigo.cosenza@ilsole24ore.com                   "/>
    <s v="F"/>
    <s v="F-FIRMA"/>
    <s v="1 "/>
    <s v="1=5 X 8"/>
    <s v="01/07/2025"/>
    <s v="TEMPO DETERMINATO"/>
    <s v="31/05/2027"/>
    <s v="0015002865                    "/>
    <s v="FANTUZZI MARILISA"/>
    <n v="37"/>
  </r>
  <r>
    <x v="0"/>
    <n v="2865"/>
    <s v="IL SOLE 24 ORE S.P.A.                   "/>
    <s v="G           "/>
    <s v="DG I&amp;T - DIR INFORMATION TECHNOLOGY"/>
    <s v="G02 "/>
    <x v="23"/>
    <s v="415110      "/>
    <s v="415110   SISTEMI INFORMATICI GESTIONALI"/>
    <s v="FANTUZZI                        "/>
    <s v="MARILISA          "/>
    <s v="FNTMLS69T69F880Q"/>
    <x v="0"/>
    <s v="34"/>
    <x v="0"/>
    <s v="01/04/2021"/>
    <s v="MILANO                 "/>
    <s v="21"/>
    <x v="0"/>
    <s v="F"/>
    <x v="2"/>
    <s v="Q  "/>
    <s v="Q LIV. QUADRI                 "/>
    <s v="01/01/2016"/>
    <s v="10/11/2014"/>
    <s v="29/12/1969"/>
    <s v="A"/>
    <s v="A.IN FORZA"/>
    <s v="1  -ASSUNZIONE                1"/>
    <s v=""/>
    <s v=" "/>
    <s v=""/>
    <s v=""/>
    <n v="2865"/>
    <s v="00"/>
    <n v="100"/>
    <s v="FULL TIME      100000000FF100-FULL TIME"/>
    <s v="10/11/2014"/>
    <s v=""/>
    <s v="  "/>
    <s v=""/>
    <s v="EV  "/>
    <s v="    "/>
    <s v=""/>
    <s v=""/>
    <s v="marilisa.fantuzzi@ilsole24ore.com                 "/>
    <s v="F"/>
    <s v="F-FIRMA"/>
    <s v="1 "/>
    <s v="1=5 X 8"/>
    <s v="18/09/2024"/>
    <s v="TEMPO DETERMINATO"/>
    <s v="31/12/2026"/>
    <s v="0015003123                    "/>
    <s v="BOROMEI PAOLA"/>
    <n v="56"/>
  </r>
  <r>
    <x v="0"/>
    <n v="2327"/>
    <s v="IL SOLE 24 ORE S.P.A.                   "/>
    <s v="G           "/>
    <s v="DG I&amp;T - DIR INFORMATION TECHNOLOGY"/>
    <s v="G02 "/>
    <x v="23"/>
    <s v="415110      "/>
    <s v="415110   SISTEMI INFORMATICI GESTIONALI"/>
    <s v="GIANNASI                        "/>
    <s v="PAOLO             "/>
    <s v="GNNPLA68B24F205U"/>
    <x v="1"/>
    <s v="34"/>
    <x v="0"/>
    <s v="01/04/2021"/>
    <s v="MILANO                 "/>
    <s v="21"/>
    <x v="0"/>
    <s v="F"/>
    <x v="2"/>
    <s v="Q  "/>
    <s v="Q LIV. QUADRI                 "/>
    <s v="22/09/2008"/>
    <s v="22/09/2008"/>
    <s v="24/02/1968"/>
    <s v="A"/>
    <s v="A.IN FORZA"/>
    <s v="1  -ASSUNZIONE                1"/>
    <s v=""/>
    <s v=" "/>
    <s v=""/>
    <s v=""/>
    <n v="1732"/>
    <s v="00"/>
    <n v="100"/>
    <s v="FULL TIME      100000000FF100-FULL TIME"/>
    <s v="22/09/2008"/>
    <s v=""/>
    <s v="  "/>
    <s v=""/>
    <s v="EV  "/>
    <s v="    "/>
    <s v=""/>
    <s v=""/>
    <s v="paolo.giannasi@ilsole24ore.com                    "/>
    <s v="F"/>
    <s v="F-FIRMA"/>
    <s v="1 "/>
    <s v="1=5 X 8"/>
    <s v="15/07/2025"/>
    <s v="TEMPO DETERMINATO"/>
    <s v="31/05/2027"/>
    <s v="0015002865                    "/>
    <s v="FANTUZZI MARILISA"/>
    <n v="57"/>
  </r>
  <r>
    <x v="0"/>
    <n v="1150"/>
    <s v="IL SOLE 24 ORE S.P.A.                   "/>
    <s v="G           "/>
    <s v="DG I&amp;T - DIR INFORMATION TECHNOLOGY"/>
    <s v="G02 "/>
    <x v="23"/>
    <s v="415110      "/>
    <s v="415110   SISTEMI INFORMATICI GESTIONALI"/>
    <s v="GOLA                            "/>
    <s v="FEDERICA MARIA    "/>
    <s v="GLOFRC70D63F205I"/>
    <x v="0"/>
    <s v="34"/>
    <x v="0"/>
    <s v="01/04/2021"/>
    <s v="MILANO                 "/>
    <s v="21"/>
    <x v="0"/>
    <s v="I"/>
    <x v="0"/>
    <s v="AS "/>
    <s v="AS LIV. IMPIEGATO             "/>
    <s v="01/07/1998"/>
    <s v="01/07/1998"/>
    <s v="23/04/1970"/>
    <s v="A"/>
    <s v="A.IN FORZA"/>
    <s v="1  -ASSUNZIONE                1"/>
    <s v=""/>
    <s v=" "/>
    <s v=""/>
    <s v=""/>
    <n v="907"/>
    <s v="00"/>
    <n v="100"/>
    <s v="FULL TIME      100000000FF100-FULL TIME"/>
    <s v="01/09/2015"/>
    <s v=""/>
    <s v="  "/>
    <s v=""/>
    <s v="EV  "/>
    <s v="    "/>
    <s v=""/>
    <s v=""/>
    <s v="Federica.Gola@ilsole24ore.com                     "/>
    <s v="F"/>
    <s v="F-FIRMA"/>
    <s v="1 "/>
    <s v="1=5 X 8"/>
    <s v="01/07/2025"/>
    <s v="TEMPO DETERMINATO"/>
    <s v="31/05/2027"/>
    <s v="0015002865                    "/>
    <s v="FANTUZZI MARILISA"/>
    <n v="55"/>
  </r>
  <r>
    <x v="0"/>
    <n v="3075"/>
    <s v="IL SOLE 24 ORE S.P.A.                   "/>
    <s v="G           "/>
    <s v="DG I&amp;T - DIR INFORMATION TECHNOLOGY"/>
    <s v="G02 "/>
    <x v="23"/>
    <s v="415110      "/>
    <s v="415110   SISTEMI INFORMATICI GESTIONALI"/>
    <s v="GRAVINA                         "/>
    <s v="VALERIO           "/>
    <s v="GRVVLR85C27L049N"/>
    <x v="1"/>
    <s v="34"/>
    <x v="0"/>
    <s v="17/04/2023"/>
    <s v="MILANO                 "/>
    <s v="21"/>
    <x v="0"/>
    <s v="F"/>
    <x v="2"/>
    <s v="Q  "/>
    <s v="Q LIV. QUADRI                 "/>
    <s v="17/04/2023"/>
    <s v="17/04/2023"/>
    <s v="27/03/1985"/>
    <s v="A"/>
    <s v="A.IN FORZA"/>
    <s v="1  -ASSUNZIONE                1"/>
    <s v=""/>
    <s v=" "/>
    <s v=""/>
    <s v=""/>
    <n v="3075"/>
    <s v="00"/>
    <n v="100"/>
    <s v="FULL TIME      100000000FF100-FULL TIME"/>
    <s v="17/04/2023"/>
    <s v=""/>
    <s v="  "/>
    <s v=""/>
    <s v="EN  "/>
    <s v="    "/>
    <s v=""/>
    <s v=""/>
    <s v="valerio.gravina@ilsole24ore.com                   "/>
    <s v="F"/>
    <s v="F-FIRMA"/>
    <s v="1 "/>
    <s v="1=5 X 8"/>
    <s v="01/07/2025"/>
    <s v="TEMPO DETERMINATO"/>
    <s v="31/05/2027"/>
    <s v="0015002865                    "/>
    <s v="FANTUZZI MARILISA"/>
    <n v="40"/>
  </r>
  <r>
    <x v="0"/>
    <n v="2996"/>
    <s v="IL SOLE 24 ORE S.P.A.                   "/>
    <s v="G           "/>
    <s v="DG I&amp;T - DIR INFORMATION TECHNOLOGY"/>
    <s v="G02 "/>
    <x v="23"/>
    <s v="415110      "/>
    <s v="415110   SISTEMI INFORMATICI GESTIONALI"/>
    <s v="MONTANARO                       "/>
    <s v="STEFANO           "/>
    <s v="MNTSFN87R19F205M"/>
    <x v="1"/>
    <s v="34"/>
    <x v="0"/>
    <s v="01/04/2021"/>
    <s v="MILANO                 "/>
    <s v="21"/>
    <x v="0"/>
    <s v="F"/>
    <x v="2"/>
    <s v="Q  "/>
    <s v="Q LIV. QUADRI                 "/>
    <s v="01/06/2020"/>
    <s v="01/06/2020"/>
    <s v="19/10/1987"/>
    <s v="A"/>
    <s v="A.IN FORZA"/>
    <s v="1  -ASSUNZIONE                1"/>
    <s v=""/>
    <s v=" "/>
    <s v=""/>
    <s v=""/>
    <n v="2996"/>
    <s v="00"/>
    <n v="100"/>
    <s v="FULL TIME      100000000FF100-FULL TIME"/>
    <s v="01/06/2020"/>
    <s v=""/>
    <s v="  "/>
    <s v=""/>
    <s v="EV  "/>
    <s v="    "/>
    <s v=""/>
    <s v=""/>
    <s v="stefano.montanaro@ilsole24ore.com                 "/>
    <s v="F"/>
    <s v="F-FIRMA"/>
    <s v="1 "/>
    <s v="1=5 X 8"/>
    <s v="01/07/2025"/>
    <s v="TEMPO DETERMINATO"/>
    <s v="31/05/2027"/>
    <s v="0015002865                    "/>
    <s v="FANTUZZI MARILISA"/>
    <n v="38"/>
  </r>
  <r>
    <x v="0"/>
    <n v="1672"/>
    <s v="IL SOLE 24 ORE S.P.A.                   "/>
    <s v="G           "/>
    <s v="DG I&amp;T - DIR INFORMATION TECHNOLOGY"/>
    <s v="G02 "/>
    <x v="23"/>
    <s v="415110      "/>
    <s v="415110   SISTEMI INFORMATICI GESTIONALI"/>
    <s v="PESANDO                         "/>
    <s v="MAURIZIO          "/>
    <s v="PSNMRZ68M24M109P"/>
    <x v="1"/>
    <s v="34"/>
    <x v="0"/>
    <s v="01/04/2021"/>
    <s v="MILANO                 "/>
    <s v="21"/>
    <x v="0"/>
    <s v="I"/>
    <x v="0"/>
    <s v="A  "/>
    <s v="A LIV. IMPIEGATO              "/>
    <s v="02/11/2000"/>
    <s v="02/11/2000"/>
    <s v="24/08/1968"/>
    <s v="A"/>
    <s v="A.IN FORZA"/>
    <s v="1  -ASSUNZIONE                1"/>
    <s v=""/>
    <s v=" "/>
    <s v=""/>
    <s v=""/>
    <n v="1332"/>
    <s v="00"/>
    <n v="100"/>
    <s v="FULL TIME      100000000FF100-FULL TIME"/>
    <s v="02/11/2000"/>
    <s v=""/>
    <s v="  "/>
    <s v=""/>
    <s v="EV  "/>
    <s v="    "/>
    <s v=""/>
    <s v="C.I.S.L.           C.I.S.L"/>
    <s v="maurizio.pesando@ilsole24ore.com                  "/>
    <s v="F"/>
    <s v="F-FIRMA"/>
    <s v="1 "/>
    <s v="1=5 X 8"/>
    <s v="01/07/2025"/>
    <s v="TEMPO DETERMINATO"/>
    <s v="31/05/2027"/>
    <s v="0015002865                    "/>
    <s v="FANTUZZI MARILISA"/>
    <n v="57"/>
  </r>
  <r>
    <x v="0"/>
    <n v="1848"/>
    <s v="IL SOLE 24 ORE S.P.A.                   "/>
    <s v="G           "/>
    <s v="DG I&amp;T - DIR INFORMATION TECHNOLOGY"/>
    <s v="G02 "/>
    <x v="23"/>
    <s v="415110      "/>
    <s v="415110   SISTEMI INFORMATICI GESTIONALI"/>
    <s v="RESTELLI                        "/>
    <s v="ROBERTO           "/>
    <s v="RSTRRT69C06E648O"/>
    <x v="1"/>
    <s v="34"/>
    <x v="0"/>
    <s v="01/04/2021"/>
    <s v="MILANO                 "/>
    <s v="21"/>
    <x v="0"/>
    <s v="F"/>
    <x v="2"/>
    <s v="Q  "/>
    <s v="Q LIV. QUADRI                 "/>
    <s v="01/02/2001"/>
    <s v="18/08/2000"/>
    <s v="06/03/1969"/>
    <s v="A"/>
    <s v="A.IN FORZA"/>
    <s v="2  -VARIAZIONE SOCIETARIA     2"/>
    <s v=""/>
    <s v=" "/>
    <s v=""/>
    <s v=""/>
    <n v="1468"/>
    <s v="00"/>
    <n v="100"/>
    <s v="FULL TIME      100000000FF100-FULL TIME"/>
    <s v="01/02/2001"/>
    <s v=""/>
    <s v="  "/>
    <s v=""/>
    <s v="EV  "/>
    <s v="    "/>
    <s v=""/>
    <s v=""/>
    <s v="roberto.restelli@ilsole24ore.com                  "/>
    <s v="F"/>
    <s v="F-FIRMA"/>
    <s v="1 "/>
    <s v="1=5 X 8"/>
    <s v="01/06/2023"/>
    <s v="TEMPO DETERMINATO"/>
    <s v="31/12/2026"/>
    <s v="0015002865                    "/>
    <s v="FANTUZZI MARILISA"/>
    <n v="56"/>
  </r>
  <r>
    <x v="0"/>
    <n v="659"/>
    <s v="IL SOLE 24 ORE S.P.A.                   "/>
    <s v="G           "/>
    <s v="DG I&amp;T - DIR INFORMATION TECHNOLOGY"/>
    <s v="G02 "/>
    <x v="23"/>
    <s v="415110      "/>
    <s v="415110   SISTEMI INFORMATICI GESTIONALI"/>
    <s v="STOCCO                          "/>
    <s v="FILOMENA MARA     "/>
    <s v="STCFMN69S56A940Y"/>
    <x v="0"/>
    <s v="34"/>
    <x v="0"/>
    <s v="01/04/2021"/>
    <s v="MILANO                 "/>
    <s v="21"/>
    <x v="0"/>
    <s v="I"/>
    <x v="0"/>
    <s v="AS "/>
    <s v="AS LIV. IMPIEGATO             "/>
    <s v="01/02/1993"/>
    <s v="01/02/1993"/>
    <s v="16/11/1969"/>
    <s v="A"/>
    <s v="A.IN FORZA"/>
    <s v="1  -ASSUNZIONE                1"/>
    <s v=""/>
    <s v=" "/>
    <s v=""/>
    <s v=""/>
    <n v="482"/>
    <s v="00"/>
    <n v="100"/>
    <s v="FULL TIME      100000000FF100-FULL TIME"/>
    <s v="01/02/1993"/>
    <s v=""/>
    <s v="  "/>
    <s v=""/>
    <s v="EV  "/>
    <s v="    "/>
    <s v=""/>
    <s v=""/>
    <s v="mara.stocco@ilsole24ore.com                       "/>
    <s v="F"/>
    <s v="F-FIRMA"/>
    <s v="1 "/>
    <s v="1=5 X 8"/>
    <s v="01/10/2025"/>
    <s v="TEMPO DETERMINATO"/>
    <s v="31/05/2027"/>
    <s v="0015002865                    "/>
    <s v="FANTUZZI MARILISA"/>
    <n v="56"/>
  </r>
  <r>
    <x v="0"/>
    <n v="1822"/>
    <s v="IL SOLE 24 ORE S.P.A.                   "/>
    <s v="G           "/>
    <s v="DG I&amp;T - DIR INFORMATION TECHNOLOGY"/>
    <s v="G03 "/>
    <x v="24"/>
    <s v="415120      "/>
    <s v="415120   INFRASTRUTTURE E  IT NETWORKING"/>
    <s v="BENAGLIA                        "/>
    <s v="LORENZO           "/>
    <s v="BNGLNZ71H12M052S"/>
    <x v="1"/>
    <s v="34"/>
    <x v="0"/>
    <s v="01/04/2021"/>
    <s v="MILANO                 "/>
    <s v="21"/>
    <x v="0"/>
    <s v="I"/>
    <x v="0"/>
    <s v="AS "/>
    <s v="AS LIV. IMPIEGATO             "/>
    <s v="01/02/2001"/>
    <s v="01/06/2000"/>
    <s v="12/06/1971"/>
    <s v="A"/>
    <s v="A.IN FORZA"/>
    <s v="2  -VARIAZIONE SOCIETARIA     2"/>
    <s v=""/>
    <s v=" "/>
    <s v=""/>
    <s v=""/>
    <n v="1442"/>
    <s v="00"/>
    <n v="100"/>
    <s v="FULL TIME      100000000FF100-FULL TIME"/>
    <s v="01/02/2001"/>
    <s v=""/>
    <s v="  "/>
    <s v=""/>
    <s v="EV  "/>
    <s v="    "/>
    <s v=""/>
    <s v="C.I.S.L.           C.I.S.L"/>
    <s v="Lorenzo.Benaglia@ilsole24ore.com                  "/>
    <s v="F"/>
    <s v="F-FIRMA"/>
    <s v="1 "/>
    <s v="1=5 X 8"/>
    <s v="01/07/2025"/>
    <s v="TEMPO DETERMINATO"/>
    <s v="31/05/2027"/>
    <s v="0015003005                    "/>
    <s v="MARCHETTI SUSANNA"/>
    <n v="54"/>
  </r>
  <r>
    <x v="0"/>
    <n v="3056"/>
    <s v="IL SOLE 24 ORE S.P.A.                   "/>
    <s v="G           "/>
    <s v="DG I&amp;T - DIR INFORMATION TECHNOLOGY"/>
    <s v="G03 "/>
    <x v="24"/>
    <s v="415120      "/>
    <s v="415120   INFRASTRUTTURE E  IT NETWORKING"/>
    <s v="BERATTO                         "/>
    <s v="DARIO             "/>
    <s v="BRTDRA86S17F205Q"/>
    <x v="1"/>
    <s v="34"/>
    <x v="0"/>
    <s v="05/09/2022"/>
    <s v="MILANO                 "/>
    <s v="21"/>
    <x v="0"/>
    <s v="I"/>
    <x v="0"/>
    <s v="A  "/>
    <s v="A LIV. IMPIEGATO              "/>
    <s v="05/09/2022"/>
    <s v="05/09/2022"/>
    <s v="17/11/1986"/>
    <s v="A"/>
    <s v="A.IN FORZA"/>
    <s v="1  -ASSUNZIONE                1"/>
    <s v=""/>
    <s v=" "/>
    <s v=""/>
    <s v=""/>
    <n v="3056"/>
    <s v="00"/>
    <n v="100"/>
    <s v="FULL TIME      100000000FF100-FULL TIME"/>
    <s v="05/09/2022"/>
    <s v=""/>
    <s v="  "/>
    <s v=""/>
    <s v="EN  "/>
    <s v="    "/>
    <s v=""/>
    <s v=""/>
    <s v="dario.beratto@ilsole24ore.com                     "/>
    <s v="F"/>
    <s v="F-FIRMA"/>
    <s v="1 "/>
    <s v="1=5 X 8"/>
    <s v="01/07/2025"/>
    <s v="TEMPO DETERMINATO"/>
    <s v="31/05/2027"/>
    <s v="0015002775                    "/>
    <s v="FAVINI MAYLA"/>
    <n v="39"/>
  </r>
  <r>
    <x v="0"/>
    <n v="1310"/>
    <s v="IL SOLE 24 ORE S.P.A.                   "/>
    <s v="G           "/>
    <s v="DG I&amp;T - DIR INFORMATION TECHNOLOGY"/>
    <s v="G03 "/>
    <x v="24"/>
    <s v="415120      "/>
    <s v="415120   INFRASTRUTTURE E  IT NETWORKING"/>
    <s v="BONA                            "/>
    <s v="MATTEO            "/>
    <s v="BNOMTT72E24F205B"/>
    <x v="1"/>
    <s v="34"/>
    <x v="0"/>
    <s v="01/04/2021"/>
    <s v="MILANO                 "/>
    <s v="21"/>
    <x v="0"/>
    <s v="I"/>
    <x v="0"/>
    <s v="AS "/>
    <s v="AS LIV. IMPIEGATO             "/>
    <s v="15/10/1999"/>
    <s v="15/10/1999"/>
    <s v="24/05/1972"/>
    <s v="A"/>
    <s v="A.IN FORZA"/>
    <s v="1  -ASSUNZIONE                1"/>
    <s v=""/>
    <s v=" "/>
    <s v=""/>
    <s v=""/>
    <n v="1037"/>
    <s v="00"/>
    <n v="100"/>
    <s v="FULL TIME      100000000FF100-FULL TIME"/>
    <s v="15/10/1999"/>
    <s v=""/>
    <s v="  "/>
    <s v=""/>
    <s v="EV  "/>
    <s v="    "/>
    <s v=""/>
    <s v=""/>
    <s v="matteo.bona@ilsole24ore.com                       "/>
    <s v="F"/>
    <s v="F-FIRMA"/>
    <s v="1 "/>
    <s v="1=5 X 8"/>
    <s v="01/07/2025"/>
    <s v="TEMPO DETERMINATO"/>
    <s v="31/05/2027"/>
    <s v="0015002775                    "/>
    <s v="FAVINI MAYLA"/>
    <n v="53"/>
  </r>
  <r>
    <x v="0"/>
    <n v="2429"/>
    <s v="IL SOLE 24 ORE S.P.A.                   "/>
    <s v="G           "/>
    <s v="DG I&amp;T - DIR INFORMATION TECHNOLOGY"/>
    <s v="G03 "/>
    <x v="24"/>
    <s v="415120      "/>
    <s v="415120   INFRASTRUTTURE E  IT NETWORKING"/>
    <s v="BOSSI                           "/>
    <s v="MASSIMO           "/>
    <s v="BSSMSM68H01F205Z"/>
    <x v="1"/>
    <s v="34"/>
    <x v="0"/>
    <s v="01/04/2021"/>
    <s v="MILANO                 "/>
    <s v="21"/>
    <x v="0"/>
    <s v="I"/>
    <x v="0"/>
    <s v="A  "/>
    <s v="A LIV. IMPIEGATO              "/>
    <s v="01/09/1998"/>
    <s v="01/09/1998"/>
    <s v="01/06/1968"/>
    <s v="A"/>
    <s v="A.IN FORZA"/>
    <s v="1  -ASSUNZIONE                1"/>
    <s v=""/>
    <s v=" "/>
    <s v=""/>
    <s v=""/>
    <n v="2429"/>
    <s v="00"/>
    <n v="100"/>
    <s v="FULL TIME      100000000FF100-FULL TIME"/>
    <s v="01/09/1998"/>
    <s v=""/>
    <s v="  "/>
    <s v=""/>
    <s v="EV  "/>
    <s v="    "/>
    <s v=""/>
    <s v="C.G.I.L.           C.G.I.L"/>
    <s v="massimo.bossi@ilsole24ore.com                     "/>
    <s v="F"/>
    <s v="F-FIRMA"/>
    <s v="1 "/>
    <s v="1=5 X 8"/>
    <s v="01/07/2025"/>
    <s v="TEMPO DETERMINATO"/>
    <s v="31/05/2027"/>
    <s v="0015003056                    "/>
    <s v="BERATTO DARIO"/>
    <n v="57"/>
  </r>
  <r>
    <x v="0"/>
    <n v="1595"/>
    <s v="IL SOLE 24 ORE S.P.A.                   "/>
    <s v="G           "/>
    <s v="DG I&amp;T - DIR INFORMATION TECHNOLOGY"/>
    <s v="G03 "/>
    <x v="24"/>
    <s v="415120      "/>
    <s v="415120   INFRASTRUTTURE E  IT NETWORKING"/>
    <s v="ESPOSITO                        "/>
    <s v="SAVERIO ANTONIO   "/>
    <s v="SPSSRN66C26F205O"/>
    <x v="1"/>
    <s v="34"/>
    <x v="0"/>
    <s v="01/04/2021"/>
    <s v="MILANO                 "/>
    <s v="21"/>
    <x v="0"/>
    <s v="I"/>
    <x v="0"/>
    <s v="AS "/>
    <s v="AS LIV. IMPIEGATO             "/>
    <s v="14/07/2000"/>
    <s v="14/07/2000"/>
    <s v="26/03/1966"/>
    <s v="A"/>
    <s v="A.IN FORZA"/>
    <s v="1  -ASSUNZIONE                1"/>
    <s v=""/>
    <s v=" "/>
    <s v=""/>
    <s v=""/>
    <n v="1264"/>
    <s v="00"/>
    <n v="100"/>
    <s v="FULL TIME      100000000FF100-FULL TIME"/>
    <s v="14/07/2000"/>
    <s v=""/>
    <s v="  "/>
    <s v=""/>
    <s v="EV  "/>
    <s v="    "/>
    <s v=""/>
    <s v=""/>
    <s v="saverio.esposito@ilsole24ore.com                  "/>
    <s v="F"/>
    <s v="F-FIRMA"/>
    <s v="1 "/>
    <s v="1=5 X 8"/>
    <s v="01/07/2025"/>
    <s v="TEMPO DETERMINATO"/>
    <s v="31/05/2027"/>
    <s v="0015003123                    "/>
    <s v="BOROMEI PAOLA"/>
    <n v="59"/>
  </r>
  <r>
    <x v="0"/>
    <n v="3005"/>
    <s v="IL SOLE 24 ORE S.P.A.                   "/>
    <s v="G           "/>
    <s v="DG I&amp;T - DIR INFORMATION TECHNOLOGY"/>
    <s v="G03 "/>
    <x v="24"/>
    <s v="415120      "/>
    <s v="415120   INFRASTRUTTURE E  IT NETWORKING"/>
    <s v="MARCHETTI                       "/>
    <s v="SUSANNA           "/>
    <s v="MRCSNN79L68F952A"/>
    <x v="0"/>
    <s v="34"/>
    <x v="0"/>
    <s v="01/04/2021"/>
    <s v="MILANO                 "/>
    <s v="21"/>
    <x v="0"/>
    <s v="I"/>
    <x v="0"/>
    <s v="AS "/>
    <s v="AS LIV. IMPIEGATO             "/>
    <s v="01/10/2020"/>
    <s v="01/10/2020"/>
    <s v="28/07/1979"/>
    <s v="A"/>
    <s v="A.IN FORZA"/>
    <s v="1  -ASSUNZIONE                1"/>
    <s v=""/>
    <s v=" "/>
    <s v=""/>
    <s v=""/>
    <n v="3005"/>
    <s v="00"/>
    <n v="100"/>
    <s v="FULL TIME      100000000FF100-FULL TIME"/>
    <s v="01/10/2020"/>
    <s v=""/>
    <s v="  "/>
    <s v=""/>
    <s v="EV  "/>
    <s v="    "/>
    <s v=""/>
    <s v=""/>
    <s v="susanna.marchetti@ilsole24ore.com                 "/>
    <s v="F"/>
    <s v="F-FIRMA"/>
    <s v="1 "/>
    <s v="1=5 X 8"/>
    <s v="01/07/2025"/>
    <s v="TEMPO DETERMINATO"/>
    <s v="31/05/2027"/>
    <s v="0015002775                    "/>
    <s v="FAVINI MAYLA"/>
    <n v="46"/>
  </r>
  <r>
    <x v="0"/>
    <n v="3082"/>
    <s v="IL SOLE 24 ORE S.P.A.                   "/>
    <s v="G           "/>
    <s v="DG I&amp;T - DIR INFORMATION TECHNOLOGY"/>
    <s v="G03 "/>
    <x v="24"/>
    <s v="415120      "/>
    <s v="415120   INFRASTRUTTURE E  IT NETWORKING"/>
    <s v="PORTERA                         "/>
    <s v="THOMAS            "/>
    <s v="PRTTMS02L20D912Z"/>
    <x v="1"/>
    <s v="34"/>
    <x v="0"/>
    <s v="12/06/2023"/>
    <s v="MILANO                 "/>
    <s v="21"/>
    <x v="0"/>
    <s v="I"/>
    <x v="0"/>
    <s v="B1 "/>
    <s v="B1 LIV. IMPIEGATO             "/>
    <s v="12/06/2023"/>
    <s v="12/06/2023"/>
    <s v="20/07/2002"/>
    <s v="A"/>
    <s v="A.IN FORZA"/>
    <s v="1  -ASSUNZIONE                1"/>
    <s v=""/>
    <s v=" "/>
    <s v=""/>
    <s v=""/>
    <n v="3082"/>
    <s v="00"/>
    <n v="100"/>
    <s v="FULL TIME      100000000FF100-FULL TIME"/>
    <s v="12/06/2023"/>
    <s v=""/>
    <s v="  "/>
    <s v=""/>
    <s v="EN  "/>
    <s v="    "/>
    <s v=""/>
    <s v=""/>
    <s v="thomas.portera@ilsole24ore.com                    "/>
    <s v="F"/>
    <s v="F-FIRMA"/>
    <s v="1 "/>
    <s v="1=5 X 8"/>
    <s v="01/07/2025"/>
    <s v="TEMPO DETERMINATO"/>
    <s v="31/05/2027"/>
    <s v="0015001310                    "/>
    <s v="BONA MATTEO"/>
    <n v="23"/>
  </r>
  <r>
    <x v="0"/>
    <n v="1626"/>
    <s v="IL SOLE 24 ORE S.P.A.                   "/>
    <s v="G           "/>
    <s v="DG I&amp;T - DIR INFORMATION TECHNOLOGY"/>
    <s v="G03 "/>
    <x v="24"/>
    <s v="415120      "/>
    <s v="415120   INFRASTRUTTURE E  IT NETWORKING"/>
    <s v="SANTONI                         "/>
    <s v="FABRIZIO          "/>
    <s v="SNTFRZ67D11H501X"/>
    <x v="1"/>
    <s v="31"/>
    <x v="1"/>
    <s v="01/03/2010"/>
    <s v="ROMA                   "/>
    <s v="21"/>
    <x v="0"/>
    <s v="I"/>
    <x v="0"/>
    <s v="A  "/>
    <s v="A LIV. IMPIEGATO              "/>
    <s v="02/10/2000"/>
    <s v="02/10/2000"/>
    <s v="11/04/1967"/>
    <s v="A"/>
    <s v="A.IN FORZA"/>
    <s v="1  -ASSUNZIONE                1"/>
    <s v=""/>
    <s v=" "/>
    <s v=""/>
    <s v=""/>
    <n v="1289"/>
    <s v="00"/>
    <n v="100"/>
    <s v="FULL TIME      100000000FF100-FULL TIME"/>
    <s v="02/10/2000"/>
    <s v=""/>
    <s v="  "/>
    <s v=""/>
    <s v="EV  "/>
    <s v="    "/>
    <s v=""/>
    <s v=""/>
    <s v="fabrizio.santoni@ilsole24ore.com                  "/>
    <s v="F"/>
    <s v="F-FIRMA"/>
    <s v="1 "/>
    <s v="1=5 X 8"/>
    <s v="01/07/2025"/>
    <s v="TEMPO DETERMINATO"/>
    <s v="31/05/2027"/>
    <s v="0015003056                    "/>
    <s v="BERATTO DARIO"/>
    <n v="58"/>
  </r>
  <r>
    <x v="0"/>
    <n v="952"/>
    <s v="IL SOLE 24 ORE S.P.A.                   "/>
    <s v="G           "/>
    <s v="DG I&amp;T - DIR INFORMATION TECHNOLOGY"/>
    <s v="G03 "/>
    <x v="24"/>
    <s v="511100      "/>
    <s v="511100   SISTEMI EDITORIALI"/>
    <s v="DI CAGNO                        "/>
    <s v="ALESSANDRO        "/>
    <s v="DCGLSN68A02L219X"/>
    <x v="1"/>
    <s v="34"/>
    <x v="0"/>
    <s v="04/04/2022"/>
    <s v="MILANO                 "/>
    <s v="21"/>
    <x v="0"/>
    <s v="I"/>
    <x v="0"/>
    <s v="AS "/>
    <s v="AS LIV. IMPIEGATO             "/>
    <s v="04/11/1996"/>
    <s v="04/11/1996"/>
    <s v="02/01/1968"/>
    <s v="A"/>
    <s v="A.IN FORZA"/>
    <s v="1  -ASSUNZIONE                1"/>
    <s v=""/>
    <s v=" "/>
    <s v=""/>
    <s v=""/>
    <n v="731"/>
    <s v="00"/>
    <n v="100"/>
    <s v="FULL TIME      100000000FF100-FULL TIME"/>
    <s v="04/11/1996"/>
    <s v=""/>
    <s v="  "/>
    <s v=""/>
    <s v="EP  "/>
    <s v="    "/>
    <s v=""/>
    <s v="C.G.I.L.           C.G.I.L"/>
    <s v="alessandro.dicagno@ilsole24ore.com                "/>
    <s v="F"/>
    <s v="F-FIRMA"/>
    <s v="1 "/>
    <s v="1=5 X 8"/>
    <s v="01/07/2025"/>
    <s v="TEMPO DETERMINATO"/>
    <s v="31/05/2027"/>
    <s v="0015000884                    "/>
    <s v="FUMAGALLI ROBERTO"/>
    <n v="58"/>
  </r>
  <r>
    <x v="0"/>
    <n v="2775"/>
    <s v="IL SOLE 24 ORE S.P.A.                   "/>
    <s v="G           "/>
    <s v="DG I&amp;T - DIR INFORMATION TECHNOLOGY"/>
    <s v="G03 "/>
    <x v="24"/>
    <s v="511100      "/>
    <s v="511100   SISTEMI EDITORIALI"/>
    <s v="FAVINI                          "/>
    <s v="MAYLA             "/>
    <s v="FVNMYL82C62F205F"/>
    <x v="0"/>
    <s v="34"/>
    <x v="0"/>
    <s v="01/04/2021"/>
    <s v="MILANO                 "/>
    <s v="21"/>
    <x v="0"/>
    <s v="F"/>
    <x v="2"/>
    <s v="Q  "/>
    <s v="Q LIV. QUADRI                 "/>
    <s v="01/01/2014"/>
    <s v="02/01/2013"/>
    <s v="22/03/1982"/>
    <s v="A"/>
    <s v="A.IN FORZA"/>
    <s v="2  -VARIAZIONE SOCIETARIA     2"/>
    <s v=""/>
    <s v=" "/>
    <s v=""/>
    <s v=""/>
    <n v="2775"/>
    <s v="00"/>
    <n v="100"/>
    <s v="FULL TIME      100000000FF100-FULL TIME"/>
    <s v="02/01/2013"/>
    <s v=""/>
    <s v="  "/>
    <s v=""/>
    <s v="EV  "/>
    <s v="    "/>
    <s v=""/>
    <s v=""/>
    <s v="mayla.favini@ilsole24ore.com                      "/>
    <s v="F"/>
    <s v="F-FIRMA"/>
    <s v="1 "/>
    <s v="1=5 X 8"/>
    <s v="01/07/2025"/>
    <s v="TEMPO DETERMINATO"/>
    <s v="31/05/2027"/>
    <s v="0015003123                    "/>
    <s v="BOROMEI PAOLA"/>
    <n v="43"/>
  </r>
  <r>
    <x v="0"/>
    <n v="884"/>
    <s v="IL SOLE 24 ORE S.P.A.                   "/>
    <s v="G           "/>
    <s v="DG I&amp;T - DIR INFORMATION TECHNOLOGY"/>
    <s v="G03 "/>
    <x v="24"/>
    <s v="511100      "/>
    <s v="511100   SISTEMI EDITORIALI"/>
    <s v="FUMAGALLI                       "/>
    <s v="ROBERTO           "/>
    <s v="FMGRRT64C04F205K"/>
    <x v="1"/>
    <s v="34"/>
    <x v="0"/>
    <s v="01/04/2021"/>
    <s v="MILANO                 "/>
    <s v="25"/>
    <x v="3"/>
    <s v="I"/>
    <x v="0"/>
    <s v="09 "/>
    <s v="9 LIV. IMPIEGATO              "/>
    <s v="01/04/1996"/>
    <s v="01/04/1996"/>
    <s v="04/03/1964"/>
    <s v="A"/>
    <s v="A.IN FORZA"/>
    <s v="1  -ASSUNZIONE                1"/>
    <s v=""/>
    <s v=" "/>
    <s v=""/>
    <s v=""/>
    <n v="677"/>
    <s v="00"/>
    <n v="100"/>
    <s v="FULL TIME      100000000FF100-FULL TIME"/>
    <s v="01/04/1996"/>
    <s v=""/>
    <s v="  "/>
    <s v=""/>
    <s v="PSO "/>
    <s v="    "/>
    <s v=""/>
    <s v="U.I.L.             U.I.L"/>
    <s v="roberto.fumagalli@ilsole24ore.com                 "/>
    <s v="F"/>
    <s v="F-FIRMA"/>
    <s v="3 "/>
    <s v="3=5 X 7"/>
    <s v="01/07/2025"/>
    <s v="TEMPO DETERMINATO"/>
    <s v="31/05/2027"/>
    <s v="0015002775                    "/>
    <s v="FAVINI MAYLA"/>
    <n v="61"/>
  </r>
  <r>
    <x v="0"/>
    <n v="1839"/>
    <s v="IL SOLE 24 ORE S.P.A.                   "/>
    <s v="G           "/>
    <s v="DG I&amp;T - DIR INFORMATION TECHNOLOGY"/>
    <s v="G03 "/>
    <x v="24"/>
    <s v="511100      "/>
    <s v="511100   SISTEMI EDITORIALI"/>
    <s v="MASTROGIOVANNI                  "/>
    <s v="GIOVANNI          "/>
    <s v="MSTGNN65M24H703N"/>
    <x v="1"/>
    <s v="31"/>
    <x v="1"/>
    <s v="01/04/2025"/>
    <s v="ROMA                   "/>
    <s v="21"/>
    <x v="0"/>
    <s v="F"/>
    <x v="2"/>
    <s v="Q  "/>
    <s v="Q LIV. QUADRI                 "/>
    <s v="01/02/2001"/>
    <s v="02/10/2000"/>
    <s v="24/08/1965"/>
    <s v="A"/>
    <s v="A.IN FORZA"/>
    <s v="2  -VARIAZIONE SOCIETARIA     2"/>
    <s v=""/>
    <s v=" "/>
    <s v=""/>
    <s v=""/>
    <n v="1459"/>
    <s v="00"/>
    <n v="100"/>
    <s v="FULL TIME      100000000FF100-FULL TIME"/>
    <s v="01/02/2001"/>
    <s v=""/>
    <s v="  "/>
    <s v=""/>
    <s v="EV  "/>
    <s v="    "/>
    <s v=""/>
    <s v=""/>
    <s v="giovanni.mastrogiovanni@ilsole24ore.com           "/>
    <s v="F"/>
    <s v="F-FIRMA"/>
    <s v="1 "/>
    <s v="1=5 X 8"/>
    <s v="01/07/2025"/>
    <s v="TEMPO DETERMINATO"/>
    <s v="31/05/2027"/>
    <s v="0015002775                    "/>
    <s v="FAVINI MAYLA"/>
    <n v="60"/>
  </r>
  <r>
    <x v="0"/>
    <n v="2367"/>
    <s v="IL SOLE 24 ORE S.P.A.                   "/>
    <s v="G           "/>
    <s v="DG I&amp;T - DIR INFORMATION TECHNOLOGY"/>
    <s v="G03 "/>
    <x v="24"/>
    <s v="511100      "/>
    <s v="511100   SISTEMI EDITORIALI"/>
    <s v="NARDELLO                        "/>
    <s v="FELICE            "/>
    <s v="NRDFLC75S22F205P"/>
    <x v="1"/>
    <s v="34"/>
    <x v="0"/>
    <s v="01/04/2021"/>
    <s v="MILANO                 "/>
    <s v="25"/>
    <x v="3"/>
    <s v="I"/>
    <x v="0"/>
    <s v="09 "/>
    <s v="9 LIV. IMPIEGATO              "/>
    <s v="18/05/2009"/>
    <s v="18/05/2009"/>
    <s v="22/11/1975"/>
    <s v="A"/>
    <s v="A.IN FORZA"/>
    <s v="1  -ASSUNZIONE                1"/>
    <s v=""/>
    <s v=" "/>
    <s v=""/>
    <s v=""/>
    <n v="1763"/>
    <s v="00"/>
    <n v="100"/>
    <s v="FULL TIME      100000000FF100-FULL TIME"/>
    <s v="18/05/2009"/>
    <s v=""/>
    <s v="  "/>
    <s v=""/>
    <s v="PSO "/>
    <s v="    "/>
    <s v=""/>
    <s v="U.I.L.             U.I.L"/>
    <s v="felice.nardello@ilsole24ore.com                   "/>
    <s v="F"/>
    <s v="F-FIRMA"/>
    <s v="3 "/>
    <s v="3=5 X 7"/>
    <s v="01/07/2025"/>
    <s v="TEMPO DETERMINATO"/>
    <s v="31/05/2027"/>
    <s v="0015000884                    "/>
    <s v="FUMAGALLI ROBERTO"/>
    <n v="50"/>
  </r>
  <r>
    <x v="0"/>
    <n v="1638"/>
    <s v="IL SOLE 24 ORE S.P.A.                   "/>
    <s v="G           "/>
    <s v="DG I&amp;T - DIR INFORMATION TECHNOLOGY"/>
    <s v="G03 "/>
    <x v="24"/>
    <s v="511100      "/>
    <s v="511100   SISTEMI EDITORIALI"/>
    <s v="RONCORONI                       "/>
    <s v="CARLO             "/>
    <s v="RNCCRL71S15E951R"/>
    <x v="1"/>
    <s v="34"/>
    <x v="0"/>
    <s v="01/04/2021"/>
    <s v="MILANO                 "/>
    <s v="25"/>
    <x v="3"/>
    <s v="I"/>
    <x v="0"/>
    <s v="09 "/>
    <s v="9 LIV. IMPIEGATO              "/>
    <s v="01/11/2000"/>
    <s v="01/11/2000"/>
    <s v="15/11/1971"/>
    <s v="A"/>
    <s v="A.IN FORZA"/>
    <s v="1  -ASSUNZIONE                1"/>
    <s v=""/>
    <s v=" "/>
    <s v=""/>
    <s v=""/>
    <n v="1299"/>
    <s v="00"/>
    <n v="100"/>
    <s v="FULL TIME      100000000FF100-FULL TIME"/>
    <s v="01/11/2000"/>
    <s v=""/>
    <s v="  "/>
    <s v=""/>
    <s v="PSO "/>
    <s v="    "/>
    <s v=""/>
    <s v="U.I.L.             U.I.L"/>
    <s v="carlo.roncoroni@ilsole24ore.com                   "/>
    <s v="T"/>
    <s v="T-TIMBRA"/>
    <s v="3 "/>
    <s v="3=5 X 7"/>
    <s v="01/07/2025"/>
    <s v="TEMPO DETERMINATO"/>
    <s v="31/05/2027"/>
    <s v="0015000884                    "/>
    <s v="FUMAGALLI ROBERTO"/>
    <n v="54"/>
  </r>
  <r>
    <x v="0"/>
    <n v="3057"/>
    <s v="IL SOLE 24 ORE S.P.A.                   "/>
    <s v="G           "/>
    <s v="DG I&amp;T - DIR INFORMATION TECHNOLOGY"/>
    <s v="G03 "/>
    <x v="24"/>
    <s v="511100      "/>
    <s v="511100   SISTEMI EDITORIALI"/>
    <s v="VERROCA                         "/>
    <s v="MARIANO           "/>
    <s v="VRRMRN88M31L328Z"/>
    <x v="1"/>
    <s v="34"/>
    <x v="0"/>
    <s v="05/09/2022"/>
    <s v="MILANO                 "/>
    <s v="21"/>
    <x v="0"/>
    <s v="I"/>
    <x v="0"/>
    <s v="A  "/>
    <s v="A LIV. IMPIEGATO              "/>
    <s v="05/09/2022"/>
    <s v="05/09/2022"/>
    <s v="31/08/1988"/>
    <s v="A"/>
    <s v="A.IN FORZA"/>
    <s v="1  -ASSUNZIONE                1"/>
    <s v=""/>
    <s v=" "/>
    <s v=""/>
    <s v=""/>
    <n v="3057"/>
    <s v="00"/>
    <n v="100"/>
    <s v="FULL TIME      100000000FF100-FULL TIME"/>
    <s v="05/09/2022"/>
    <s v=""/>
    <s v="  "/>
    <s v=""/>
    <s v="EN  "/>
    <s v="    "/>
    <s v=""/>
    <s v=""/>
    <s v="mariano.verroca@ilsole24ore.com                   "/>
    <s v="F"/>
    <s v="F-FIRMA"/>
    <s v="1 "/>
    <s v="1=5 X 8"/>
    <s v="01/07/2025"/>
    <s v="TEMPO DETERMINATO"/>
    <s v="31/05/2027"/>
    <s v="0015000884                    "/>
    <s v="FUMAGALLI ROBERTO"/>
    <n v="37"/>
  </r>
  <r>
    <x v="0"/>
    <n v="3017"/>
    <s v="IL SOLE 24 ORE S.P.A.                   "/>
    <s v="G           "/>
    <s v="DG I&amp;T - DIR INFORMATION TECHNOLOGY"/>
    <s v="G05 "/>
    <x v="25"/>
    <s v="415200      "/>
    <s v="415200   E-COMMERCE &amp; DIGITAL TRANSFORMA"/>
    <s v="CALLARI                         "/>
    <s v="ANGELO            "/>
    <s v="CLLNGL93A20I754W"/>
    <x v="1"/>
    <s v="34"/>
    <x v="0"/>
    <s v="24/06/2021"/>
    <s v="MILANO                 "/>
    <s v="21"/>
    <x v="0"/>
    <s v="I"/>
    <x v="0"/>
    <s v="A  "/>
    <s v="A LIV. IMPIEGATO              "/>
    <s v="24/06/2021"/>
    <s v="24/06/2021"/>
    <s v="20/01/1993"/>
    <s v="A"/>
    <s v="A.IN FORZA"/>
    <s v="1  -ASSUNZIONE                1"/>
    <s v=""/>
    <s v=" "/>
    <s v=""/>
    <s v=""/>
    <n v="3017"/>
    <s v="00"/>
    <n v="100"/>
    <s v="FULL TIME      100000000FF100-FULL TIME"/>
    <s v="24/06/2021"/>
    <s v=""/>
    <s v="  "/>
    <s v=""/>
    <s v="EN  "/>
    <s v="    "/>
    <s v=""/>
    <s v=""/>
    <s v="angelo.callari@ilsole24ore.com                    "/>
    <s v="F"/>
    <s v="F-FIRMA"/>
    <s v="1 "/>
    <s v="1=5 X 8"/>
    <s v="01/07/2025"/>
    <s v="TEMPO DETERMINATO"/>
    <s v="31/05/2027"/>
    <s v="0015000897                    "/>
    <s v="CANTATORE GIANFRANCO"/>
    <n v="33"/>
  </r>
  <r>
    <x v="0"/>
    <n v="897"/>
    <s v="IL SOLE 24 ORE S.P.A.                   "/>
    <s v="G           "/>
    <s v="DG I&amp;T - DIR INFORMATION TECHNOLOGY"/>
    <s v="G05 "/>
    <x v="25"/>
    <s v="415200      "/>
    <s v="415200   E-COMMERCE &amp; DIGITAL TRANSFORMA"/>
    <s v="CANTATORE                       "/>
    <s v="GIANFRANCO        "/>
    <s v="CNTGFR69R02F704G"/>
    <x v="1"/>
    <s v="34"/>
    <x v="0"/>
    <s v="01/04/2021"/>
    <s v="MILANO                 "/>
    <s v="21"/>
    <x v="0"/>
    <s v="F"/>
    <x v="2"/>
    <s v="Q  "/>
    <s v="Q LIV. QUADRI                 "/>
    <s v="13/05/1996"/>
    <s v="13/05/1996"/>
    <s v="02/10/1969"/>
    <s v="A"/>
    <s v="A.IN FORZA"/>
    <s v="1  -ASSUNZIONE                1"/>
    <s v=""/>
    <s v=" "/>
    <s v=""/>
    <s v=""/>
    <n v="687"/>
    <s v="00"/>
    <n v="100"/>
    <s v="FULL TIME      100000000FF100-FULL TIME"/>
    <s v="13/05/1996"/>
    <s v=""/>
    <s v="  "/>
    <s v=""/>
    <s v="EV  "/>
    <s v="    "/>
    <s v=""/>
    <s v=""/>
    <s v="Gianfranco.Cantatore@ilsole24ore.com              "/>
    <s v="F"/>
    <s v="F-FIRMA"/>
    <s v="1 "/>
    <s v="1=5 X 8"/>
    <s v="01/07/2025"/>
    <s v="TEMPO DETERMINATO"/>
    <s v="31/05/2027"/>
    <s v="0015003123                    "/>
    <s v="BOROMEI PAOLA"/>
    <n v="56"/>
  </r>
  <r>
    <x v="0"/>
    <n v="3134"/>
    <s v="IL SOLE 24 ORE S.P.A.                   "/>
    <s v="G           "/>
    <s v="DG I&amp;T - DIR INFORMATION TECHNOLOGY"/>
    <s v="G05 "/>
    <x v="25"/>
    <s v="415200      "/>
    <s v="415200   E-COMMERCE &amp; DIGITAL TRANSFORMA"/>
    <s v="EISA                            "/>
    <s v="YEHIA MOHAMED HASS"/>
    <s v="SEIYMH86E16Z336C"/>
    <x v="1"/>
    <s v="34"/>
    <x v="0"/>
    <s v="02/09/2024"/>
    <s v="MILANO                 "/>
    <s v="21"/>
    <x v="0"/>
    <s v="I"/>
    <x v="0"/>
    <s v="A  "/>
    <s v="A LIV. IMPIEGATO              "/>
    <s v="02/09/2024"/>
    <s v="02/09/2024"/>
    <s v="16/05/1986"/>
    <s v="A"/>
    <s v="A.IN FORZA"/>
    <s v="1  -ASSUNZIONE                1"/>
    <s v=""/>
    <s v=" "/>
    <s v=""/>
    <s v=""/>
    <n v="3134"/>
    <s v="00"/>
    <n v="100"/>
    <s v="FULL TIME      100000000FF100-FULL TIME"/>
    <s v="02/09/2024"/>
    <s v=""/>
    <s v="  "/>
    <s v=""/>
    <s v="EN  "/>
    <s v="    "/>
    <s v=""/>
    <s v=""/>
    <s v="yehia.eisa@ilsole24ore.com                        "/>
    <s v="F"/>
    <s v="F-FIRMA"/>
    <s v="1 "/>
    <s v="1=5 X 8"/>
    <s v="01/07/2025"/>
    <s v="TEMPO DETERMINATO"/>
    <s v="31/05/2027"/>
    <s v="0015000897                    "/>
    <s v="CANTATORE GIANFRANCO"/>
    <n v="39"/>
  </r>
  <r>
    <x v="0"/>
    <n v="1840"/>
    <s v="IL SOLE 24 ORE S.P.A.                   "/>
    <s v="G           "/>
    <s v="DG I&amp;T - DIR INFORMATION TECHNOLOGY"/>
    <s v="G05 "/>
    <x v="25"/>
    <s v="415230      "/>
    <s v="415230   PROD. AREA PROF.LE E GEST.PIATT"/>
    <s v="MICELI                          "/>
    <s v="GIULIA SABINA     "/>
    <s v="MCLGSB70S55F943X"/>
    <x v="0"/>
    <s v="31"/>
    <x v="1"/>
    <s v="18/05/2009"/>
    <s v="ROMA                   "/>
    <s v="21"/>
    <x v="0"/>
    <s v="I"/>
    <x v="0"/>
    <s v="AS "/>
    <s v="AS LIV. IMPIEGATO             "/>
    <s v="01/02/2001"/>
    <s v="10/07/2000"/>
    <s v="15/11/1970"/>
    <s v="A"/>
    <s v="A.IN FORZA"/>
    <s v="2  -VARIAZIONE SOCIETARIA     2"/>
    <s v=""/>
    <s v=" "/>
    <s v=""/>
    <s v=""/>
    <n v="1460"/>
    <s v="00"/>
    <n v="100"/>
    <s v="FULL TIME      100000000FF100-FULL TIME"/>
    <s v="01/01/2010"/>
    <s v=""/>
    <s v="  "/>
    <s v=""/>
    <s v="EV  "/>
    <s v="    "/>
    <s v=""/>
    <s v=""/>
    <s v="giulia.miceli@ilsole24ore.com                     "/>
    <s v="F"/>
    <s v="F-FIRMA"/>
    <s v="1 "/>
    <s v="1=5 X 8"/>
    <s v="01/07/2025"/>
    <s v="TEMPO DETERMINATO"/>
    <s v="31/05/2027"/>
    <s v="0015001841                    "/>
    <s v="ORLANDI MARIO"/>
    <n v="55"/>
  </r>
  <r>
    <x v="0"/>
    <n v="1841"/>
    <s v="IL SOLE 24 ORE S.P.A.                   "/>
    <s v="G           "/>
    <s v="DG I&amp;T - DIR INFORMATION TECHNOLOGY"/>
    <s v="G05 "/>
    <x v="25"/>
    <s v="415230      "/>
    <s v="415230   PROD. AREA PROF.LE E GEST.PIATT"/>
    <s v="ORLANDI                         "/>
    <s v="MARIO             "/>
    <s v="RLNMRA69P05A662V"/>
    <x v="1"/>
    <s v="31"/>
    <x v="1"/>
    <s v="01/05/2010"/>
    <s v="ROMA                   "/>
    <s v="21"/>
    <x v="0"/>
    <s v="F"/>
    <x v="2"/>
    <s v="Q  "/>
    <s v="Q LIV. QUADRI                 "/>
    <s v="01/02/2001"/>
    <s v="16/04/1999"/>
    <s v="05/09/1969"/>
    <s v="A"/>
    <s v="A.IN FORZA"/>
    <s v="2  -VARIAZIONE SOCIETARIA     2"/>
    <s v=""/>
    <s v=" "/>
    <s v=""/>
    <s v=""/>
    <n v="1461"/>
    <s v="00"/>
    <n v="100"/>
    <s v="FULL TIME      100000000FF100-FULL TIME"/>
    <s v="01/02/2001"/>
    <s v=""/>
    <s v="  "/>
    <s v=""/>
    <s v="EV  "/>
    <s v="    "/>
    <s v=""/>
    <s v=""/>
    <s v="mario.orlandi@ilsole24ore.com                     "/>
    <s v="F"/>
    <s v="F-FIRMA"/>
    <s v="1 "/>
    <s v="1=5 X 8"/>
    <s v="01/07/2025"/>
    <s v="TEMPO DETERMINATO"/>
    <s v="31/05/2027"/>
    <s v="0015003123                    "/>
    <s v="BOROMEI PAOLA"/>
    <n v="56"/>
  </r>
  <r>
    <x v="0"/>
    <n v="1845"/>
    <s v="IL SOLE 24 ORE S.P.A.                   "/>
    <s v="G           "/>
    <s v="DG I&amp;T - DIR INFORMATION TECHNOLOGY"/>
    <s v="G05 "/>
    <x v="25"/>
    <s v="415230      "/>
    <s v="415230   PROD. AREA PROF.LE E GEST.PIATT"/>
    <s v="POLIDORO                        "/>
    <s v="DOMENICO          "/>
    <s v="PLDDNC66M18A345Z"/>
    <x v="1"/>
    <s v="31"/>
    <x v="1"/>
    <s v="04/04/2022"/>
    <s v="ROMA                   "/>
    <s v="21"/>
    <x v="0"/>
    <s v="I"/>
    <x v="0"/>
    <s v="AS "/>
    <s v="AS LIV. IMPIEGATO             "/>
    <s v="01/02/2001"/>
    <s v="15/12/1999"/>
    <s v="18/08/1966"/>
    <s v="A"/>
    <s v="A.IN FORZA"/>
    <s v="2  -VARIAZIONE SOCIETARIA     2"/>
    <s v=""/>
    <s v=" "/>
    <s v=""/>
    <s v=""/>
    <n v="1465"/>
    <s v="00"/>
    <n v="100"/>
    <s v="FULL TIME      100000000FF100-FULL TIME"/>
    <s v="01/02/2001"/>
    <s v=""/>
    <s v="  "/>
    <s v=""/>
    <s v="EV  "/>
    <s v="    "/>
    <s v=""/>
    <s v="NON ISCRITTO       NON ISCRITTO"/>
    <s v="domenico.polidoro@ilsole24ore.com                 "/>
    <s v="F"/>
    <s v="F-FIRMA"/>
    <s v="1 "/>
    <s v="1=5 X 8"/>
    <s v="01/01/2025"/>
    <s v="TEMPO DETERMINATO"/>
    <s v="31/12/2026"/>
    <s v="0015001841                    "/>
    <s v="ORLANDI MARIO"/>
    <n v="59"/>
  </r>
  <r>
    <x v="0"/>
    <n v="1242"/>
    <s v="IL SOLE 24 ORE S.P.A.                   "/>
    <s v="G           "/>
    <s v="DG I&amp;T - DIR INFORMATION TECHNOLOGY"/>
    <s v="G05 "/>
    <x v="25"/>
    <s v="415230      "/>
    <s v="415230   PROD. AREA PROF.LE E GEST.PIATT"/>
    <s v="RUSSI                           "/>
    <s v="GIOVANBATTISTA    "/>
    <s v="RSSGNB69S20H501U"/>
    <x v="1"/>
    <s v="31"/>
    <x v="1"/>
    <s v="01/05/2010"/>
    <s v="ROMA                   "/>
    <s v="21"/>
    <x v="0"/>
    <s v="I"/>
    <x v="0"/>
    <s v="AS "/>
    <s v="AS LIV. IMPIEGATO             "/>
    <s v="01/04/1999"/>
    <s v="01/04/1999"/>
    <s v="20/11/1969"/>
    <s v="A"/>
    <s v="A.IN FORZA"/>
    <s v="1  -ASSUNZIONE                1"/>
    <s v=""/>
    <s v=" "/>
    <s v=""/>
    <s v=""/>
    <n v="981"/>
    <s v="00"/>
    <n v="100"/>
    <s v="FULL TIME      100000000FF100-FULL TIME"/>
    <s v="01/04/1999"/>
    <s v=""/>
    <s v="  "/>
    <s v=""/>
    <s v="EP  "/>
    <s v="    "/>
    <s v=""/>
    <s v=""/>
    <s v="giovanbattista.russi@ilsole24ore.com              "/>
    <s v="F"/>
    <s v="F-FIRMA"/>
    <s v="1 "/>
    <s v="1=5 X 8"/>
    <s v="01/07/2025"/>
    <s v="TEMPO DETERMINATO"/>
    <s v="31/05/2027"/>
    <s v="0015001841                    "/>
    <s v="ORLANDI MARIO"/>
    <n v="56"/>
  </r>
  <r>
    <x v="0"/>
    <n v="871"/>
    <s v="IL SOLE 24 ORE S.P.A.                   "/>
    <s v="G           "/>
    <s v="DG I&amp;T - DIR INFORMATION TECHNOLOGY"/>
    <s v="G05 "/>
    <x v="25"/>
    <s v="41530001    "/>
    <s v="41530001 PRODOTTI PUBLISHING &amp; DIGITAL"/>
    <s v="AIELLO                          "/>
    <s v="ROSARIO           "/>
    <s v="LLARSR65T22D122J"/>
    <x v="1"/>
    <s v="34"/>
    <x v="0"/>
    <s v="01/04/2021"/>
    <s v="MILANO                 "/>
    <s v="21"/>
    <x v="0"/>
    <s v="F"/>
    <x v="2"/>
    <s v="Q  "/>
    <s v="Q LIV. QUADRI                 "/>
    <s v="15/11/1995"/>
    <s v="15/11/1995"/>
    <s v="22/12/1965"/>
    <s v="A"/>
    <s v="A.IN FORZA"/>
    <s v="1  -ASSUNZIONE                1"/>
    <s v=""/>
    <s v=" "/>
    <s v=""/>
    <s v=""/>
    <n v="666"/>
    <s v="00"/>
    <n v="100"/>
    <s v="FULL TIME      100000000FF100-FULL TIME"/>
    <s v="15/11/1995"/>
    <s v=""/>
    <s v="  "/>
    <s v=""/>
    <s v="EV  "/>
    <s v="    "/>
    <s v=""/>
    <s v=""/>
    <s v="rosario.aiello@ilsole24ore.com                    "/>
    <s v="F"/>
    <s v="F-FIRMA"/>
    <s v="1 "/>
    <s v="1=5 X 8"/>
    <s v="01/07/2025"/>
    <s v="TEMPO DETERMINATO"/>
    <s v="31/05/2027"/>
    <s v="0015001592                    "/>
    <s v="DONNA MARCO"/>
    <n v="60"/>
  </r>
  <r>
    <x v="0"/>
    <n v="1592"/>
    <s v="IL SOLE 24 ORE S.P.A.                   "/>
    <s v="G           "/>
    <s v="DG I&amp;T - DIR INFORMATION TECHNOLOGY"/>
    <s v="G05 "/>
    <x v="25"/>
    <s v="41530001    "/>
    <s v="41530001 PRODOTTI PUBLISHING &amp; DIGITAL"/>
    <s v="DONNA                           "/>
    <s v="MARCO             "/>
    <s v="DNNMRC74B04L219A"/>
    <x v="1"/>
    <s v="34"/>
    <x v="0"/>
    <s v="01/04/2021"/>
    <s v="MILANO                 "/>
    <s v="21"/>
    <x v="0"/>
    <s v="F"/>
    <x v="2"/>
    <s v="Q  "/>
    <s v="Q LIV. QUADRI                 "/>
    <s v="10/07/2000"/>
    <s v="10/07/2000"/>
    <s v="04/02/1974"/>
    <s v="A"/>
    <s v="A.IN FORZA"/>
    <s v="1  -ASSUNZIONE                1"/>
    <s v=""/>
    <s v=" "/>
    <s v=""/>
    <s v=""/>
    <n v="1261"/>
    <s v="00"/>
    <n v="100"/>
    <s v="FULL TIME      100000000FF100-FULL TIME"/>
    <s v="10/07/2000"/>
    <s v=""/>
    <s v="  "/>
    <s v=""/>
    <s v="EV  "/>
    <s v="    "/>
    <s v=""/>
    <s v=""/>
    <s v="marco.donna@ilsole24ore.com                       "/>
    <s v="F"/>
    <s v="F-FIRMA"/>
    <s v="1 "/>
    <s v="1=5 X 8"/>
    <s v="01/07/2025"/>
    <s v="TEMPO DETERMINATO"/>
    <s v="31/05/2027"/>
    <s v="0015003123                    "/>
    <s v="BOROMEI PAOLA"/>
    <n v="51"/>
  </r>
  <r>
    <x v="0"/>
    <n v="3097"/>
    <s v="IL SOLE 24 ORE S.P.A.                   "/>
    <s v="G           "/>
    <s v="DG I&amp;T - DIR INFORMATION TECHNOLOGY"/>
    <s v="G05 "/>
    <x v="25"/>
    <s v="41530001    "/>
    <s v="41530001 PRODOTTI PUBLISHING &amp; DIGITAL"/>
    <s v="MONTEMEZZANI                    "/>
    <s v="CHIARA            "/>
    <s v="MNTCHR88B51E648Z"/>
    <x v="0"/>
    <s v="34"/>
    <x v="0"/>
    <s v="02/10/2023"/>
    <s v="MILANO                 "/>
    <s v="21"/>
    <x v="0"/>
    <s v="I"/>
    <x v="0"/>
    <s v="AS "/>
    <s v="AS LIV. IMPIEGATO             "/>
    <s v="02/10/2023"/>
    <s v="02/10/2023"/>
    <s v="11/02/1988"/>
    <s v="A"/>
    <s v="A.IN FORZA"/>
    <s v="1  -ASSUNZIONE                1"/>
    <s v=""/>
    <s v=" "/>
    <s v=""/>
    <s v=""/>
    <n v="3097"/>
    <s v="00"/>
    <n v="100"/>
    <s v="FULL TIME      100000000FF100-FULL TIME"/>
    <s v="02/10/2023"/>
    <s v=""/>
    <s v="  "/>
    <s v=""/>
    <s v="EN  "/>
    <s v="    "/>
    <s v=""/>
    <s v=""/>
    <s v="chiara.montemezzani@ilsole24ore.com               "/>
    <s v="F"/>
    <s v="F-FIRMA"/>
    <s v="1 "/>
    <s v="1=5 X 8"/>
    <s v="01/01/2025"/>
    <s v="TEMPO DETERMINATO"/>
    <s v="31/12/2026"/>
    <s v="0015001592                    "/>
    <s v="DONNA MARCO"/>
    <n v="37"/>
  </r>
  <r>
    <x v="0"/>
    <n v="3049"/>
    <s v="IL SOLE 24 ORE S.P.A.                   "/>
    <s v="G           "/>
    <s v="DG I&amp;T - DIR INFORMATION TECHNOLOGY"/>
    <s v="G05 "/>
    <x v="25"/>
    <s v="41530001    "/>
    <s v="41530001 PRODOTTI PUBLISHING &amp; DIGITAL"/>
    <s v="NARDINI                         "/>
    <s v="EMANUELE          "/>
    <s v="NRDMNL74T10D612S"/>
    <x v="1"/>
    <s v="34"/>
    <x v="0"/>
    <s v="15/07/2022"/>
    <s v="MILANO                 "/>
    <s v="21"/>
    <x v="0"/>
    <s v="I"/>
    <x v="0"/>
    <s v="AS "/>
    <s v="AS LIV. IMPIEGATO             "/>
    <s v="15/07/2022"/>
    <s v="15/07/2022"/>
    <s v="10/12/1974"/>
    <s v="A"/>
    <s v="A.IN FORZA"/>
    <s v="1  -ASSUNZIONE                1"/>
    <s v=""/>
    <s v=" "/>
    <s v=""/>
    <s v=""/>
    <n v="3049"/>
    <s v="00"/>
    <n v="100"/>
    <s v="FULL TIME      100000000FF100-FULL TIME"/>
    <s v="15/07/2022"/>
    <s v=""/>
    <s v="  "/>
    <s v=""/>
    <s v="EN  "/>
    <s v="    "/>
    <s v=""/>
    <s v=""/>
    <s v="emanuele.nardini@ilsole24ore.com                  "/>
    <s v="F"/>
    <s v="F-FIRMA"/>
    <s v="1 "/>
    <s v="1=5 X 8"/>
    <s v="01/07/2025"/>
    <s v="TEMPO DETERMINATO"/>
    <s v="31/05/2027"/>
    <s v="0015001592                    "/>
    <s v="DONNA MARCO"/>
    <n v="51"/>
  </r>
  <r>
    <x v="0"/>
    <n v="1437"/>
    <s v="IL SOLE 24 ORE S.P.A.                   "/>
    <s v="G           "/>
    <s v="DG I&amp;T - DIR INFORMATION TECHNOLOGY"/>
    <s v="G05 "/>
    <x v="25"/>
    <s v="41530020    "/>
    <s v="41530020 CONTROLLO QUALITA'"/>
    <s v="CONTALDO                        "/>
    <s v="EMANUELE          "/>
    <s v="CNTMNL75H14L182S"/>
    <x v="1"/>
    <s v="31"/>
    <x v="1"/>
    <s v="01/07/2011"/>
    <s v="ROMA                   "/>
    <s v="21"/>
    <x v="0"/>
    <s v="I"/>
    <x v="0"/>
    <s v="AS "/>
    <s v="AS LIV. IMPIEGATO             "/>
    <s v="15/12/1999"/>
    <s v="15/12/1999"/>
    <s v="14/06/1975"/>
    <s v="A"/>
    <s v="A.IN FORZA"/>
    <s v="1  -ASSUNZIONE                1"/>
    <s v=""/>
    <s v=" "/>
    <s v=""/>
    <s v=""/>
    <n v="1139"/>
    <s v="00"/>
    <n v="100"/>
    <s v="FULL TIME      100000000FF100-FULL TIME"/>
    <s v="15/12/1999"/>
    <s v=""/>
    <s v="  "/>
    <s v=""/>
    <s v="EP  "/>
    <s v="    "/>
    <s v=""/>
    <s v="C.G.I.L.           C.G.I.L"/>
    <s v="emanuele.contaldo@ilsole24ore.com                 "/>
    <s v="F"/>
    <s v="F-FIRMA"/>
    <s v="1 "/>
    <s v="1=5 X 8"/>
    <s v="01/07/2025"/>
    <s v="TEMPO DETERMINATO"/>
    <s v="31/05/2027"/>
    <s v="0015003123                    "/>
    <s v="BOROMEI PAOLA"/>
    <n v="50"/>
  </r>
  <r>
    <x v="0"/>
    <n v="1685"/>
    <s v="IL SOLE 24 ORE S.P.A.                   "/>
    <s v="G           "/>
    <s v="DG I&amp;T - DIR INFORMATION TECHNOLOGY"/>
    <s v="G08 "/>
    <x v="26"/>
    <s v="B13000      "/>
    <s v="B13000   BUSINESS DATA MANAGEMENT"/>
    <s v="CICCHETTI                       "/>
    <s v="MAURO             "/>
    <s v="CCCMRA67A20H501A"/>
    <x v="1"/>
    <s v="34"/>
    <x v="0"/>
    <s v="01/04/2021"/>
    <s v="MILANO                 "/>
    <s v="21"/>
    <x v="0"/>
    <s v="F"/>
    <x v="2"/>
    <s v="Q  "/>
    <s v="Q LIV. QUADRI                 "/>
    <s v="04/12/2000"/>
    <s v="04/12/2000"/>
    <s v="20/01/1967"/>
    <s v="A"/>
    <s v="A.IN FORZA"/>
    <s v="1  -ASSUNZIONE                1"/>
    <s v=""/>
    <s v=" "/>
    <s v=""/>
    <s v=""/>
    <n v="1342"/>
    <s v="00"/>
    <n v="100"/>
    <s v="FULL TIME      100000000FF100-FULL TIME"/>
    <s v=""/>
    <s v=""/>
    <s v="  "/>
    <s v=""/>
    <s v="EP  "/>
    <s v="    "/>
    <s v=""/>
    <s v=""/>
    <s v="mauro.cicchetti@ilsole24ore.com                   "/>
    <s v="F"/>
    <s v="F-FIRMA"/>
    <s v="1 "/>
    <s v="1=5 X 8"/>
    <s v="01/07/2025"/>
    <s v="TEMPO DETERMINATO"/>
    <s v="31/05/2027"/>
    <s v="0015003041                    "/>
    <s v="SIGONA CARLO"/>
    <n v="59"/>
  </r>
  <r>
    <x v="0"/>
    <n v="3099"/>
    <s v="IL SOLE 24 ORE S.P.A.                   "/>
    <s v="G           "/>
    <s v="DG I&amp;T - DIR INFORMATION TECHNOLOGY"/>
    <s v="G08 "/>
    <x v="26"/>
    <s v="B13000      "/>
    <s v="B13000   BUSINESS DATA MANAGEMENT"/>
    <s v="DRADI                           "/>
    <s v="FEDERICO          "/>
    <s v="DRDFRC85M12Z611F"/>
    <x v="1"/>
    <s v="34"/>
    <x v="0"/>
    <s v="06/11/2023"/>
    <s v="MILANO                 "/>
    <s v="21"/>
    <x v="0"/>
    <s v="I"/>
    <x v="0"/>
    <s v="AS "/>
    <s v="AS LIV. IMPIEGATO             "/>
    <s v="06/11/2023"/>
    <s v="06/11/2023"/>
    <s v="12/08/1985"/>
    <s v="A"/>
    <s v="A.IN FORZA"/>
    <s v="1  -ASSUNZIONE                1"/>
    <s v=""/>
    <s v=" "/>
    <s v=""/>
    <s v=""/>
    <n v="3099"/>
    <s v="00"/>
    <n v="100"/>
    <s v="FULL TIME      100000000FF100-FULL TIME"/>
    <s v="06/11/2023"/>
    <s v=""/>
    <s v="  "/>
    <s v=""/>
    <s v="EN  "/>
    <s v="    "/>
    <s v=""/>
    <s v=""/>
    <s v="federico.dradi@ilsole24ore.com                    "/>
    <s v="F"/>
    <s v="F-FIRMA"/>
    <s v="1 "/>
    <s v="1=5 X 8"/>
    <s v="01/07/2025"/>
    <s v="TEMPO DETERMINATO"/>
    <s v="31/05/2027"/>
    <s v="0015003041                    "/>
    <s v="SIGONA CARLO"/>
    <n v="40"/>
  </r>
  <r>
    <x v="0"/>
    <n v="3007"/>
    <s v="IL SOLE 24 ORE S.P.A.                   "/>
    <s v="G           "/>
    <s v="DG I&amp;T - DIR INFORMATION TECHNOLOGY"/>
    <s v="G08 "/>
    <x v="26"/>
    <s v="B13000      "/>
    <s v="B13000   BUSINESS DATA MANAGEMENT"/>
    <s v="ROSSI                           "/>
    <s v="DORA              "/>
    <s v="RSSDRO78A45B300L"/>
    <x v="0"/>
    <s v="34"/>
    <x v="0"/>
    <s v="01/04/2021"/>
    <s v="MILANO                 "/>
    <s v="21"/>
    <x v="0"/>
    <s v="I"/>
    <x v="0"/>
    <s v="A  "/>
    <s v="A LIV. IMPIEGATO              "/>
    <s v="19/10/2020"/>
    <s v="19/10/2020"/>
    <s v="05/01/1978"/>
    <s v="A"/>
    <s v="A.IN FORZA"/>
    <s v="1  -ASSUNZIONE                1"/>
    <s v=""/>
    <s v=" "/>
    <s v=""/>
    <s v=""/>
    <n v="3007"/>
    <s v="00"/>
    <n v="100"/>
    <s v="FULL TIME      100000000FF100-FULL TIME"/>
    <s v="19/10/2020"/>
    <s v=""/>
    <s v="05"/>
    <s v="INVALIDI CIVILI"/>
    <s v="EN  "/>
    <s v="    "/>
    <s v=""/>
    <s v=""/>
    <s v="dora.rossi@ilsole24ore.com                        "/>
    <s v="F"/>
    <s v="F-FIRMA"/>
    <s v="1 "/>
    <s v="1=5 X 8"/>
    <s v="01/07/2025"/>
    <s v="TEMPO DETERMINATO"/>
    <s v="31/05/2027"/>
    <s v="0015003041                    "/>
    <s v="SIGONA CARLO"/>
    <n v="48"/>
  </r>
  <r>
    <x v="0"/>
    <n v="3041"/>
    <s v="IL SOLE 24 ORE S.P.A.                   "/>
    <s v="G           "/>
    <s v="DG I&amp;T - DIR INFORMATION TECHNOLOGY"/>
    <s v="G08 "/>
    <x v="26"/>
    <s v="B13000      "/>
    <s v="B13000   BUSINESS DATA MANAGEMENT"/>
    <s v="SIGONA                          "/>
    <s v="CARLO             "/>
    <s v="SGNCRL72T14F258G"/>
    <x v="1"/>
    <s v="34"/>
    <x v="0"/>
    <s v="03/05/2022"/>
    <s v="MILANO                 "/>
    <s v="21"/>
    <x v="0"/>
    <s v="F"/>
    <x v="2"/>
    <s v="Q  "/>
    <s v="Q LIV. QUADRI                 "/>
    <s v="03/05/2022"/>
    <s v="03/05/2022"/>
    <s v="14/12/1972"/>
    <s v="A"/>
    <s v="A.IN FORZA"/>
    <s v="1  -ASSUNZIONE                1"/>
    <s v=""/>
    <s v=" "/>
    <s v=""/>
    <s v=""/>
    <n v="3041"/>
    <s v="00"/>
    <n v="100"/>
    <s v="FULL TIME      100000000FF100-FULL TIME"/>
    <s v="03/05/2022"/>
    <s v=""/>
    <s v="  "/>
    <s v=""/>
    <s v="EN  "/>
    <s v="    "/>
    <s v=""/>
    <s v=""/>
    <s v="carlo.sigona@ilsole24ore.com                      "/>
    <s v="F"/>
    <s v="F-FIRMA"/>
    <s v="1 "/>
    <s v="1=5 X 8"/>
    <s v="01/07/2025"/>
    <s v="TEMPO DETERMINATO"/>
    <s v="31/05/2027"/>
    <s v="0015003123                    "/>
    <s v="BOROMEI PAOLA"/>
    <n v="53"/>
  </r>
  <r>
    <x v="0"/>
    <n v="244"/>
    <s v="IL SOLE 24 ORE S.P.A.                   "/>
    <s v="H           "/>
    <s v="DG SERVIZI PROFESSIONALI E FORMAZIONE"/>
    <s v="H01 "/>
    <x v="27"/>
    <s v="015000      "/>
    <s v="015000   DG SERVIZI PROF. e FORMAZIONE"/>
    <s v="CAPELLI                         "/>
    <s v="FIORELLA          "/>
    <s v="CPLFLL65C61F205U"/>
    <x v="0"/>
    <s v="34"/>
    <x v="0"/>
    <s v="01/04/2021"/>
    <s v="MILANO                 "/>
    <s v="21"/>
    <x v="0"/>
    <s v="I"/>
    <x v="0"/>
    <s v="A  "/>
    <s v="A LIV. IMPIEGATO              "/>
    <s v="03/11/1986"/>
    <s v="03/11/1986"/>
    <s v="21/03/1965"/>
    <s v="A"/>
    <s v="A.IN FORZA"/>
    <s v="1  -ASSUNZIONE                1"/>
    <s v=""/>
    <s v=" "/>
    <s v=""/>
    <s v=""/>
    <n v="174"/>
    <s v="00"/>
    <n v="100"/>
    <s v="FULL TIME      100000000FF100-FULL TIME"/>
    <s v="03/11/1986"/>
    <s v=""/>
    <s v="05"/>
    <s v="INVALIDI CIVILI"/>
    <s v="EV  "/>
    <s v="    "/>
    <s v=""/>
    <s v=""/>
    <s v="fiorella.capelli@ilsole24ore.com                  "/>
    <s v="F"/>
    <s v="F-FIRMA"/>
    <s v="1 "/>
    <s v="1=5 X 8"/>
    <s v="01/07/2025"/>
    <s v="TEMPO DETERMINATO"/>
    <s v="31/05/2027"/>
    <s v="0015002988                    "/>
    <s v="MINELLA ERALDO"/>
    <n v="60"/>
  </r>
  <r>
    <x v="0"/>
    <n v="2988"/>
    <s v="IL SOLE 24 ORE S.P.A.                   "/>
    <s v="H           "/>
    <s v="DG SERVIZI PROFESSIONALI E FORMAZIONE"/>
    <s v="H01 "/>
    <x v="27"/>
    <s v="015000      "/>
    <s v="015000   DG SERVIZI PROF. e FORMAZIONE"/>
    <s v="MINELLA                         "/>
    <s v="ERALDO            "/>
    <s v="MNLRLD59A04I968P"/>
    <x v="1"/>
    <s v="34"/>
    <x v="0"/>
    <s v="01/04/2021"/>
    <s v="MILANO                 "/>
    <s v="90"/>
    <x v="1"/>
    <s v="D"/>
    <x v="1"/>
    <s v="D  "/>
    <s v="DIRIGENTE INDUSTRIA           "/>
    <s v="01/01/2020"/>
    <s v="01/01/2020"/>
    <s v="04/01/1959"/>
    <s v="A"/>
    <s v="A.IN FORZA"/>
    <s v="1  -ASSUNZIONE                1"/>
    <s v=""/>
    <s v=" "/>
    <s v=""/>
    <s v="31/01/2026"/>
    <n v="2988"/>
    <s v="00"/>
    <n v="100"/>
    <s v="FULL TIME      100000000FF100-FULL TIME"/>
    <s v="01/01/2020"/>
    <s v=""/>
    <s v="  "/>
    <s v=""/>
    <s v="DD  "/>
    <s v="    "/>
    <s v=""/>
    <s v=""/>
    <s v="eraldo.minella@ilsole24ore.com                    "/>
    <s v="E"/>
    <s v="E-ESENTE"/>
    <s v="1 "/>
    <s v="1=5 X 8"/>
    <s v="01/07/2025"/>
    <s v="TEMPO DETERMINATO"/>
    <s v="31/05/2026"/>
    <s v="0015002960                    "/>
    <s v="SILVESTRI FEDERICO"/>
    <n v="67"/>
  </r>
  <r>
    <x v="0"/>
    <n v="3145"/>
    <s v="IL SOLE 24 ORE S.P.A.                   "/>
    <s v="H           "/>
    <s v="DG SERVIZI PROFESSIONALI E FORMAZIONE"/>
    <s v="H01 "/>
    <x v="27"/>
    <s v="015000      "/>
    <s v="015000   DG SERVIZI PROF. e FORMAZIONE"/>
    <s v="TOZZI                           "/>
    <s v="FRANCESCA         "/>
    <s v="TZZFNC70M58D612Q"/>
    <x v="0"/>
    <s v="34"/>
    <x v="0"/>
    <s v="07/01/2025"/>
    <s v="MILANO                 "/>
    <s v="21"/>
    <x v="0"/>
    <s v="I"/>
    <x v="0"/>
    <s v="AS "/>
    <s v="AS LIV. IMPIEGATO             "/>
    <s v="07/01/2025"/>
    <s v="07/01/2025"/>
    <s v="18/08/1970"/>
    <s v="A"/>
    <s v="A.IN FORZA"/>
    <s v="1  -ASSUNZIONE                1"/>
    <s v=""/>
    <s v=" "/>
    <s v=""/>
    <s v=""/>
    <n v="3145"/>
    <s v="00"/>
    <n v="100"/>
    <s v="FULL TIME      100000000FF100-FULL TIME"/>
    <s v="07/01/2025"/>
    <s v=""/>
    <s v="  "/>
    <s v=""/>
    <s v="EN  "/>
    <s v="    "/>
    <s v=""/>
    <s v=""/>
    <s v="francesca.tozzi@ilsole24ore.com                   "/>
    <s v="F"/>
    <s v="F-FIRMA"/>
    <s v="1 "/>
    <s v="1=5 X 8"/>
    <s v="01/07/2025"/>
    <s v="TEMPO DETERMINATO"/>
    <s v="31/05/2027"/>
    <s v="0015002991                    "/>
    <s v="POLVERE VANNA"/>
    <n v="55"/>
  </r>
  <r>
    <x v="0"/>
    <n v="963"/>
    <s v="IL SOLE 24 ORE S.P.A.                   "/>
    <s v="H           "/>
    <s v="DG SERVIZI PROFESSIONALI E FORMAZIONE"/>
    <s v="H02 "/>
    <x v="28"/>
    <s v="412700      "/>
    <s v="412700   PREP. EDITORIALE PROFESSIONALE"/>
    <s v="CASAMASSIMA                     "/>
    <s v="FABIANA           "/>
    <s v="CSMFBN76C64L424D"/>
    <x v="0"/>
    <s v="34"/>
    <x v="0"/>
    <s v="04/04/2022"/>
    <s v="MILANO                 "/>
    <s v="21"/>
    <x v="0"/>
    <s v="I"/>
    <x v="0"/>
    <s v="B1S"/>
    <s v="B1S LIV. IMPIEGATO            "/>
    <s v="11/12/1996"/>
    <s v="11/12/1996"/>
    <s v="24/03/1976"/>
    <s v="A"/>
    <s v="A.IN FORZA"/>
    <s v="1  -ASSUNZIONE                1"/>
    <s v=""/>
    <s v=" "/>
    <s v=""/>
    <s v=""/>
    <n v="740"/>
    <s v="00"/>
    <n v="100"/>
    <s v="FULL TIME      100000000FF100-FULL TIME"/>
    <s v="11/12/1996"/>
    <s v=""/>
    <s v="  "/>
    <s v=""/>
    <s v="EP  "/>
    <s v="    "/>
    <s v=""/>
    <s v="C.I.S.L.           C.I.S.L"/>
    <s v="fabiana.casamassima@ilsole24ore.com               "/>
    <s v="F"/>
    <s v="F-FIRMA"/>
    <s v="1 "/>
    <s v="1=5 X 8"/>
    <s v="01/07/2025"/>
    <s v="TEMPO DETERMINATO"/>
    <s v="31/05/2027"/>
    <s v="0015001321                    "/>
    <s v="FIORETTI EMMA"/>
    <n v="49"/>
  </r>
  <r>
    <x v="0"/>
    <n v="938"/>
    <s v="IL SOLE 24 ORE S.P.A.                   "/>
    <s v="H           "/>
    <s v="DG SERVIZI PROFESSIONALI E FORMAZIONE"/>
    <s v="H02 "/>
    <x v="28"/>
    <s v="412700      "/>
    <s v="412700   PREP. EDITORIALE PROFESSIONALE"/>
    <s v="D'ARTIBALE                      "/>
    <s v="SILVIA            "/>
    <s v="DRTSLV76R58H501A"/>
    <x v="0"/>
    <s v="34"/>
    <x v="0"/>
    <s v="04/04/2022"/>
    <s v="MILANO                 "/>
    <s v="21"/>
    <x v="0"/>
    <s v="I"/>
    <x v="0"/>
    <s v="B1S"/>
    <s v="B1S LIV. IMPIEGATO            "/>
    <s v="01/10/1996"/>
    <s v="01/10/1996"/>
    <s v="18/10/1976"/>
    <s v="A"/>
    <s v="A.IN FORZA"/>
    <s v="1  -ASSUNZIONE                1"/>
    <s v=""/>
    <s v=" "/>
    <s v=""/>
    <s v=""/>
    <n v="719"/>
    <s v="00"/>
    <n v="100"/>
    <s v="FULL TIME      100000000FF100-FULL TIME"/>
    <s v="01/10/1996"/>
    <s v=""/>
    <s v="  "/>
    <s v=""/>
    <s v="EP  "/>
    <s v="    "/>
    <s v=""/>
    <s v="NON ISCRITTO       NON ISCRITTO"/>
    <s v="silvia.dartibale@ilsole24ore.com                  "/>
    <s v="F"/>
    <s v="F-FIRMA"/>
    <s v="1 "/>
    <s v="1=5 X 8"/>
    <s v="01/07/2025"/>
    <s v="TEMPO DETERMINATO"/>
    <s v="31/05/2027"/>
    <s v="0015001321                    "/>
    <s v="FIORETTI EMMA"/>
    <n v="49"/>
  </r>
  <r>
    <x v="0"/>
    <n v="1053"/>
    <s v="IL SOLE 24 ORE S.P.A.                   "/>
    <s v="H           "/>
    <s v="DG SERVIZI PROFESSIONALI E FORMAZIONE"/>
    <s v="H02 "/>
    <x v="28"/>
    <s v="412700      "/>
    <s v="412700   PREP. EDITORIALE PROFESSIONALE"/>
    <s v="DI NISIO                        "/>
    <s v="FLAVIANO          "/>
    <s v="DNSFVN74H13H501W"/>
    <x v="1"/>
    <s v="34"/>
    <x v="0"/>
    <s v="04/04/2022"/>
    <s v="MILANO                 "/>
    <s v="21"/>
    <x v="0"/>
    <s v="I"/>
    <x v="0"/>
    <s v="AS "/>
    <s v="AS LIV. IMPIEGATO             "/>
    <s v="18/08/1997"/>
    <s v="18/08/1997"/>
    <s v="13/06/1974"/>
    <s v="A"/>
    <s v="A.IN FORZA"/>
    <s v="1  -ASSUNZIONE                1"/>
    <s v=""/>
    <s v=" "/>
    <s v=""/>
    <s v=""/>
    <n v="822"/>
    <s v="00"/>
    <n v="100"/>
    <s v="FULL TIME      100000000FF100-FULL TIME"/>
    <s v="18/08/1997"/>
    <s v=""/>
    <s v="  "/>
    <s v=""/>
    <s v="EP  "/>
    <s v="    "/>
    <s v=""/>
    <s v="NON ISCRITTO       NON ISCRITTO"/>
    <s v="flaviano.dinisio@ilsole24ore.com                  "/>
    <s v="F"/>
    <s v="F-FIRMA"/>
    <s v="1 "/>
    <s v="1=5 X 8"/>
    <s v="01/07/2025"/>
    <s v="TEMPO DETERMINATO"/>
    <s v="31/05/2027"/>
    <s v="0015001321                    "/>
    <s v="FIORETTI EMMA"/>
    <n v="51"/>
  </r>
  <r>
    <x v="0"/>
    <n v="1400"/>
    <s v="IL SOLE 24 ORE S.P.A.                   "/>
    <s v="H           "/>
    <s v="DG SERVIZI PROFESSIONALI E FORMAZIONE"/>
    <s v="H02 "/>
    <x v="28"/>
    <s v="412700      "/>
    <s v="412700   PREP. EDITORIALE PROFESSIONALE"/>
    <s v="FERRACCI                        "/>
    <s v="VALENTINA         "/>
    <s v="FRRVNT75T57H501U"/>
    <x v="0"/>
    <s v="34"/>
    <x v="0"/>
    <s v="04/04/2022"/>
    <s v="MILANO                 "/>
    <s v="21"/>
    <x v="0"/>
    <s v="I"/>
    <x v="0"/>
    <s v="B1S"/>
    <s v="B1S LIV. IMPIEGATO            "/>
    <s v="01/07/1997"/>
    <s v="01/07/1997"/>
    <s v="17/12/1975"/>
    <s v="A"/>
    <s v="A.IN FORZA"/>
    <s v="1  -ASSUNZIONE                1"/>
    <s v=""/>
    <s v=" "/>
    <s v=""/>
    <s v=""/>
    <n v="1115"/>
    <s v="00"/>
    <n v="100"/>
    <s v="FULL TIME      100000000FF100-FULL TIME"/>
    <s v="01/07/1997"/>
    <s v=""/>
    <s v="  "/>
    <s v=""/>
    <s v="EP  "/>
    <s v="    "/>
    <s v=""/>
    <s v="C.G.I.L.           C.G.I.L"/>
    <s v="valentina.ferracci@ilsole24ore.com                "/>
    <s v="F"/>
    <s v="F-FIRMA"/>
    <s v="1 "/>
    <s v="1=5 X 8"/>
    <s v="22/01/2026"/>
    <s v="TEMPO DETERMINATO"/>
    <s v="31/12/2026"/>
    <s v="0015001321                    "/>
    <s v="FIORETTI EMMA"/>
    <n v="50"/>
  </r>
  <r>
    <x v="0"/>
    <n v="1321"/>
    <s v="IL SOLE 24 ORE S.P.A.                   "/>
    <s v="H           "/>
    <s v="DG SERVIZI PROFESSIONALI E FORMAZIONE"/>
    <s v="H02 "/>
    <x v="28"/>
    <s v="412700      "/>
    <s v="412700   PREP. EDITORIALE PROFESSIONALE"/>
    <s v="FIORETTI                        "/>
    <s v="EMMA              "/>
    <s v="FRTMME65C52H501D"/>
    <x v="0"/>
    <s v="34"/>
    <x v="0"/>
    <s v="04/04/2022"/>
    <s v="MILANO                 "/>
    <s v="21"/>
    <x v="0"/>
    <s v="F"/>
    <x v="2"/>
    <s v="Q  "/>
    <s v="Q LIV. QUADRI                 "/>
    <s v="01/11/1999"/>
    <s v="01/11/1999"/>
    <s v="12/03/1965"/>
    <s v="A"/>
    <s v="A.IN FORZA"/>
    <s v="1  -ASSUNZIONE                1"/>
    <s v=""/>
    <s v=" "/>
    <s v=""/>
    <s v=""/>
    <n v="1048"/>
    <s v="00"/>
    <n v="100"/>
    <s v="FULL TIME      100000000FF100-FULL TIME"/>
    <s v="01/11/1999"/>
    <s v=""/>
    <s v="  "/>
    <s v=""/>
    <s v="EP  "/>
    <s v="    "/>
    <s v=""/>
    <s v=""/>
    <s v="emma.fioretti@ilsole24ore.com                     "/>
    <s v="F"/>
    <s v="F-FIRMA"/>
    <s v="1 "/>
    <s v="1=5 X 8"/>
    <s v="01/07/2025"/>
    <s v="TEMPO DETERMINATO"/>
    <s v="31/05/2027"/>
    <s v="0015001220                    "/>
    <s v="QUINTO MARIA CHIARA"/>
    <n v="60"/>
  </r>
  <r>
    <x v="0"/>
    <n v="1343"/>
    <s v="IL SOLE 24 ORE S.P.A.                   "/>
    <s v="H           "/>
    <s v="DG SERVIZI PROFESSIONALI E FORMAZIONE"/>
    <s v="H02 "/>
    <x v="28"/>
    <s v="412700      "/>
    <s v="412700   PREP. EDITORIALE PROFESSIONALE"/>
    <s v="MORABITO                        "/>
    <s v="GIOVANNA          "/>
    <s v="MRBGNN72C46B300W"/>
    <x v="0"/>
    <s v="34"/>
    <x v="0"/>
    <s v="04/04/2022"/>
    <s v="MILANO                 "/>
    <s v="21"/>
    <x v="0"/>
    <s v="I"/>
    <x v="0"/>
    <s v="B1S"/>
    <s v="B1S LIV. IMPIEGATO            "/>
    <s v="12/10/1991"/>
    <s v="12/10/1991"/>
    <s v="06/03/1972"/>
    <s v="A"/>
    <s v="A.IN FORZA"/>
    <s v="1  -ASSUNZIONE                1"/>
    <s v=""/>
    <s v=" "/>
    <s v=""/>
    <s v=""/>
    <n v="1064"/>
    <s v="00"/>
    <n v="100"/>
    <s v="FULL TIME      100000000FF100-FULL TIME"/>
    <s v="12/10/1991"/>
    <s v=""/>
    <s v="05"/>
    <s v="INVALIDI CIVILI"/>
    <s v="EP  "/>
    <s v="    "/>
    <s v=""/>
    <s v="C.G.I.L.           C.G.I.L"/>
    <s v="giovanna.morabito@ilsole24ore.com                 "/>
    <s v="F"/>
    <s v="F-FIRMA"/>
    <s v="1 "/>
    <s v="1=5 X 8"/>
    <s v="14/07/2025"/>
    <s v="TEMPO DETERMINATO"/>
    <s v="30/06/2026"/>
    <s v="0015001321                    "/>
    <s v="FIORETTI EMMA"/>
    <n v="53"/>
  </r>
  <r>
    <x v="0"/>
    <n v="1324"/>
    <s v="IL SOLE 24 ORE S.P.A.                   "/>
    <s v="H           "/>
    <s v="DG SERVIZI PROFESSIONALI E FORMAZIONE"/>
    <s v="H02 "/>
    <x v="28"/>
    <s v="412700      "/>
    <s v="412700   PREP. EDITORIALE PROFESSIONALE"/>
    <s v="SALINO                          "/>
    <s v="CRISTIANA         "/>
    <s v="SLNCST69E68H501Y"/>
    <x v="0"/>
    <s v="34"/>
    <x v="0"/>
    <s v="04/04/2022"/>
    <s v="MILANO                 "/>
    <s v="21"/>
    <x v="0"/>
    <s v="I"/>
    <x v="0"/>
    <s v="B1S"/>
    <s v="B1S LIV. IMPIEGATO            "/>
    <s v="01/11/1999"/>
    <s v="01/11/1999"/>
    <s v="28/05/1969"/>
    <s v="A"/>
    <s v="A.IN FORZA"/>
    <s v="1  -ASSUNZIONE                1"/>
    <s v=""/>
    <s v=" "/>
    <s v=""/>
    <s v=""/>
    <n v="1051"/>
    <s v="00"/>
    <n v="100"/>
    <s v="FULL TIME      100000000FF100-FULL TIME"/>
    <s v="01/11/1999"/>
    <s v=""/>
    <s v="  "/>
    <s v=""/>
    <s v="EP  "/>
    <s v="    "/>
    <s v=""/>
    <s v=""/>
    <s v="cristiana.salino@ilsole24ore.com                  "/>
    <s v="F"/>
    <s v="F-FIRMA"/>
    <s v="1 "/>
    <s v="1=5 X 8"/>
    <s v="01/07/2025"/>
    <s v="TEMPO DETERMINATO"/>
    <s v="31/05/2027"/>
    <s v="0015001321                    "/>
    <s v="FIORETTI EMMA"/>
    <n v="56"/>
  </r>
  <r>
    <x v="0"/>
    <n v="1320"/>
    <s v="IL SOLE 24 ORE S.P.A.                   "/>
    <s v="H           "/>
    <s v="DG SERVIZI PROFESSIONALI E FORMAZIONE"/>
    <s v="H02 "/>
    <x v="28"/>
    <s v="412700      "/>
    <s v="412700   PREP. EDITORIALE PROFESSIONALE"/>
    <s v="TANTURRI                        "/>
    <s v="MASSIMILIANO      "/>
    <s v="TNTMSM71R24H501E"/>
    <x v="1"/>
    <s v="34"/>
    <x v="0"/>
    <s v="04/04/2022"/>
    <s v="MILANO                 "/>
    <s v="21"/>
    <x v="0"/>
    <s v="I"/>
    <x v="0"/>
    <s v="B1S"/>
    <s v="B1S LIV. IMPIEGATO            "/>
    <s v="01/11/1999"/>
    <s v="01/11/1999"/>
    <s v="24/10/1971"/>
    <s v="A"/>
    <s v="A.IN FORZA"/>
    <s v="1  -ASSUNZIONE                1"/>
    <s v=""/>
    <s v=" "/>
    <s v=""/>
    <s v=""/>
    <n v="1047"/>
    <s v="00"/>
    <n v="100"/>
    <s v="FULL TIME      100000000FF100-FULL TIME"/>
    <s v="01/11/1999"/>
    <s v=""/>
    <s v="  "/>
    <s v=""/>
    <s v="EP  "/>
    <s v="    "/>
    <s v=""/>
    <s v=""/>
    <s v="massimiliano.tanturri@ilsole24ore.com             "/>
    <s v="F"/>
    <s v="F-FIRMA"/>
    <s v="1 "/>
    <s v="1=5 X 8"/>
    <s v="01/07/2025"/>
    <s v="TEMPO DETERMINATO"/>
    <s v="31/05/2027"/>
    <s v="0015001321                    "/>
    <s v="FIORETTI EMMA"/>
    <n v="54"/>
  </r>
  <r>
    <x v="0"/>
    <n v="1220"/>
    <s v="IL SOLE 24 ORE S.P.A.                   "/>
    <s v="H           "/>
    <s v="DG SERVIZI PROFESSIONALI E FORMAZIONE"/>
    <s v="H02 "/>
    <x v="28"/>
    <s v="B10010      "/>
    <s v="B10010  OPERATIONS E CUSTOMER ENGAGEMEN"/>
    <s v="QUINTO                          "/>
    <s v="MARIA CHIARA      "/>
    <s v="QNTMCH74A70A669Z"/>
    <x v="0"/>
    <s v="34"/>
    <x v="0"/>
    <s v="01/04/2021"/>
    <s v="MILANO                 "/>
    <s v="90"/>
    <x v="1"/>
    <s v="D"/>
    <x v="1"/>
    <s v="D  "/>
    <s v="DIRIGENTE INDUSTRIA           "/>
    <s v="15/01/1999"/>
    <s v="15/01/1999"/>
    <s v="30/01/1974"/>
    <s v="A"/>
    <s v="A.IN FORZA"/>
    <s v="1  -ASSUNZIONE                1"/>
    <s v=""/>
    <s v=" "/>
    <s v=""/>
    <s v=""/>
    <n v="963"/>
    <s v="00"/>
    <n v="100"/>
    <s v="FULL TIME      100000000FF100-FULL TIME"/>
    <s v="01/09/2012"/>
    <s v=""/>
    <s v="  "/>
    <s v=""/>
    <s v="DD  "/>
    <s v="    "/>
    <s v=""/>
    <s v=""/>
    <s v="mariachiara.quinto@ilsole24ore.com                "/>
    <s v="E"/>
    <s v="E-ESENTE"/>
    <s v="1 "/>
    <s v="1=5 X 8"/>
    <s v="01/07/2025"/>
    <s v="TEMPO DETERMINATO"/>
    <s v="31/05/2026"/>
    <s v="0015002988                    "/>
    <s v="MINELLA ERALDO"/>
    <n v="52"/>
  </r>
  <r>
    <x v="0"/>
    <n v="395"/>
    <s v="IL SOLE 24 ORE S.P.A.                   "/>
    <s v="H           "/>
    <s v="DG SERVIZI PROFESSIONALI E FORMAZIONE"/>
    <s v="H02 "/>
    <x v="28"/>
    <s v="C13200      "/>
    <s v="C13200   CUSTOMER CARE"/>
    <s v="CHIOFFI                         "/>
    <s v="ALESSANDRA        "/>
    <s v="CHFLSN66L54H501Q"/>
    <x v="0"/>
    <s v="34"/>
    <x v="0"/>
    <s v="04/04/2022"/>
    <s v="MILANO                 "/>
    <s v="21"/>
    <x v="0"/>
    <s v="I"/>
    <x v="0"/>
    <s v="B1 "/>
    <s v="B1 LIV. IMPIEGATO             "/>
    <s v="03/01/1989"/>
    <s v="03/01/1989"/>
    <s v="14/07/1966"/>
    <s v="A"/>
    <s v="A.IN FORZA"/>
    <s v="1  -ASSUNZIONE                1"/>
    <s v=""/>
    <s v=" "/>
    <s v=""/>
    <s v=""/>
    <n v="288"/>
    <s v="00"/>
    <n v="100"/>
    <s v="FULL TIME      100000000FF100-FULL TIME"/>
    <s v="03/01/1989"/>
    <s v=""/>
    <s v="  "/>
    <s v=""/>
    <s v="EP  "/>
    <s v="    "/>
    <s v=""/>
    <s v="C.G.I.L.           C.G.I.L"/>
    <s v="alessandra.chioffi@ilsole24ore.com                "/>
    <s v="F"/>
    <s v="F-FIRMA"/>
    <s v="1 "/>
    <s v="1=5 X 8"/>
    <s v="01/07/2025"/>
    <s v="TEMPO DETERMINATO"/>
    <s v="31/05/2027"/>
    <s v="0015001223                    "/>
    <s v="MORESCHINI CRISTINA"/>
    <n v="59"/>
  </r>
  <r>
    <x v="0"/>
    <n v="1941"/>
    <s v="IL SOLE 24 ORE S.P.A.                   "/>
    <s v="H           "/>
    <s v="DG SERVIZI PROFESSIONALI E FORMAZIONE"/>
    <s v="H02 "/>
    <x v="28"/>
    <s v="C13200      "/>
    <s v="C13200   CUSTOMER CARE"/>
    <s v="CIPOLLA                         "/>
    <s v="ANNA MARIA        "/>
    <s v="CPLNMR70C52C588Q"/>
    <x v="0"/>
    <s v="34"/>
    <x v="0"/>
    <s v="01/04/2021"/>
    <s v="MILANO                 "/>
    <s v="21"/>
    <x v="0"/>
    <s v="I"/>
    <x v="0"/>
    <s v="B1 "/>
    <s v="B1 LIV. IMPIEGATO             "/>
    <s v="01/04/2003"/>
    <s v="01/04/2003"/>
    <s v="12/03/1970"/>
    <s v="A"/>
    <s v="A.IN FORZA"/>
    <s v="1  -ASSUNZIONE                1"/>
    <s v=""/>
    <s v=" "/>
    <s v=""/>
    <s v=""/>
    <n v="1524"/>
    <s v="00"/>
    <n v="100"/>
    <s v="FULL TIME      100000000FF100-FULL TIME"/>
    <s v="01/04/2003"/>
    <s v=""/>
    <s v="05"/>
    <s v="INVALIDI CIVILI"/>
    <s v="EP  "/>
    <s v="    "/>
    <s v=""/>
    <s v="NON ISCRITTO       NON ISCRITTO"/>
    <s v="annamaria.cipolla@ilsole24ore.com                 "/>
    <s v="F"/>
    <s v="F-FIRMA"/>
    <s v="1 "/>
    <s v="1=5 X 8"/>
    <s v="01/07/2025"/>
    <s v="TEMPO DETERMINATO"/>
    <s v="31/05/2027"/>
    <s v="0015001223                    "/>
    <s v="MORESCHINI CRISTINA"/>
    <n v="55"/>
  </r>
  <r>
    <x v="0"/>
    <n v="3135"/>
    <s v="IL SOLE 24 ORE S.P.A.                   "/>
    <s v="H           "/>
    <s v="DG SERVIZI PROFESSIONALI E FORMAZIONE"/>
    <s v="H02 "/>
    <x v="28"/>
    <s v="C13200      "/>
    <s v="C13200   CUSTOMER CARE"/>
    <s v="FERRANTE                        "/>
    <s v="ALESSANDRA        "/>
    <s v="FRRLSN77D47G813D"/>
    <x v="0"/>
    <s v="34"/>
    <x v="0"/>
    <s v="02/09/2024"/>
    <s v="MILANO                 "/>
    <s v="21"/>
    <x v="0"/>
    <s v="I"/>
    <x v="0"/>
    <s v="B1 "/>
    <s v="B1 LIV. IMPIEGATO             "/>
    <s v="02/09/2024"/>
    <s v="02/09/2024"/>
    <s v="07/04/1977"/>
    <s v="A"/>
    <s v="A.IN FORZA"/>
    <s v="1  -ASSUNZIONE                1"/>
    <s v=""/>
    <s v=" "/>
    <s v=""/>
    <s v=""/>
    <n v="3135"/>
    <s v="00"/>
    <n v="100"/>
    <s v="FULL TIME      100000000FF100-FULL TIME"/>
    <s v="02/09/2024"/>
    <s v=""/>
    <s v="11"/>
    <s v="ORFANO/VEDOVA DEL LAVORO"/>
    <s v="EN  "/>
    <s v="    "/>
    <s v=""/>
    <s v=""/>
    <s v="alessandra.ferrante@ilsole24ore.com               "/>
    <s v="F"/>
    <s v="F-FIRMA"/>
    <s v="1 "/>
    <s v="1=5 X 8"/>
    <s v="02/09/2024"/>
    <s v="TEMPO DETERMINATO"/>
    <s v="31/12/2026"/>
    <s v="0015001223                    "/>
    <s v="MORESCHINI CRISTINA"/>
    <n v="48"/>
  </r>
  <r>
    <x v="0"/>
    <n v="1223"/>
    <s v="IL SOLE 24 ORE S.P.A.                   "/>
    <s v="H           "/>
    <s v="DG SERVIZI PROFESSIONALI E FORMAZIONE"/>
    <s v="H02 "/>
    <x v="28"/>
    <s v="C13200      "/>
    <s v="C13200   CUSTOMER CARE"/>
    <s v="MORESCHINI                      "/>
    <s v="CRISTINA          "/>
    <s v="MRSCST72S42H501K"/>
    <x v="0"/>
    <s v="34"/>
    <x v="0"/>
    <s v="04/04/2022"/>
    <s v="MILANO                 "/>
    <s v="21"/>
    <x v="0"/>
    <s v="F"/>
    <x v="2"/>
    <s v="Q  "/>
    <s v="Q LIV. QUADRI                 "/>
    <s v="20/01/1999"/>
    <s v="20/01/1999"/>
    <s v="02/11/1972"/>
    <s v="A"/>
    <s v="A.IN FORZA"/>
    <s v="1  -ASSUNZIONE                1"/>
    <s v=""/>
    <s v=" "/>
    <s v=""/>
    <s v=""/>
    <n v="966"/>
    <s v="00"/>
    <n v="100"/>
    <s v="FULL TIME      100000000FF100-FULL TIME"/>
    <s v="20/01/1999"/>
    <s v=""/>
    <s v="  "/>
    <s v=""/>
    <s v="EP  "/>
    <s v="    "/>
    <s v=""/>
    <s v=""/>
    <s v="cristina.moreschini@ilsole24ore.com               "/>
    <s v="F"/>
    <s v="F-FIRMA"/>
    <s v="1 "/>
    <s v="1=5 X 8"/>
    <s v="01/07/2025"/>
    <s v="TEMPO DETERMINATO"/>
    <s v="31/05/2027"/>
    <s v="0015001220                    "/>
    <s v="QUINTO MARIA CHIARA"/>
    <n v="53"/>
  </r>
  <r>
    <x v="0"/>
    <n v="2586"/>
    <s v="IL SOLE 24 ORE S.P.A.                   "/>
    <s v="H           "/>
    <s v="DG SERVIZI PROFESSIONALI E FORMAZIONE"/>
    <s v="H02 "/>
    <x v="28"/>
    <s v="C13200      "/>
    <s v="C13200   CUSTOMER CARE"/>
    <s v="TULLII                          "/>
    <s v="CRISTIANA         "/>
    <s v="TLLCST77T48F205Q"/>
    <x v="0"/>
    <s v="34"/>
    <x v="0"/>
    <s v="01/04/2021"/>
    <s v="MILANO                 "/>
    <s v="25"/>
    <x v="3"/>
    <s v="I"/>
    <x v="0"/>
    <s v="07 "/>
    <s v="7 LIV. IMPIEGATO              "/>
    <s v="01/04/2011"/>
    <s v="01/01/2006"/>
    <s v="08/12/1977"/>
    <s v="A"/>
    <s v="A.IN FORZA"/>
    <s v="2  -VARIAZIONE SOCIETARIA     2"/>
    <s v=""/>
    <s v=" "/>
    <s v=""/>
    <s v=""/>
    <n v="2586"/>
    <s v="00"/>
    <n v="100"/>
    <s v="FULL TIME      100000000FF100-FULL TIME"/>
    <s v="01/01/2006"/>
    <s v=""/>
    <s v="  "/>
    <s v=""/>
    <s v="PSO "/>
    <s v="    "/>
    <s v=""/>
    <s v="U.I.L.             U.I.L"/>
    <s v="cristiana.tullii@ilsole24ore.com                  "/>
    <s v="T"/>
    <s v="T-TIMBRA"/>
    <s v="7 "/>
    <s v="7=5 X 7.20"/>
    <s v="01/07/2025"/>
    <s v="TEMPO DETERMINATO"/>
    <s v="31/05/2027"/>
    <s v="0015001220                    "/>
    <s v="QUINTO MARIA CHIARA"/>
    <n v="48"/>
  </r>
  <r>
    <x v="0"/>
    <n v="2989"/>
    <s v="IL SOLE 24 ORE S.P.A.                   "/>
    <s v="H           "/>
    <s v="DG SERVIZI PROFESSIONALI E FORMAZIONE"/>
    <s v="H03 "/>
    <x v="29"/>
    <s v="B1000030    "/>
    <s v="B1000030 DIR.COM. SERVIZI PROF. E FORM."/>
    <s v="CONTERIO                        "/>
    <s v="ANTONIO           "/>
    <s v="CNTNTN64C24L219P"/>
    <x v="1"/>
    <s v="34"/>
    <x v="0"/>
    <s v="01/04/2021"/>
    <s v="MILANO                 "/>
    <s v="90"/>
    <x v="1"/>
    <s v="D"/>
    <x v="1"/>
    <s v="D  "/>
    <s v="DIRIGENTE INDUSTRIA           "/>
    <s v="02/01/2020"/>
    <s v="02/01/2020"/>
    <s v="24/03/1964"/>
    <s v="A"/>
    <s v="A.IN FORZA"/>
    <s v="1  -ASSUNZIONE                1"/>
    <s v=""/>
    <s v=" "/>
    <s v=""/>
    <s v=""/>
    <n v="2989"/>
    <s v="00"/>
    <n v="100"/>
    <s v="FULL TIME      100000000FF100-FULL TIME"/>
    <s v="02/01/2020"/>
    <s v=""/>
    <s v="  "/>
    <s v=""/>
    <s v="DD  "/>
    <s v="    "/>
    <s v=""/>
    <s v=""/>
    <s v="luca.conterio@ilsole24ore.com                     "/>
    <s v="E"/>
    <s v="E-ESENTE"/>
    <s v="1 "/>
    <s v="1=5 X 8"/>
    <s v="01/07/2025"/>
    <s v="TEMPO DETERMINATO"/>
    <s v="31/05/2026"/>
    <s v="0015002988                    "/>
    <s v="MINELLA ERALDO"/>
    <n v="61"/>
  </r>
  <r>
    <x v="0"/>
    <n v="3101"/>
    <s v="IL SOLE 24 ORE S.P.A.                   "/>
    <s v="H           "/>
    <s v="DG SERVIZI PROFESSIONALI E FORMAZIONE"/>
    <s v="H03 "/>
    <x v="29"/>
    <s v="B1000030    "/>
    <s v="B1000030 DIR.COM. SERVIZI PROF. E FORM."/>
    <s v="COPERCINI                       "/>
    <s v="GIANLUCA          "/>
    <s v="CPRGLC63S10F205R"/>
    <x v="1"/>
    <s v="34"/>
    <x v="0"/>
    <s v="01/12/2023"/>
    <s v="MILANO                 "/>
    <s v="21"/>
    <x v="0"/>
    <s v="F"/>
    <x v="2"/>
    <s v="Q  "/>
    <s v="Q LIV. QUADRI                 "/>
    <s v="01/12/2023"/>
    <s v="01/12/2023"/>
    <s v="10/11/1963"/>
    <s v="A"/>
    <s v="A.IN FORZA"/>
    <s v="1  -ASSUNZIONE                1"/>
    <s v=""/>
    <s v=" "/>
    <s v=""/>
    <s v=""/>
    <n v="3101"/>
    <s v="00"/>
    <n v="100"/>
    <s v="FULL TIME      100000000FF100-FULL TIME"/>
    <s v="01/12/2023"/>
    <s v=""/>
    <s v="  "/>
    <s v=""/>
    <s v="EN  "/>
    <s v="    "/>
    <s v=""/>
    <s v=""/>
    <s v="gianluca.copercini@ilsole24ore.com                "/>
    <s v="F"/>
    <s v="F-FIRMA"/>
    <s v="1 "/>
    <s v="1=5 X 8"/>
    <s v="01/07/2025"/>
    <s v="TEMPO DETERMINATO"/>
    <s v="31/05/2027"/>
    <s v="0015002989                    "/>
    <s v="CONTERIO ANTONIO"/>
    <n v="62"/>
  </r>
  <r>
    <x v="0"/>
    <n v="1172"/>
    <s v="IL SOLE 24 ORE S.P.A.                   "/>
    <s v="H           "/>
    <s v="DG SERVIZI PROFESSIONALI E FORMAZIONE"/>
    <s v="H03 "/>
    <x v="29"/>
    <s v="B10130      "/>
    <s v="B10130   SUPPORTO COMMERCIALE E SALES AC"/>
    <s v="DI GIULIO                       "/>
    <s v="CRISTINA          "/>
    <s v="DGLCST75T49H501B"/>
    <x v="0"/>
    <s v="31"/>
    <x v="1"/>
    <s v="04/04/2022"/>
    <s v="ROMA                   "/>
    <s v="21"/>
    <x v="0"/>
    <s v="I"/>
    <x v="0"/>
    <s v="B1 "/>
    <s v="B1 LIV. IMPIEGATO             "/>
    <s v="14/09/1998"/>
    <s v="14/09/1998"/>
    <s v="09/12/1975"/>
    <s v="A"/>
    <s v="A.IN FORZA"/>
    <s v="1  -ASSUNZIONE                1"/>
    <s v=""/>
    <s v=" "/>
    <s v=""/>
    <s v=""/>
    <n v="923"/>
    <s v="00"/>
    <n v="100"/>
    <s v="FULL TIME      100000000FF100-FULL TIME"/>
    <s v="14/09/1998"/>
    <s v=""/>
    <s v="  "/>
    <s v=""/>
    <s v="EP  "/>
    <s v="    "/>
    <s v=""/>
    <s v="NON ISCRITTO       NON ISCRITTO"/>
    <s v="cristina.digiulio@ilsole24ore.com                 "/>
    <s v="F"/>
    <s v="F-FIRMA"/>
    <s v="1 "/>
    <s v="1=5 X 8"/>
    <s v="01/07/2025"/>
    <s v="TEMPO DETERMINATO"/>
    <s v="31/05/2027"/>
    <s v="0015002100                    "/>
    <s v="PALMA ENRICA"/>
    <n v="50"/>
  </r>
  <r>
    <x v="0"/>
    <n v="1199"/>
    <s v="IL SOLE 24 ORE S.P.A.                   "/>
    <s v="H           "/>
    <s v="DG SERVIZI PROFESSIONALI E FORMAZIONE"/>
    <s v="H03 "/>
    <x v="29"/>
    <s v="B10130      "/>
    <s v="B10130   SUPPORTO COMMERCIALE E SALES AC"/>
    <s v="FRASCHETTI                      "/>
    <s v="LAURA             "/>
    <s v="FRSLRA67T50H501T"/>
    <x v="0"/>
    <s v="31"/>
    <x v="1"/>
    <s v="21/05/2009"/>
    <s v="ROMA                   "/>
    <s v="21"/>
    <x v="0"/>
    <s v="F"/>
    <x v="2"/>
    <s v="Q  "/>
    <s v="Q LIV. QUADRI                 "/>
    <s v="01/12/1998"/>
    <s v="01/12/1998"/>
    <s v="10/12/1967"/>
    <s v="A"/>
    <s v="A.IN FORZA"/>
    <s v="1  -ASSUNZIONE                1"/>
    <s v=""/>
    <s v=" "/>
    <s v=""/>
    <s v=""/>
    <n v="946"/>
    <s v="00"/>
    <n v="100"/>
    <s v="FULL TIME      100000000FF100-FULL TIME"/>
    <s v="01/12/1998"/>
    <s v=""/>
    <s v="  "/>
    <s v=""/>
    <s v="EP  "/>
    <s v="    "/>
    <s v=""/>
    <s v="C.G.I.L.           C.G.I.L"/>
    <s v="laura.fraschetti@ilsole24ore.com                  "/>
    <s v="F"/>
    <s v="F-FIRMA"/>
    <s v="1 "/>
    <s v="1=5 X 8"/>
    <s v="01/07/2025"/>
    <s v="TEMPO DETERMINATO"/>
    <s v="31/05/2027"/>
    <s v="0015002100                    "/>
    <s v="PALMA ENRICA"/>
    <n v="58"/>
  </r>
  <r>
    <x v="0"/>
    <n v="902"/>
    <s v="IL SOLE 24 ORE S.P.A.                   "/>
    <s v="H           "/>
    <s v="DG SERVIZI PROFESSIONALI E FORMAZIONE"/>
    <s v="H03 "/>
    <x v="29"/>
    <s v="B10130      "/>
    <s v="B10130   SUPPORTO COMMERCIALE E SALES AC"/>
    <s v="GORI                            "/>
    <s v="SAMANTHA          "/>
    <s v="GROSNT73D62C352B"/>
    <x v="0"/>
    <s v="31"/>
    <x v="1"/>
    <s v="04/04/2022"/>
    <s v="ROMA                   "/>
    <s v="21"/>
    <x v="0"/>
    <s v="I"/>
    <x v="0"/>
    <s v="B1 "/>
    <s v="B1 LIV. IMPIEGATO             "/>
    <s v="03/06/1996"/>
    <s v="01/06/1995"/>
    <s v="22/04/1973"/>
    <s v="A"/>
    <s v="A.IN FORZA"/>
    <s v="1  -ASSUNZIONE                1"/>
    <s v=""/>
    <s v=" "/>
    <s v=""/>
    <s v=""/>
    <n v="692"/>
    <s v="00"/>
    <n v="100"/>
    <s v="FULL TIME      100000000FF100-FULL TIME"/>
    <s v="03/06/1996"/>
    <s v=""/>
    <s v="  "/>
    <s v=""/>
    <s v="EP  "/>
    <s v="    "/>
    <s v=""/>
    <s v="NON ISCRITTO       NON ISCRITTO"/>
    <s v="samantha.gori@ilsole24ore.com                     "/>
    <s v="F"/>
    <s v="F-FIRMA"/>
    <s v="1 "/>
    <s v="1=5 X 8"/>
    <s v="01/07/2025"/>
    <s v="TEMPO DETERMINATO"/>
    <s v="31/05/2027"/>
    <s v="0015002100                    "/>
    <s v="PALMA ENRICA"/>
    <n v="52"/>
  </r>
  <r>
    <x v="0"/>
    <n v="1600"/>
    <s v="IL SOLE 24 ORE S.P.A.                   "/>
    <s v="H           "/>
    <s v="DG SERVIZI PROFESSIONALI E FORMAZIONE"/>
    <s v="H03 "/>
    <x v="29"/>
    <s v="B10130      "/>
    <s v="B10130   SUPPORTO COMMERCIALE E SALES AC"/>
    <s v="NASONE                          "/>
    <s v="ANGELA            "/>
    <s v="NSNNGL73R64H501E"/>
    <x v="0"/>
    <s v="31"/>
    <x v="1"/>
    <s v="18/05/2009"/>
    <s v="ROMA                   "/>
    <s v="21"/>
    <x v="0"/>
    <s v="I"/>
    <x v="0"/>
    <s v="A  "/>
    <s v="A LIV. IMPIEGATO              "/>
    <s v="17/07/2000"/>
    <s v="17/07/2000"/>
    <s v="24/10/1973"/>
    <s v="A"/>
    <s v="A.IN FORZA"/>
    <s v="1  -ASSUNZIONE                1"/>
    <s v=""/>
    <s v=" "/>
    <s v=""/>
    <s v=""/>
    <n v="1269"/>
    <s v="00"/>
    <n v="100"/>
    <s v="FULL TIME      100000000FF100-FULL TIME"/>
    <s v="17/07/2000"/>
    <s v=""/>
    <s v="  "/>
    <s v=""/>
    <s v="EV  "/>
    <s v="    "/>
    <s v=""/>
    <s v="U.I.L.             U.I.L"/>
    <s v="angela.nasone@ilsole24ore.com                     "/>
    <s v="F"/>
    <s v="F-FIRMA"/>
    <s v="1 "/>
    <s v="1=5 X 8"/>
    <s v="01/07/2025"/>
    <s v="TEMPO DETERMINATO"/>
    <s v="31/05/2027"/>
    <s v="0015002100                    "/>
    <s v="PALMA ENRICA"/>
    <n v="52"/>
  </r>
  <r>
    <x v="0"/>
    <n v="2100"/>
    <s v="IL SOLE 24 ORE S.P.A.                   "/>
    <s v="H           "/>
    <s v="DG SERVIZI PROFESSIONALI E FORMAZIONE"/>
    <s v="H03 "/>
    <x v="29"/>
    <s v="B10130      "/>
    <s v="B10130   SUPPORTO COMMERCIALE E SALES AC"/>
    <s v="PALMA                           "/>
    <s v="ENRICA            "/>
    <s v="PLMNRC77B49H501U"/>
    <x v="0"/>
    <s v="31"/>
    <x v="1"/>
    <s v="04/04/2022"/>
    <s v="ROMA                   "/>
    <s v="21"/>
    <x v="0"/>
    <s v="F"/>
    <x v="2"/>
    <s v="Q  "/>
    <s v="Q LIV. QUADRI                 "/>
    <s v="01/04/2006"/>
    <s v="01/04/2006"/>
    <s v="09/02/1977"/>
    <s v="A"/>
    <s v="A.IN FORZA"/>
    <s v="1  -ASSUNZIONE                1"/>
    <s v=""/>
    <s v=" "/>
    <s v=""/>
    <s v=""/>
    <n v="1588"/>
    <s v="00"/>
    <n v="100"/>
    <s v="FULL TIME      100000000FF100-FULL TIME"/>
    <s v="01/04/2006"/>
    <s v=""/>
    <s v="  "/>
    <s v=""/>
    <s v="EP  "/>
    <s v="    "/>
    <s v=""/>
    <s v="NON ISCRITTO       NON ISCRITTO"/>
    <s v="enrica.palma@ilsole24ore.com                      "/>
    <s v="F"/>
    <s v="F-FIRMA"/>
    <s v="1 "/>
    <s v="1=5 X 8"/>
    <s v="01/07/2025"/>
    <s v="TEMPO DETERMINATO"/>
    <s v="31/05/2027"/>
    <s v="0015002989                    "/>
    <s v="CONTERIO ANTONIO"/>
    <n v="48"/>
  </r>
  <r>
    <x v="0"/>
    <n v="1875"/>
    <s v="IL SOLE 24 ORE S.P.A.                   "/>
    <s v="H           "/>
    <s v="DG SERVIZI PROFESSIONALI E FORMAZIONE"/>
    <s v="H03 "/>
    <x v="29"/>
    <s v="B10130      "/>
    <s v="B10130   SUPPORTO COMMERCIALE E SALES AC"/>
    <s v="PELLICCIA                       "/>
    <s v="ANDREA            "/>
    <s v="PLLNDR76E06L182W"/>
    <x v="1"/>
    <s v="31"/>
    <x v="1"/>
    <s v="04/09/2023"/>
    <s v="ROMA                   "/>
    <s v="21"/>
    <x v="0"/>
    <s v="I"/>
    <x v="0"/>
    <s v="A  "/>
    <s v="A LIV. IMPIEGATO              "/>
    <s v="02/04/2002"/>
    <s v="02/04/2002"/>
    <s v="06/05/1976"/>
    <s v="A"/>
    <s v="A.IN FORZA"/>
    <s v="1  -ASSUNZIONE                1"/>
    <s v=""/>
    <s v=" "/>
    <s v=""/>
    <s v=""/>
    <n v="1484"/>
    <s v="00"/>
    <n v="100"/>
    <s v="FULL TIME      100000000FF100-FULL TIME"/>
    <s v="02/04/2002"/>
    <s v=""/>
    <s v="  "/>
    <s v=""/>
    <s v="EP  "/>
    <s v="    "/>
    <s v=""/>
    <s v="C.G.I.L.           C.G.I.L"/>
    <s v="andrea.pelliccia@ilsole24ore.com                  "/>
    <s v="F"/>
    <s v="F-FIRMA"/>
    <s v="1 "/>
    <s v="1=5 X 8"/>
    <s v="01/07/2025"/>
    <s v="TEMPO DETERMINATO"/>
    <s v="31/05/2027"/>
    <s v="0015002100                    "/>
    <s v="PALMA ENRICA"/>
    <n v="49"/>
  </r>
  <r>
    <x v="0"/>
    <n v="1323"/>
    <s v="IL SOLE 24 ORE S.P.A.                   "/>
    <s v="H           "/>
    <s v="DG SERVIZI PROFESSIONALI E FORMAZIONE"/>
    <s v="H03 "/>
    <x v="29"/>
    <s v="B10130      "/>
    <s v="B10130   SUPPORTO COMMERCIALE E SALES AC"/>
    <s v="PICCININI                       "/>
    <s v="MILVA             "/>
    <s v="PCCMLV64B50A515V"/>
    <x v="0"/>
    <s v="31"/>
    <x v="1"/>
    <s v="04/04/2022"/>
    <s v="ROMA                   "/>
    <s v="21"/>
    <x v="0"/>
    <s v="I"/>
    <x v="0"/>
    <s v="B1 "/>
    <s v="B1 LIV. IMPIEGATO             "/>
    <s v="01/11/1999"/>
    <s v="01/11/1999"/>
    <s v="10/02/1964"/>
    <s v="A"/>
    <s v="A.IN FORZA"/>
    <s v="1  -ASSUNZIONE                1"/>
    <s v=""/>
    <s v=" "/>
    <s v=""/>
    <s v=""/>
    <n v="1050"/>
    <s v="00"/>
    <n v="100"/>
    <s v="FULL TIME      100000000FF100-FULL TIME"/>
    <s v="01/11/1999"/>
    <s v=""/>
    <s v="11"/>
    <s v="ORFANO/VEDOVA DEL LAVORO"/>
    <s v="EP  "/>
    <s v="    "/>
    <s v=""/>
    <s v="NON ISCRITTO       NON ISCRITTO"/>
    <s v="milva.piccinini@ilsole24ore.com                   "/>
    <s v="F"/>
    <s v="F-FIRMA"/>
    <s v="1 "/>
    <s v="1=5 X 8"/>
    <s v="01/07/2025"/>
    <s v="TEMPO DETERMINATO"/>
    <s v="31/05/2027"/>
    <s v="0015002100                    "/>
    <s v="PALMA ENRICA"/>
    <n v="61"/>
  </r>
  <r>
    <x v="0"/>
    <n v="2843"/>
    <s v="IL SOLE 24 ORE S.P.A.                   "/>
    <s v="H           "/>
    <s v="DG SERVIZI PROFESSIONALI E FORMAZIONE"/>
    <s v="H03 "/>
    <x v="29"/>
    <s v="B10130      "/>
    <s v="B10130   SUPPORTO COMMERCIALE E SALES AC"/>
    <s v="RENZETTI                        "/>
    <s v="ELISABETTA        "/>
    <s v="RNZLBT85D44I992F"/>
    <x v="0"/>
    <s v="31"/>
    <x v="1"/>
    <s v="04/04/2022"/>
    <s v="ROMA                   "/>
    <s v="21"/>
    <x v="0"/>
    <s v="I"/>
    <x v="0"/>
    <s v="B2 "/>
    <s v="B2 LIV. IMPIEGATO             "/>
    <s v="01/09/2015"/>
    <s v="01/09/2015"/>
    <s v="04/04/1985"/>
    <s v="A"/>
    <s v="A.IN FORZA"/>
    <s v="1  -ASSUNZIONE                1"/>
    <s v=""/>
    <s v=" "/>
    <s v=""/>
    <s v=""/>
    <n v="2843"/>
    <s v="00"/>
    <n v="100"/>
    <s v="FULL TIME      100000000FF100-FULL TIME"/>
    <s v="01/09/2015"/>
    <s v=""/>
    <s v="  "/>
    <s v=""/>
    <s v="EV  "/>
    <s v="    "/>
    <s v=""/>
    <s v="NON ISCRITTO       NON ISCRITTO"/>
    <s v="elisabetta.renzetti@ilsole24ore.com               "/>
    <s v="F"/>
    <s v="F-FIRMA"/>
    <s v="1 "/>
    <s v="1=5 X 8"/>
    <s v="01/07/2025"/>
    <s v="TEMPO DETERMINATO"/>
    <s v="31/05/2027"/>
    <s v="0015002100                    "/>
    <s v="PALMA ENRICA"/>
    <n v="40"/>
  </r>
  <r>
    <x v="0"/>
    <n v="2286"/>
    <s v="IL SOLE 24 ORE S.P.A.                   "/>
    <s v="H           "/>
    <s v="DG SERVIZI PROFESSIONALI E FORMAZIONE"/>
    <s v="H03 "/>
    <x v="29"/>
    <s v="B10130      "/>
    <s v="B10130   SUPPORTO COMMERCIALE E SALES AC"/>
    <s v="VERNA                           "/>
    <s v="ALESSANDRA        "/>
    <s v="VRNLSN74M58H501K"/>
    <x v="0"/>
    <s v="31"/>
    <x v="1"/>
    <s v="04/04/2022"/>
    <s v="ROMA                   "/>
    <s v="21"/>
    <x v="0"/>
    <s v="I"/>
    <x v="0"/>
    <s v="A  "/>
    <s v="A LIV. IMPIEGATO              "/>
    <s v="15/04/2008"/>
    <s v="15/04/2008"/>
    <s v="18/08/1974"/>
    <s v="A"/>
    <s v="A.IN FORZA"/>
    <s v="1  -ASSUNZIONE                1"/>
    <s v=""/>
    <s v=" "/>
    <s v=""/>
    <s v=""/>
    <n v="1711"/>
    <s v="00"/>
    <n v="100"/>
    <s v="FULL TIME      100000000FF100-FULL TIME"/>
    <s v="15/04/2008"/>
    <s v=""/>
    <s v="  "/>
    <s v=""/>
    <s v="EP  "/>
    <s v="    "/>
    <s v=""/>
    <s v="NON ISCRITTO       NON ISCRITTO"/>
    <s v="alessandra.verna@ilsole24ore.com                  "/>
    <s v="F"/>
    <s v="F-FIRMA"/>
    <s v="1 "/>
    <s v="1=5 X 8"/>
    <s v="01/07/2025"/>
    <s v="TEMPO DETERMINATO"/>
    <s v="31/05/2027"/>
    <s v="0015002100                    "/>
    <s v="PALMA ENRICA"/>
    <n v="51"/>
  </r>
  <r>
    <x v="0"/>
    <n v="2968"/>
    <s v="IL SOLE 24 ORE S.P.A.                   "/>
    <s v="H           "/>
    <s v="DG SERVIZI PROFESSIONALI E FORMAZIONE"/>
    <s v="H04 "/>
    <x v="30"/>
    <s v="815115      "/>
    <s v="815115   AREA FISCO LAVORO"/>
    <s v="ESPOSITO                        "/>
    <s v="ROBERTO           "/>
    <s v="SPSRRT65D10F839E"/>
    <x v="1"/>
    <s v="34"/>
    <x v="0"/>
    <s v="01/04/2021"/>
    <s v="MILANO                 "/>
    <s v="90"/>
    <x v="1"/>
    <s v="D"/>
    <x v="1"/>
    <s v="D  "/>
    <s v="DIRIGENTE INDUSTRIA           "/>
    <s v="05/02/2019"/>
    <s v="05/02/2019"/>
    <s v="10/04/1965"/>
    <s v="A"/>
    <s v="A.IN FORZA"/>
    <s v="1  -ASSUNZIONE                1"/>
    <s v=""/>
    <s v=" "/>
    <s v=""/>
    <s v=""/>
    <n v="2968"/>
    <s v="00"/>
    <n v="100"/>
    <s v="FULL TIME      100000000FF100-FULL TIME"/>
    <s v="05/02/2019"/>
    <s v=""/>
    <s v="  "/>
    <s v=""/>
    <s v="DD  "/>
    <s v="    "/>
    <s v=""/>
    <s v=""/>
    <s v="roberto.esposito@ilsole24ore.com                  "/>
    <s v="E"/>
    <s v="E-ESENTE"/>
    <s v="1 "/>
    <s v="1=5 X 8"/>
    <s v="01/07/2025"/>
    <s v="TEMPO DETERMINATO"/>
    <s v="31/05/2026"/>
    <s v="0015002988                    "/>
    <s v="MINELLA ERALDO"/>
    <n v="60"/>
  </r>
  <r>
    <x v="0"/>
    <n v="3063"/>
    <s v="IL SOLE 24 ORE S.P.A.                   "/>
    <s v="H           "/>
    <s v="DG SERVIZI PROFESSIONALI E FORMAZIONE"/>
    <s v="H04 "/>
    <x v="30"/>
    <s v="815115      "/>
    <s v="815115   AREA FISCO LAVORO"/>
    <s v="FEBBO                           "/>
    <s v="FRANCESCA         "/>
    <s v="FBBFNC92A60A485Y"/>
    <x v="0"/>
    <s v="34"/>
    <x v="0"/>
    <s v="02/01/2023"/>
    <s v="MILANO                 "/>
    <s v="21"/>
    <x v="0"/>
    <s v="I"/>
    <x v="0"/>
    <s v="A  "/>
    <s v="A LIV. IMPIEGATO              "/>
    <s v="02/01/2023"/>
    <s v="02/01/2023"/>
    <s v="20/01/1992"/>
    <s v="A"/>
    <s v="A.IN FORZA"/>
    <s v="1  -ASSUNZIONE                1"/>
    <s v=""/>
    <s v=" "/>
    <s v=""/>
    <s v=""/>
    <n v="3063"/>
    <s v="00"/>
    <n v="100"/>
    <s v="FULL TIME      100000000FF100-FULL TIME"/>
    <s v="02/01/2023"/>
    <s v=""/>
    <s v="  "/>
    <s v=""/>
    <s v="EN  "/>
    <s v="    "/>
    <s v=""/>
    <s v=""/>
    <s v="francesca.febbo@ilsole24ore.com                   "/>
    <s v="F"/>
    <s v="F-FIRMA"/>
    <s v="1 "/>
    <s v="1=5 X 8"/>
    <s v="01/10/2025"/>
    <s v="TEMPO DETERMINATO"/>
    <s v="31/03/2026"/>
    <s v="0015002990                    "/>
    <s v="TORCIANI MORENA"/>
    <n v="34"/>
  </r>
  <r>
    <x v="0"/>
    <n v="3155"/>
    <s v="IL SOLE 24 ORE S.P.A.                   "/>
    <s v="H           "/>
    <s v="DG SERVIZI PROFESSIONALI E FORMAZIONE"/>
    <s v="H04 "/>
    <x v="30"/>
    <s v="815115      "/>
    <s v="815115   AREA FISCO LAVORO"/>
    <s v="SALVATORELLI                    "/>
    <s v="SILVIA            "/>
    <s v="SLVSLV82C41G942M"/>
    <x v="0"/>
    <s v="34"/>
    <x v="0"/>
    <s v="01/07/2025"/>
    <s v="MILANO                 "/>
    <s v="21"/>
    <x v="0"/>
    <s v="I"/>
    <x v="0"/>
    <s v="B1 "/>
    <s v="B1 LIV. IMPIEGATO             "/>
    <s v="01/07/2025"/>
    <s v="01/07/2025"/>
    <s v="01/03/1982"/>
    <s v="A"/>
    <s v="A.IN FORZA"/>
    <s v="1  -ASSUNZIONE                1"/>
    <s v=""/>
    <s v=" "/>
    <s v=""/>
    <s v=""/>
    <n v="3155"/>
    <s v="00"/>
    <n v="100"/>
    <s v="FULL TIME      100000000FF100-FULL TIME"/>
    <s v="01/07/2025"/>
    <s v=""/>
    <s v="  "/>
    <s v=""/>
    <s v="EN  "/>
    <s v="    "/>
    <s v=""/>
    <s v=""/>
    <s v="silvia.salvatorelli@ilsole24ore.com               "/>
    <s v="F"/>
    <s v="F-FIRMA"/>
    <s v="1 "/>
    <s v="1=5 X 8"/>
    <s v="01/07/2025"/>
    <s v="TEMPO DETERMINATO"/>
    <s v="31/05/2027"/>
    <s v="0015002990                    "/>
    <s v="TORCIANI MORENA"/>
    <n v="43"/>
  </r>
  <r>
    <x v="0"/>
    <n v="2990"/>
    <s v="IL SOLE 24 ORE S.P.A.                   "/>
    <s v="H           "/>
    <s v="DG SERVIZI PROFESSIONALI E FORMAZIONE"/>
    <s v="H04 "/>
    <x v="30"/>
    <s v="815115      "/>
    <s v="815115   AREA FISCO LAVORO"/>
    <s v="TORCIANI                        "/>
    <s v="MORENA            "/>
    <s v="TRCMRN67P47G388Z"/>
    <x v="0"/>
    <s v="34"/>
    <x v="0"/>
    <s v="01/04/2021"/>
    <s v="MILANO                 "/>
    <s v="21"/>
    <x v="0"/>
    <s v="F"/>
    <x v="2"/>
    <s v="Q  "/>
    <s v="Q LIV. QUADRI                 "/>
    <s v="02/01/2020"/>
    <s v="02/01/2020"/>
    <s v="07/09/1967"/>
    <s v="A"/>
    <s v="A.IN FORZA"/>
    <s v="1  -ASSUNZIONE                1"/>
    <s v=""/>
    <s v=" "/>
    <s v=""/>
    <s v=""/>
    <n v="2990"/>
    <s v="00"/>
    <n v="100"/>
    <s v="FULL TIME      100000000FF100-FULL TIME"/>
    <s v="02/01/2020"/>
    <s v=""/>
    <s v="  "/>
    <s v=""/>
    <s v="EV  "/>
    <s v="    "/>
    <s v=""/>
    <s v=""/>
    <s v="morena.torciani@ilsole24ore.com                   "/>
    <s v="F"/>
    <s v="F-FIRMA"/>
    <s v="1 "/>
    <s v="1=5 X 8"/>
    <s v="01/07/2025"/>
    <s v="TEMPO DETERMINATO"/>
    <s v="31/05/2027"/>
    <s v="0015002968                    "/>
    <s v="ESPOSITO ROBERTO"/>
    <n v="58"/>
  </r>
  <r>
    <x v="0"/>
    <n v="637"/>
    <s v="IL SOLE 24 ORE S.P.A.                   "/>
    <s v="H           "/>
    <s v="DG SERVIZI PROFESSIONALI E FORMAZIONE"/>
    <s v="H04 "/>
    <x v="30"/>
    <s v="81511510    "/>
    <s v="81511510 REDAZIONE FISCO"/>
    <s v="BELLELLI                        "/>
    <s v="GIOVANNA          "/>
    <s v="BLLGNN64S62A944A"/>
    <x v="0"/>
    <s v="34"/>
    <x v="0"/>
    <s v="01/04/2021"/>
    <s v="MILANO                 "/>
    <s v="21"/>
    <x v="0"/>
    <s v="I"/>
    <x v="0"/>
    <s v="A  "/>
    <s v="A LIV. IMPIEGATO              "/>
    <s v="01/10/1992"/>
    <s v="01/10/1992"/>
    <s v="22/11/1964"/>
    <s v="A"/>
    <s v="A.IN FORZA"/>
    <s v="1  -ASSUNZIONE                1"/>
    <s v=""/>
    <s v=" "/>
    <s v=""/>
    <s v=""/>
    <n v="461"/>
    <s v="14"/>
    <n v="80"/>
    <s v="32 ORE GRAFICI 080000000PP32.0/40- PT 80.00-P"/>
    <s v="01/06/2023"/>
    <s v="30/11/2026"/>
    <s v="  "/>
    <s v=""/>
    <s v="EP  "/>
    <s v="    "/>
    <s v=""/>
    <s v=""/>
    <s v="giovanna.bellelli@ilsole24ore.com                 "/>
    <s v="F"/>
    <s v="F-FIRMA"/>
    <s v="1 "/>
    <s v="1=5 X 8"/>
    <s v="01/07/2025"/>
    <s v="TEMPO DETERMINATO"/>
    <s v="31/05/2027"/>
    <s v="0015001197                    "/>
    <s v="RAVAGLIOLI SANDRA"/>
    <n v="61"/>
  </r>
  <r>
    <x v="0"/>
    <n v="792"/>
    <s v="IL SOLE 24 ORE S.P.A.                   "/>
    <s v="H           "/>
    <s v="DG SERVIZI PROFESSIONALI E FORMAZIONE"/>
    <s v="H04 "/>
    <x v="30"/>
    <s v="81511510    "/>
    <s v="81511510 REDAZIONE FISCO"/>
    <s v="BRUNS                           "/>
    <s v="MARINA MARIA      "/>
    <s v="BRNMNM64T69F205I"/>
    <x v="0"/>
    <s v="34"/>
    <x v="0"/>
    <s v="01/04/2021"/>
    <s v="MILANO                 "/>
    <s v="21"/>
    <x v="0"/>
    <s v="I"/>
    <x v="0"/>
    <s v="AS "/>
    <s v="AS LIV. IMPIEGATO             "/>
    <s v="11/07/1994"/>
    <s v="11/07/1994"/>
    <s v="29/12/1964"/>
    <s v="A"/>
    <s v="A.IN FORZA"/>
    <s v="1  -ASSUNZIONE                1"/>
    <s v=""/>
    <s v=" "/>
    <s v=""/>
    <s v=""/>
    <n v="596"/>
    <s v="00"/>
    <n v="100"/>
    <s v="FULL TIME      100000000FF100-FULL TIME"/>
    <s v="11/07/1994"/>
    <s v=""/>
    <s v="  "/>
    <s v=""/>
    <s v="EP  "/>
    <s v="    "/>
    <s v=""/>
    <s v=""/>
    <s v="marina.bruns@ilsole24ore.com                      "/>
    <s v="F"/>
    <s v="F-FIRMA"/>
    <s v="1 "/>
    <s v="1=5 X 8"/>
    <s v="01/07/2025"/>
    <s v="TEMPO DETERMINATO"/>
    <s v="31/05/2027"/>
    <s v="0015001197                    "/>
    <s v="RAVAGLIOLI SANDRA"/>
    <n v="61"/>
  </r>
  <r>
    <x v="0"/>
    <n v="3121"/>
    <s v="IL SOLE 24 ORE S.P.A.                   "/>
    <s v="H           "/>
    <s v="DG SERVIZI PROFESSIONALI E FORMAZIONE"/>
    <s v="H04 "/>
    <x v="30"/>
    <s v="81511510    "/>
    <s v="81511510 REDAZIONE FISCO"/>
    <s v="CARROZZA                        "/>
    <s v="LUCIA             "/>
    <s v="CRRLCU94D50H703F"/>
    <x v="0"/>
    <s v="31"/>
    <x v="1"/>
    <s v="06/05/2024"/>
    <s v="ROMA                   "/>
    <s v="21"/>
    <x v="0"/>
    <s v="I"/>
    <x v="0"/>
    <s v="A  "/>
    <s v="A LIV. IMPIEGATO              "/>
    <s v="06/05/2024"/>
    <s v="06/05/2024"/>
    <s v="10/04/1994"/>
    <s v="A"/>
    <s v="A.IN FORZA"/>
    <s v="1  -ASSUNZIONE                1"/>
    <s v=""/>
    <s v=" "/>
    <s v=""/>
    <s v=""/>
    <n v="3121"/>
    <s v="00"/>
    <n v="100"/>
    <s v="FULL TIME      100000000FF100-FULL TIME"/>
    <s v="06/05/2024"/>
    <s v=""/>
    <s v="  "/>
    <s v=""/>
    <s v="EN  "/>
    <s v="    "/>
    <s v=""/>
    <s v=""/>
    <s v="lucia.carrozza@ilsole24ore.com                    "/>
    <s v="F"/>
    <s v="F-FIRMA"/>
    <s v="1 "/>
    <s v="1=5 X 8"/>
    <s v="01/07/2025"/>
    <s v="TEMPO DETERMINATO"/>
    <s v="31/05/2027"/>
    <s v="0015001444                    "/>
    <s v="GISMUNDI STEFANO"/>
    <n v="31"/>
  </r>
  <r>
    <x v="0"/>
    <n v="1989"/>
    <s v="IL SOLE 24 ORE S.P.A.                   "/>
    <s v="H           "/>
    <s v="DG SERVIZI PROFESSIONALI E FORMAZIONE"/>
    <s v="H04 "/>
    <x v="30"/>
    <s v="81511510    "/>
    <s v="81511510 REDAZIONE FISCO"/>
    <s v="DI GREGORIO                     "/>
    <s v="PAOLO             "/>
    <s v="DGRPLA70H11H501R"/>
    <x v="1"/>
    <s v="31"/>
    <x v="1"/>
    <s v="19/05/2009"/>
    <s v="ROMA                   "/>
    <s v="21"/>
    <x v="0"/>
    <s v="I"/>
    <x v="0"/>
    <s v="AS "/>
    <s v="AS LIV. IMPIEGATO             "/>
    <s v="01/12/2003"/>
    <s v="01/12/2003"/>
    <s v="11/06/1970"/>
    <s v="A"/>
    <s v="A.IN FORZA"/>
    <s v="1  -ASSUNZIONE                1"/>
    <s v=""/>
    <s v=" "/>
    <s v=""/>
    <s v=""/>
    <n v="1541"/>
    <s v="00"/>
    <n v="100"/>
    <s v="FULL TIME      100000000FF100-FULL TIME"/>
    <s v="01/12/2003"/>
    <s v=""/>
    <s v="  "/>
    <s v=""/>
    <s v="EP  "/>
    <s v="    "/>
    <s v=""/>
    <s v=""/>
    <s v="paolo.digregorio@ilsole24ore.com                  "/>
    <s v="F"/>
    <s v="F-FIRMA"/>
    <s v="1 "/>
    <s v="1=5 X 8"/>
    <s v="01/07/2025"/>
    <s v="TEMPO DETERMINATO"/>
    <s v="31/05/2027"/>
    <s v="0015001444                    "/>
    <s v="GISMUNDI STEFANO"/>
    <n v="55"/>
  </r>
  <r>
    <x v="0"/>
    <n v="1902"/>
    <s v="IL SOLE 24 ORE S.P.A.                   "/>
    <s v="H           "/>
    <s v="DG SERVIZI PROFESSIONALI E FORMAZIONE"/>
    <s v="H04 "/>
    <x v="30"/>
    <s v="81511510    "/>
    <s v="81511510 REDAZIONE FISCO"/>
    <s v="FESTUCCIA                       "/>
    <s v="GIANNA            "/>
    <s v="FSTGNN65C70H501H"/>
    <x v="0"/>
    <s v="31"/>
    <x v="1"/>
    <s v="19/05/2009"/>
    <s v="ROMA                   "/>
    <s v="21"/>
    <x v="0"/>
    <s v="I"/>
    <x v="0"/>
    <s v="A  "/>
    <s v="A LIV. IMPIEGATO              "/>
    <s v="08/07/2002"/>
    <s v="08/07/2002"/>
    <s v="30/03/1965"/>
    <s v="A"/>
    <s v="A.IN FORZA"/>
    <s v="1  -ASSUNZIONE                1"/>
    <s v=""/>
    <s v=" "/>
    <s v=""/>
    <s v=""/>
    <n v="1505"/>
    <s v="00"/>
    <n v="100"/>
    <s v="FULL TIME      100000000FF100-FULL TIME"/>
    <s v="08/07/2002"/>
    <s v=""/>
    <s v="  "/>
    <s v=""/>
    <s v="EP  "/>
    <s v="    "/>
    <s v=""/>
    <s v="C.G.I.L.           C.G.I.L"/>
    <s v="gianna.festuccia@ilsole24ore.com                  "/>
    <s v="F"/>
    <s v="F-FIRMA"/>
    <s v="1 "/>
    <s v="1=5 X 8"/>
    <s v="01/07/2025"/>
    <s v="TEMPO DETERMINATO"/>
    <s v="31/05/2027"/>
    <s v="0015001444                    "/>
    <s v="GISMUNDI STEFANO"/>
    <n v="60"/>
  </r>
  <r>
    <x v="0"/>
    <n v="3131"/>
    <s v="IL SOLE 24 ORE S.P.A.                   "/>
    <s v="H           "/>
    <s v="DG SERVIZI PROFESSIONALI E FORMAZIONE"/>
    <s v="H04 "/>
    <x v="30"/>
    <s v="81511510    "/>
    <s v="81511510 REDAZIONE FISCO"/>
    <s v="GIORDANO                        "/>
    <s v="ALICE             "/>
    <s v="GRDLCA95R64B019Y"/>
    <x v="0"/>
    <s v="34"/>
    <x v="0"/>
    <s v="15/07/2024"/>
    <s v="MILANO                 "/>
    <s v="21"/>
    <x v="0"/>
    <s v="I"/>
    <x v="0"/>
    <s v="A  "/>
    <s v="A LIV. IMPIEGATO              "/>
    <s v="15/07/2024"/>
    <s v="15/07/2024"/>
    <s v="24/10/1995"/>
    <s v="A"/>
    <s v="A.IN FORZA"/>
    <s v="1  -ASSUNZIONE                1"/>
    <s v=""/>
    <s v=" "/>
    <s v=""/>
    <s v=""/>
    <n v="3131"/>
    <s v="00"/>
    <n v="100"/>
    <s v="FULL TIME      100000000FF100-FULL TIME"/>
    <s v="15/07/2024"/>
    <s v=""/>
    <s v="  "/>
    <s v=""/>
    <s v="EN  "/>
    <s v="    "/>
    <s v=""/>
    <s v=""/>
    <s v="alice.giordano@ilsole24ore.com                    "/>
    <s v="F"/>
    <s v="F-FIRMA"/>
    <s v="1 "/>
    <s v="1=5 X 8"/>
    <s v="01/07/2025"/>
    <s v="TEMPO DETERMINATO"/>
    <s v="31/05/2027"/>
    <s v="0015001197                    "/>
    <s v="RAVAGLIOLI SANDRA"/>
    <n v="30"/>
  </r>
  <r>
    <x v="0"/>
    <n v="2202"/>
    <s v="IL SOLE 24 ORE S.P.A.                   "/>
    <s v="H           "/>
    <s v="DG SERVIZI PROFESSIONALI E FORMAZIONE"/>
    <s v="H04 "/>
    <x v="30"/>
    <s v="81511510    "/>
    <s v="81511510 REDAZIONE FISCO"/>
    <s v="GIOVINE                         "/>
    <s v="LUCA              "/>
    <s v="GVNLCU70T30B639L"/>
    <x v="1"/>
    <s v="34"/>
    <x v="0"/>
    <s v="01/04/2021"/>
    <s v="MILANO                 "/>
    <s v="21"/>
    <x v="0"/>
    <s v="I"/>
    <x v="0"/>
    <s v="AS "/>
    <s v="AS LIV. IMPIEGATO             "/>
    <s v="02/07/2007"/>
    <s v="02/07/2007"/>
    <s v="30/12/1970"/>
    <s v="A"/>
    <s v="A.IN FORZA"/>
    <s v="1  -ASSUNZIONE                1"/>
    <s v=""/>
    <s v=" "/>
    <s v=""/>
    <s v=""/>
    <n v="1654"/>
    <s v="00"/>
    <n v="100"/>
    <s v="FULL TIME      100000000FF100-FULL TIME"/>
    <s v="02/07/2007"/>
    <s v=""/>
    <s v="  "/>
    <s v=""/>
    <s v="EP  "/>
    <s v="    "/>
    <s v=""/>
    <s v=""/>
    <s v="luca.giovine@ilsole24ore.com                      "/>
    <s v="F"/>
    <s v="F-FIRMA"/>
    <s v="1 "/>
    <s v="1=5 X 8"/>
    <s v="01/07/2025"/>
    <s v="TEMPO DETERMINATO"/>
    <s v="31/05/2027"/>
    <s v="0015001197                    "/>
    <s v="RAVAGLIOLI SANDRA"/>
    <n v="55"/>
  </r>
  <r>
    <x v="0"/>
    <n v="1444"/>
    <s v="IL SOLE 24 ORE S.P.A.                   "/>
    <s v="H           "/>
    <s v="DG SERVIZI PROFESSIONALI E FORMAZIONE"/>
    <s v="H04 "/>
    <x v="30"/>
    <s v="81511510    "/>
    <s v="81511510 REDAZIONE FISCO"/>
    <s v="GISMUNDI                        "/>
    <s v="STEFANO           "/>
    <s v="GSMSFN71H24H501F"/>
    <x v="1"/>
    <s v="31"/>
    <x v="1"/>
    <s v="20/05/2009"/>
    <s v="ROMA                   "/>
    <s v="21"/>
    <x v="0"/>
    <s v="F"/>
    <x v="2"/>
    <s v="Q  "/>
    <s v="Q LIV. QUADRI                 "/>
    <s v="20/12/1999"/>
    <s v="20/12/1999"/>
    <s v="24/06/1971"/>
    <s v="A"/>
    <s v="A.IN FORZA"/>
    <s v="1  -ASSUNZIONE                1"/>
    <s v=""/>
    <s v=" "/>
    <s v=""/>
    <s v=""/>
    <n v="1146"/>
    <s v="00"/>
    <n v="100"/>
    <s v="FULL TIME      100000000FF100-FULL TIME"/>
    <s v="20/12/1999"/>
    <s v=""/>
    <s v="  "/>
    <s v=""/>
    <s v="EP  "/>
    <s v="    "/>
    <s v=""/>
    <s v=""/>
    <s v="stefano.gismundi@ilsole24ore.com                  "/>
    <s v="F"/>
    <s v="F-FIRMA"/>
    <s v="1 "/>
    <s v="1=5 X 8"/>
    <s v="01/07/2025"/>
    <s v="TEMPO DETERMINATO"/>
    <s v="31/05/2027"/>
    <s v="0015002968                    "/>
    <s v="ESPOSITO ROBERTO"/>
    <n v="54"/>
  </r>
  <r>
    <x v="0"/>
    <n v="1213"/>
    <s v="IL SOLE 24 ORE S.P.A.                   "/>
    <s v="H           "/>
    <s v="DG SERVIZI PROFESSIONALI E FORMAZIONE"/>
    <s v="H04 "/>
    <x v="30"/>
    <s v="81511510    "/>
    <s v="81511510 REDAZIONE FISCO"/>
    <s v="LOPERGOLO                       "/>
    <s v="GIANLUCA          "/>
    <s v="LPRGLC68C22F052M"/>
    <x v="1"/>
    <s v="31"/>
    <x v="1"/>
    <s v="20/05/2009"/>
    <s v="ROMA                   "/>
    <s v="21"/>
    <x v="0"/>
    <s v="I"/>
    <x v="0"/>
    <s v="AS "/>
    <s v="AS LIV. IMPIEGATO             "/>
    <s v="04/01/1999"/>
    <s v="04/01/1999"/>
    <s v="22/03/1968"/>
    <s v="A"/>
    <s v="A.IN FORZA"/>
    <s v="1  -ASSUNZIONE                1"/>
    <s v=""/>
    <s v=" "/>
    <s v=""/>
    <s v=""/>
    <n v="956"/>
    <s v="00"/>
    <n v="100"/>
    <s v="FULL TIME      100000000FF100-FULL TIME"/>
    <s v="04/01/1999"/>
    <s v=""/>
    <s v="  "/>
    <s v=""/>
    <s v="EP  "/>
    <s v="    "/>
    <s v=""/>
    <s v=""/>
    <s v="gianluca.lopergolo@ilsole24ore.com                "/>
    <s v="F"/>
    <s v="F-FIRMA"/>
    <s v="1 "/>
    <s v="1=5 X 8"/>
    <s v="01/07/2025"/>
    <s v="TEMPO DETERMINATO"/>
    <s v="31/05/2027"/>
    <s v="0015001444                    "/>
    <s v="GISMUNDI STEFANO"/>
    <n v="57"/>
  </r>
  <r>
    <x v="0"/>
    <n v="799"/>
    <s v="IL SOLE 24 ORE S.P.A.                   "/>
    <s v="H           "/>
    <s v="DG SERVIZI PROFESSIONALI E FORMAZIONE"/>
    <s v="H04 "/>
    <x v="30"/>
    <s v="81511510    "/>
    <s v="81511510 REDAZIONE FISCO"/>
    <s v="MONTEMURRO                      "/>
    <s v="ANNALISA          "/>
    <s v="MNTNLS64A52F839C"/>
    <x v="0"/>
    <s v="31"/>
    <x v="1"/>
    <s v="19/05/2009"/>
    <s v="ROMA                   "/>
    <s v="21"/>
    <x v="0"/>
    <s v="I"/>
    <x v="0"/>
    <s v="AS "/>
    <s v="AS LIV. IMPIEGATO             "/>
    <s v="22/09/1994"/>
    <s v="22/09/1994"/>
    <s v="12/01/1964"/>
    <s v="A"/>
    <s v="A.IN FORZA"/>
    <s v="1  -ASSUNZIONE                1"/>
    <s v=""/>
    <s v=" "/>
    <s v=""/>
    <s v=""/>
    <n v="603"/>
    <s v="00"/>
    <n v="100"/>
    <s v="FULL TIME      100000000FF100-FULL TIME"/>
    <s v="01/09/2014"/>
    <s v=""/>
    <s v="  "/>
    <s v=""/>
    <s v="EP  "/>
    <s v="    "/>
    <s v=""/>
    <s v=""/>
    <s v="annalisa.montemurro@ilsole24ore.com               "/>
    <s v="F"/>
    <s v="F-FIRMA"/>
    <s v="1 "/>
    <s v="1=5 X 8"/>
    <s v="01/07/2025"/>
    <s v="TEMPO DETERMINATO"/>
    <s v="31/05/2027"/>
    <s v="0015001444                    "/>
    <s v="GISMUNDI STEFANO"/>
    <n v="62"/>
  </r>
  <r>
    <x v="0"/>
    <n v="581"/>
    <s v="IL SOLE 24 ORE S.P.A.                   "/>
    <s v="H           "/>
    <s v="DG SERVIZI PROFESSIONALI E FORMAZIONE"/>
    <s v="H04 "/>
    <x v="30"/>
    <s v="81511510    "/>
    <s v="81511510 REDAZIONE FISCO"/>
    <s v="PALMA                           "/>
    <s v="ALDA              "/>
    <s v="PLMLDA64L60H426J"/>
    <x v="0"/>
    <s v="34"/>
    <x v="0"/>
    <s v="01/04/2021"/>
    <s v="MILANO                 "/>
    <s v="21"/>
    <x v="0"/>
    <s v="I"/>
    <x v="0"/>
    <s v="A  "/>
    <s v="A LIV. IMPIEGATO              "/>
    <s v="11/11/1991"/>
    <s v="11/11/1991"/>
    <s v="20/07/1964"/>
    <s v="A"/>
    <s v="A.IN FORZA"/>
    <s v="1  -ASSUNZIONE                1"/>
    <s v=""/>
    <s v=" "/>
    <s v=""/>
    <s v=""/>
    <n v="414"/>
    <s v="14"/>
    <n v="80"/>
    <s v="32 ORE GRAFICI 080000000PP32.0/40- PT 80.00-P"/>
    <s v="01/07/2023"/>
    <s v="30/06/2026"/>
    <s v="  "/>
    <s v=""/>
    <s v="EP  "/>
    <s v="    "/>
    <s v=""/>
    <s v="C.G.I.L.           C.G.I.L"/>
    <s v="alda.palma@ilsole24ore.com                        "/>
    <s v="F"/>
    <s v="F-FIRMA"/>
    <s v="1 "/>
    <s v="1=5 X 8"/>
    <s v="01/07/2025"/>
    <s v="TEMPO DETERMINATO"/>
    <s v="31/05/2027"/>
    <s v="0015001197                    "/>
    <s v="RAVAGLIOLI SANDRA"/>
    <n v="61"/>
  </r>
  <r>
    <x v="0"/>
    <n v="2101"/>
    <s v="IL SOLE 24 ORE S.P.A.                   "/>
    <s v="H           "/>
    <s v="DG SERVIZI PROFESSIONALI E FORMAZIONE"/>
    <s v="H04 "/>
    <x v="30"/>
    <s v="81511510    "/>
    <s v="81511510 REDAZIONE FISCO"/>
    <s v="PARROTTA                        "/>
    <s v="CARMEN            "/>
    <s v="PRRCMN65H48H501L"/>
    <x v="0"/>
    <s v="31"/>
    <x v="1"/>
    <s v="20/05/2009"/>
    <s v="ROMA                   "/>
    <s v="21"/>
    <x v="0"/>
    <s v="I"/>
    <x v="0"/>
    <s v="A  "/>
    <s v="A LIV. IMPIEGATO              "/>
    <s v="01/04/2006"/>
    <s v="01/04/2006"/>
    <s v="08/06/1965"/>
    <s v="A"/>
    <s v="A.IN FORZA"/>
    <s v="1  -ASSUNZIONE                1"/>
    <s v=""/>
    <s v=" "/>
    <s v=""/>
    <s v=""/>
    <n v="1589"/>
    <s v="00"/>
    <n v="100"/>
    <s v="FULL TIME      100000000FF100-FULL TIME"/>
    <s v="01/04/2006"/>
    <s v=""/>
    <s v="  "/>
    <s v=""/>
    <s v="EP  "/>
    <s v="    "/>
    <s v=""/>
    <s v="C.G.I.L.           C.G.I.L"/>
    <s v="carmen.parrotta@ilsole24ore.com                   "/>
    <s v="F"/>
    <s v="F-FIRMA"/>
    <s v="1 "/>
    <s v="1=5 X 8"/>
    <s v="01/05/2025"/>
    <s v="TEMPO DETERMINATO"/>
    <s v="30/06/2026"/>
    <s v="0015001444                    "/>
    <s v="GISMUNDI STEFANO"/>
    <n v="60"/>
  </r>
  <r>
    <x v="0"/>
    <n v="3141"/>
    <s v="IL SOLE 24 ORE S.P.A.                   "/>
    <s v="H           "/>
    <s v="DG SERVIZI PROFESSIONALI E FORMAZIONE"/>
    <s v="H04 "/>
    <x v="30"/>
    <s v="81511510    "/>
    <s v="81511510 REDAZIONE FISCO"/>
    <s v="PERROTTI                        "/>
    <s v="VALENTINA         "/>
    <s v="PRRVNT97P64F839A"/>
    <x v="0"/>
    <s v="34"/>
    <x v="0"/>
    <s v="07/01/2025"/>
    <s v="MILANO                 "/>
    <s v="21"/>
    <x v="0"/>
    <s v="I"/>
    <x v="0"/>
    <s v="B1 "/>
    <s v="B1 LIV. IMPIEGATO             "/>
    <s v="07/01/2025"/>
    <s v="07/01/2025"/>
    <s v="24/09/1997"/>
    <s v="A"/>
    <s v="A.IN FORZA"/>
    <s v="1  -ASSUNZIONE                1"/>
    <s v=""/>
    <s v=" "/>
    <s v=""/>
    <s v=""/>
    <n v="3141"/>
    <s v="00"/>
    <n v="100"/>
    <s v="FULL TIME      100000000FF100-FULL TIME"/>
    <s v="07/01/2025"/>
    <s v=""/>
    <s v="  "/>
    <s v=""/>
    <s v="EN  "/>
    <s v="    "/>
    <s v=""/>
    <s v=""/>
    <s v="valentina.perrotti@ilsole24ore.com                "/>
    <s v="F"/>
    <s v="F-FIRMA"/>
    <s v="1 "/>
    <s v="1=5 X 8"/>
    <s v="01/07/2025"/>
    <s v="TEMPO DETERMINATO"/>
    <s v="31/05/2027"/>
    <s v="0015001197                    "/>
    <s v="RAVAGLIOLI SANDRA"/>
    <n v="28"/>
  </r>
  <r>
    <x v="0"/>
    <n v="895"/>
    <s v="IL SOLE 24 ORE S.P.A.                   "/>
    <s v="H           "/>
    <s v="DG SERVIZI PROFESSIONALI E FORMAZIONE"/>
    <s v="H04 "/>
    <x v="30"/>
    <s v="81511510    "/>
    <s v="81511510 REDAZIONE FISCO"/>
    <s v="PISCIOTTA                       "/>
    <s v="CINZIA            "/>
    <s v="PSCCNZ63D62G478U"/>
    <x v="0"/>
    <s v="34"/>
    <x v="0"/>
    <s v="01/04/2021"/>
    <s v="MILANO                 "/>
    <s v="21"/>
    <x v="0"/>
    <s v="I"/>
    <x v="0"/>
    <s v="A  "/>
    <s v="A LIV. IMPIEGATO              "/>
    <s v="07/05/1996"/>
    <s v="07/05/1996"/>
    <s v="22/04/1963"/>
    <s v="A"/>
    <s v="A.IN FORZA"/>
    <s v="1  -ASSUNZIONE                1"/>
    <s v=""/>
    <s v=" "/>
    <s v=""/>
    <s v=""/>
    <n v="686"/>
    <s v="00"/>
    <n v="100"/>
    <s v="FULL TIME      100000000FF100-FULL TIME"/>
    <s v="07/05/1996"/>
    <s v=""/>
    <s v="  "/>
    <s v=""/>
    <s v="EP  "/>
    <s v="    "/>
    <s v=""/>
    <s v=""/>
    <s v="cinzia.pisciotta@ilsole24ore.com                  "/>
    <s v="F"/>
    <s v="F-FIRMA"/>
    <s v="1 "/>
    <s v="1=5 X 8"/>
    <s v="01/07/2025"/>
    <s v="TEMPO DETERMINATO"/>
    <s v="31/05/2027"/>
    <s v="0015001197                    "/>
    <s v="RAVAGLIOLI SANDRA"/>
    <n v="62"/>
  </r>
  <r>
    <x v="0"/>
    <n v="1197"/>
    <s v="IL SOLE 24 ORE S.P.A.                   "/>
    <s v="H           "/>
    <s v="DG SERVIZI PROFESSIONALI E FORMAZIONE"/>
    <s v="H04 "/>
    <x v="30"/>
    <s v="81511510    "/>
    <s v="81511510 REDAZIONE FISCO"/>
    <s v="RAVAGLIOLI                      "/>
    <s v="SANDRA            "/>
    <s v="RVGSDR67L64F205U"/>
    <x v="0"/>
    <s v="34"/>
    <x v="0"/>
    <s v="01/04/2021"/>
    <s v="MILANO                 "/>
    <s v="21"/>
    <x v="0"/>
    <s v="F"/>
    <x v="2"/>
    <s v="Q  "/>
    <s v="Q LIV. QUADRI                 "/>
    <s v="16/11/1998"/>
    <s v="16/11/1998"/>
    <s v="24/07/1967"/>
    <s v="A"/>
    <s v="A.IN FORZA"/>
    <s v="1  -ASSUNZIONE                1"/>
    <s v=""/>
    <s v=" "/>
    <s v=""/>
    <s v=""/>
    <n v="944"/>
    <s v="00"/>
    <n v="100"/>
    <s v="FULL TIME      100000000FF100-FULL TIME"/>
    <s v="01/06/2011"/>
    <s v=""/>
    <s v="  "/>
    <s v=""/>
    <s v="EP  "/>
    <s v="    "/>
    <s v=""/>
    <s v=""/>
    <s v="sandra.ravaglioli@ilsole24ore.com                 "/>
    <s v="F"/>
    <s v="F-FIRMA"/>
    <s v="1 "/>
    <s v="1=5 X 8"/>
    <s v="01/07/2025"/>
    <s v="TEMPO DETERMINATO"/>
    <s v="31/05/2027"/>
    <s v="0015002968                    "/>
    <s v="ESPOSITO ROBERTO"/>
    <n v="58"/>
  </r>
  <r>
    <x v="0"/>
    <n v="1850"/>
    <s v="IL SOLE 24 ORE S.P.A.                   "/>
    <s v="H           "/>
    <s v="DG SERVIZI PROFESSIONALI E FORMAZIONE"/>
    <s v="H04 "/>
    <x v="30"/>
    <s v="81511510    "/>
    <s v="81511510 REDAZIONE FISCO"/>
    <s v="SPIGA                           "/>
    <s v="PAOLO             "/>
    <s v="SPGPLA66S01H501K"/>
    <x v="1"/>
    <s v="31"/>
    <x v="1"/>
    <s v="19/05/2009"/>
    <s v="ROMA                   "/>
    <s v="21"/>
    <x v="0"/>
    <s v="I"/>
    <x v="0"/>
    <s v="AS "/>
    <s v="AS LIV. IMPIEGATO             "/>
    <s v="01/02/2001"/>
    <s v="23/06/2000"/>
    <s v="01/11/1966"/>
    <s v="A"/>
    <s v="A.IN FORZA"/>
    <s v="2  -VARIAZIONE SOCIETARIA     2"/>
    <s v=""/>
    <s v=" "/>
    <s v=""/>
    <s v=""/>
    <n v="1470"/>
    <s v="00"/>
    <n v="100"/>
    <s v="FULL TIME      100000000FF100-FULL TIME"/>
    <s v="01/02/2001"/>
    <s v=""/>
    <s v="  "/>
    <s v=""/>
    <s v="EV  "/>
    <s v="    "/>
    <s v=""/>
    <s v="C.G.I.L.           C.G.I.L"/>
    <s v="paolo.spiga@ilsole24ore.com                       "/>
    <s v="F"/>
    <s v="F-FIRMA"/>
    <s v="1 "/>
    <s v="1=5 X 8"/>
    <s v="01/07/2025"/>
    <s v="TEMPO DETERMINATO"/>
    <s v="31/05/2027"/>
    <s v="0015001444                    "/>
    <s v="GISMUNDI STEFANO"/>
    <n v="59"/>
  </r>
  <r>
    <x v="0"/>
    <n v="1522"/>
    <s v="IL SOLE 24 ORE S.P.A.                   "/>
    <s v="H           "/>
    <s v="DG SERVIZI PROFESSIONALI E FORMAZIONE"/>
    <s v="H04 "/>
    <x v="30"/>
    <s v="815130      "/>
    <s v="815130   REDAZIONE FISCO - TRENTO"/>
    <s v="CALLEGARI                       "/>
    <s v="ILARIA            "/>
    <s v="CLLLRI70T67L378P"/>
    <x v="0"/>
    <s v="65"/>
    <x v="3"/>
    <s v="30/05/2016"/>
    <s v="TRENTO                 "/>
    <s v="21"/>
    <x v="0"/>
    <s v="I"/>
    <x v="0"/>
    <s v="AS "/>
    <s v="AS LIV. IMPIEGATO             "/>
    <s v="10/04/2000"/>
    <s v="10/04/2000"/>
    <s v="27/12/1970"/>
    <s v="A"/>
    <s v="A.IN FORZA"/>
    <s v="1  -ASSUNZIONE                1"/>
    <s v=""/>
    <s v=" "/>
    <s v=""/>
    <s v=""/>
    <n v="1203"/>
    <s v="02"/>
    <n v="75"/>
    <s v="30 H O GRA/RADI075000000PP30.0/40- PT 75.00-P"/>
    <s v="01/04/2019"/>
    <s v="30/06/2026"/>
    <s v="  "/>
    <s v=""/>
    <s v="EP  "/>
    <s v="    "/>
    <s v=""/>
    <s v="C.G.I.L.           C.G.I.L"/>
    <s v="ilaria.callegari@ilsole24ore.com                  "/>
    <s v="F"/>
    <s v="F-FIRMA"/>
    <s v="1 "/>
    <s v="1=5 X 8"/>
    <s v="01/07/2025"/>
    <s v="TEMPO DETERMINATO"/>
    <s v="31/05/2027"/>
    <s v="0015001197                    "/>
    <s v="RAVAGLIOLI SANDRA"/>
    <n v="55"/>
  </r>
  <r>
    <x v="0"/>
    <n v="1126"/>
    <s v="IL SOLE 24 ORE S.P.A.                   "/>
    <s v="H           "/>
    <s v="DG SERVIZI PROFESSIONALI E FORMAZIONE"/>
    <s v="H04 "/>
    <x v="30"/>
    <s v="815130      "/>
    <s v="815130   REDAZIONE FISCO - TRENTO"/>
    <s v="COSER                           "/>
    <s v="ROBERTA           "/>
    <s v="CSRRRT68H48L378A"/>
    <x v="0"/>
    <s v="65"/>
    <x v="3"/>
    <s v="30/05/2016"/>
    <s v="TRENTO                 "/>
    <s v="21"/>
    <x v="0"/>
    <s v="I"/>
    <x v="0"/>
    <s v="A  "/>
    <s v="A LIV. IMPIEGATO              "/>
    <s v="15/04/1998"/>
    <s v="15/04/1998"/>
    <s v="08/06/1968"/>
    <s v="A"/>
    <s v="A.IN FORZA"/>
    <s v="1  -ASSUNZIONE                1"/>
    <s v=""/>
    <s v=" "/>
    <s v=""/>
    <s v=""/>
    <n v="886"/>
    <s v="00"/>
    <n v="100"/>
    <s v="FULL TIME      100000000FF100-FULL TIME"/>
    <s v="15/04/1998"/>
    <s v=""/>
    <s v="  "/>
    <s v=""/>
    <s v="EP  "/>
    <s v="    "/>
    <s v=""/>
    <s v="C.G.I.L.           C.G.I.L"/>
    <s v="roberta.coser@ilsole24ore.com                     "/>
    <s v="F"/>
    <s v="F-FIRMA"/>
    <s v="1 "/>
    <s v="1=5 X 8"/>
    <s v="01/07/2025"/>
    <s v="TEMPO DETERMINATO"/>
    <s v="31/05/2027"/>
    <s v="0015001197                    "/>
    <s v="RAVAGLIOLI SANDRA"/>
    <n v="57"/>
  </r>
  <r>
    <x v="0"/>
    <n v="2212"/>
    <s v="IL SOLE 24 ORE S.P.A.                   "/>
    <s v="H           "/>
    <s v="DG SERVIZI PROFESSIONALI E FORMAZIONE"/>
    <s v="H04 "/>
    <x v="30"/>
    <s v="815130      "/>
    <s v="815130   REDAZIONE FISCO - TRENTO"/>
    <s v="SARDI                           "/>
    <s v="PAOLO             "/>
    <s v="SRDPLA77S02E565C"/>
    <x v="1"/>
    <s v="65"/>
    <x v="3"/>
    <s v="30/05/2016"/>
    <s v="TRENTO                 "/>
    <s v="21"/>
    <x v="0"/>
    <s v="I"/>
    <x v="0"/>
    <s v="A  "/>
    <s v="A LIV. IMPIEGATO              "/>
    <s v="04/07/2007"/>
    <s v="04/07/2007"/>
    <s v="02/11/1977"/>
    <s v="A"/>
    <s v="A.IN FORZA"/>
    <s v="1  -ASSUNZIONE                1"/>
    <s v=""/>
    <s v=" "/>
    <s v=""/>
    <s v=""/>
    <n v="1664"/>
    <s v="00"/>
    <n v="100"/>
    <s v="FULL TIME      100000000FF100-FULL TIME"/>
    <s v="04/07/2007"/>
    <s v=""/>
    <s v="  "/>
    <s v=""/>
    <s v="EP  "/>
    <s v="    "/>
    <s v=""/>
    <s v="C.G.I.L.           C.G.I.L"/>
    <s v="paolo.sardi@ilsole24ore.com                       "/>
    <s v="F"/>
    <s v="F-FIRMA"/>
    <s v="1 "/>
    <s v="1=5 X 8"/>
    <s v="01/07/2025"/>
    <s v="TEMPO DETERMINATO"/>
    <s v="31/05/2027"/>
    <s v="0015001197                    "/>
    <s v="RAVAGLIOLI SANDRA"/>
    <n v="48"/>
  </r>
  <r>
    <x v="0"/>
    <n v="2171"/>
    <s v="IL SOLE 24 ORE S.P.A.                   "/>
    <s v="H           "/>
    <s v="DG SERVIZI PROFESSIONALI E FORMAZIONE"/>
    <s v="H04 "/>
    <x v="30"/>
    <s v="815200      "/>
    <s v="815200   REDAZIONE LAVORO"/>
    <s v="COLANTONI                       "/>
    <s v="CLAUDIA           "/>
    <s v="CLNCLD73L45H501C"/>
    <x v="0"/>
    <s v="31"/>
    <x v="1"/>
    <s v="20/05/2009"/>
    <s v="ROMA                   "/>
    <s v="21"/>
    <x v="0"/>
    <s v="I"/>
    <x v="0"/>
    <s v="A  "/>
    <s v="A LIV. IMPIEGATO              "/>
    <s v="20/02/2007"/>
    <s v="20/02/2007"/>
    <s v="05/07/1973"/>
    <s v="A"/>
    <s v="A.IN FORZA"/>
    <s v="1  -ASSUNZIONE                1"/>
    <s v=""/>
    <s v=" "/>
    <s v=""/>
    <s v=""/>
    <n v="1635"/>
    <s v="00"/>
    <n v="100"/>
    <s v="FULL TIME      100000000FF100-FULL TIME"/>
    <s v="20/02/2007"/>
    <s v=""/>
    <s v="  "/>
    <s v=""/>
    <s v="EP  "/>
    <s v="    "/>
    <s v=""/>
    <s v=""/>
    <s v="claudia.colantoni@ilsole24ore.com                 "/>
    <s v="F"/>
    <s v="F-FIRMA"/>
    <s v="1 "/>
    <s v="1=5 X 8"/>
    <s v="01/07/2025"/>
    <s v="TEMPO DETERMINATO"/>
    <s v="31/05/2027"/>
    <s v="0015001330                    "/>
    <s v="COPPOLA DANIELA"/>
    <n v="52"/>
  </r>
  <r>
    <x v="0"/>
    <n v="1330"/>
    <s v="IL SOLE 24 ORE S.P.A.                   "/>
    <s v="H           "/>
    <s v="DG SERVIZI PROFESSIONALI E FORMAZIONE"/>
    <s v="H04 "/>
    <x v="30"/>
    <s v="815200      "/>
    <s v="815200   REDAZIONE LAVORO"/>
    <s v="COPPOLA                         "/>
    <s v="DANIELA           "/>
    <s v="CPPDNL69B61H501D"/>
    <x v="0"/>
    <s v="31"/>
    <x v="1"/>
    <s v="19/05/2009"/>
    <s v="ROMA                   "/>
    <s v="21"/>
    <x v="0"/>
    <s v="F"/>
    <x v="2"/>
    <s v="Q  "/>
    <s v="Q LIV. QUADRI                 "/>
    <s v="02/11/1999"/>
    <s v="02/11/1999"/>
    <s v="21/02/1969"/>
    <s v="A"/>
    <s v="A.IN FORZA"/>
    <s v="1  -ASSUNZIONE                1"/>
    <s v=""/>
    <s v=" "/>
    <s v=""/>
    <s v=""/>
    <n v="1053"/>
    <s v="00"/>
    <n v="100"/>
    <s v="FULL TIME      100000000FF100-FULL TIME"/>
    <s v="02/11/1999"/>
    <s v=""/>
    <s v="  "/>
    <s v=""/>
    <s v="EP  "/>
    <s v="    "/>
    <s v=""/>
    <s v=""/>
    <s v="daniela.coppola@ilsole24ore.com                   "/>
    <s v="F"/>
    <s v="F-FIRMA"/>
    <s v="1 "/>
    <s v="1=5 X 8"/>
    <s v="01/07/2025"/>
    <s v="TEMPO DETERMINATO"/>
    <s v="31/05/2027"/>
    <s v="0015002968                    "/>
    <s v="ESPOSITO ROBERTO"/>
    <n v="56"/>
  </r>
  <r>
    <x v="0"/>
    <n v="1049"/>
    <s v="IL SOLE 24 ORE S.P.A.                   "/>
    <s v="H           "/>
    <s v="DG SERVIZI PROFESSIONALI E FORMAZIONE"/>
    <s v="H04 "/>
    <x v="30"/>
    <s v="815200      "/>
    <s v="815200   REDAZIONE LAVORO"/>
    <s v="GRASSI                          "/>
    <s v="ANGELA            "/>
    <s v="GRSNGL66S62F205U"/>
    <x v="0"/>
    <s v="34"/>
    <x v="0"/>
    <s v="01/04/2021"/>
    <s v="MILANO                 "/>
    <s v="21"/>
    <x v="0"/>
    <s v="I"/>
    <x v="0"/>
    <s v="AS "/>
    <s v="AS LIV. IMPIEGATO             "/>
    <s v="16/07/1997"/>
    <s v="16/07/1997"/>
    <s v="22/11/1966"/>
    <s v="A"/>
    <s v="A.IN FORZA"/>
    <s v="1  -ASSUNZIONE                1"/>
    <s v=""/>
    <s v=" "/>
    <s v=""/>
    <s v=""/>
    <n v="818"/>
    <s v="00"/>
    <n v="100"/>
    <s v="FULL TIME      100000000FF100-FULL TIME"/>
    <s v="16/07/1997"/>
    <s v=""/>
    <s v="  "/>
    <s v=""/>
    <s v="EP  "/>
    <s v="    "/>
    <s v=""/>
    <s v=""/>
    <s v="angela.grassi@ilsole24ore.com                     "/>
    <s v="F"/>
    <s v="F-FIRMA"/>
    <s v="1 "/>
    <s v="1=5 X 8"/>
    <s v="01/07/2025"/>
    <s v="TEMPO DETERMINATO"/>
    <s v="31/05/2027"/>
    <s v="0015001330                    "/>
    <s v="COPPOLA DANIELA"/>
    <n v="59"/>
  </r>
  <r>
    <x v="0"/>
    <n v="1180"/>
    <s v="IL SOLE 24 ORE S.P.A.                   "/>
    <s v="H           "/>
    <s v="DG SERVIZI PROFESSIONALI E FORMAZIONE"/>
    <s v="H04 "/>
    <x v="30"/>
    <s v="815200      "/>
    <s v="815200   REDAZIONE LAVORO"/>
    <s v="MANGIONI                        "/>
    <s v="MARGHERITA        "/>
    <s v="MNGMGH73P43E507S"/>
    <x v="0"/>
    <s v="34"/>
    <x v="0"/>
    <s v="01/04/2021"/>
    <s v="MILANO                 "/>
    <s v="21"/>
    <x v="0"/>
    <s v="I"/>
    <x v="0"/>
    <s v="AS "/>
    <s v="AS LIV. IMPIEGATO             "/>
    <s v="01/10/1998"/>
    <s v="01/10/1998"/>
    <s v="03/09/1973"/>
    <s v="A"/>
    <s v="A.IN FORZA"/>
    <s v="1  -ASSUNZIONE                1"/>
    <s v=""/>
    <s v=" "/>
    <s v=""/>
    <s v=""/>
    <n v="928"/>
    <s v="00"/>
    <n v="100"/>
    <s v="FULL TIME      100000000FF100-FULL TIME"/>
    <s v="01/09/2013"/>
    <s v=""/>
    <s v="  "/>
    <s v=""/>
    <s v="EP  "/>
    <s v="    "/>
    <s v=""/>
    <s v=""/>
    <s v="margherita.mangioni@ilsole24ore.com               "/>
    <s v="F"/>
    <s v="F-FIRMA"/>
    <s v="1 "/>
    <s v="1=5 X 8"/>
    <s v="01/07/2025"/>
    <s v="TEMPO DETERMINATO"/>
    <s v="31/05/2027"/>
    <s v="0015001330                    "/>
    <s v="COPPOLA DANIELA"/>
    <n v="52"/>
  </r>
  <r>
    <x v="0"/>
    <n v="2046"/>
    <s v="IL SOLE 24 ORE S.P.A.                   "/>
    <s v="H           "/>
    <s v="DG SERVIZI PROFESSIONALI E FORMAZIONE"/>
    <s v="H04 "/>
    <x v="30"/>
    <s v="815200      "/>
    <s v="815200   REDAZIONE LAVORO"/>
    <s v="MARIANI                         "/>
    <s v="LIA               "/>
    <s v="MRNLIA74B46A345T"/>
    <x v="0"/>
    <s v="31"/>
    <x v="1"/>
    <s v="19/05/2009"/>
    <s v="ROMA                   "/>
    <s v="21"/>
    <x v="0"/>
    <s v="I"/>
    <x v="0"/>
    <s v="A  "/>
    <s v="A LIV. IMPIEGATO              "/>
    <s v="20/12/2004"/>
    <s v="20/12/2004"/>
    <s v="06/02/1974"/>
    <s v="A"/>
    <s v="A.IN FORZA"/>
    <s v="1  -ASSUNZIONE                1"/>
    <s v=""/>
    <s v=" "/>
    <s v=""/>
    <s v=""/>
    <n v="1567"/>
    <s v="08"/>
    <n v="62.5"/>
    <s v="25 ORE GRAFICI 062500000PP25.0/40- PT 62.50-P"/>
    <s v="01/04/2018"/>
    <s v="30/06/2026"/>
    <s v="  "/>
    <s v=""/>
    <s v="EV  "/>
    <s v="    "/>
    <s v=""/>
    <s v=""/>
    <s v="lia.mariani@ilsole24ore.com                       "/>
    <s v="F"/>
    <s v="F-FIRMA"/>
    <s v="1 "/>
    <s v="1=5 X 8"/>
    <s v="01/07/2025"/>
    <s v="TEMPO DETERMINATO"/>
    <s v="31/05/2027"/>
    <s v="0015001330                    "/>
    <s v="COPPOLA DANIELA"/>
    <n v="51"/>
  </r>
  <r>
    <x v="0"/>
    <n v="1777"/>
    <s v="IL SOLE 24 ORE S.P.A.                   "/>
    <s v="H           "/>
    <s v="DG SERVIZI PROFESSIONALI E FORMAZIONE"/>
    <s v="H04 "/>
    <x v="30"/>
    <s v="815200      "/>
    <s v="815200   REDAZIONE LAVORO"/>
    <s v="PESARESI                        "/>
    <s v="ANTONIO MARCO     "/>
    <s v="PSRNNM69H10L682A"/>
    <x v="1"/>
    <s v="34"/>
    <x v="0"/>
    <s v="01/04/2021"/>
    <s v="MILANO                 "/>
    <s v="21"/>
    <x v="0"/>
    <s v="I"/>
    <x v="0"/>
    <s v="AS "/>
    <s v="AS LIV. IMPIEGATO             "/>
    <s v="01/07/2001"/>
    <s v="15/05/2000"/>
    <s v="10/06/1969"/>
    <s v="A"/>
    <s v="A.IN FORZA"/>
    <s v="2  -VARIAZIONE SOCIETARIA     2"/>
    <s v=""/>
    <s v=" "/>
    <s v=""/>
    <s v=""/>
    <n v="1404"/>
    <s v="00"/>
    <n v="100"/>
    <s v="FULL TIME      100000000FF100-FULL TIME"/>
    <s v="01/07/2001"/>
    <s v=""/>
    <s v="  "/>
    <s v=""/>
    <s v="EP  "/>
    <s v="    "/>
    <s v=""/>
    <s v=""/>
    <s v="antonio.pesaresi@ilsole24ore.com                  "/>
    <s v="F"/>
    <s v="F-FIRMA"/>
    <s v="1 "/>
    <s v="1=5 X 8"/>
    <s v="01/07/2025"/>
    <s v="TEMPO DETERMINATO"/>
    <s v="31/05/2027"/>
    <s v="0015001330                    "/>
    <s v="COPPOLA DANIELA"/>
    <n v="56"/>
  </r>
  <r>
    <x v="0"/>
    <n v="1149"/>
    <s v="IL SOLE 24 ORE S.P.A.                   "/>
    <s v="H           "/>
    <s v="DG SERVIZI PROFESSIONALI E FORMAZIONE"/>
    <s v="H04 "/>
    <x v="30"/>
    <s v="815200      "/>
    <s v="815200   REDAZIONE LAVORO"/>
    <s v="VARRIANO                        "/>
    <s v="MICHELA           "/>
    <s v="VRRMHL64M69H501D"/>
    <x v="0"/>
    <s v="31"/>
    <x v="1"/>
    <s v="19/05/2009"/>
    <s v="ROMA                   "/>
    <s v="21"/>
    <x v="0"/>
    <s v="I"/>
    <x v="0"/>
    <s v="AS "/>
    <s v="AS LIV. IMPIEGATO             "/>
    <s v="01/07/1998"/>
    <s v="01/07/1998"/>
    <s v="29/08/1964"/>
    <s v="A"/>
    <s v="A.IN FORZA"/>
    <s v="1  -ASSUNZIONE                1"/>
    <s v=""/>
    <s v=" "/>
    <s v=""/>
    <s v=""/>
    <n v="906"/>
    <s v="00"/>
    <n v="100"/>
    <s v="FULL TIME      100000000FF100-FULL TIME"/>
    <s v="01/07/1998"/>
    <s v=""/>
    <s v="  "/>
    <s v=""/>
    <s v="EP  "/>
    <s v="    "/>
    <s v=""/>
    <s v="C.G.I.L.           C.G.I.L"/>
    <s v="michela.varriano@ilsole24ore.com                  "/>
    <s v="F"/>
    <s v="F-FIRMA"/>
    <s v="1 "/>
    <s v="1=5 X 8"/>
    <s v="01/07/2025"/>
    <s v="TEMPO DETERMINATO"/>
    <s v="31/05/2027"/>
    <s v="0015001330                    "/>
    <s v="COPPOLA DANIELA"/>
    <n v="61"/>
  </r>
  <r>
    <x v="0"/>
    <n v="1713"/>
    <s v="IL SOLE 24 ORE S.P.A.                   "/>
    <s v="H           "/>
    <s v="DG SERVIZI PROFESSIONALI E FORMAZIONE"/>
    <s v="H04 "/>
    <x v="30"/>
    <s v="E11010      "/>
    <s v="E11010   REDAZIONE ESPERTO RISPONDE"/>
    <s v="GAGGINI                         "/>
    <s v="MARCO             "/>
    <s v="GGGMRC63A06F205L"/>
    <x v="1"/>
    <s v="34"/>
    <x v="0"/>
    <s v="01/04/2021"/>
    <s v="MILANO                 "/>
    <s v="25"/>
    <x v="3"/>
    <s v="I"/>
    <x v="0"/>
    <s v="07 "/>
    <s v="7 LIV. IMPIEGATO              "/>
    <s v="02/01/2001"/>
    <s v="02/01/2001"/>
    <s v="06/01/1963"/>
    <s v="A"/>
    <s v="A.IN FORZA"/>
    <s v="1  -ASSUNZIONE                1"/>
    <s v=""/>
    <s v=" "/>
    <s v=""/>
    <s v=""/>
    <n v="1359"/>
    <s v="00"/>
    <n v="100"/>
    <s v="FULL TIME      100000000FF100-FULL TIME"/>
    <s v="02/01/2001"/>
    <s v=""/>
    <s v="  "/>
    <s v=""/>
    <s v="PSO "/>
    <s v="    "/>
    <s v=""/>
    <s v=""/>
    <s v="marco.gaggini@ilsole24ore.com                     "/>
    <s v="T"/>
    <s v="T-TIMBRA"/>
    <s v="7 "/>
    <s v="7=5 X 7.20"/>
    <s v=""/>
    <s v=""/>
    <s v=""/>
    <s v="0015000550                    "/>
    <s v="RICCI LUCCHI EMANUELA"/>
    <n v="63"/>
  </r>
  <r>
    <x v="0"/>
    <n v="550"/>
    <s v="IL SOLE 24 ORE S.P.A.                   "/>
    <s v="H           "/>
    <s v="DG SERVIZI PROFESSIONALI E FORMAZIONE"/>
    <s v="H04 "/>
    <x v="30"/>
    <s v="E11010      "/>
    <s v="E11010   REDAZIONE ESPERTO RISPONDE"/>
    <s v="RICCI LUCCHI                    "/>
    <s v="EMANUELA          "/>
    <s v="RCCMNL66H64E783R"/>
    <x v="0"/>
    <s v="34"/>
    <x v="0"/>
    <s v="01/04/2021"/>
    <s v="MILANO                 "/>
    <s v="25"/>
    <x v="3"/>
    <s v="I"/>
    <x v="0"/>
    <s v="09 "/>
    <s v="9 LIV. IMPIEGATO              "/>
    <s v="02/09/1991"/>
    <s v="02/09/1991"/>
    <s v="24/06/1966"/>
    <s v="A"/>
    <s v="A.IN FORZA"/>
    <s v="1  -ASSUNZIONE                1"/>
    <s v=""/>
    <s v=" "/>
    <s v=""/>
    <s v=""/>
    <n v="386"/>
    <s v="00"/>
    <n v="100"/>
    <s v="FULL TIME      100000000FF100-FULL TIME"/>
    <s v="02/09/1991"/>
    <s v=""/>
    <s v="  "/>
    <s v=""/>
    <s v="PSO "/>
    <s v="    "/>
    <s v=""/>
    <s v="U.I.L.             U.I.L"/>
    <s v="emanuela.riccilucchi@ilsole24ore.com              "/>
    <s v="F"/>
    <s v="F-FIRMA"/>
    <s v="7 "/>
    <s v="7=5 X 7.20"/>
    <s v="01/07/2025"/>
    <s v="TEMPO DETERMINATO"/>
    <s v="31/05/2027"/>
    <s v="0015002968                    "/>
    <s v="ESPOSITO ROBERTO"/>
    <n v="59"/>
  </r>
  <r>
    <x v="0"/>
    <n v="365"/>
    <s v="IL SOLE 24 ORE S.P.A.                   "/>
    <s v="H           "/>
    <s v="DG SERVIZI PROFESSIONALI E FORMAZIONE"/>
    <s v="H04 "/>
    <x v="30"/>
    <s v="E11010      "/>
    <s v="E11010   REDAZIONE ESPERTO RISPONDE"/>
    <s v="ROSSI                           "/>
    <s v="SONIA             "/>
    <s v="RSSSNO68S66E388C"/>
    <x v="0"/>
    <s v="34"/>
    <x v="0"/>
    <s v="01/04/2021"/>
    <s v="MILANO                 "/>
    <s v="21"/>
    <x v="0"/>
    <s v="I"/>
    <x v="0"/>
    <s v="B2 "/>
    <s v="B2 LIV. IMPIEGATO             "/>
    <s v="05/09/1988"/>
    <s v="05/09/1988"/>
    <s v="26/11/1968"/>
    <s v="A"/>
    <s v="A.IN FORZA"/>
    <s v="1  -ASSUNZIONE                1"/>
    <s v=""/>
    <s v=" "/>
    <s v=""/>
    <s v=""/>
    <n v="265"/>
    <s v="00"/>
    <n v="100"/>
    <s v="FULL TIME      100000000FF100-FULL TIME"/>
    <s v="05/09/1988"/>
    <s v=""/>
    <s v="06"/>
    <s v="SORDOMUTI"/>
    <s v="EV  "/>
    <s v="    "/>
    <s v=""/>
    <s v=""/>
    <s v="sonia.rossi@ilsole24ore.com                       "/>
    <s v="T"/>
    <s v="T-TIMBRA"/>
    <s v="1 "/>
    <s v="1=5 X 8"/>
    <s v="01/07/2025"/>
    <s v="TEMPO DETERMINATO"/>
    <s v="31/05/2027"/>
    <s v="0015000550                    "/>
    <s v="RICCI LUCCHI EMANUELA"/>
    <n v="57"/>
  </r>
  <r>
    <x v="0"/>
    <n v="1910"/>
    <s v="IL SOLE 24 ORE S.P.A.                   "/>
    <s v="H           "/>
    <s v="DG SERVIZI PROFESSIONALI E FORMAZIONE"/>
    <s v="H04 "/>
    <x v="30"/>
    <s v="E11010      "/>
    <s v="E11010   REDAZIONE ESPERTO RISPONDE"/>
    <s v="VALIA                           "/>
    <s v="DOMENICO          "/>
    <s v="VLADNC69H21B036G"/>
    <x v="1"/>
    <s v="34"/>
    <x v="0"/>
    <s v="01/04/2021"/>
    <s v="MILANO                 "/>
    <s v="21"/>
    <x v="0"/>
    <s v="I"/>
    <x v="0"/>
    <s v="A  "/>
    <s v="A LIV. IMPIEGATO              "/>
    <s v="10/10/2002"/>
    <s v="10/10/2002"/>
    <s v="21/06/1969"/>
    <s v="A"/>
    <s v="A.IN FORZA"/>
    <s v="1  -ASSUNZIONE                1"/>
    <s v=""/>
    <s v=" "/>
    <s v=""/>
    <s v=""/>
    <n v="1509"/>
    <s v="00"/>
    <n v="100"/>
    <s v="FULL TIME      100000000FF100-FULL TIME"/>
    <s v="10/10/2002"/>
    <s v=""/>
    <s v="05"/>
    <s v="INVALIDI CIVILI"/>
    <s v="EV  "/>
    <s v="    "/>
    <s v=""/>
    <s v=""/>
    <s v="domenico.valia@ilsole24ore.com                    "/>
    <s v="F"/>
    <s v="F-FIRMA"/>
    <s v="1 "/>
    <s v="1=5 X 8"/>
    <s v="01/07/2025"/>
    <s v="TEMPO DETERMINATO"/>
    <s v="31/05/2027"/>
    <s v="0015000550                    "/>
    <s v="RICCI LUCCHI EMANUELA"/>
    <n v="56"/>
  </r>
  <r>
    <x v="0"/>
    <n v="3108"/>
    <s v="IL SOLE 24 ORE S.P.A.                   "/>
    <s v="H           "/>
    <s v="DG SERVIZI PROFESSIONALI E FORMAZIONE"/>
    <s v="H05 "/>
    <x v="31"/>
    <s v="815420      "/>
    <s v="815420   DIGITAL MARKETING SERV. PROF."/>
    <s v="BARBIERI                        "/>
    <s v="FRANCESCA         "/>
    <s v="BRBFNC99H43F205V"/>
    <x v="0"/>
    <s v="34"/>
    <x v="0"/>
    <s v="01/02/2024"/>
    <s v="MILANO                 "/>
    <s v="21"/>
    <x v="0"/>
    <s v="I"/>
    <x v="0"/>
    <s v="B1 "/>
    <s v="B1 LIV. IMPIEGATO             "/>
    <s v="01/02/2024"/>
    <s v="01/02/2024"/>
    <s v="03/06/1999"/>
    <s v="A"/>
    <s v="A.IN FORZA"/>
    <s v="1  -ASSUNZIONE                1"/>
    <s v=""/>
    <s v=" "/>
    <s v=""/>
    <s v=""/>
    <n v="3108"/>
    <s v="00"/>
    <n v="100"/>
    <s v="FULL TIME      100000000FF100-FULL TIME"/>
    <s v="01/02/2024"/>
    <s v=""/>
    <s v="  "/>
    <s v=""/>
    <s v="EN  "/>
    <s v="    "/>
    <s v=""/>
    <s v=""/>
    <s v="francesca.barbieri2@ilsole24ore.com               "/>
    <s v="F"/>
    <s v="F-FIRMA"/>
    <s v="1 "/>
    <s v="1=5 X 8"/>
    <s v="01/07/2025"/>
    <s v="TEMPO DETERMINATO"/>
    <s v="31/05/2027"/>
    <s v="0015002144                    "/>
    <s v="CORSI FLAVIO"/>
    <n v="26"/>
  </r>
  <r>
    <x v="0"/>
    <n v="2322"/>
    <s v="IL SOLE 24 ORE S.P.A.                   "/>
    <s v="H           "/>
    <s v="DG SERVIZI PROFESSIONALI E FORMAZIONE"/>
    <s v="H05 "/>
    <x v="31"/>
    <s v="815420      "/>
    <s v="815420   DIGITAL MARKETING SERV. PROF."/>
    <s v="BOSCARINO                       "/>
    <s v="GIUSEPPINA        "/>
    <s v="BSCGPP81M44I754H"/>
    <x v="0"/>
    <s v="34"/>
    <x v="0"/>
    <s v="01/04/2021"/>
    <s v="MILANO                 "/>
    <s v="21"/>
    <x v="0"/>
    <s v="I"/>
    <x v="0"/>
    <s v="A  "/>
    <s v="A LIV. IMPIEGATO              "/>
    <s v="25/08/2008"/>
    <s v="25/08/2008"/>
    <s v="04/08/1981"/>
    <s v="A"/>
    <s v="A.IN FORZA"/>
    <s v="1  -ASSUNZIONE                1"/>
    <s v=""/>
    <s v=" "/>
    <s v=""/>
    <s v=""/>
    <n v="1728"/>
    <s v="00"/>
    <n v="100"/>
    <s v="FULL TIME      100000000FF100-FULL TIME"/>
    <s v="25/08/2008"/>
    <s v=""/>
    <s v="  "/>
    <s v=""/>
    <s v="EP  "/>
    <s v="    "/>
    <s v=""/>
    <s v=""/>
    <s v="giuseppina.boscarino@ilsole24ore.com              "/>
    <s v="F"/>
    <s v="F-FIRMA"/>
    <s v="1 "/>
    <s v="1=5 X 8"/>
    <s v="01/07/2025"/>
    <s v="TEMPO DETERMINATO"/>
    <s v="31/05/2027"/>
    <s v="0015002144                    "/>
    <s v="CORSI FLAVIO"/>
    <n v="44"/>
  </r>
  <r>
    <x v="0"/>
    <n v="3138"/>
    <s v="IL SOLE 24 ORE S.P.A.                   "/>
    <s v="H           "/>
    <s v="DG SERVIZI PROFESSIONALI E FORMAZIONE"/>
    <s v="H05 "/>
    <x v="31"/>
    <s v="815420      "/>
    <s v="815420   DIGITAL MARKETING SERV. PROF."/>
    <s v="CALZONI                         "/>
    <s v="DILETTA           "/>
    <s v="CLZDTT96M42F205W"/>
    <x v="0"/>
    <s v="34"/>
    <x v="0"/>
    <s v="08/10/2024"/>
    <s v="MILANO                 "/>
    <s v="21"/>
    <x v="0"/>
    <s v="I"/>
    <x v="0"/>
    <s v="B1 "/>
    <s v="B1 LIV. IMPIEGATO             "/>
    <s v="08/10/2024"/>
    <s v="08/10/2024"/>
    <s v="02/08/1996"/>
    <s v="A"/>
    <s v="A.IN FORZA"/>
    <s v="1  -ASSUNZIONE                1"/>
    <s v=""/>
    <s v=" "/>
    <s v=""/>
    <s v=""/>
    <n v="3138"/>
    <s v="00"/>
    <n v="100"/>
    <s v="FULL TIME      100000000FF100-FULL TIME"/>
    <s v="08/10/2024"/>
    <s v=""/>
    <s v="  "/>
    <s v=""/>
    <s v="EN  "/>
    <s v="    "/>
    <s v=""/>
    <s v=""/>
    <s v="diletta.calzoni@ilsole24ore.com                   "/>
    <s v="F"/>
    <s v="F-FIRMA"/>
    <s v="1 "/>
    <s v="1=5 X 8"/>
    <s v="01/07/2025"/>
    <s v="TEMPO DETERMINATO"/>
    <s v="31/05/2027"/>
    <s v="0015002144                    "/>
    <s v="CORSI FLAVIO"/>
    <n v="29"/>
  </r>
  <r>
    <x v="0"/>
    <n v="3079"/>
    <s v="IL SOLE 24 ORE S.P.A.                   "/>
    <s v="H           "/>
    <s v="DG SERVIZI PROFESSIONALI E FORMAZIONE"/>
    <s v="H05 "/>
    <x v="31"/>
    <s v="815420      "/>
    <s v="815420   DIGITAL MARKETING SERV. PROF."/>
    <s v="SOLLEVANTI                      "/>
    <s v="SARA              "/>
    <s v="SLLSRA93B50D786W"/>
    <x v="0"/>
    <s v="34"/>
    <x v="0"/>
    <s v="12/05/2023"/>
    <s v="MILANO                 "/>
    <s v="21"/>
    <x v="0"/>
    <s v="I"/>
    <x v="0"/>
    <s v="AS "/>
    <s v="AS LIV. IMPIEGATO             "/>
    <s v="12/05/2023"/>
    <s v="12/05/2023"/>
    <s v="10/02/1993"/>
    <s v="A"/>
    <s v="A.IN FORZA"/>
    <s v="1  -ASSUNZIONE                1"/>
    <s v=""/>
    <s v=" "/>
    <s v=""/>
    <s v=""/>
    <n v="3079"/>
    <s v="00"/>
    <n v="100"/>
    <s v="FULL TIME      100000000FF100-FULL TIME"/>
    <s v="12/05/2023"/>
    <s v=""/>
    <s v="  "/>
    <s v=""/>
    <s v="EN  "/>
    <s v="    "/>
    <s v=""/>
    <s v=""/>
    <s v="sara.sollevanti@ilsole24ore.com                   "/>
    <s v="F"/>
    <s v="F-FIRMA"/>
    <s v="1 "/>
    <s v="1=5 X 8"/>
    <s v="01/07/2025"/>
    <s v="TEMPO DETERMINATO"/>
    <s v="31/05/2027"/>
    <s v="0015002144                    "/>
    <s v="CORSI FLAVIO"/>
    <n v="32"/>
  </r>
  <r>
    <x v="0"/>
    <n v="1103"/>
    <s v="IL SOLE 24 ORE S.P.A.                   "/>
    <s v="H           "/>
    <s v="DG SERVIZI PROFESSIONALI E FORMAZIONE"/>
    <s v="H05 "/>
    <x v="31"/>
    <s v="B10140      "/>
    <s v="B10140   TRADE MARKETING"/>
    <s v="GENOVA                          "/>
    <s v="ALESSANDRO        "/>
    <s v="GNVLSN70C17G273J"/>
    <x v="1"/>
    <s v="31"/>
    <x v="1"/>
    <s v="21/05/2009"/>
    <s v="ROMA                   "/>
    <s v="21"/>
    <x v="0"/>
    <s v="F"/>
    <x v="2"/>
    <s v="Q  "/>
    <s v="Q LIV. QUADRI                 "/>
    <s v="15/01/1998"/>
    <s v="15/01/1998"/>
    <s v="17/03/1970"/>
    <s v="A"/>
    <s v="A.IN FORZA"/>
    <s v="1  -ASSUNZIONE                1"/>
    <s v=""/>
    <s v=" "/>
    <s v=""/>
    <s v=""/>
    <n v="867"/>
    <s v="00"/>
    <n v="100"/>
    <s v="FULL TIME      100000000FF100-FULL TIME"/>
    <s v="15/01/1998"/>
    <s v=""/>
    <s v="  "/>
    <s v=""/>
    <s v="EP  "/>
    <s v="    "/>
    <s v=""/>
    <s v=""/>
    <s v="alessandro.genova@ilsole24ore.com                 "/>
    <s v="F"/>
    <s v="F-FIRMA"/>
    <s v="1 "/>
    <s v="1=5 X 8"/>
    <s v="01/07/2025"/>
    <s v="TEMPO DETERMINATO"/>
    <s v="31/05/2027"/>
    <s v="0015002144                    "/>
    <s v="CORSI FLAVIO"/>
    <n v="55"/>
  </r>
  <r>
    <x v="0"/>
    <n v="2172"/>
    <s v="IL SOLE 24 ORE S.P.A.                   "/>
    <s v="H           "/>
    <s v="DG SERVIZI PROFESSIONALI E FORMAZIONE"/>
    <s v="H05 "/>
    <x v="31"/>
    <s v="B10140      "/>
    <s v="B10140   TRADE MARKETING"/>
    <s v="LA ROCCHIA                      "/>
    <s v="ANTONIO           "/>
    <s v="LRCNTN73T09H501L"/>
    <x v="1"/>
    <s v="31"/>
    <x v="1"/>
    <s v="19/05/2009"/>
    <s v="ROMA                   "/>
    <s v="21"/>
    <x v="0"/>
    <s v="I"/>
    <x v="0"/>
    <s v="A  "/>
    <s v="A LIV. IMPIEGATO              "/>
    <s v="22/02/2007"/>
    <s v="22/02/2007"/>
    <s v="09/12/1973"/>
    <s v="A"/>
    <s v="A.IN FORZA"/>
    <s v="1  -ASSUNZIONE                1"/>
    <s v=""/>
    <s v=" "/>
    <s v=""/>
    <s v=""/>
    <n v="1636"/>
    <s v="00"/>
    <n v="100"/>
    <s v="FULL TIME      100000000FF100-FULL TIME"/>
    <s v="22/02/2007"/>
    <s v=""/>
    <s v="03"/>
    <s v="INVALIDI PER SERVIZIO"/>
    <s v="EP  "/>
    <s v="    "/>
    <s v=""/>
    <s v="C.I.S.L.           C.I.S.L"/>
    <s v="antonio.larocchia@ilsole24ore.com                 "/>
    <s v="F"/>
    <s v="F-FIRMA"/>
    <s v="1 "/>
    <s v="1=5 X 8"/>
    <s v="01/07/2025"/>
    <s v="TEMPO DETERMINATO"/>
    <s v="31/05/2027"/>
    <s v="0015001103                    "/>
    <s v="GENOVA ALESSANDRO"/>
    <n v="52"/>
  </r>
  <r>
    <x v="0"/>
    <n v="1564"/>
    <s v="IL SOLE 24 ORE S.P.A.                   "/>
    <s v="H           "/>
    <s v="DG SERVIZI PROFESSIONALI E FORMAZIONE"/>
    <s v="H05 "/>
    <x v="31"/>
    <s v="C12000      "/>
    <s v="C12000  PRODUCT MANAGEMENT"/>
    <s v="BATTISTON                       "/>
    <s v="CRISTIANA         "/>
    <s v="BTTCST73R65L736D"/>
    <x v="0"/>
    <s v="34"/>
    <x v="0"/>
    <s v="01/04/2021"/>
    <s v="MILANO                 "/>
    <s v="21"/>
    <x v="0"/>
    <s v="I"/>
    <x v="0"/>
    <s v="A  "/>
    <s v="A LIV. IMPIEGATO              "/>
    <s v="05/06/2000"/>
    <s v="05/06/2000"/>
    <s v="25/10/1973"/>
    <s v="A"/>
    <s v="A.IN FORZA"/>
    <s v="1  -ASSUNZIONE                1"/>
    <s v=""/>
    <s v=" "/>
    <s v=""/>
    <s v=""/>
    <n v="1234"/>
    <s v="00"/>
    <n v="100"/>
    <s v="FULL TIME      100000000FF100-FULL TIME"/>
    <s v="05/06/2000"/>
    <s v=""/>
    <s v="  "/>
    <s v=""/>
    <s v="EV  "/>
    <s v="    "/>
    <s v=""/>
    <s v=""/>
    <s v="cristiana.battiston@ilsole24ore.com               "/>
    <s v="F"/>
    <s v="F-FIRMA"/>
    <s v="1 "/>
    <s v="1=5 X 8"/>
    <s v="01/07/2025"/>
    <s v="TEMPO DETERMINATO"/>
    <s v="31/05/2027"/>
    <s v="0015002144                    "/>
    <s v="CORSI FLAVIO"/>
    <n v="52"/>
  </r>
  <r>
    <x v="0"/>
    <n v="1425"/>
    <s v="IL SOLE 24 ORE S.P.A.                   "/>
    <s v="H           "/>
    <s v="DG SERVIZI PROFESSIONALI E FORMAZIONE"/>
    <s v="H05 "/>
    <x v="31"/>
    <s v="C12000      "/>
    <s v="C12000  PRODUCT MANAGEMENT"/>
    <s v="DI PIETRO                       "/>
    <s v="ALESSIA           "/>
    <s v="DPTLSS75M41H501L"/>
    <x v="0"/>
    <s v="31"/>
    <x v="1"/>
    <s v="21/05/2009"/>
    <s v="ROMA                   "/>
    <s v="21"/>
    <x v="0"/>
    <s v="I"/>
    <x v="0"/>
    <s v="A  "/>
    <s v="A LIV. IMPIEGATO              "/>
    <s v="01/12/1999"/>
    <s v="01/12/1999"/>
    <s v="01/08/1975"/>
    <s v="A"/>
    <s v="A.IN FORZA"/>
    <s v="1  -ASSUNZIONE                1"/>
    <s v=""/>
    <s v=" "/>
    <s v=""/>
    <s v=""/>
    <n v="1127"/>
    <s v="00"/>
    <n v="100"/>
    <s v="FULL TIME      100000000FF100-FULL TIME"/>
    <s v="01/04/2015"/>
    <s v=""/>
    <s v="  "/>
    <s v=""/>
    <s v="EP  "/>
    <s v="    "/>
    <s v=""/>
    <s v=""/>
    <s v="alessia.dipietro@ilsole24ore.com                  "/>
    <s v="F"/>
    <s v="F-FIRMA"/>
    <s v="1 "/>
    <s v="1=5 X 8"/>
    <s v="01/07/2025"/>
    <s v="TEMPO DETERMINATO"/>
    <s v="31/05/2027"/>
    <s v="0015002144                    "/>
    <s v="CORSI FLAVIO"/>
    <n v="50"/>
  </r>
  <r>
    <x v="0"/>
    <n v="2150"/>
    <s v="IL SOLE 24 ORE S.P.A.                   "/>
    <s v="H           "/>
    <s v="DG SERVIZI PROFESSIONALI E FORMAZIONE"/>
    <s v="H05 "/>
    <x v="31"/>
    <s v="C12000      "/>
    <s v="C12000  PRODUCT MANAGEMENT"/>
    <s v="GABOARDI                        "/>
    <s v="ALESSANDRO        "/>
    <s v="GBRLSN76L04F205P"/>
    <x v="1"/>
    <s v="34"/>
    <x v="0"/>
    <s v="01/04/2021"/>
    <s v="MILANO                 "/>
    <s v="21"/>
    <x v="0"/>
    <s v="I"/>
    <x v="0"/>
    <s v="A  "/>
    <s v="A LIV. IMPIEGATO              "/>
    <s v="01/12/2006"/>
    <s v="01/12/2006"/>
    <s v="04/07/1976"/>
    <s v="A"/>
    <s v="A.IN FORZA"/>
    <s v="1  -ASSUNZIONE                1"/>
    <s v=""/>
    <s v=" "/>
    <s v=""/>
    <s v=""/>
    <n v="1622"/>
    <s v="00"/>
    <n v="100"/>
    <s v="FULL TIME      100000000FF100-FULL TIME"/>
    <s v="01/12/2006"/>
    <s v=""/>
    <s v="  "/>
    <s v=""/>
    <s v="EP  "/>
    <s v="    "/>
    <s v=""/>
    <s v=""/>
    <s v="alessandro.gaboardi@ilsole24ore.com               "/>
    <s v="F"/>
    <s v="F-FIRMA"/>
    <s v="1 "/>
    <s v="1=5 X 8"/>
    <s v="01/07/2025"/>
    <s v="TEMPO DETERMINATO"/>
    <s v="31/05/2027"/>
    <s v="0015002144                    "/>
    <s v="CORSI FLAVIO"/>
    <n v="49"/>
  </r>
  <r>
    <x v="0"/>
    <n v="1686"/>
    <s v="IL SOLE 24 ORE S.P.A.                   "/>
    <s v="H           "/>
    <s v="DG SERVIZI PROFESSIONALI E FORMAZIONE"/>
    <s v="H05 "/>
    <x v="31"/>
    <s v="C12000      "/>
    <s v="C12000  PRODUCT MANAGEMENT"/>
    <s v="GRASSO                          "/>
    <s v="RENATO            "/>
    <s v="GRSRNT72D12F839Y"/>
    <x v="1"/>
    <s v="34"/>
    <x v="0"/>
    <s v="01/04/2021"/>
    <s v="MILANO                 "/>
    <s v="21"/>
    <x v="0"/>
    <s v="F"/>
    <x v="2"/>
    <s v="Q  "/>
    <s v="Q LIV. QUADRI                 "/>
    <s v="04/12/2000"/>
    <s v="04/12/2000"/>
    <s v="12/04/1972"/>
    <s v="A"/>
    <s v="A.IN FORZA"/>
    <s v="1  -ASSUNZIONE                1"/>
    <s v=""/>
    <s v=" "/>
    <s v=""/>
    <s v=""/>
    <n v="1343"/>
    <s v="00"/>
    <n v="100"/>
    <s v="FULL TIME      100000000FF100-FULL TIME"/>
    <s v="04/12/2000"/>
    <s v=""/>
    <s v="  "/>
    <s v=""/>
    <s v="EP  "/>
    <s v="    "/>
    <s v=""/>
    <s v=""/>
    <s v="renato.grasso@ilsole24ore.com                     "/>
    <s v="F"/>
    <s v="F-FIRMA"/>
    <s v="1 "/>
    <s v="1=5 X 8"/>
    <s v="01/07/2025"/>
    <s v="TEMPO DETERMINATO"/>
    <s v="31/05/2027"/>
    <s v="0015002144                    "/>
    <s v="CORSI FLAVIO"/>
    <n v="53"/>
  </r>
  <r>
    <x v="0"/>
    <n v="2213"/>
    <s v="IL SOLE 24 ORE S.P.A.                   "/>
    <s v="H           "/>
    <s v="DG SERVIZI PROFESSIONALI E FORMAZIONE"/>
    <s v="H05 "/>
    <x v="31"/>
    <s v="C12000      "/>
    <s v="C12000  PRODUCT MANAGEMENT"/>
    <s v="PROIETTI                        "/>
    <s v="ANTONIO           "/>
    <s v="PRTNTN77B11H501P"/>
    <x v="1"/>
    <s v="31"/>
    <x v="1"/>
    <s v="21/05/2009"/>
    <s v="ROMA                   "/>
    <s v="21"/>
    <x v="0"/>
    <s v="I"/>
    <x v="0"/>
    <s v="A  "/>
    <s v="A LIV. IMPIEGATO              "/>
    <s v="11/07/2007"/>
    <s v="11/07/2007"/>
    <s v="11/02/1977"/>
    <s v="A"/>
    <s v="A.IN FORZA"/>
    <s v="1  -ASSUNZIONE                1"/>
    <s v=""/>
    <s v=" "/>
    <s v=""/>
    <s v=""/>
    <n v="1665"/>
    <s v="00"/>
    <n v="100"/>
    <s v="FULL TIME      100000000FF100-FULL TIME"/>
    <s v="11/07/2007"/>
    <s v=""/>
    <s v="  "/>
    <s v=""/>
    <s v="EP  "/>
    <s v="    "/>
    <s v=""/>
    <s v=""/>
    <s v="antonio.proietti@ilsole24ore.com                  "/>
    <s v="F"/>
    <s v="F-FIRMA"/>
    <s v="1 "/>
    <s v="1=5 X 8"/>
    <s v="01/07/2025"/>
    <s v="TEMPO DETERMINATO"/>
    <s v="31/05/2027"/>
    <s v="0015002144                    "/>
    <s v="CORSI FLAVIO"/>
    <n v="48"/>
  </r>
  <r>
    <x v="0"/>
    <n v="3072"/>
    <s v="IL SOLE 24 ORE S.P.A.                   "/>
    <s v="H           "/>
    <s v="DG SERVIZI PROFESSIONALI E FORMAZIONE"/>
    <s v="H05 "/>
    <x v="31"/>
    <s v="C12000      "/>
    <s v="C12000  PRODUCT MANAGEMENT"/>
    <s v="SANTINELLI                      "/>
    <s v="CLARA             "/>
    <s v="SNTCLR95M62Z110O"/>
    <x v="0"/>
    <s v="34"/>
    <x v="0"/>
    <s v="11/04/2023"/>
    <s v="MILANO                 "/>
    <s v="21"/>
    <x v="0"/>
    <s v="I"/>
    <x v="0"/>
    <s v="B1 "/>
    <s v="B1 LIV. IMPIEGATO             "/>
    <s v="11/04/2023"/>
    <s v="11/04/2023"/>
    <s v="22/08/1995"/>
    <s v="A"/>
    <s v="A.IN FORZA"/>
    <s v="1  -ASSUNZIONE                1"/>
    <s v=""/>
    <s v=" "/>
    <s v=""/>
    <s v=""/>
    <n v="3072"/>
    <s v="00"/>
    <n v="100"/>
    <s v="FULL TIME      100000000FF100-FULL TIME"/>
    <s v="11/04/2023"/>
    <s v=""/>
    <s v="  "/>
    <s v=""/>
    <s v="EN  "/>
    <s v="    "/>
    <s v=""/>
    <s v=""/>
    <s v="clara.santinelli@ilsole24ore.com                  "/>
    <s v="T"/>
    <s v="T-TIMBRA"/>
    <s v="1 "/>
    <s v="1=5 X 8"/>
    <s v="01/07/2025"/>
    <s v="TEMPO DETERMINATO"/>
    <s v="31/05/2027"/>
    <s v="0015002144                    "/>
    <s v="CORSI FLAVIO"/>
    <n v="30"/>
  </r>
  <r>
    <x v="0"/>
    <n v="3144"/>
    <s v="IL SOLE 24 ORE S.P.A.                   "/>
    <s v="H           "/>
    <s v="DG SERVIZI PROFESSIONALI E FORMAZIONE"/>
    <s v="H05 "/>
    <x v="31"/>
    <s v="G12410      "/>
    <s v="G12410   MARKETING SERVIZI PROFESSIONALI"/>
    <s v="BUCCOLIERO                      "/>
    <s v="MARTA             "/>
    <s v="BCCMRT98A64D869K"/>
    <x v="0"/>
    <s v="34"/>
    <x v="0"/>
    <s v="07/01/2025"/>
    <s v="MILANO                 "/>
    <s v="21"/>
    <x v="0"/>
    <s v="I"/>
    <x v="0"/>
    <s v="B1 "/>
    <s v="B1 LIV. IMPIEGATO             "/>
    <s v="07/01/2025"/>
    <s v="07/01/2025"/>
    <s v="24/01/1998"/>
    <s v="A"/>
    <s v="A.IN FORZA"/>
    <s v="1S-ASSUNZIONE STABILIZZAZIONE 1S"/>
    <s v=""/>
    <s v=" "/>
    <s v=""/>
    <s v=""/>
    <n v="3144"/>
    <s v="00"/>
    <n v="100"/>
    <s v="FULL TIME      100000000FF100-FULL TIME"/>
    <s v="07/01/2025"/>
    <s v=""/>
    <s v="  "/>
    <s v=""/>
    <s v="EN  "/>
    <s v="    "/>
    <s v=""/>
    <s v=""/>
    <s v="marta.buccoliero@ilsole24ore.com                  "/>
    <s v="F"/>
    <s v="F-FIRMA"/>
    <s v="1 "/>
    <s v="1=5 X 8"/>
    <s v="01/07/2025"/>
    <s v="TEMPO DETERMINATO"/>
    <s v="31/05/2027"/>
    <s v="0015002144                    "/>
    <s v="CORSI FLAVIO"/>
    <n v="28"/>
  </r>
  <r>
    <x v="0"/>
    <n v="2144"/>
    <s v="IL SOLE 24 ORE S.P.A.                   "/>
    <s v="H           "/>
    <s v="DG SERVIZI PROFESSIONALI E FORMAZIONE"/>
    <s v="H05 "/>
    <x v="31"/>
    <s v="G12410      "/>
    <s v="G12410   MARKETING SERVIZI PROFESSIONALI"/>
    <s v="CORSI                           "/>
    <s v="FLAVIO            "/>
    <s v="CRSFLV68D02H501P"/>
    <x v="1"/>
    <s v="34"/>
    <x v="0"/>
    <s v="01/04/2021"/>
    <s v="MILANO                 "/>
    <s v="90"/>
    <x v="1"/>
    <s v="D"/>
    <x v="1"/>
    <s v="D  "/>
    <s v="DIRIGENTE INDUSTRIA           "/>
    <s v="02/11/2006"/>
    <s v="02/11/2006"/>
    <s v="02/04/1968"/>
    <s v="A"/>
    <s v="A.IN FORZA"/>
    <s v="1  -ASSUNZIONE                1"/>
    <s v=""/>
    <s v=" "/>
    <s v=""/>
    <s v=""/>
    <n v="1618"/>
    <s v="00"/>
    <n v="100"/>
    <s v="FULL TIME      100000000FF100-FULL TIME"/>
    <s v="02/11/2006"/>
    <s v=""/>
    <s v="  "/>
    <s v=""/>
    <s v="DD  "/>
    <s v="    "/>
    <s v=""/>
    <s v=""/>
    <s v="flavio.corsi@ilsole24ore.com                      "/>
    <s v="E"/>
    <s v="E-ESENTE"/>
    <s v="1 "/>
    <s v="1=5 X 8"/>
    <s v="01/07/2025"/>
    <s v="TEMPO DETERMINATO"/>
    <s v="31/05/2026"/>
    <s v="0015002988                    "/>
    <s v="MINELLA ERALDO"/>
    <n v="57"/>
  </r>
  <r>
    <x v="0"/>
    <n v="2431"/>
    <s v="IL SOLE 24 ORE S.P.A.                   "/>
    <s v="H           "/>
    <s v="DG SERVIZI PROFESSIONALI E FORMAZIONE"/>
    <s v="H05 "/>
    <x v="31"/>
    <s v="G1241001    "/>
    <s v="G1241001 ANALISI MKTG E REPORTING - PROF"/>
    <s v="BRAGHIERI                       "/>
    <s v="MAURO             "/>
    <s v="BRGMRA80D24G535U"/>
    <x v="1"/>
    <s v="34"/>
    <x v="0"/>
    <s v="01/04/2021"/>
    <s v="MILANO                 "/>
    <s v="21"/>
    <x v="0"/>
    <s v="I"/>
    <x v="0"/>
    <s v="A  "/>
    <s v="A LIV. IMPIEGATO              "/>
    <s v="01/04/2008"/>
    <s v="01/04/2008"/>
    <s v="24/04/1980"/>
    <s v="A"/>
    <s v="A.IN FORZA"/>
    <s v="1  -ASSUNZIONE                1"/>
    <s v=""/>
    <s v=" "/>
    <s v=""/>
    <s v=""/>
    <n v="2431"/>
    <s v="00"/>
    <n v="100"/>
    <s v="FULL TIME      100000000FF100-FULL TIME"/>
    <s v="01/04/2008"/>
    <s v=""/>
    <s v="  "/>
    <s v=""/>
    <s v="EV  "/>
    <s v="    "/>
    <s v=""/>
    <s v=""/>
    <s v="mauro.braghieri@ilsole24ore.com                   "/>
    <s v="F"/>
    <s v="F-FIRMA"/>
    <s v="1 "/>
    <s v="1=5 X 8"/>
    <s v="01/07/2025"/>
    <s v="TEMPO DETERMINATO"/>
    <s v="31/05/2027"/>
    <s v="0015002144                    "/>
    <s v="CORSI FLAVIO"/>
    <n v="45"/>
  </r>
  <r>
    <x v="0"/>
    <n v="1596"/>
    <s v="IL SOLE 24 ORE S.P.A.                   "/>
    <s v="H           "/>
    <s v="DG SERVIZI PROFESSIONALI E FORMAZIONE"/>
    <s v="H05 "/>
    <x v="31"/>
    <s v="G1241001    "/>
    <s v="G1241001 ANALISI MKTG E REPORTING - PROF"/>
    <s v="GATTI                           "/>
    <s v="FEDERICO          "/>
    <s v="GTTFRC71L23H501K"/>
    <x v="1"/>
    <s v="31"/>
    <x v="1"/>
    <s v="21/05/2009"/>
    <s v="ROMA                   "/>
    <s v="21"/>
    <x v="0"/>
    <s v="I"/>
    <x v="0"/>
    <s v="A  "/>
    <s v="A LIV. IMPIEGATO              "/>
    <s v="17/07/2000"/>
    <s v="17/07/2000"/>
    <s v="23/07/1971"/>
    <s v="A"/>
    <s v="A.IN FORZA"/>
    <s v="1  -ASSUNZIONE                1"/>
    <s v=""/>
    <s v=" "/>
    <s v=""/>
    <s v=""/>
    <n v="1265"/>
    <s v="00"/>
    <n v="100"/>
    <s v="FULL TIME      100000000FF100-FULL TIME"/>
    <s v="17/07/2000"/>
    <s v=""/>
    <s v="  "/>
    <s v=""/>
    <s v="EP  "/>
    <s v="    "/>
    <s v=""/>
    <s v=""/>
    <s v="federico.gatti@ilsole24ore.com                    "/>
    <s v="F"/>
    <s v="F-FIRMA"/>
    <s v="1 "/>
    <s v="1=5 X 8"/>
    <s v="01/07/2025"/>
    <s v="TEMPO DETERMINATO"/>
    <s v="31/05/2027"/>
    <s v="0015002144                    "/>
    <s v="CORSI FLAVIO"/>
    <n v="54"/>
  </r>
  <r>
    <x v="0"/>
    <n v="3127"/>
    <s v="IL SOLE 24 ORE S.P.A.                   "/>
    <s v="H           "/>
    <s v="DG SERVIZI PROFESSIONALI E FORMAZIONE"/>
    <s v="H05 "/>
    <x v="31"/>
    <s v="G1241001    "/>
    <s v="G1241001 ANALISI MKTG E REPORTING - PROF"/>
    <s v="SABETTA                         "/>
    <s v="FEDERICA          "/>
    <s v="SBTFRC93P59F205O"/>
    <x v="0"/>
    <s v="34"/>
    <x v="0"/>
    <s v="01/07/2024"/>
    <s v="MILANO                 "/>
    <s v="21"/>
    <x v="0"/>
    <s v="I"/>
    <x v="0"/>
    <s v="A  "/>
    <s v="A LIV. IMPIEGATO              "/>
    <s v="01/07/2024"/>
    <s v="01/07/2024"/>
    <s v="19/09/1993"/>
    <s v="A"/>
    <s v="A.IN FORZA"/>
    <s v="1  -ASSUNZIONE                1"/>
    <s v=""/>
    <s v=" "/>
    <s v=""/>
    <s v=""/>
    <n v="3127"/>
    <s v="00"/>
    <n v="100"/>
    <s v="FULL TIME      100000000FF100-FULL TIME"/>
    <s v="01/07/2024"/>
    <s v=""/>
    <s v="  "/>
    <s v=""/>
    <s v="EN  "/>
    <s v="    "/>
    <s v=""/>
    <s v=""/>
    <s v="federica.sabetta@ilsole24ore.com                  "/>
    <s v="F"/>
    <s v="F-FIRMA"/>
    <s v="1 "/>
    <s v="1=5 X 8"/>
    <s v="01/07/2025"/>
    <s v="TEMPO DETERMINATO"/>
    <s v="31/05/2027"/>
    <s v="0015002144                    "/>
    <s v="CORSI FLAVIO"/>
    <n v="32"/>
  </r>
  <r>
    <x v="0"/>
    <n v="2093"/>
    <s v="IL SOLE 24 ORE S.P.A.                   "/>
    <s v="H           "/>
    <s v="DG SERVIZI PROFESSIONALI E FORMAZIONE"/>
    <s v="H05 "/>
    <x v="31"/>
    <s v="G1241001    "/>
    <s v="G1241001 ANALISI MKTG E REPORTING - PROF"/>
    <s v="ZINNO                           "/>
    <s v="GIUSEPPE          "/>
    <s v="ZNNGPP75M30G942E"/>
    <x v="1"/>
    <s v="34"/>
    <x v="0"/>
    <s v="01/04/2021"/>
    <s v="MILANO                 "/>
    <s v="21"/>
    <x v="0"/>
    <s v="F"/>
    <x v="2"/>
    <s v="Q  "/>
    <s v="Q LIV. QUADRI                 "/>
    <s v="01/03/2006"/>
    <s v="01/03/2006"/>
    <s v="30/08/1975"/>
    <s v="A"/>
    <s v="A.IN FORZA"/>
    <s v="1  -ASSUNZIONE                1"/>
    <s v=""/>
    <s v=" "/>
    <s v=""/>
    <s v=""/>
    <n v="1581"/>
    <s v="00"/>
    <n v="100"/>
    <s v="FULL TIME      100000000FF100-FULL TIME"/>
    <s v="01/03/2006"/>
    <s v=""/>
    <s v="05"/>
    <s v="INVALIDI CIVILI"/>
    <s v="EP  "/>
    <s v="    "/>
    <s v=""/>
    <s v=""/>
    <s v="giuseppe.zinno@ilsole24ore.com                    "/>
    <s v="F"/>
    <s v="F-FIRMA"/>
    <s v="1 "/>
    <s v="1=5 X 8"/>
    <s v="01/07/2025"/>
    <s v="TEMPO DETERMINATO"/>
    <s v="31/05/2027"/>
    <s v="0015002144                    "/>
    <s v="CORSI FLAVIO"/>
    <n v="50"/>
  </r>
  <r>
    <x v="0"/>
    <n v="3103"/>
    <s v="IL SOLE 24 ORE S.P.A.                   "/>
    <s v="H           "/>
    <s v="DG SERVIZI PROFESSIONALI E FORMAZIONE"/>
    <s v="H05 "/>
    <x v="31"/>
    <s v="G1241002    "/>
    <s v="G1241002 GRAFICI MKTG SERV. PROF E FORM."/>
    <s v="POCOBELLI                       "/>
    <s v="MAURO             "/>
    <s v="PCBMRA89S13F964K"/>
    <x v="1"/>
    <s v="34"/>
    <x v="0"/>
    <s v="02/01/2024"/>
    <s v="MILANO                 "/>
    <s v="21"/>
    <x v="0"/>
    <s v="I"/>
    <x v="0"/>
    <s v="A  "/>
    <s v="A LIV. IMPIEGATO              "/>
    <s v="02/01/2024"/>
    <s v="02/01/2024"/>
    <s v="13/11/1989"/>
    <s v="A"/>
    <s v="A.IN FORZA"/>
    <s v="1  -ASSUNZIONE                1"/>
    <s v=""/>
    <s v=" "/>
    <s v=""/>
    <s v=""/>
    <n v="3103"/>
    <s v="00"/>
    <n v="100"/>
    <s v="FULL TIME      100000000FF100-FULL TIME"/>
    <s v="02/01/2024"/>
    <s v=""/>
    <s v="  "/>
    <s v=""/>
    <s v="EN  "/>
    <s v="    "/>
    <s v=""/>
    <s v=""/>
    <s v="mauro.pocobelli@ilsole24ore.com                   "/>
    <s v="F"/>
    <s v="F-FIRMA"/>
    <s v="1 "/>
    <s v="1=5 X 8"/>
    <s v="01/07/2025"/>
    <s v="TEMPO DETERMINATO"/>
    <s v="31/05/2027"/>
    <s v="0015002144                    "/>
    <s v="CORSI FLAVIO"/>
    <n v="36"/>
  </r>
  <r>
    <x v="0"/>
    <n v="1325"/>
    <s v="IL SOLE 24 ORE S.P.A.                   "/>
    <s v="H           "/>
    <s v="DG SERVIZI PROFESSIONALI E FORMAZIONE"/>
    <s v="H05 "/>
    <x v="31"/>
    <s v="G1241002    "/>
    <s v="G1241002 GRAFICI MKTG SERV. PROF E FORM."/>
    <s v="TOMASSETTI                      "/>
    <s v="STEFANO           "/>
    <s v="TMSSFN70M28H501C"/>
    <x v="1"/>
    <s v="34"/>
    <x v="0"/>
    <s v="04/04/2022"/>
    <s v="MILANO                 "/>
    <s v="21"/>
    <x v="0"/>
    <s v="I"/>
    <x v="0"/>
    <s v="B1S"/>
    <s v="B1S LIV. IMPIEGATO            "/>
    <s v="01/11/1999"/>
    <s v="01/11/1999"/>
    <s v="28/08/1970"/>
    <s v="A"/>
    <s v="A.IN FORZA"/>
    <s v="1  -ASSUNZIONE                1"/>
    <s v=""/>
    <s v=" "/>
    <s v=""/>
    <s v=""/>
    <n v="1052"/>
    <s v="00"/>
    <n v="100"/>
    <s v="FULL TIME      100000000FF100-FULL TIME"/>
    <s v="01/11/1999"/>
    <s v=""/>
    <s v="  "/>
    <s v=""/>
    <s v="EP  "/>
    <s v="    "/>
    <s v=""/>
    <s v="C.I.S.L.           C.I.S.L"/>
    <s v="stefano.tomassetti@ilsole24ore.com                "/>
    <s v="F"/>
    <s v="F-FIRMA"/>
    <s v="1 "/>
    <s v="1=5 X 8"/>
    <s v="01/01/2026"/>
    <s v="TEMPO DETERMINATO"/>
    <s v="30/06/2026"/>
    <s v="0015002144                    "/>
    <s v="CORSI FLAVIO"/>
    <n v="55"/>
  </r>
  <r>
    <x v="0"/>
    <n v="841"/>
    <s v="IL SOLE 24 ORE S.P.A.                   "/>
    <s v="H           "/>
    <s v="DG SERVIZI PROFESSIONALI E FORMAZIONE"/>
    <s v="H06 "/>
    <x v="32"/>
    <s v="815100      "/>
    <s v="815100 AREA LEGALE E MERCATI DI SVILUPPO"/>
    <s v="BULGARELLI                      "/>
    <s v="ENNIO             "/>
    <s v="BLGNNE61S14A794G"/>
    <x v="1"/>
    <s v="31"/>
    <x v="1"/>
    <s v="19/05/2009"/>
    <s v="ROMA                   "/>
    <s v="90"/>
    <x v="1"/>
    <s v="D"/>
    <x v="1"/>
    <s v="D  "/>
    <s v="DIRIGENTE INDUSTRIA           "/>
    <s v="26/04/1995"/>
    <s v="26/04/1995"/>
    <s v="14/11/1961"/>
    <s v="A"/>
    <s v="A.IN FORZA"/>
    <s v="9  -ALTRE MOTIVAZIONI         9"/>
    <s v=""/>
    <s v=" "/>
    <s v=""/>
    <s v=""/>
    <n v="639"/>
    <s v="00"/>
    <n v="100"/>
    <s v="FULL TIME      100000000FF100-FULL TIME"/>
    <s v="26/04/1995"/>
    <s v=""/>
    <s v="  "/>
    <s v=""/>
    <s v="DD  "/>
    <s v="    "/>
    <s v=""/>
    <s v=""/>
    <s v="ennio.bulgarelli@ilsole24ore.com                  "/>
    <s v="E"/>
    <s v="E-ESENTE"/>
    <s v="1 "/>
    <s v="1=5 X 8"/>
    <s v="01/07/2025"/>
    <s v="TEMPO DETERMINATO"/>
    <s v="31/05/2026"/>
    <s v="0015002988                    "/>
    <s v="MINELLA ERALDO"/>
    <n v="64"/>
  </r>
  <r>
    <x v="0"/>
    <n v="1827"/>
    <s v="IL SOLE 24 ORE S.P.A.                   "/>
    <s v="H           "/>
    <s v="DG SERVIZI PROFESSIONALI E FORMAZIONE"/>
    <s v="H06 "/>
    <x v="32"/>
    <s v="815400      "/>
    <s v="815400   REDAZIONE DIRITTO E FONTI NORM."/>
    <s v="COCCO                           "/>
    <s v="SABRINA           "/>
    <s v="CCCSRN71E55H501M"/>
    <x v="0"/>
    <s v="31"/>
    <x v="1"/>
    <s v="20/05/2009"/>
    <s v="ROMA                   "/>
    <s v="21"/>
    <x v="0"/>
    <s v="I"/>
    <x v="0"/>
    <s v="AS "/>
    <s v="AS LIV. IMPIEGATO             "/>
    <s v="01/02/2001"/>
    <s v="02/11/2000"/>
    <s v="15/05/1971"/>
    <s v="A"/>
    <s v="A.IN FORZA"/>
    <s v="2  -VARIAZIONE SOCIETARIA     2"/>
    <s v=""/>
    <s v=" "/>
    <s v=""/>
    <s v=""/>
    <n v="1447"/>
    <s v="00"/>
    <n v="100"/>
    <s v="FULL TIME      100000000FF100-FULL TIME"/>
    <s v="01/02/2001"/>
    <s v=""/>
    <s v="  "/>
    <s v=""/>
    <s v="EV  "/>
    <s v="    "/>
    <s v=""/>
    <s v="C.G.I.L.           C.G.I.L"/>
    <s v="sabrina.cocco@ilsole24ore.com                     "/>
    <s v="F"/>
    <s v="F-FIRMA"/>
    <s v="1 "/>
    <s v="1=5 X 8"/>
    <s v="01/07/2025"/>
    <s v="TEMPO DETERMINATO"/>
    <s v="31/05/2027"/>
    <s v="0015001006                    "/>
    <s v="DE SANCTIS FULVIA PAOLA"/>
    <n v="54"/>
  </r>
  <r>
    <x v="0"/>
    <n v="1006"/>
    <s v="IL SOLE 24 ORE S.P.A.                   "/>
    <s v="H           "/>
    <s v="DG SERVIZI PROFESSIONALI E FORMAZIONE"/>
    <s v="H06 "/>
    <x v="32"/>
    <s v="815400      "/>
    <s v="815400   REDAZIONE DIRITTO E FONTI NORM."/>
    <s v="DE SANCTIS                      "/>
    <s v="FULVIA PAOLA      "/>
    <s v="DSNFVP68R55A515V"/>
    <x v="0"/>
    <s v="31"/>
    <x v="1"/>
    <s v="01/01/2017"/>
    <s v="ROMA                   "/>
    <s v="21"/>
    <x v="0"/>
    <s v="F"/>
    <x v="2"/>
    <s v="Q  "/>
    <s v="Q LIV. QUADRI                 "/>
    <s v="17/02/1997"/>
    <s v="17/02/1997"/>
    <s v="15/10/1968"/>
    <s v="A"/>
    <s v="A.IN FORZA"/>
    <s v="1  -ASSUNZIONE                1"/>
    <s v=""/>
    <s v=" "/>
    <s v=""/>
    <s v=""/>
    <n v="778"/>
    <s v="00"/>
    <n v="100"/>
    <s v="FULL TIME      100000000FF100-FULL TIME"/>
    <s v="17/02/1997"/>
    <s v=""/>
    <s v="  "/>
    <s v=""/>
    <s v="EP  "/>
    <s v="    "/>
    <s v=""/>
    <s v=""/>
    <s v="fulvia.desanctis@ilsole24ore.com                  "/>
    <s v="F"/>
    <s v="F-FIRMA"/>
    <s v="1 "/>
    <s v="1=5 X 8"/>
    <s v="01/07/2025"/>
    <s v="TEMPO DETERMINATO"/>
    <s v="31/05/2027"/>
    <s v="0015000841                    "/>
    <s v="BULGARELLI ENNIO"/>
    <n v="57"/>
  </r>
  <r>
    <x v="0"/>
    <n v="854"/>
    <s v="IL SOLE 24 ORE S.P.A.                   "/>
    <s v="H           "/>
    <s v="DG SERVIZI PROFESSIONALI E FORMAZIONE"/>
    <s v="H06 "/>
    <x v="32"/>
    <s v="815400      "/>
    <s v="815400   REDAZIONE DIRITTO E FONTI NORM."/>
    <s v="GIOVANNONI                      "/>
    <s v="DANIELA           "/>
    <s v="GVNDNL61A67H501U"/>
    <x v="0"/>
    <s v="31"/>
    <x v="1"/>
    <s v="20/05/2009"/>
    <s v="ROMA                   "/>
    <s v="21"/>
    <x v="0"/>
    <s v="I"/>
    <x v="0"/>
    <s v="AS "/>
    <s v="AS LIV. IMPIEGATO             "/>
    <s v="01/07/1995"/>
    <s v="01/07/1995"/>
    <s v="27/01/1961"/>
    <s v="A"/>
    <s v="A.IN FORZA"/>
    <s v="1  -ASSUNZIONE                1"/>
    <s v=""/>
    <s v=" "/>
    <s v=""/>
    <s v=""/>
    <n v="650"/>
    <s v="00"/>
    <n v="100"/>
    <s v="FULL TIME      100000000FF100-FULL TIME"/>
    <s v="01/07/1995"/>
    <s v=""/>
    <s v="  "/>
    <s v=""/>
    <s v="EP  "/>
    <s v="    "/>
    <s v=""/>
    <s v=""/>
    <s v="daniela.giovannoni@ilsole24ore.com                "/>
    <s v="F"/>
    <s v="F-FIRMA"/>
    <s v="1 "/>
    <s v="1=5 X 8"/>
    <s v="01/07/2025"/>
    <s v="TEMPO DETERMINATO"/>
    <s v="31/05/2027"/>
    <s v="0015001006                    "/>
    <s v="DE SANCTIS FULVIA PAOLA"/>
    <n v="65"/>
  </r>
  <r>
    <x v="0"/>
    <n v="2045"/>
    <s v="IL SOLE 24 ORE S.P.A.                   "/>
    <s v="H           "/>
    <s v="DG SERVIZI PROFESSIONALI E FORMAZIONE"/>
    <s v="H06 "/>
    <x v="32"/>
    <s v="815400      "/>
    <s v="815400   REDAZIONE DIRITTO E FONTI NORM."/>
    <s v="INGRETOLLI                      "/>
    <s v="MARIA DANIELA     "/>
    <s v="NGRMDN66M64H501K"/>
    <x v="0"/>
    <s v="31"/>
    <x v="1"/>
    <s v="19/05/2009"/>
    <s v="ROMA                   "/>
    <s v="21"/>
    <x v="0"/>
    <s v="I"/>
    <x v="0"/>
    <s v="AS "/>
    <s v="AS LIV. IMPIEGATO             "/>
    <s v="13/12/2004"/>
    <s v="13/12/2004"/>
    <s v="24/08/1966"/>
    <s v="A"/>
    <s v="A.IN FORZA"/>
    <s v="1  -ASSUNZIONE                1"/>
    <s v=""/>
    <s v=" "/>
    <s v=""/>
    <s v=""/>
    <n v="1566"/>
    <s v="00"/>
    <n v="100"/>
    <s v="FULL TIME      100000000FF100-FULL TIME"/>
    <s v="13/12/2004"/>
    <s v=""/>
    <s v="  "/>
    <s v=""/>
    <s v="EV  "/>
    <s v="    "/>
    <s v=""/>
    <s v=""/>
    <s v="daniela.ingretolli@ilsole24ore.com                "/>
    <s v="F"/>
    <s v="F-FIRMA"/>
    <s v="1 "/>
    <s v="1=5 X 8"/>
    <s v="01/07/2025"/>
    <s v="TEMPO DETERMINATO"/>
    <s v="31/05/2027"/>
    <s v="0015001006                    "/>
    <s v="DE SANCTIS FULVIA PAOLA"/>
    <n v="59"/>
  </r>
  <r>
    <x v="0"/>
    <n v="3102"/>
    <s v="IL SOLE 24 ORE S.P.A.                   "/>
    <s v="H           "/>
    <s v="DG SERVIZI PROFESSIONALI E FORMAZIONE"/>
    <s v="H06 "/>
    <x v="32"/>
    <s v="815400      "/>
    <s v="815400   REDAZIONE DIRITTO E FONTI NORM."/>
    <s v="MATTIACCI                       "/>
    <s v="BEATRICE          "/>
    <s v="MTTBRC93R58H501I"/>
    <x v="0"/>
    <s v="31"/>
    <x v="1"/>
    <s v="04/12/2023"/>
    <s v="ROMA                   "/>
    <s v="21"/>
    <x v="0"/>
    <s v="I"/>
    <x v="0"/>
    <s v="A  "/>
    <s v="A LIV. IMPIEGATO              "/>
    <s v="04/12/2023"/>
    <s v="04/12/2023"/>
    <s v="18/10/1993"/>
    <s v="C"/>
    <s v="C.MATERN.OBBLIG."/>
    <s v="1  -ASSUNZIONE                1"/>
    <s v=""/>
    <s v=" "/>
    <s v=""/>
    <s v=""/>
    <n v="3102"/>
    <s v="00"/>
    <n v="100"/>
    <s v="FULL TIME      100000000FF100-FULL TIME"/>
    <s v="04/12/2023"/>
    <s v=""/>
    <s v="  "/>
    <s v=""/>
    <s v="EN  "/>
    <s v="    "/>
    <s v=""/>
    <s v="C.G.I.L.           C.G.I.L"/>
    <s v="beatrice.mattiacci@ilsole24ore.com                "/>
    <s v="F"/>
    <s v="F-FIRMA"/>
    <s v="1 "/>
    <s v="1=5 X 8"/>
    <s v="01/07/2025"/>
    <s v="TEMPO DETERMINATO"/>
    <s v="31/05/2027"/>
    <s v="0015001006                    "/>
    <s v="DE SANCTIS FULVIA PAOLA"/>
    <n v="32"/>
  </r>
  <r>
    <x v="0"/>
    <n v="1217"/>
    <s v="IL SOLE 24 ORE S.P.A.                   "/>
    <s v="H           "/>
    <s v="DG SERVIZI PROFESSIONALI E FORMAZIONE"/>
    <s v="H06 "/>
    <x v="32"/>
    <s v="815400      "/>
    <s v="815400   REDAZIONE DIRITTO E FONTI NORM."/>
    <s v="MELONI                          "/>
    <s v="MARCO             "/>
    <s v="MLNMRC67A15H501Y"/>
    <x v="1"/>
    <s v="31"/>
    <x v="1"/>
    <s v="19/05/2009"/>
    <s v="ROMA                   "/>
    <s v="21"/>
    <x v="0"/>
    <s v="I"/>
    <x v="0"/>
    <s v="AS "/>
    <s v="AS LIV. IMPIEGATO             "/>
    <s v="11/01/1999"/>
    <s v="11/01/1999"/>
    <s v="15/01/1967"/>
    <s v="A"/>
    <s v="A.IN FORZA"/>
    <s v="1  -ASSUNZIONE                1"/>
    <s v=""/>
    <s v=" "/>
    <s v=""/>
    <s v=""/>
    <n v="960"/>
    <s v="00"/>
    <n v="100"/>
    <s v="FULL TIME      100000000FF100-FULL TIME"/>
    <s v="11/01/1999"/>
    <s v=""/>
    <s v="  "/>
    <s v=""/>
    <s v="EP  "/>
    <s v="    "/>
    <s v=""/>
    <s v="C.G.I.L.           C.G.I.L"/>
    <s v="marco.meloni@ilsole24ore.com                      "/>
    <s v="F"/>
    <s v="F-FIRMA"/>
    <s v="1 "/>
    <s v="1=5 X 8"/>
    <s v="01/07/2025"/>
    <s v="TEMPO DETERMINATO"/>
    <s v="31/05/2027"/>
    <s v="0015001006                    "/>
    <s v="DE SANCTIS FULVIA PAOLA"/>
    <n v="59"/>
  </r>
  <r>
    <x v="0"/>
    <n v="2155"/>
    <s v="IL SOLE 24 ORE S.P.A.                   "/>
    <s v="H           "/>
    <s v="DG SERVIZI PROFESSIONALI E FORMAZIONE"/>
    <s v="H06 "/>
    <x v="32"/>
    <s v="815400      "/>
    <s v="815400   REDAZIONE DIRITTO E FONTI NORM."/>
    <s v="MILANI                          "/>
    <s v="FABIANA           "/>
    <s v="MLNFBN74B59H501E"/>
    <x v="0"/>
    <s v="31"/>
    <x v="1"/>
    <s v="19/05/2009"/>
    <s v="ROMA                   "/>
    <s v="21"/>
    <x v="0"/>
    <s v="I"/>
    <x v="0"/>
    <s v="AS "/>
    <s v="AS LIV. IMPIEGATO             "/>
    <s v="02/01/2007"/>
    <s v="02/01/2007"/>
    <s v="19/02/1974"/>
    <s v="A"/>
    <s v="A.IN FORZA"/>
    <s v="1  -ASSUNZIONE                1"/>
    <s v=""/>
    <s v=" "/>
    <s v=""/>
    <s v=""/>
    <n v="1626"/>
    <s v="00"/>
    <n v="100"/>
    <s v="FULL TIME      100000000FF100-FULL TIME"/>
    <s v="02/01/2007"/>
    <s v=""/>
    <s v="  "/>
    <s v=""/>
    <s v="EP  "/>
    <s v="    "/>
    <s v=""/>
    <s v=""/>
    <s v="fabiana.milani@ilsole24ore.com                    "/>
    <s v="F"/>
    <s v="F-FIRMA"/>
    <s v="1 "/>
    <s v="1=5 X 8"/>
    <s v="07/01/2026"/>
    <s v="TEMPO DETERMINATO"/>
    <s v="31/01/2026"/>
    <s v="0015001006                    "/>
    <s v="DE SANCTIS FULVIA PAOLA"/>
    <n v="51"/>
  </r>
  <r>
    <x v="0"/>
    <n v="833"/>
    <s v="IL SOLE 24 ORE S.P.A.                   "/>
    <s v="H           "/>
    <s v="DG SERVIZI PROFESSIONALI E FORMAZIONE"/>
    <s v="H06 "/>
    <x v="32"/>
    <s v="815400      "/>
    <s v="815400   REDAZIONE DIRITTO E FONTI NORM."/>
    <s v="MOLLO                           "/>
    <s v="MARIA ELISA       "/>
    <s v="MLLMLS63L67H183E"/>
    <x v="0"/>
    <s v="31"/>
    <x v="1"/>
    <s v="20/05/2009"/>
    <s v="ROMA                   "/>
    <s v="21"/>
    <x v="0"/>
    <s v="I"/>
    <x v="0"/>
    <s v="A  "/>
    <s v="A LIV. IMPIEGATO              "/>
    <s v="01/03/1995"/>
    <s v="01/03/1995"/>
    <s v="27/07/1963"/>
    <s v="A"/>
    <s v="A.IN FORZA"/>
    <s v="1  -ASSUNZIONE                1"/>
    <s v=""/>
    <s v=" "/>
    <s v=""/>
    <s v=""/>
    <n v="632"/>
    <s v="00"/>
    <n v="100"/>
    <s v="FULL TIME      100000000FF100-FULL TIME"/>
    <s v="01/03/1995"/>
    <s v=""/>
    <s v="  "/>
    <s v=""/>
    <s v="EP  "/>
    <s v="    "/>
    <s v=""/>
    <s v=""/>
    <s v="mariaelisa.mollo@ilsole24ore.com                  "/>
    <s v="F"/>
    <s v="F-FIRMA"/>
    <s v="1 "/>
    <s v="1=5 X 8"/>
    <s v="01/07/2025"/>
    <s v="TEMPO DETERMINATO"/>
    <s v="31/05/2027"/>
    <s v="0015001006                    "/>
    <s v="DE SANCTIS FULVIA PAOLA"/>
    <n v="62"/>
  </r>
  <r>
    <x v="0"/>
    <n v="3162"/>
    <s v="IL SOLE 24 ORE S.P.A.                   "/>
    <s v="H           "/>
    <s v="DG SERVIZI PROFESSIONALI E FORMAZIONE"/>
    <s v="H06 "/>
    <x v="32"/>
    <s v="815400      "/>
    <s v="815400   REDAZIONE DIRITTO E FONTI NORM."/>
    <s v="ONOFRI                          "/>
    <s v="SILVIA EMANUELA   "/>
    <s v="NFRSVM65R57H501N"/>
    <x v="0"/>
    <s v="31"/>
    <x v="1"/>
    <s v="21/10/2025"/>
    <s v="ROMA                   "/>
    <s v="21"/>
    <x v="0"/>
    <s v="I"/>
    <x v="0"/>
    <s v="A  "/>
    <s v="A LIV. IMPIEGATO              "/>
    <s v="21/10/2025"/>
    <s v="21/10/2025"/>
    <s v="17/10/1965"/>
    <s v="A"/>
    <s v="A.IN FORZA"/>
    <s v="1  -ASSUNZIONE                1"/>
    <s v=""/>
    <s v="A"/>
    <s v="30/09/2026"/>
    <s v=""/>
    <n v="3162"/>
    <s v="00"/>
    <n v="100"/>
    <s v="FULL TIME      100000000FF100-FULL TIME"/>
    <s v="21/10/2025"/>
    <s v=""/>
    <s v="  "/>
    <s v=""/>
    <s v="EN  "/>
    <s v="    "/>
    <s v=""/>
    <s v=""/>
    <s v="silvia.onofri@ilsole24ore.com                     "/>
    <s v="F"/>
    <s v="F-FIRMA"/>
    <s v="1 "/>
    <s v="1=5 X 8"/>
    <s v="27/10/2025"/>
    <s v="TEMPO DETERMINATO"/>
    <s v="31/05/2027"/>
    <s v="0015001006                    "/>
    <s v="DE SANCTIS FULVIA PAOLA"/>
    <n v="60"/>
  </r>
  <r>
    <x v="0"/>
    <n v="1166"/>
    <s v="IL SOLE 24 ORE S.P.A.                   "/>
    <s v="H           "/>
    <s v="DG SERVIZI PROFESSIONALI E FORMAZIONE"/>
    <s v="H06 "/>
    <x v="32"/>
    <s v="815400      "/>
    <s v="815400   REDAZIONE DIRITTO E FONTI NORM."/>
    <s v="PICCIOCCHI                      "/>
    <s v="PAOLA             "/>
    <s v="PCCPLA66P63H501I"/>
    <x v="0"/>
    <s v="31"/>
    <x v="1"/>
    <s v="20/05/2009"/>
    <s v="ROMA                   "/>
    <s v="21"/>
    <x v="0"/>
    <s v="I"/>
    <x v="0"/>
    <s v="A  "/>
    <s v="A LIV. IMPIEGATO              "/>
    <s v="01/09/1998"/>
    <s v="01/09/1998"/>
    <s v="23/09/1966"/>
    <s v="A"/>
    <s v="A.IN FORZA"/>
    <s v="1  -ASSUNZIONE                1"/>
    <s v=""/>
    <s v=" "/>
    <s v=""/>
    <s v=""/>
    <n v="919"/>
    <s v="00"/>
    <n v="100"/>
    <s v="FULL TIME      100000000FF100-FULL TIME"/>
    <s v="01/09/2018"/>
    <s v=""/>
    <s v="  "/>
    <s v=""/>
    <s v="EP  "/>
    <s v="    "/>
    <s v=""/>
    <s v="C.G.I.L.           C.G.I.L"/>
    <s v="paola.picciocchi@ilsole24ore.com                  "/>
    <s v="F"/>
    <s v="F-FIRMA"/>
    <s v="1 "/>
    <s v="1=5 X 8"/>
    <s v="01/07/2025"/>
    <s v="TEMPO DETERMINATO"/>
    <s v="31/05/2027"/>
    <s v="0015001006                    "/>
    <s v="DE SANCTIS FULVIA PAOLA"/>
    <n v="59"/>
  </r>
  <r>
    <x v="0"/>
    <n v="1971"/>
    <s v="IL SOLE 24 ORE S.P.A.                   "/>
    <s v="H           "/>
    <s v="DG SERVIZI PROFESSIONALI E FORMAZIONE"/>
    <s v="H06 "/>
    <x v="32"/>
    <s v="815400      "/>
    <s v="815400   REDAZIONE DIRITTO E FONTI NORM."/>
    <s v="SANTOLAMAZZA                    "/>
    <s v="BARBARA           "/>
    <s v="SNTBBR72C69L182C"/>
    <x v="0"/>
    <s v="31"/>
    <x v="1"/>
    <s v="20/05/2009"/>
    <s v="ROMA                   "/>
    <s v="21"/>
    <x v="0"/>
    <s v="I"/>
    <x v="0"/>
    <s v="AS "/>
    <s v="AS LIV. IMPIEGATO             "/>
    <s v="01/09/2003"/>
    <s v="01/09/2003"/>
    <s v="29/03/1972"/>
    <s v="A"/>
    <s v="A.IN FORZA"/>
    <s v="1  -ASSUNZIONE                1"/>
    <s v=""/>
    <s v=" "/>
    <s v=""/>
    <s v=""/>
    <n v="1537"/>
    <s v="00"/>
    <n v="100"/>
    <s v="FULL TIME      100000000FF100-FULL TIME"/>
    <s v="01/09/2003"/>
    <s v=""/>
    <s v="  "/>
    <s v=""/>
    <s v="EP  "/>
    <s v="    "/>
    <s v=""/>
    <s v=""/>
    <s v="barbara.santolamazza@ilsole24ore.com              "/>
    <s v="F"/>
    <s v="F-FIRMA"/>
    <s v="1 "/>
    <s v="1=5 X 8"/>
    <s v="01/07/2025"/>
    <s v="TEMPO DETERMINATO"/>
    <s v="31/05/2027"/>
    <s v="0015001006                    "/>
    <s v="DE SANCTIS FULVIA PAOLA"/>
    <n v="53"/>
  </r>
  <r>
    <x v="0"/>
    <n v="918"/>
    <s v="IL SOLE 24 ORE S.P.A.                   "/>
    <s v="H           "/>
    <s v="DG SERVIZI PROFESSIONALI E FORMAZIONE"/>
    <s v="H06 "/>
    <x v="32"/>
    <s v="815400      "/>
    <s v="815400   REDAZIONE DIRITTO E FONTI NORM."/>
    <s v="TRALDI                          "/>
    <s v="BARBARA           "/>
    <s v="TRLBBR73B46H501I"/>
    <x v="0"/>
    <s v="31"/>
    <x v="1"/>
    <s v="20/05/2009"/>
    <s v="ROMA                   "/>
    <s v="21"/>
    <x v="0"/>
    <s v="I"/>
    <x v="0"/>
    <s v="AS "/>
    <s v="AS LIV. IMPIEGATO             "/>
    <s v="01/09/1996"/>
    <s v="01/09/1996"/>
    <s v="06/02/1973"/>
    <s v="A"/>
    <s v="A.IN FORZA"/>
    <s v="1  -ASSUNZIONE                1"/>
    <s v=""/>
    <s v=" "/>
    <s v=""/>
    <s v=""/>
    <n v="707"/>
    <s v="00"/>
    <n v="100"/>
    <s v="FULL TIME      100000000FF100-FULL TIME"/>
    <s v="01/09/1996"/>
    <s v=""/>
    <s v="  "/>
    <s v=""/>
    <s v="EP  "/>
    <s v="    "/>
    <s v=""/>
    <s v="C.G.I.L.           C.G.I.L"/>
    <s v="barbara.traldi@ilsole24ore.com                    "/>
    <s v="F"/>
    <s v="F-FIRMA"/>
    <s v="1 "/>
    <s v="1=5 X 8"/>
    <s v="01/07/2025"/>
    <s v="TEMPO DETERMINATO"/>
    <s v="31/05/2027"/>
    <s v="0015001006                    "/>
    <s v="DE SANCTIS FULVIA PAOLA"/>
    <n v="52"/>
  </r>
  <r>
    <x v="0"/>
    <n v="2154"/>
    <s v="IL SOLE 24 ORE S.P.A.                   "/>
    <s v="H           "/>
    <s v="DG SERVIZI PROFESSIONALI E FORMAZIONE"/>
    <s v="H06 "/>
    <x v="32"/>
    <s v="G12000      "/>
    <s v="G12000   REDAZIONE AREE TECNICHE E P.A."/>
    <s v="ASCIONE                         "/>
    <s v="ISABELLA          "/>
    <s v="SCNSLL74T64I838K"/>
    <x v="0"/>
    <s v="31"/>
    <x v="1"/>
    <s v="20/05/2009"/>
    <s v="ROMA                   "/>
    <s v="21"/>
    <x v="0"/>
    <s v="F"/>
    <x v="2"/>
    <s v="Q  "/>
    <s v="Q LIV. QUADRI                 "/>
    <s v="02/01/2007"/>
    <s v="02/01/2007"/>
    <s v="24/12/1974"/>
    <s v="A"/>
    <s v="A.IN FORZA"/>
    <s v="1  -ASSUNZIONE                1"/>
    <s v=""/>
    <s v=" "/>
    <s v=""/>
    <s v=""/>
    <n v="1625"/>
    <s v="00"/>
    <n v="100"/>
    <s v="FULL TIME      100000000FF100-FULL TIME"/>
    <s v="02/01/2007"/>
    <s v=""/>
    <s v="  "/>
    <s v=""/>
    <s v="EP  "/>
    <s v="    "/>
    <s v=""/>
    <s v=""/>
    <s v="isabella.ascione@ilsole24ore.com                  "/>
    <s v="F"/>
    <s v="F-FIRMA"/>
    <s v="1 "/>
    <s v="1=5 X 8"/>
    <s v="01/07/2025"/>
    <s v="TEMPO DETERMINATO"/>
    <s v="31/05/2027"/>
    <s v="0015000841                    "/>
    <s v="BULGARELLI ENNIO"/>
    <n v="51"/>
  </r>
  <r>
    <x v="0"/>
    <n v="2098"/>
    <s v="IL SOLE 24 ORE S.P.A.                   "/>
    <s v="H           "/>
    <s v="DG SERVIZI PROFESSIONALI E FORMAZIONE"/>
    <s v="H06 "/>
    <x v="32"/>
    <s v="G12000      "/>
    <s v="G12000   REDAZIONE AREE TECNICHE E P.A."/>
    <s v="FURNO                           "/>
    <s v="PAOLA             "/>
    <s v="FRNPLA71P56B963P"/>
    <x v="0"/>
    <s v="34"/>
    <x v="0"/>
    <s v="01/04/2021"/>
    <s v="MILANO                 "/>
    <s v="21"/>
    <x v="0"/>
    <s v="I"/>
    <x v="0"/>
    <s v="AS "/>
    <s v="AS LIV. IMPIEGATO             "/>
    <s v="01/04/2006"/>
    <s v="01/04/2006"/>
    <s v="16/09/1971"/>
    <s v="A"/>
    <s v="A.IN FORZA"/>
    <s v="1  -ASSUNZIONE                1"/>
    <s v=""/>
    <s v=" "/>
    <s v=""/>
    <s v=""/>
    <n v="1586"/>
    <s v="00"/>
    <n v="100"/>
    <s v="FULL TIME      100000000FF100-FULL TIME"/>
    <s v="01/04/2006"/>
    <s v=""/>
    <s v="  "/>
    <s v=""/>
    <s v="EP  "/>
    <s v="    "/>
    <s v=""/>
    <s v=""/>
    <s v="paola.furno@ilsole24ore.com                       "/>
    <s v="F"/>
    <s v="F-FIRMA"/>
    <s v="1 "/>
    <s v="1=5 X 8"/>
    <s v="01/07/2025"/>
    <s v="TEMPO DETERMINATO"/>
    <s v="31/05/2027"/>
    <s v="0015002154                    "/>
    <s v="ASCIONE ISABELLA"/>
    <n v="54"/>
  </r>
  <r>
    <x v="0"/>
    <n v="2044"/>
    <s v="IL SOLE 24 ORE S.P.A.                   "/>
    <s v="H           "/>
    <s v="DG SERVIZI PROFESSIONALI E FORMAZIONE"/>
    <s v="H06 "/>
    <x v="32"/>
    <s v="G12000      "/>
    <s v="G12000   REDAZIONE AREE TECNICHE E P.A."/>
    <s v="LALLI                           "/>
    <s v="MARIA IDA         "/>
    <s v="LLLMRD72E41A345U"/>
    <x v="0"/>
    <s v="31"/>
    <x v="1"/>
    <s v="20/05/2009"/>
    <s v="ROMA                   "/>
    <s v="21"/>
    <x v="0"/>
    <s v="I"/>
    <x v="0"/>
    <s v="AS "/>
    <s v="AS LIV. IMPIEGATO             "/>
    <s v="13/12/2004"/>
    <s v="13/12/2004"/>
    <s v="01/05/1972"/>
    <s v="A"/>
    <s v="A.IN FORZA"/>
    <s v="1  -ASSUNZIONE                1"/>
    <s v=""/>
    <s v=" "/>
    <s v=""/>
    <s v=""/>
    <n v="1565"/>
    <s v="00"/>
    <n v="100"/>
    <s v="FULL TIME      100000000FF100-FULL TIME"/>
    <s v="01/04/2013"/>
    <s v=""/>
    <s v="  "/>
    <s v=""/>
    <s v="EV  "/>
    <s v="    "/>
    <s v=""/>
    <s v="C.G.I.L.           C.G.I.L"/>
    <s v="mariaIda.lalli@ilsole24ore.com                    "/>
    <s v="F"/>
    <s v="F-FIRMA"/>
    <s v="1 "/>
    <s v="1=5 X 8"/>
    <s v="01/07/2025"/>
    <s v="TEMPO DETERMINATO"/>
    <s v="31/05/2027"/>
    <s v="0015002154                    "/>
    <s v="ASCIONE ISABELLA"/>
    <n v="53"/>
  </r>
  <r>
    <x v="0"/>
    <n v="3126"/>
    <s v="IL SOLE 24 ORE S.P.A.                   "/>
    <s v="H           "/>
    <s v="DG SERVIZI PROFESSIONALI E FORMAZIONE"/>
    <s v="H06 "/>
    <x v="32"/>
    <s v="G12000      "/>
    <s v="G12000   REDAZIONE AREE TECNICHE E P.A."/>
    <s v="RAMPULLA                        "/>
    <s v="VALENTINA         "/>
    <s v="RMPVNT86R42H501P"/>
    <x v="0"/>
    <s v="31"/>
    <x v="1"/>
    <s v="03/06/2024"/>
    <s v="ROMA                   "/>
    <s v="21"/>
    <x v="0"/>
    <s v="I"/>
    <x v="0"/>
    <s v="A  "/>
    <s v="A LIV. IMPIEGATO              "/>
    <s v="03/06/2024"/>
    <s v="03/06/2024"/>
    <s v="02/10/1986"/>
    <s v="A"/>
    <s v="A.IN FORZA"/>
    <s v="1  -ASSUNZIONE                1"/>
    <s v=""/>
    <s v=" "/>
    <s v=""/>
    <s v=""/>
    <n v="3126"/>
    <s v="00"/>
    <n v="100"/>
    <s v="FULL TIME      100000000FF100-FULL TIME"/>
    <s v="03/06/2024"/>
    <s v=""/>
    <s v="  "/>
    <s v=""/>
    <s v="EN  "/>
    <s v="    "/>
    <s v=""/>
    <s v=""/>
    <s v="valentina.rampulla@ilsole24ore.com                "/>
    <s v="F"/>
    <s v="F-FIRMA"/>
    <s v="1 "/>
    <s v="1=5 X 8"/>
    <s v="01/07/2025"/>
    <s v="TEMPO DETERMINATO"/>
    <s v="31/05/2027"/>
    <s v="0015002154                    "/>
    <s v="ASCIONE ISABELLA"/>
    <n v="39"/>
  </r>
  <r>
    <x v="0"/>
    <n v="1460"/>
    <s v="IL SOLE 24 ORE S.P.A.                   "/>
    <s v="H           "/>
    <s v="DG SERVIZI PROFESSIONALI E FORMAZIONE"/>
    <s v="H06 "/>
    <x v="32"/>
    <s v="G12000      "/>
    <s v="G12000   REDAZIONE AREE TECNICHE E P.A."/>
    <s v="TUDINI                          "/>
    <s v="MONICA            "/>
    <s v="TDNMNC71L42H501S"/>
    <x v="0"/>
    <s v="31"/>
    <x v="1"/>
    <s v="20/05/2009"/>
    <s v="ROMA                   "/>
    <s v="21"/>
    <x v="0"/>
    <s v="I"/>
    <x v="0"/>
    <s v="AS "/>
    <s v="AS LIV. IMPIEGATO             "/>
    <s v="17/01/2000"/>
    <s v="17/01/2000"/>
    <s v="02/07/1971"/>
    <s v="A"/>
    <s v="A.IN FORZA"/>
    <s v="1  -ASSUNZIONE                1"/>
    <s v=""/>
    <s v=" "/>
    <s v=""/>
    <s v=""/>
    <n v="1155"/>
    <s v="00"/>
    <n v="100"/>
    <s v="FULL TIME      100000000FF100-FULL TIME"/>
    <s v="01/07/2018"/>
    <s v=""/>
    <s v="  "/>
    <s v=""/>
    <s v="EP  "/>
    <s v="    "/>
    <s v=""/>
    <s v=""/>
    <s v="monica.tudini@ilsole24ore.com                     "/>
    <s v="F"/>
    <s v="F-FIRMA"/>
    <s v="1 "/>
    <s v="1=5 X 8"/>
    <s v="01/07/2025"/>
    <s v="TEMPO DETERMINATO"/>
    <s v="31/05/2027"/>
    <s v="0015002154                    "/>
    <s v="ASCIONE ISABELLA"/>
    <n v="54"/>
  </r>
  <r>
    <x v="0"/>
    <n v="1500"/>
    <s v="IL SOLE 24 ORE S.P.A.                   "/>
    <s v="H           "/>
    <s v="DG SERVIZI PROFESSIONALI E FORMAZIONE"/>
    <s v="H06 "/>
    <x v="32"/>
    <s v="G1200010    "/>
    <s v="G1200010 REDAZIONE AZIENDE"/>
    <s v="SALAPARUTA                      "/>
    <s v="CORINNA           "/>
    <s v="SLPCNN70M42H501V"/>
    <x v="0"/>
    <s v="31"/>
    <x v="1"/>
    <s v="20/05/2009"/>
    <s v="ROMA                   "/>
    <s v="21"/>
    <x v="0"/>
    <s v="I"/>
    <x v="0"/>
    <s v="AS "/>
    <s v="AS LIV. IMPIEGATO             "/>
    <s v="06/03/2000"/>
    <s v="06/03/2000"/>
    <s v="02/08/1970"/>
    <s v="A"/>
    <s v="A.IN FORZA"/>
    <s v="1  -ASSUNZIONE                1"/>
    <s v=""/>
    <s v=" "/>
    <s v=""/>
    <s v=""/>
    <n v="1188"/>
    <s v="00"/>
    <n v="100"/>
    <s v="FULL TIME      100000000FF100-FULL TIME"/>
    <s v="06/03/2000"/>
    <s v=""/>
    <s v="  "/>
    <s v=""/>
    <s v="EP  "/>
    <s v="    "/>
    <s v=""/>
    <s v=""/>
    <s v="corinna.salaparuta@ilsole24ore.com                "/>
    <s v="F"/>
    <s v="F-FIRMA"/>
    <s v="1 "/>
    <s v="1=5 X 8"/>
    <s v="01/07/2025"/>
    <s v="TEMPO DETERMINATO"/>
    <s v="31/05/2027"/>
    <s v="0015000841                    "/>
    <s v="BULGARELLI ENNIO"/>
    <n v="55"/>
  </r>
  <r>
    <x v="0"/>
    <n v="3118"/>
    <s v="IL SOLE 24 ORE S.P.A.                   "/>
    <s v="H           "/>
    <s v="DG SERVIZI PROFESSIONALI E FORMAZIONE"/>
    <s v="H09 "/>
    <x v="33"/>
    <s v="E11000      "/>
    <s v="E11000  AREA FINANCIAL SERVICES &amp; PATNER"/>
    <s v="SCIARAFFA                       "/>
    <s v="PASQUALE          "/>
    <s v="SCRPQL91T06F104P"/>
    <x v="1"/>
    <s v="34"/>
    <x v="0"/>
    <s v="15/04/2024"/>
    <s v="MILANO                 "/>
    <s v="21"/>
    <x v="0"/>
    <s v="I"/>
    <x v="0"/>
    <s v="AS "/>
    <s v="AS LIV. IMPIEGATO             "/>
    <s v="15/04/2024"/>
    <s v="15/04/2024"/>
    <s v="06/12/1991"/>
    <s v="A"/>
    <s v="A.IN FORZA"/>
    <s v="1  -ASSUNZIONE                1"/>
    <s v=""/>
    <s v=" "/>
    <s v=""/>
    <s v=""/>
    <n v="3118"/>
    <s v="00"/>
    <n v="100"/>
    <s v="FULL TIME      100000000FF100-FULL TIME"/>
    <s v="15/04/2024"/>
    <s v=""/>
    <s v="  "/>
    <s v=""/>
    <s v="EN  "/>
    <s v="    "/>
    <s v=""/>
    <s v=""/>
    <s v="pasquale.sciaraffa@ilsole24ore.com                "/>
    <s v="F"/>
    <s v="F-FIRMA"/>
    <s v="1 "/>
    <s v="1=5 X 8"/>
    <s v="01/07/2025"/>
    <s v="TEMPO DETERMINATO"/>
    <s v="31/05/2027"/>
    <s v="0015003060                    "/>
    <s v="TRECCARICHI GIUSEPPE WILLIAM"/>
    <n v="34"/>
  </r>
  <r>
    <x v="0"/>
    <n v="3060"/>
    <s v="IL SOLE 24 ORE S.P.A.                   "/>
    <s v="H           "/>
    <s v="DG SERVIZI PROFESSIONALI E FORMAZIONE"/>
    <s v="H09 "/>
    <x v="33"/>
    <s v="E11000      "/>
    <s v="E11000  AREA FINANCIAL SERVICES &amp; PATNER"/>
    <s v="TRECCARICHI                     "/>
    <s v="GIUSEPPE WILLIAM  "/>
    <s v="TRCGPP87T22B202O"/>
    <x v="1"/>
    <s v="34"/>
    <x v="0"/>
    <s v="16/11/2022"/>
    <s v="MILANO                 "/>
    <s v="21"/>
    <x v="0"/>
    <s v="F"/>
    <x v="2"/>
    <s v="Q  "/>
    <s v="Q LIV. QUADRI                 "/>
    <s v="16/11/2022"/>
    <s v="16/11/2022"/>
    <s v="22/12/1987"/>
    <s v="A"/>
    <s v="A.IN FORZA"/>
    <s v="1  -ASSUNZIONE                1"/>
    <s v=""/>
    <s v=" "/>
    <s v=""/>
    <s v=""/>
    <n v="3060"/>
    <s v="00"/>
    <n v="100"/>
    <s v="FULL TIME      100000000FF100-FULL TIME"/>
    <s v="16/11/2022"/>
    <s v=""/>
    <s v="  "/>
    <s v=""/>
    <s v="EN  "/>
    <s v="    "/>
    <s v=""/>
    <s v=""/>
    <s v="giuseppe.treccarichi@ilsole24ore.com              "/>
    <s v="F"/>
    <s v="F-FIRMA"/>
    <s v="1 "/>
    <s v="1=5 X 8"/>
    <s v="01/07/2025"/>
    <s v="TEMPO DETERMINATO"/>
    <s v="31/05/2027"/>
    <s v="0015002988                    "/>
    <s v="MINELLA ERALDO"/>
    <n v="38"/>
  </r>
  <r>
    <x v="0"/>
    <n v="1809"/>
    <s v="IL SOLE 24 ORE S.P.A.                   "/>
    <s v="H           "/>
    <s v="DG SERVIZI PROFESSIONALI E FORMAZIONE"/>
    <s v="H09 "/>
    <x v="33"/>
    <s v="F1500010    "/>
    <s v="F1500010 STUDI E ANALISI"/>
    <s v="GIANOTTI                        "/>
    <s v="ANDREA            "/>
    <s v="GNTNDR74A12A940D"/>
    <x v="1"/>
    <s v="34"/>
    <x v="0"/>
    <s v="01/04/2021"/>
    <s v="MILANO                 "/>
    <s v="21"/>
    <x v="0"/>
    <s v="F"/>
    <x v="2"/>
    <s v="Q  "/>
    <s v="Q LIV. QUADRI                 "/>
    <s v="03/04/2000"/>
    <s v="01/03/2000"/>
    <s v="12/01/1974"/>
    <s v="A"/>
    <s v="A.IN FORZA"/>
    <s v="1  -ASSUNZIONE                1"/>
    <s v=""/>
    <s v=" "/>
    <s v=""/>
    <s v=""/>
    <n v="1429"/>
    <s v="00"/>
    <n v="100"/>
    <s v="FULL TIME      100000000FF100-FULL TIME"/>
    <s v="03/04/2000"/>
    <s v=""/>
    <s v="  "/>
    <s v=""/>
    <s v="EV  "/>
    <s v="    "/>
    <s v=""/>
    <s v=""/>
    <s v="andrea.gianotti@ilsole24ore.com                   "/>
    <s v="F"/>
    <s v="F-FIRMA"/>
    <s v="1 "/>
    <s v="1=5 X 8"/>
    <s v="01/07/2025"/>
    <s v="TEMPO DETERMINATO"/>
    <s v="31/05/2027"/>
    <s v="0015003060                    "/>
    <s v="TRECCARICHI GIUSEPPE WILLIAM"/>
    <n v="52"/>
  </r>
  <r>
    <x v="0"/>
    <n v="2249"/>
    <s v="IL SOLE 24 ORE S.P.A.                   "/>
    <s v="H           "/>
    <s v="DG SERVIZI PROFESSIONALI E FORMAZIONE"/>
    <s v="H09 "/>
    <x v="33"/>
    <s v="F1500010    "/>
    <s v="F1500010 STUDI E ANALISI"/>
    <s v="GUERRA                          "/>
    <s v="MARCO             "/>
    <s v="GRRMRC77H05C933T"/>
    <x v="1"/>
    <s v="34"/>
    <x v="0"/>
    <s v="01/04/2021"/>
    <s v="MILANO                 "/>
    <s v="25"/>
    <x v="3"/>
    <s v="I"/>
    <x v="0"/>
    <s v="08 "/>
    <s v="8 LIV. IMPIEGATO              "/>
    <s v="01/11/2007"/>
    <s v="01/11/2007"/>
    <s v="05/06/1977"/>
    <s v="A"/>
    <s v="A.IN FORZA"/>
    <s v="1  -ASSUNZIONE                1"/>
    <s v=""/>
    <s v=" "/>
    <s v=""/>
    <s v=""/>
    <n v="1685"/>
    <s v="00"/>
    <n v="100"/>
    <s v="FULL TIME      100000000FF100-FULL TIME"/>
    <s v="01/11/2007"/>
    <s v=""/>
    <s v="  "/>
    <s v=""/>
    <s v="PSO "/>
    <s v="    "/>
    <s v=""/>
    <s v="U.I.L.             U.I.L"/>
    <s v="marco.guerra@ilsole24ore.com                      "/>
    <s v="F"/>
    <s v="F-FIRMA"/>
    <s v="3 "/>
    <s v="3=5 X 7"/>
    <s v="01/07/2025"/>
    <s v="TEMPO DETERMINATO"/>
    <s v="31/05/2027"/>
    <s v="0015001809                    "/>
    <s v="GIANOTTI ANDREA"/>
    <n v="48"/>
  </r>
  <r>
    <x v="0"/>
    <n v="1866"/>
    <s v="IL SOLE 24 ORE S.P.A.                   "/>
    <s v="H           "/>
    <s v="DG SERVIZI PROFESSIONALI E FORMAZIONE"/>
    <s v="H09 "/>
    <x v="33"/>
    <s v="F1500010    "/>
    <s v="F1500010 STUDI E ANALISI"/>
    <s v="MONTEVERDI                      "/>
    <s v="ANDREA            "/>
    <s v="MNTNDR74M28F205J"/>
    <x v="1"/>
    <s v="34"/>
    <x v="0"/>
    <s v="01/04/2021"/>
    <s v="MILANO                 "/>
    <s v="25"/>
    <x v="3"/>
    <s v="I"/>
    <x v="0"/>
    <s v="08 "/>
    <s v="8 LIV. IMPIEGATO              "/>
    <s v="04/02/2002"/>
    <s v="04/02/2002"/>
    <s v="28/08/1974"/>
    <s v="A"/>
    <s v="A.IN FORZA"/>
    <s v="1  -ASSUNZIONE                1"/>
    <s v=""/>
    <s v=" "/>
    <s v=""/>
    <s v=""/>
    <n v="1478"/>
    <s v="00"/>
    <n v="100"/>
    <s v="FULL TIME      100000000FF100-FULL TIME"/>
    <s v="04/02/2002"/>
    <s v=""/>
    <s v="  "/>
    <s v=""/>
    <s v="PSO "/>
    <s v="    "/>
    <s v=""/>
    <s v=""/>
    <s v="andrea.monteverdi@ilsole24ore.com                 "/>
    <s v="F"/>
    <s v="F-FIRMA"/>
    <s v="3 "/>
    <s v="3=5 X 7"/>
    <s v="01/07/2025"/>
    <s v="TEMPO DETERMINATO"/>
    <s v="31/05/2027"/>
    <s v="0015001809                    "/>
    <s v="GIANOTTI ANDREA"/>
    <n v="51"/>
  </r>
  <r>
    <x v="0"/>
    <n v="1211"/>
    <s v="IL SOLE 24 ORE S.P.A.                   "/>
    <s v="H           "/>
    <s v="DG SERVIZI PROFESSIONALI E FORMAZIONE"/>
    <s v="H09 "/>
    <x v="33"/>
    <s v="F1500010    "/>
    <s v="F1500010 STUDI E ANALISI"/>
    <s v="MOSCATELLI                      "/>
    <s v="ELISABETTA        "/>
    <s v="MSCLBT67P61F205V"/>
    <x v="0"/>
    <s v="34"/>
    <x v="0"/>
    <s v="01/04/2021"/>
    <s v="MILANO                 "/>
    <s v="25"/>
    <x v="3"/>
    <s v="I"/>
    <x v="0"/>
    <s v="08 "/>
    <s v="8 LIV. IMPIEGATO              "/>
    <s v="04/01/1999"/>
    <s v="04/01/1999"/>
    <s v="21/09/1967"/>
    <s v="A"/>
    <s v="A.IN FORZA"/>
    <s v="1  -ASSUNZIONE                1"/>
    <s v=""/>
    <s v=" "/>
    <s v=""/>
    <s v=""/>
    <n v="955"/>
    <s v="00"/>
    <n v="100"/>
    <s v="FULL TIME      100000000FF100-FULL TIME"/>
    <s v="04/01/1999"/>
    <s v=""/>
    <s v="  "/>
    <s v=""/>
    <s v="PSO "/>
    <s v="    "/>
    <s v=""/>
    <s v=""/>
    <s v="elisabetta.moscatelli@ilsole24ore.com             "/>
    <s v="F"/>
    <s v="F-FIRMA"/>
    <s v="3 "/>
    <s v="3=5 X 7"/>
    <s v="01/07/2025"/>
    <s v="TEMPO DETERMINATO"/>
    <s v="31/05/2027"/>
    <s v="0015001809                    "/>
    <s v="GIANOTTI ANDREA"/>
    <n v="58"/>
  </r>
  <r>
    <x v="0"/>
    <n v="1251"/>
    <s v="IL SOLE 24 ORE S.P.A.                   "/>
    <s v="H           "/>
    <s v="DG SERVIZI PROFESSIONALI E FORMAZIONE"/>
    <s v="H09 "/>
    <x v="33"/>
    <s v="F1500010    "/>
    <s v="F1500010 STUDI E ANALISI"/>
    <s v="NOVELLINI                       "/>
    <s v="VALERIA           "/>
    <s v="NVLVLR62P67B110D"/>
    <x v="0"/>
    <s v="34"/>
    <x v="0"/>
    <s v="01/04/2021"/>
    <s v="MILANO                 "/>
    <s v="21"/>
    <x v="0"/>
    <s v="I"/>
    <x v="0"/>
    <s v="A  "/>
    <s v="A LIV. IMPIEGATO              "/>
    <s v="19/04/1999"/>
    <s v="19/04/1999"/>
    <s v="27/09/1962"/>
    <s v="A"/>
    <s v="A.IN FORZA"/>
    <s v="1  -ASSUNZIONE                1"/>
    <s v=""/>
    <s v=" "/>
    <s v=""/>
    <s v=""/>
    <n v="990"/>
    <s v="00"/>
    <n v="100"/>
    <s v="FULL TIME      100000000FF100-FULL TIME"/>
    <s v="19/04/1999"/>
    <s v=""/>
    <s v="  "/>
    <s v=""/>
    <s v="EV  "/>
    <s v="    "/>
    <s v=""/>
    <s v=""/>
    <s v="valeria.novellini@ilsole24ore.com                 "/>
    <s v="F"/>
    <s v="F-FIRMA"/>
    <s v="1 "/>
    <s v="1=5 X 8"/>
    <s v=""/>
    <s v=""/>
    <s v=""/>
    <s v="0015001809                    "/>
    <s v="GIANOTTI ANDREA"/>
    <n v="63"/>
  </r>
  <r>
    <x v="0"/>
    <n v="2162"/>
    <s v="IL SOLE 24 ORE S.P.A.                   "/>
    <s v="H           "/>
    <s v="DG SERVIZI PROFESSIONALI E FORMAZIONE"/>
    <s v="H09 "/>
    <x v="33"/>
    <s v="F1500010    "/>
    <s v="F1500010 STUDI E ANALISI"/>
    <s v="TANTARDINI                      "/>
    <s v="CINZIA LEONIA     "/>
    <s v="TNTCZL61R43L319W"/>
    <x v="0"/>
    <s v="34"/>
    <x v="0"/>
    <s v="01/04/2021"/>
    <s v="MILANO                 "/>
    <s v="21"/>
    <x v="0"/>
    <s v="I"/>
    <x v="0"/>
    <s v="B1 "/>
    <s v="B1 LIV. IMPIEGATO             "/>
    <s v="08/01/2007"/>
    <s v="08/01/2007"/>
    <s v="03/10/1961"/>
    <s v="A"/>
    <s v="A.IN FORZA"/>
    <s v="1  -ASSUNZIONE                1"/>
    <s v=""/>
    <s v=" "/>
    <s v=""/>
    <s v=""/>
    <n v="1631"/>
    <s v="00"/>
    <n v="100"/>
    <s v="FULL TIME      100000000FF100-FULL TIME"/>
    <s v="08/01/2007"/>
    <s v=""/>
    <s v="  "/>
    <s v=""/>
    <s v="EV  "/>
    <s v="    "/>
    <s v=""/>
    <s v=""/>
    <s v="cinzia.tantardini@ilsole24ore.com                 "/>
    <s v="F"/>
    <s v="F-FIRMA"/>
    <s v="1 "/>
    <s v="1=5 X 8"/>
    <s v="01/07/2025"/>
    <s v="TEMPO DETERMINATO"/>
    <s v="31/05/2027"/>
    <s v="0015001809                    "/>
    <s v="GIANOTTI ANDREA"/>
    <n v="64"/>
  </r>
  <r>
    <x v="0"/>
    <n v="3128"/>
    <s v="IL SOLE 24 ORE S.P.A.                   "/>
    <s v="H           "/>
    <s v="DG SERVIZI PROFESSIONALI E FORMAZIONE"/>
    <s v="H10 "/>
    <x v="34"/>
    <s v="81800010    "/>
    <s v="81800010 AREA PARTNER 24 ORE e COMM.DEVE"/>
    <s v="BENOTTI                         "/>
    <s v="MONICA            "/>
    <s v="BNTMNC93C62E514Y"/>
    <x v="0"/>
    <s v="34"/>
    <x v="0"/>
    <s v="01/07/2024"/>
    <s v="MILANO                 "/>
    <s v="21"/>
    <x v="0"/>
    <s v="I"/>
    <x v="0"/>
    <s v="B1 "/>
    <s v="B1 LIV. IMPIEGATO             "/>
    <s v="01/07/2024"/>
    <s v="01/07/2024"/>
    <s v="22/03/1993"/>
    <s v="A"/>
    <s v="A.IN FORZA"/>
    <s v="1  -ASSUNZIONE                1"/>
    <s v=""/>
    <s v=" "/>
    <s v=""/>
    <s v=""/>
    <n v="3128"/>
    <s v="00"/>
    <n v="100"/>
    <s v="FULL TIME      100000000FF100-FULL TIME"/>
    <s v="01/07/2024"/>
    <s v=""/>
    <s v="  "/>
    <s v=""/>
    <s v="EN  "/>
    <s v="    "/>
    <s v=""/>
    <s v=""/>
    <s v="monica.benotti@ilsole24ore.com                    "/>
    <s v="F"/>
    <s v="F-FIRMA"/>
    <s v="1 "/>
    <s v="1=5 X 8"/>
    <s v="01/07/2025"/>
    <s v="TEMPO DETERMINATO"/>
    <s v="31/05/2027"/>
    <s v="0015002991                    "/>
    <s v="POLVERE VANNA"/>
    <n v="32"/>
  </r>
  <r>
    <x v="0"/>
    <n v="3062"/>
    <s v="IL SOLE 24 ORE S.P.A.                   "/>
    <s v="H           "/>
    <s v="DG SERVIZI PROFESSIONALI E FORMAZIONE"/>
    <s v="H10 "/>
    <x v="34"/>
    <s v="81800010    "/>
    <s v="81800010 AREA PARTNER 24 ORE e COMM.DEVE"/>
    <s v="MARCHIONI                       "/>
    <s v="VALENTINA MARIA   "/>
    <s v="MRCVNT79C63F205L"/>
    <x v="0"/>
    <s v="34"/>
    <x v="0"/>
    <s v="02/01/2023"/>
    <s v="MILANO                 "/>
    <s v="21"/>
    <x v="0"/>
    <s v="I"/>
    <x v="0"/>
    <s v="A  "/>
    <s v="A LIV. IMPIEGATO              "/>
    <s v="02/01/2023"/>
    <s v="02/01/2023"/>
    <s v="23/03/1979"/>
    <s v="A"/>
    <s v="A.IN FORZA"/>
    <s v="1  -ASSUNZIONE                1"/>
    <s v=""/>
    <s v=" "/>
    <s v=""/>
    <s v=""/>
    <n v="3062"/>
    <s v="00"/>
    <n v="100"/>
    <s v="FULL TIME      100000000FF100-FULL TIME"/>
    <s v="02/01/2023"/>
    <s v=""/>
    <s v="  "/>
    <s v=""/>
    <s v="EN  "/>
    <s v="    "/>
    <s v=""/>
    <s v=""/>
    <s v="valentina.marchioni@ilsole24ore.com               "/>
    <s v="F"/>
    <s v="F-FIRMA"/>
    <s v="1 "/>
    <s v="1=5 X 8"/>
    <s v="01/07/2025"/>
    <s v="TEMPO DETERMINATO"/>
    <s v="31/05/2027"/>
    <s v="0015002991                    "/>
    <s v="POLVERE VANNA"/>
    <n v="46"/>
  </r>
  <r>
    <x v="0"/>
    <n v="2991"/>
    <s v="IL SOLE 24 ORE S.P.A.                   "/>
    <s v="H           "/>
    <s v="DG SERVIZI PROFESSIONALI E FORMAZIONE"/>
    <s v="H10 "/>
    <x v="34"/>
    <s v="81800010    "/>
    <s v="81800010 AREA PARTNER 24 ORE e COMM.DEVE"/>
    <s v="POLVERE                         "/>
    <s v="VANNA             "/>
    <s v="PLVVNN70A52F205Z"/>
    <x v="0"/>
    <s v="34"/>
    <x v="0"/>
    <s v="01/04/2021"/>
    <s v="MILANO                 "/>
    <s v="90"/>
    <x v="1"/>
    <s v="D"/>
    <x v="1"/>
    <s v="D  "/>
    <s v="DIRIGENTE INDUSTRIA           "/>
    <s v="02/01/2020"/>
    <s v="02/01/2020"/>
    <s v="12/01/1970"/>
    <s v="A"/>
    <s v="A.IN FORZA"/>
    <s v="1  -ASSUNZIONE                1"/>
    <s v=""/>
    <s v=" "/>
    <s v=""/>
    <s v=""/>
    <n v="2991"/>
    <s v="00"/>
    <n v="100"/>
    <s v="FULL TIME      100000000FF100-FULL TIME"/>
    <s v="02/01/2020"/>
    <s v=""/>
    <s v="  "/>
    <s v=""/>
    <s v="DD  "/>
    <s v="    "/>
    <s v=""/>
    <s v=""/>
    <s v="vanna.polvere@ilsole24ore.com                     "/>
    <s v="F"/>
    <s v="F-FIRMA"/>
    <s v="1 "/>
    <s v="1=5 X 8"/>
    <s v="01/07/2025"/>
    <s v="TEMPO DETERMINATO"/>
    <s v="31/05/2026"/>
    <s v="0015002988                    "/>
    <s v="MINELLA ERALDO"/>
    <n v="56"/>
  </r>
  <r>
    <x v="0"/>
    <n v="3114"/>
    <s v="IL SOLE 24 ORE S.P.A.                   "/>
    <s v="I           "/>
    <s v="AFFARI LEGALI E SOCIETARI"/>
    <s v="I01 "/>
    <x v="35"/>
    <s v="012000      "/>
    <s v="012000   AFFARI LEGALI E SOCIETARI"/>
    <s v="ALTEI                           "/>
    <s v="ALESSANDRO        "/>
    <s v="LTALSN82R17F839Z"/>
    <x v="1"/>
    <s v="34"/>
    <x v="0"/>
    <s v="18/03/2024"/>
    <s v="MILANO                 "/>
    <s v="90"/>
    <x v="1"/>
    <s v="D"/>
    <x v="1"/>
    <s v="D  "/>
    <s v="DIRIGENTE INDUSTRIA           "/>
    <s v="18/03/2024"/>
    <s v="18/03/2024"/>
    <s v="17/10/1982"/>
    <s v="A"/>
    <s v="A.IN FORZA"/>
    <s v="1  -ASSUNZIONE                1"/>
    <s v=""/>
    <s v=" "/>
    <s v=""/>
    <s v=""/>
    <n v="3114"/>
    <s v="00"/>
    <n v="100"/>
    <s v="FULL TIME      100000000FF100-FULL TIME"/>
    <s v="18/03/2024"/>
    <s v=""/>
    <s v="  "/>
    <s v=""/>
    <s v="DD  "/>
    <s v="    "/>
    <s v=""/>
    <s v=""/>
    <s v="alessandro.altei@ilsole24ore.com                  "/>
    <s v="E"/>
    <s v="E-ESENTE"/>
    <s v="1 "/>
    <s v="1=5 X 8"/>
    <s v="01/09/2025"/>
    <s v="TEMPO DETERMINATO"/>
    <s v="31/05/2026"/>
    <s v="0015002960                    "/>
    <s v="SILVESTRI FEDERICO"/>
    <n v="43"/>
  </r>
  <r>
    <x v="0"/>
    <n v="3143"/>
    <s v="IL SOLE 24 ORE S.P.A.                   "/>
    <s v="I           "/>
    <s v="AFFARI LEGALI E SOCIETARI"/>
    <s v="I01 "/>
    <x v="35"/>
    <s v="012000      "/>
    <s v="012000   AFFARI LEGALI E SOCIETARI"/>
    <s v="DI MARIA                        "/>
    <s v="SILVIA            "/>
    <s v="DMRSLV88S63G273R"/>
    <x v="0"/>
    <s v="34"/>
    <x v="0"/>
    <s v="07/01/2025"/>
    <s v="MILANO                 "/>
    <s v="21"/>
    <x v="0"/>
    <s v="F"/>
    <x v="2"/>
    <s v="Q  "/>
    <s v="Q LIV. QUADRI                 "/>
    <s v="07/01/2025"/>
    <s v="07/01/2025"/>
    <s v="23/11/1988"/>
    <s v="A"/>
    <s v="A.IN FORZA"/>
    <s v="1C-ASSUNZIONE CONTR. A TERMINE1"/>
    <s v=""/>
    <s v="D"/>
    <s v="31/12/2025"/>
    <s v=""/>
    <n v="3143"/>
    <s v="00"/>
    <n v="100"/>
    <s v="FULL TIME      100000000FF100-FULL TIME"/>
    <s v="07/01/2025"/>
    <s v=""/>
    <s v="  "/>
    <s v=""/>
    <s v="EN  "/>
    <s v="    "/>
    <s v=""/>
    <s v=""/>
    <s v="silvia.dimaria@ilsole24ore.com                    "/>
    <s v=" "/>
    <s v=""/>
    <s v="  "/>
    <s v=""/>
    <s v="01/07/2025"/>
    <s v="TEMPO DETERMINATO"/>
    <s v="31/05/2027"/>
    <s v="0015003114                    "/>
    <s v="ALTEI ALESSANDRO"/>
    <n v="37"/>
  </r>
  <r>
    <x v="0"/>
    <n v="2981"/>
    <s v="IL SOLE 24 ORE S.P.A.                   "/>
    <s v="I           "/>
    <s v="AFFARI LEGALI E SOCIETARI"/>
    <s v="I01 "/>
    <x v="35"/>
    <s v="012000      "/>
    <s v="012000   AFFARI LEGALI E SOCIETARI"/>
    <s v="SANSONE                         "/>
    <s v="MARCO ANIELLO     "/>
    <s v="SNSMCN82P05F205X"/>
    <x v="1"/>
    <s v="34"/>
    <x v="0"/>
    <s v="01/04/2021"/>
    <s v="MILANO                 "/>
    <s v="21"/>
    <x v="0"/>
    <s v="F"/>
    <x v="2"/>
    <s v="Q  "/>
    <s v="Q LIV. QUADRI                 "/>
    <s v="16/09/2019"/>
    <s v="16/09/2019"/>
    <s v="05/09/1982"/>
    <s v="A"/>
    <s v="A.IN FORZA"/>
    <s v="1  -ASSUNZIONE                1"/>
    <s v=""/>
    <s v=" "/>
    <s v=""/>
    <s v=""/>
    <n v="2981"/>
    <s v="00"/>
    <n v="100"/>
    <s v="FULL TIME      100000000FF100-FULL TIME"/>
    <s v="16/09/2019"/>
    <s v=""/>
    <s v="  "/>
    <s v=""/>
    <s v="EV  "/>
    <s v="    "/>
    <s v=""/>
    <s v=""/>
    <s v="marco.sansone@ilsole24ore.com                     "/>
    <s v="F"/>
    <s v="F-FIRMA"/>
    <s v="1 "/>
    <s v="1=5 X 8"/>
    <s v="01/07/2025"/>
    <s v="TEMPO DETERMINATO"/>
    <s v="31/05/2027"/>
    <s v="0015003114                    "/>
    <s v="ALTEI ALESSANDRO"/>
    <n v="43"/>
  </r>
  <r>
    <x v="0"/>
    <n v="2022"/>
    <s v="IL SOLE 24 ORE S.P.A.                   "/>
    <s v="I           "/>
    <s v="AFFARI LEGALI E SOCIETARI"/>
    <s v="I01 "/>
    <x v="35"/>
    <s v="016110      "/>
    <s v="016110  PRIVACY E SICUREZZA DATI"/>
    <s v="GAMBUSERA                       "/>
    <s v="CHIARA            "/>
    <s v="GMBCHR73H63F205G"/>
    <x v="0"/>
    <s v="34"/>
    <x v="0"/>
    <s v="01/04/2021"/>
    <s v="MILANO                 "/>
    <s v="21"/>
    <x v="0"/>
    <s v="F"/>
    <x v="2"/>
    <s v="Q  "/>
    <s v="Q LIV. QUADRI                 "/>
    <s v="01/07/2004"/>
    <s v="01/07/2004"/>
    <s v="23/06/1973"/>
    <s v="A"/>
    <s v="A.IN FORZA"/>
    <s v="1  -ASSUNZIONE                1"/>
    <s v=""/>
    <s v=" "/>
    <s v=""/>
    <s v=""/>
    <n v="1551"/>
    <s v="00"/>
    <n v="100"/>
    <s v="FULL TIME      100000000FF100-FULL TIME"/>
    <s v="01/07/2004"/>
    <s v=""/>
    <s v="  "/>
    <s v=""/>
    <s v="EV  "/>
    <s v="    "/>
    <s v=""/>
    <s v=""/>
    <s v="chiara.gambusera@ilsole24ore.com                  "/>
    <s v="F"/>
    <s v="F-FIRMA"/>
    <s v="1 "/>
    <s v="1=5 X 8"/>
    <s v="01/07/2025"/>
    <s v="TEMPO DETERMINATO"/>
    <s v="31/05/2027"/>
    <s v="0015003114                    "/>
    <s v="ALTEI ALESSANDRO"/>
    <n v="52"/>
  </r>
  <r>
    <x v="0"/>
    <n v="3059"/>
    <s v="IL SOLE 24 ORE S.P.A.                   "/>
    <s v="K           "/>
    <s v="REDAZIONI GIORNALISTICHE"/>
    <s v="K03 "/>
    <x v="36"/>
    <s v="514000      "/>
    <s v="514000   DIREZIONE QUOTIDIANO"/>
    <s v="BELLASIO                        "/>
    <s v="DANIELE           "/>
    <s v="BLLDNL74R26F205O"/>
    <x v="1"/>
    <s v="34"/>
    <x v="0"/>
    <s v="03/10/2022"/>
    <s v="MILANO                 "/>
    <s v="85"/>
    <x v="4"/>
    <s v="G"/>
    <x v="3"/>
    <s v="AV "/>
    <s v="AV VICE DIRETTORE             "/>
    <s v="03/10/2022"/>
    <s v="03/10/2022"/>
    <s v="26/10/1974"/>
    <s v="A"/>
    <s v="A.IN FORZA"/>
    <s v="1  -ASSUNZIONE                1"/>
    <s v=""/>
    <s v=" "/>
    <s v=""/>
    <s v=""/>
    <n v="3059"/>
    <s v="00"/>
    <n v="100"/>
    <s v="FULL TIME      100000000FF100-FULL TIME"/>
    <s v="03/10/2022"/>
    <s v=""/>
    <s v="  "/>
    <s v=""/>
    <s v="GBM "/>
    <s v="L21 "/>
    <s v="VICE DIRETTORI"/>
    <s v=""/>
    <s v="daniele.bellasio@ilsole24ore.com                  "/>
    <s v="E"/>
    <s v="E-ESENTE"/>
    <s v="2 "/>
    <s v="2=6 X 6"/>
    <s v="01/07/2025"/>
    <s v="TEMPO DETERMINATO"/>
    <s v="31/05/2027"/>
    <s v="0015003154                    "/>
    <s v="TAMBURINI FABIO ANTONIO"/>
    <n v="51"/>
  </r>
  <r>
    <x v="0"/>
    <n v="3154"/>
    <s v="IL SOLE 24 ORE S.P.A.                   "/>
    <s v="K           "/>
    <s v="REDAZIONI GIORNALISTICHE"/>
    <s v="K03 "/>
    <x v="36"/>
    <s v="514000      "/>
    <s v="514000   DIREZIONE QUOTIDIANO"/>
    <s v="TAMBURINI                       "/>
    <s v="FABIO ANTONIO     "/>
    <s v="TMBFNT54H23F205G"/>
    <x v="1"/>
    <s v="34"/>
    <x v="0"/>
    <s v="01/06/2025"/>
    <s v="MILANO                 "/>
    <s v="85"/>
    <x v="4"/>
    <s v="G"/>
    <x v="3"/>
    <s v="A  "/>
    <s v="A DIRETTORE                   "/>
    <s v="01/06/2025"/>
    <s v="01/06/2025"/>
    <s v="23/06/1954"/>
    <s v="A"/>
    <s v="A.IN FORZA"/>
    <s v="1R-ASS.RINNOVO CONTR.A TERMINE1R"/>
    <s v=""/>
    <s v="D"/>
    <s v="31/05/2028"/>
    <s v=""/>
    <n v="3154"/>
    <s v="00"/>
    <n v="100"/>
    <s v="FULL TIME      100000000FF100-FULL TIME"/>
    <s v="01/06/2025"/>
    <s v=""/>
    <s v="  "/>
    <s v=""/>
    <s v="GSS "/>
    <s v="L20 "/>
    <s v="DIRETTORE"/>
    <s v=""/>
    <s v="fabio.tamburini@ilsole24ore.com                   "/>
    <s v="E"/>
    <s v="E-ESENTE"/>
    <s v="2 "/>
    <s v="2=6 X 6"/>
    <s v=""/>
    <s v=""/>
    <s v=""/>
    <s v="0015002960                    "/>
    <s v="SILVESTRI FEDERICO"/>
    <n v="71"/>
  </r>
  <r>
    <x v="0"/>
    <n v="1987"/>
    <s v="IL SOLE 24 ORE S.P.A.                   "/>
    <s v="K           "/>
    <s v="REDAZIONI GIORNALISTICHE"/>
    <s v="K03 "/>
    <x v="36"/>
    <s v="514100      "/>
    <s v="514100   REDAZIONI ITALIA"/>
    <s v="AMADORE                         "/>
    <s v="ANTONINO          "/>
    <s v="MDRNNN67P02I199N"/>
    <x v="1"/>
    <s v="72"/>
    <x v="4"/>
    <s v="01/01/2004"/>
    <s v="PALERMO                "/>
    <s v="85"/>
    <x v="4"/>
    <s v="G"/>
    <x v="3"/>
    <s v="RM2"/>
    <s v="RM2 REDATTORE MAGG. 30 MM     "/>
    <s v="24/11/2003"/>
    <s v="24/11/2003"/>
    <s v="02/09/1967"/>
    <s v="A"/>
    <s v="A.IN FORZA"/>
    <s v="1  -ASSUNZIONE                1"/>
    <s v=""/>
    <s v=" "/>
    <s v=""/>
    <s v=""/>
    <n v="418"/>
    <s v="00"/>
    <n v="100"/>
    <s v="FULL TIME      100000000FF100-FULL TIME"/>
    <s v="24/11/2003"/>
    <s v=""/>
    <s v="  "/>
    <s v=""/>
    <s v="GSS "/>
    <s v="L17 "/>
    <s v="REDAZIONI ITALIA"/>
    <s v="SIND.GIORN.        SINDACATO GIORNALISTI"/>
    <s v="nino.amadore@ilsole24ore.com                      "/>
    <s v="E"/>
    <s v="E-ESENTE"/>
    <s v="3 "/>
    <s v="3=5 X 7"/>
    <s v="01/07/2025"/>
    <s v="TEMPO DETERMINATO"/>
    <s v="31/05/2027"/>
    <s v="0015001979                    "/>
    <s v="DI PILLO LAURA"/>
    <n v="58"/>
  </r>
  <r>
    <x v="0"/>
    <n v="2156"/>
    <s v="IL SOLE 24 ORE S.P.A.                   "/>
    <s v="K           "/>
    <s v="REDAZIONI GIORNALISTICHE"/>
    <s v="K03 "/>
    <x v="36"/>
    <s v="514100      "/>
    <s v="514100   REDAZIONI ITALIA"/>
    <s v="DE FORCADE DE BIAIX MARGOTTA    "/>
    <s v="RAOUL             "/>
    <s v="DFRRLA66P09D969H"/>
    <x v="1"/>
    <s v="80"/>
    <x v="5"/>
    <s v="30/09/2013"/>
    <s v="GENOVA                 "/>
    <s v="85"/>
    <x v="4"/>
    <s v="G"/>
    <x v="3"/>
    <s v="RM2"/>
    <s v="RM2 REDATTORE MAGG. 30 MM     "/>
    <s v="02/01/2007"/>
    <s v="02/01/2007"/>
    <s v="09/09/1966"/>
    <s v="A"/>
    <s v="A.IN FORZA"/>
    <s v="1  -ASSUNZIONE                1"/>
    <s v=""/>
    <s v=" "/>
    <s v=""/>
    <s v=""/>
    <n v="503"/>
    <s v="00"/>
    <n v="100"/>
    <s v="FULL TIME      100000000FF100-FULL TIME"/>
    <s v="02/01/2007"/>
    <s v=""/>
    <s v="  "/>
    <s v=""/>
    <s v="GSS "/>
    <s v="L17 "/>
    <s v="REDAZIONI ITALIA"/>
    <s v="SIND.GIORN.        SINDACATO GIORNALISTI"/>
    <s v="raoul.deforcade@ilsole24ore.com                   "/>
    <s v="E"/>
    <s v="E-ESENTE"/>
    <s v="2 "/>
    <s v="2=6 X 6"/>
    <s v="01/07/2025"/>
    <s v="TEMPO DETERMINATO"/>
    <s v="31/05/2027"/>
    <s v="0015001979                    "/>
    <s v="DI PILLO LAURA"/>
    <n v="59"/>
  </r>
  <r>
    <x v="0"/>
    <n v="1912"/>
    <s v="IL SOLE 24 ORE S.P.A.                   "/>
    <s v="K           "/>
    <s v="REDAZIONI GIORNALISTICHE"/>
    <s v="K03 "/>
    <x v="36"/>
    <s v="514100      "/>
    <s v="514100   REDAZIONI ITALIA"/>
    <s v="GANZ                            "/>
    <s v="BARBARA           "/>
    <s v="GNZBBR69S49L565R"/>
    <x v="0"/>
    <s v="81"/>
    <x v="6"/>
    <s v="01/08/2025"/>
    <s v="VENEZIA                "/>
    <s v="85"/>
    <x v="4"/>
    <s v="G"/>
    <x v="3"/>
    <s v="RM2"/>
    <s v="RM2 REDATTORE MAGG. 30 MM     "/>
    <s v="28/10/2002"/>
    <s v="28/10/2002"/>
    <s v="09/11/1969"/>
    <s v="A"/>
    <s v="A.IN FORZA"/>
    <s v="1  -ASSUNZIONE                1"/>
    <s v=""/>
    <s v=" "/>
    <s v=""/>
    <s v=""/>
    <n v="373"/>
    <s v="00"/>
    <n v="100"/>
    <s v="FULL TIME      100000000FF100-FULL TIME"/>
    <s v="28/10/2002"/>
    <s v=""/>
    <s v="  "/>
    <s v=""/>
    <s v="GSS "/>
    <s v="L17 "/>
    <s v="REDAZIONI ITALIA"/>
    <s v="SIND.GIORN.        SINDACATO GIORNALISTI"/>
    <s v="barbara.ganz@ilsole24ore.com                      "/>
    <s v="E"/>
    <s v="E-ESENTE"/>
    <s v="3 "/>
    <s v="3=5 X 7"/>
    <s v=""/>
    <s v=""/>
    <s v=""/>
    <s v="0015001979                    "/>
    <s v="DI PILLO LAURA"/>
    <n v="56"/>
  </r>
  <r>
    <x v="0"/>
    <n v="1955"/>
    <s v="IL SOLE 24 ORE S.P.A.                   "/>
    <s v="K           "/>
    <s v="REDAZIONI GIORNALISTICHE"/>
    <s v="K03 "/>
    <x v="36"/>
    <s v="514100      "/>
    <s v="514100   REDAZIONI ITALIA"/>
    <s v="GRECO                           "/>
    <s v="FILOMENA          "/>
    <s v="GRCFMN73L65B180W"/>
    <x v="0"/>
    <s v="52"/>
    <x v="7"/>
    <s v="01/08/2023"/>
    <s v="TORINO                 "/>
    <s v="85"/>
    <x v="4"/>
    <s v="G"/>
    <x v="3"/>
    <s v="RM2"/>
    <s v="RM2 REDATTORE MAGG. 30 MM     "/>
    <s v="01/06/2003"/>
    <s v="01/06/2003"/>
    <s v="25/07/1973"/>
    <s v="A"/>
    <s v="A.IN FORZA"/>
    <s v="1  -ASSUNZIONE                1"/>
    <s v="01/12/2024"/>
    <s v=" "/>
    <s v=""/>
    <s v=""/>
    <n v="400"/>
    <s v="00"/>
    <n v="100"/>
    <s v="FULL TIME      100000000FF100-FULL TIME"/>
    <s v="01/06/2003"/>
    <s v=""/>
    <s v="  "/>
    <s v=""/>
    <s v="GSS "/>
    <s v="L17 "/>
    <s v="REDAZIONI ITALIA"/>
    <s v="SIND.GIORN.        SINDACATO GIORNALISTI"/>
    <s v="filomena.greco@ilsole24ore.com                    "/>
    <s v="E"/>
    <s v="E-ESENTE"/>
    <s v="1 "/>
    <s v="1=5 X 8"/>
    <s v="01/07/2025"/>
    <s v="TEMPO DETERMINATO"/>
    <s v="31/05/2027"/>
    <s v="0015001979                    "/>
    <s v="DI PILLO LAURA"/>
    <n v="52"/>
  </r>
  <r>
    <x v="0"/>
    <n v="1983"/>
    <s v="IL SOLE 24 ORE S.P.A.                   "/>
    <s v="K           "/>
    <s v="REDAZIONI GIORNALISTICHE"/>
    <s v="K03 "/>
    <x v="36"/>
    <s v="514100      "/>
    <s v="514100   REDAZIONI ITALIA"/>
    <s v="VIOLA                           "/>
    <s v="VERA              "/>
    <s v="VLIVRE63C60F839V"/>
    <x v="0"/>
    <s v="79"/>
    <x v="8"/>
    <s v="21/09/2021"/>
    <s v="NAPOLI                 "/>
    <s v="85"/>
    <x v="4"/>
    <s v="G"/>
    <x v="3"/>
    <s v="CSV"/>
    <s v="CSV VICE CAPO SERVIZIO        "/>
    <s v="03/11/2003"/>
    <s v="03/11/2003"/>
    <s v="20/03/1963"/>
    <s v="A"/>
    <s v="A.IN FORZA"/>
    <s v="1  -ASSUNZIONE                1"/>
    <s v=""/>
    <s v=" "/>
    <s v=""/>
    <s v=""/>
    <n v="415"/>
    <s v="00"/>
    <n v="100"/>
    <s v="FULL TIME      100000000FF100-FULL TIME"/>
    <s v="03/11/2003"/>
    <s v=""/>
    <s v="  "/>
    <s v=""/>
    <s v="GSS "/>
    <s v="L17 "/>
    <s v="REDAZIONI ITALIA"/>
    <s v="SIND.GIORN.        SINDACATO GIORNALISTI"/>
    <s v="vera.viola@ilsole24ore.com                        "/>
    <s v="E"/>
    <s v="E-ESENTE"/>
    <s v="3 "/>
    <s v="3=5 X 7"/>
    <s v="01/07/2025"/>
    <s v="TEMPO DETERMINATO"/>
    <s v="31/05/2027"/>
    <s v="0015001979                    "/>
    <s v="DI PILLO LAURA"/>
    <n v="62"/>
  </r>
  <r>
    <x v="0"/>
    <n v="1168"/>
    <s v="IL SOLE 24 ORE S.P.A.                   "/>
    <s v="K           "/>
    <s v="REDAZIONI GIORNALISTICHE"/>
    <s v="K03 "/>
    <x v="36"/>
    <s v="514210      "/>
    <s v="514210   REDAZIONE E CORRISP BRUXELLES"/>
    <s v="ROMANO                          "/>
    <s v="BEDA              "/>
    <s v="RMNBDE67D08H501Q"/>
    <x v="1"/>
    <s v="34"/>
    <x v="0"/>
    <s v="01/04/2021"/>
    <s v="MILANO                 "/>
    <s v="85"/>
    <x v="4"/>
    <s v="G"/>
    <x v="3"/>
    <s v="CS "/>
    <s v="CS CAPO SERVIZIO              "/>
    <s v="07/09/1998"/>
    <s v="07/09/1998"/>
    <s v="08/04/1967"/>
    <s v="A"/>
    <s v="A.IN FORZA"/>
    <s v="1  -ASSUNZIONE                1"/>
    <s v=""/>
    <s v=" "/>
    <s v=""/>
    <s v=""/>
    <n v="250"/>
    <s v="00"/>
    <n v="100"/>
    <s v="FULL TIME      100000000FF100-FULL TIME"/>
    <s v="07/09/1998"/>
    <s v=""/>
    <s v="  "/>
    <s v=""/>
    <s v="GSS "/>
    <s v="L19 "/>
    <s v="REDAZIONI ESTERE"/>
    <s v=""/>
    <s v="beda.romano@ilsole24ore.com                       "/>
    <s v="E"/>
    <s v="E-ESENTE"/>
    <s v="2 "/>
    <s v="2=6 X 6"/>
    <s v="01/07/2024"/>
    <s v="TEMPO DETERMINATO"/>
    <s v="30/06/2025"/>
    <s v="0015000700                    "/>
    <s v=""/>
    <n v="58"/>
  </r>
  <r>
    <x v="0"/>
    <n v="2016"/>
    <s v="IL SOLE 24 ORE S.P.A.                   "/>
    <s v="K           "/>
    <s v="REDAZIONI GIORNALISTICHE"/>
    <s v="K03 "/>
    <x v="36"/>
    <s v="514300      "/>
    <s v="514300   REDAZIONE MILANO"/>
    <s v="ANNICCHIARICO                   "/>
    <s v="ALBERTO           "/>
    <s v="NNCLRT62C24A662F"/>
    <x v="1"/>
    <s v="34"/>
    <x v="0"/>
    <s v="01/04/2021"/>
    <s v="MILANO                 "/>
    <s v="85"/>
    <x v="4"/>
    <s v="G"/>
    <x v="3"/>
    <s v="CSV"/>
    <s v="CSV VICE CAPO SERVIZIO        "/>
    <s v="01/06/2004"/>
    <s v="01/06/2004"/>
    <s v="24/03/1962"/>
    <s v="A"/>
    <s v="A.IN FORZA"/>
    <s v="1  -ASSUNZIONE                1"/>
    <s v=""/>
    <s v=" "/>
    <s v=""/>
    <s v=""/>
    <n v="438"/>
    <s v="00"/>
    <n v="100"/>
    <s v="FULL TIME      100000000FF100-FULL TIME"/>
    <s v="01/06/2004"/>
    <s v=""/>
    <s v="05"/>
    <s v="INVALIDI CIVILI"/>
    <s v="GSS "/>
    <s v="L07 "/>
    <s v="FINANZA E MERCATI"/>
    <s v="SIND.GIORN.        SINDACATO GIORNALISTI"/>
    <s v="alberto.annicchiarico@ilsole24ore.com             "/>
    <s v="E"/>
    <s v="E-ESENTE"/>
    <s v="3 "/>
    <s v="3=5 X 7"/>
    <s v="01/07/2025"/>
    <s v="TEMPO DETERMINATO"/>
    <s v="31/05/2027"/>
    <s v="0015002010                    "/>
    <s v="GRASSANI ALBERTO"/>
    <n v="63"/>
  </r>
  <r>
    <x v="0"/>
    <n v="2911"/>
    <s v="IL SOLE 24 ORE S.P.A.                   "/>
    <s v="K           "/>
    <s v="REDAZIONI GIORNALISTICHE"/>
    <s v="K03 "/>
    <x v="36"/>
    <s v="514300      "/>
    <s v="514300   REDAZIONE MILANO"/>
    <s v="AQUARO                          "/>
    <s v="DARIO RAFFAELE    "/>
    <s v="QRADRF80M21E986X"/>
    <x v="1"/>
    <s v="34"/>
    <x v="0"/>
    <s v="01/04/2021"/>
    <s v="MILANO                 "/>
    <s v="85"/>
    <x v="4"/>
    <s v="G"/>
    <x v="3"/>
    <s v="RM2"/>
    <s v="RM2 REDATTORE MAGG. 30 MM     "/>
    <s v="13/04/2017"/>
    <s v="13/04/2017"/>
    <s v="21/08/1980"/>
    <s v="A"/>
    <s v="A.IN FORZA"/>
    <s v="1  -ASSUNZIONE                1"/>
    <s v=""/>
    <s v=" "/>
    <s v=""/>
    <s v=""/>
    <n v="2911"/>
    <s v="00"/>
    <n v="100"/>
    <s v="FULL TIME      100000000FF100-FULL TIME"/>
    <s v="13/04/2017"/>
    <s v=""/>
    <s v="  "/>
    <s v=""/>
    <s v="GBM "/>
    <s v="L23 "/>
    <s v="LUNEDI"/>
    <s v=""/>
    <s v="dario.aquaro@ilsole24ore.com                      "/>
    <s v="E"/>
    <s v="E-ESENTE"/>
    <s v="2 "/>
    <s v="2=6 X 6"/>
    <s v="01/07/2025"/>
    <s v="TEMPO DETERMINATO"/>
    <s v="31/05/2027"/>
    <s v="0015000700                    "/>
    <s v=""/>
    <n v="45"/>
  </r>
  <r>
    <x v="0"/>
    <n v="2276"/>
    <s v="IL SOLE 24 ORE S.P.A.                   "/>
    <s v="K           "/>
    <s v="REDAZIONI GIORNALISTICHE"/>
    <s v="K03 "/>
    <x v="36"/>
    <s v="514300      "/>
    <s v="514300   REDAZIONE MILANO"/>
    <s v="ATTUS                           "/>
    <s v="ADRIANO           "/>
    <s v="TTSDRN71P21I138S"/>
    <x v="1"/>
    <s v="34"/>
    <x v="0"/>
    <s v="01/04/2021"/>
    <s v="MILANO                 "/>
    <s v="85"/>
    <x v="4"/>
    <s v="G"/>
    <x v="3"/>
    <s v="CRV"/>
    <s v="CRV VICE CAPO REDATTORE       "/>
    <s v="01/04/2008"/>
    <s v="01/04/2008"/>
    <s v="21/09/1971"/>
    <s v="A"/>
    <s v="A.IN FORZA"/>
    <s v="1  -ASSUNZIONE                1"/>
    <s v=""/>
    <s v=" "/>
    <s v=""/>
    <s v=""/>
    <n v="548"/>
    <s v="00"/>
    <n v="100"/>
    <s v="FULL TIME      100000000FF100-FULL TIME"/>
    <s v="01/04/2008"/>
    <s v=""/>
    <s v="  "/>
    <s v=""/>
    <s v="GSS "/>
    <s v="L06 "/>
    <s v="GRAFICI"/>
    <s v=""/>
    <s v="adriano.attus@ilsole24ore.com                     "/>
    <s v="E"/>
    <s v="E-ESENTE"/>
    <s v="2 "/>
    <s v="2=6 X 6"/>
    <s v="01/07/2025"/>
    <s v="TEMPO DETERMINATO"/>
    <s v="31/05/2027"/>
    <s v="0015000700                    "/>
    <s v=""/>
    <n v="54"/>
  </r>
  <r>
    <x v="0"/>
    <n v="526"/>
    <s v="IL SOLE 24 ORE S.P.A.                   "/>
    <s v="K           "/>
    <s v="REDAZIONI GIORNALISTICHE"/>
    <s v="K03 "/>
    <x v="36"/>
    <s v="514300      "/>
    <s v="514300   REDAZIONE MILANO"/>
    <s v="BARBIERO                        "/>
    <s v="MARIA FRANCESCA   "/>
    <s v="BRBMFR63D68F839B"/>
    <x v="0"/>
    <s v="34"/>
    <x v="0"/>
    <s v="01/04/2021"/>
    <s v="MILANO                 "/>
    <s v="85"/>
    <x v="4"/>
    <s v="G"/>
    <x v="3"/>
    <s v="RM2"/>
    <s v="RM2 REDATTORE MAGG. 30 MM     "/>
    <s v="02/04/1991"/>
    <s v="02/04/1991"/>
    <s v="28/04/1963"/>
    <s v="A"/>
    <s v="A.IN FORZA"/>
    <s v="1  -ASSUNZIONE                1"/>
    <s v=""/>
    <s v=" "/>
    <s v=""/>
    <s v=""/>
    <n v="156"/>
    <s v="00"/>
    <n v="100"/>
    <s v="FULL TIME      100000000FF100-FULL TIME"/>
    <s v="02/04/1991"/>
    <s v=""/>
    <s v="  "/>
    <s v=""/>
    <s v="GSS "/>
    <s v="L14 "/>
    <s v="DOMENICA"/>
    <s v="SIND.GIORN.        SINDACATO GIORNALISTI"/>
    <s v="francesca.barbiero@ilsole24ore.com                "/>
    <s v="E"/>
    <s v="E-ESENTE"/>
    <s v="2 "/>
    <s v="2=6 X 6"/>
    <s v="01/07/2025"/>
    <s v="TEMPO DETERMINATO"/>
    <s v="31/05/2027"/>
    <s v="0015000700                    "/>
    <s v=""/>
    <n v="62"/>
  </r>
  <r>
    <x v="0"/>
    <n v="1424"/>
    <s v="IL SOLE 24 ORE S.P.A.                   "/>
    <s v="K           "/>
    <s v="REDAZIONI GIORNALISTICHE"/>
    <s v="K03 "/>
    <x v="36"/>
    <s v="514300      "/>
    <s v="514300   REDAZIONE MILANO"/>
    <s v="BARTOLONI                       "/>
    <s v="MARZIO            "/>
    <s v="BRTMRZ71C13H501X"/>
    <x v="1"/>
    <s v="31"/>
    <x v="1"/>
    <s v="25/05/2009"/>
    <s v="ROMA                   "/>
    <s v="85"/>
    <x v="4"/>
    <s v="G"/>
    <x v="3"/>
    <s v="CS "/>
    <s v="CS CAPO SERVIZIO              "/>
    <s v="01/12/1999"/>
    <s v="01/12/1999"/>
    <s v="13/03/1971"/>
    <s v="A"/>
    <s v="A.IN FORZA"/>
    <s v="1  -ASSUNZIONE                1"/>
    <s v=""/>
    <s v=" "/>
    <s v=""/>
    <s v=""/>
    <n v="295"/>
    <s v="00"/>
    <n v="100"/>
    <s v="FULL TIME      100000000FF100-FULL TIME"/>
    <s v="01/12/1999"/>
    <s v=""/>
    <s v="  "/>
    <s v=""/>
    <s v="GSS "/>
    <s v="L27 "/>
    <s v="REDAZIONE ROMA"/>
    <s v="SIND.GIORN.        SINDACATO GIORNALISTI"/>
    <s v="marzio.bartoloni@ilsole24ore.com                  "/>
    <s v="E"/>
    <s v="E-ESENTE"/>
    <s v="1 "/>
    <s v="1=5 X 8"/>
    <s v="01/07/2025"/>
    <s v="TEMPO DETERMINATO"/>
    <s v="31/05/2027"/>
    <s v="0015000754                    "/>
    <s v="CARDUCCI ARTENISIO FABIO"/>
    <n v="54"/>
  </r>
  <r>
    <x v="0"/>
    <n v="2068"/>
    <s v="IL SOLE 24 ORE S.P.A.                   "/>
    <s v="K           "/>
    <s v="REDAZIONI GIORNALISTICHE"/>
    <s v="K03 "/>
    <x v="36"/>
    <s v="514300      "/>
    <s v="514300   REDAZIONE MILANO"/>
    <s v="BATTOCLETTI                     "/>
    <s v="MARIA CRISTINA    "/>
    <s v="BTTMCR72L55L483N"/>
    <x v="0"/>
    <s v="34"/>
    <x v="0"/>
    <s v="01/04/2021"/>
    <s v="MILANO                 "/>
    <s v="85"/>
    <x v="4"/>
    <s v="G"/>
    <x v="3"/>
    <s v="CS "/>
    <s v="CS CAPO SERVIZIO              "/>
    <s v="25/05/2005"/>
    <s v="25/05/2005"/>
    <s v="15/07/1972"/>
    <s v="A"/>
    <s v="A.IN FORZA"/>
    <s v="2  -VARIAZIONE SOCIETARIA     2"/>
    <s v=""/>
    <s v=" "/>
    <s v=""/>
    <s v=""/>
    <n v="465"/>
    <s v="00"/>
    <n v="100"/>
    <s v="FULL TIME      100000000FF100-FULL TIME"/>
    <s v="01/05/2021"/>
    <s v=""/>
    <s v="  "/>
    <s v=""/>
    <s v="GSS "/>
    <s v="L14 "/>
    <s v="DOMENICA"/>
    <s v="SIND.GIORN.        SINDACATO GIORNALISTI"/>
    <s v="cristina.battocletti@ilsole24ore.com              "/>
    <s v="E"/>
    <s v="E-ESENTE"/>
    <s v="2 "/>
    <s v="2=6 X 6"/>
    <s v="01/07/2025"/>
    <s v="TEMPO DETERMINATO"/>
    <s v="31/05/2027"/>
    <s v="0015000700                    "/>
    <s v=""/>
    <n v="53"/>
  </r>
  <r>
    <x v="0"/>
    <n v="2065"/>
    <s v="IL SOLE 24 ORE S.P.A.                   "/>
    <s v="K           "/>
    <s v="REDAZIONI GIORNALISTICHE"/>
    <s v="K03 "/>
    <x v="36"/>
    <s v="514300      "/>
    <s v="514300   REDAZIONE MILANO"/>
    <s v="BELLINAZZO                      "/>
    <s v="MARCO             "/>
    <s v="BLLMRC74D20F839M"/>
    <x v="1"/>
    <s v="34"/>
    <x v="0"/>
    <s v="01/04/2021"/>
    <s v="MILANO                 "/>
    <s v="85"/>
    <x v="4"/>
    <s v="G"/>
    <x v="3"/>
    <s v="CS "/>
    <s v="CS CAPO SERVIZIO              "/>
    <s v="16/05/2005"/>
    <s v="16/05/2005"/>
    <s v="20/04/1974"/>
    <s v="A"/>
    <s v="A.IN FORZA"/>
    <s v="1  -ASSUNZIONE                1"/>
    <s v=""/>
    <s v=" "/>
    <s v=""/>
    <s v=""/>
    <n v="462"/>
    <s v="00"/>
    <n v="100"/>
    <s v="FULL TIME      100000000FF100-FULL TIME"/>
    <s v="16/05/2005"/>
    <s v=""/>
    <s v="  "/>
    <s v=""/>
    <s v="GSS "/>
    <s v="L03 "/>
    <s v="ECONOMIA E IMPRESE"/>
    <s v=""/>
    <s v="marco.bellinazzo@ilsole24ore.com                  "/>
    <s v="E"/>
    <s v="E-ESENTE"/>
    <s v="2 "/>
    <s v="2=6 X 6"/>
    <s v="01/07/2025"/>
    <s v="TEMPO DETERMINATO"/>
    <s v="31/05/2027"/>
    <s v="0015001979                    "/>
    <s v="DI PILLO LAURA"/>
    <n v="51"/>
  </r>
  <r>
    <x v="0"/>
    <n v="2057"/>
    <s v="IL SOLE 24 ORE S.P.A.                   "/>
    <s v="K           "/>
    <s v="REDAZIONI GIORNALISTICHE"/>
    <s v="K03 "/>
    <x v="36"/>
    <s v="514300      "/>
    <s v="514300   REDAZIONE MILANO"/>
    <s v="BELLOMO                         "/>
    <s v="ROSA MARIA        "/>
    <s v="BLLRMR69A41L219E"/>
    <x v="0"/>
    <s v="34"/>
    <x v="0"/>
    <s v="01/04/2021"/>
    <s v="MILANO                 "/>
    <s v="85"/>
    <x v="4"/>
    <s v="G"/>
    <x v="3"/>
    <s v="CS "/>
    <s v="CS CAPO SERVIZIO              "/>
    <s v="01/03/2005"/>
    <s v="01/03/2005"/>
    <s v="01/01/1969"/>
    <s v="A"/>
    <s v="A.IN FORZA"/>
    <s v="1  -ASSUNZIONE                1"/>
    <s v=""/>
    <s v=" "/>
    <s v=""/>
    <s v=""/>
    <n v="455"/>
    <s v="00"/>
    <n v="100"/>
    <s v="FULL TIME      100000000FF100-FULL TIME"/>
    <s v="01/03/2005"/>
    <s v=""/>
    <s v="  "/>
    <s v=""/>
    <s v="GSS "/>
    <s v="L07 "/>
    <s v="FINANZA E MERCATI"/>
    <s v=""/>
    <s v="sissi.bellomo@ilsole24ore.com                     "/>
    <s v="E"/>
    <s v="E-ESENTE"/>
    <s v="3 "/>
    <s v="3=5 X 7"/>
    <s v="01/07/2025"/>
    <s v="TEMPO DETERMINATO"/>
    <s v="31/05/2027"/>
    <s v="0015002010                    "/>
    <s v="GRASSANI ALBERTO"/>
    <n v="57"/>
  </r>
  <r>
    <x v="0"/>
    <n v="1901"/>
    <s v="IL SOLE 24 ORE S.P.A.                   "/>
    <s v="K           "/>
    <s v="REDAZIONI GIORNALISTICHE"/>
    <s v="K03 "/>
    <x v="36"/>
    <s v="514300      "/>
    <s v="514300   REDAZIONE MILANO"/>
    <s v="BENECCHI                        "/>
    <s v="LUCA              "/>
    <s v="BNCLCU65E14H186T"/>
    <x v="1"/>
    <s v="34"/>
    <x v="0"/>
    <s v="01/04/2021"/>
    <s v="MILANO                 "/>
    <s v="85"/>
    <x v="4"/>
    <s v="G"/>
    <x v="3"/>
    <s v="CR "/>
    <s v="CR CAPO REDATTORE             "/>
    <s v="01/07/2002"/>
    <s v="01/07/2002"/>
    <s v="14/05/1965"/>
    <s v="A"/>
    <s v="A.IN FORZA"/>
    <s v="1  -ASSUNZIONE                1"/>
    <s v=""/>
    <s v=" "/>
    <s v=""/>
    <s v=""/>
    <n v="368"/>
    <s v="00"/>
    <n v="100"/>
    <s v="FULL TIME      100000000FF100-FULL TIME"/>
    <s v="01/07/2002"/>
    <s v=""/>
    <s v="  "/>
    <s v=""/>
    <s v="GSS "/>
    <s v="L08 "/>
    <s v="IMPRESA E TERRITORI"/>
    <s v="SIND.GIORN.        SINDACATO GIORNALISTI"/>
    <s v="luca.benecchi@ilsole24ore.com                     "/>
    <s v="E"/>
    <s v="E-ESENTE"/>
    <s v="2 "/>
    <s v="2=6 X 6"/>
    <s v=""/>
    <s v=""/>
    <s v=""/>
    <s v="0015000700                    "/>
    <s v=""/>
    <n v="60"/>
  </r>
  <r>
    <x v="0"/>
    <n v="2067"/>
    <s v="IL SOLE 24 ORE S.P.A.                   "/>
    <s v="K           "/>
    <s v="REDAZIONI GIORNALISTICHE"/>
    <s v="K03 "/>
    <x v="36"/>
    <s v="514300      "/>
    <s v="514300   REDAZIONE MILANO"/>
    <s v="BIOLCHINI                       "/>
    <s v="STEFANO           "/>
    <s v="BLCSFN70E04B354N"/>
    <x v="1"/>
    <s v="34"/>
    <x v="0"/>
    <s v="01/04/2021"/>
    <s v="MILANO                 "/>
    <s v="85"/>
    <x v="4"/>
    <s v="G"/>
    <x v="3"/>
    <s v="RE "/>
    <s v="RE REDATTORE ESPERTO          "/>
    <s v="25/05/2005"/>
    <s v="25/05/2005"/>
    <s v="04/05/1970"/>
    <s v="A"/>
    <s v="A.IN FORZA"/>
    <s v="1  -ASSUNZIONE                1"/>
    <s v=""/>
    <s v=" "/>
    <s v=""/>
    <s v=""/>
    <n v="464"/>
    <s v="00"/>
    <n v="100"/>
    <s v="FULL TIME      100000000FF100-FULL TIME"/>
    <s v="25/05/2005"/>
    <s v=""/>
    <s v="  "/>
    <s v=""/>
    <s v="GSS "/>
    <s v="L14 "/>
    <s v="DOMENICA"/>
    <s v="FIGEC CISAL        FIGEC CISAL"/>
    <s v="stefano.biolchini@ilsole24ore.com                 "/>
    <s v="E"/>
    <s v="E-ESENTE"/>
    <s v="2 "/>
    <s v="2=6 X 6"/>
    <s v="01/07/2025"/>
    <s v="TEMPO DETERMINATO"/>
    <s v="31/05/2027"/>
    <s v="0015000700                    "/>
    <s v=""/>
    <n v="55"/>
  </r>
  <r>
    <x v="0"/>
    <n v="1953"/>
    <s v="IL SOLE 24 ORE S.P.A.                   "/>
    <s v="K           "/>
    <s v="REDAZIONI GIORNALISTICHE"/>
    <s v="K03 "/>
    <x v="36"/>
    <s v="514300      "/>
    <s v="514300   REDAZIONE MILANO"/>
    <s v="BIONDI                          "/>
    <s v="ANDREA            "/>
    <s v="BNDNDR76T01A773V"/>
    <x v="1"/>
    <s v="34"/>
    <x v="0"/>
    <s v="01/04/2021"/>
    <s v="MILANO                 "/>
    <s v="85"/>
    <x v="4"/>
    <s v="G"/>
    <x v="3"/>
    <s v="CSV"/>
    <s v="CSV VICE CAPO SERVIZIO        "/>
    <s v="01/06/2003"/>
    <s v="01/06/2003"/>
    <s v="01/12/1976"/>
    <s v="A"/>
    <s v="A.IN FORZA"/>
    <s v="1  -ASSUNZIONE                1"/>
    <s v=""/>
    <s v=" "/>
    <s v=""/>
    <s v=""/>
    <n v="398"/>
    <s v="00"/>
    <n v="100"/>
    <s v="FULL TIME      100000000FF100-FULL TIME"/>
    <s v="01/06/2003"/>
    <s v=""/>
    <s v="  "/>
    <s v=""/>
    <s v="GSS "/>
    <s v="L08 "/>
    <s v="IMPRESA E TERRITORI"/>
    <s v="SIND.GIORN.        SINDACATO GIORNALISTI"/>
    <s v="andrea.biondi@ilsole24ore.com                     "/>
    <s v="E"/>
    <s v="E-ESENTE"/>
    <s v="1 "/>
    <s v="1=5 X 8"/>
    <s v="01/07/2025"/>
    <s v="TEMPO DETERMINATO"/>
    <s v="31/05/2027"/>
    <s v="0015001979                    "/>
    <s v="DI PILLO LAURA"/>
    <n v="49"/>
  </r>
  <r>
    <x v="0"/>
    <n v="1884"/>
    <s v="IL SOLE 24 ORE S.P.A.                   "/>
    <s v="K           "/>
    <s v="REDAZIONI GIORNALISTICHE"/>
    <s v="K03 "/>
    <x v="36"/>
    <s v="514300      "/>
    <s v="514300   REDAZIONE MILANO"/>
    <s v="BONGIORNI                       "/>
    <s v="ROBERTO           "/>
    <s v="BNGRRT71E11F205T"/>
    <x v="1"/>
    <s v="34"/>
    <x v="0"/>
    <s v="01/04/2021"/>
    <s v="MILANO                 "/>
    <s v="85"/>
    <x v="4"/>
    <s v="G"/>
    <x v="3"/>
    <s v="RM2"/>
    <s v="RM2 REDATTORE MAGG. 30 MM     "/>
    <s v="01/05/2002"/>
    <s v="01/05/2002"/>
    <s v="11/05/1971"/>
    <s v="A"/>
    <s v="A.IN FORZA"/>
    <s v="1  -ASSUNZIONE                1"/>
    <s v=""/>
    <s v=" "/>
    <s v=""/>
    <s v=""/>
    <n v="365"/>
    <s v="00"/>
    <n v="100"/>
    <s v="FULL TIME      100000000FF100-FULL TIME"/>
    <s v="01/05/2002"/>
    <s v=""/>
    <s v="  "/>
    <s v=""/>
    <s v="GSS "/>
    <s v="L16 "/>
    <s v="INVIATI"/>
    <s v="SIND.GIORN.        SINDACATO GIORNALISTI"/>
    <s v="roberto.bongiorni@ilsole24ore.com                 "/>
    <s v="E"/>
    <s v="E-ESENTE"/>
    <s v="3 "/>
    <s v="3=5 X 7"/>
    <s v=""/>
    <s v=""/>
    <s v=""/>
    <s v="0015000700                    "/>
    <s v=""/>
    <n v="54"/>
  </r>
  <r>
    <x v="0"/>
    <n v="2232"/>
    <s v="IL SOLE 24 ORE S.P.A.                   "/>
    <s v="K           "/>
    <s v="REDAZIONI GIORNALISTICHE"/>
    <s v="K03 "/>
    <x v="36"/>
    <s v="514300      "/>
    <s v="514300   REDAZIONE MILANO"/>
    <s v="BRICCO                          "/>
    <s v="PAOLO             "/>
    <s v="BRCPLA73D20E379G"/>
    <x v="1"/>
    <s v="34"/>
    <x v="0"/>
    <s v="01/04/2021"/>
    <s v="MILANO                 "/>
    <s v="85"/>
    <x v="4"/>
    <s v="G"/>
    <x v="3"/>
    <s v="RM2"/>
    <s v="RM2 REDATTORE MAGG. 30 MM     "/>
    <s v="01/10/2007"/>
    <s v="01/10/2007"/>
    <s v="20/04/1973"/>
    <s v="A"/>
    <s v="A.IN FORZA"/>
    <s v="1  -ASSUNZIONE                1"/>
    <s v=""/>
    <s v=" "/>
    <s v=""/>
    <s v=""/>
    <n v="529"/>
    <s v="00"/>
    <n v="100"/>
    <s v="FULL TIME      100000000FF100-FULL TIME"/>
    <s v="01/10/2007"/>
    <s v=""/>
    <s v="  "/>
    <s v=""/>
    <s v="GSS "/>
    <s v="L16 "/>
    <s v="INVIATI"/>
    <s v=""/>
    <s v="paolo.bricco@ilsole24ore.com                      "/>
    <s v="E"/>
    <s v="E-ESENTE"/>
    <s v="3 "/>
    <s v="3=5 X 7"/>
    <s v=""/>
    <s v=""/>
    <s v=""/>
    <s v="0015000700                    "/>
    <s v=""/>
    <n v="52"/>
  </r>
  <r>
    <x v="0"/>
    <n v="1749"/>
    <s v="IL SOLE 24 ORE S.P.A.                   "/>
    <s v="K           "/>
    <s v="REDAZIONI GIORNALISTICHE"/>
    <s v="K03 "/>
    <x v="36"/>
    <s v="514300      "/>
    <s v="514300   REDAZIONE MILANO"/>
    <s v="BUSSI                           "/>
    <s v="CHIARA            "/>
    <s v="BSSCHR71H41A479M"/>
    <x v="0"/>
    <s v="34"/>
    <x v="0"/>
    <s v="01/04/2021"/>
    <s v="MILANO                 "/>
    <s v="85"/>
    <x v="4"/>
    <s v="G"/>
    <x v="3"/>
    <s v="RM2"/>
    <s v="RM2 REDATTORE MAGG. 30 MM     "/>
    <s v="01/03/2001"/>
    <s v="01/03/2001"/>
    <s v="01/06/1971"/>
    <s v="A"/>
    <s v="A.IN FORZA"/>
    <s v="1  -ASSUNZIONE                1"/>
    <s v=""/>
    <s v=" "/>
    <s v=""/>
    <s v=""/>
    <n v="345"/>
    <s v="27"/>
    <n v="75"/>
    <s v="27 H O GIORNALI075000000PP27.0/36- PT 75.00-P"/>
    <s v="01/01/2012"/>
    <s v="31/12/2026"/>
    <s v="  "/>
    <s v=""/>
    <s v="GSS "/>
    <s v="L15 "/>
    <s v="RAPPORTI24"/>
    <s v=""/>
    <s v="chiara.bussi@ilsole24ore.com                      "/>
    <s v="E"/>
    <s v="E-ESENTE"/>
    <s v="3 "/>
    <s v="3=5 X 7"/>
    <s v="01/07/2025"/>
    <s v="TEMPO DETERMINATO"/>
    <s v="31/05/2027"/>
    <s v="0015000700                    "/>
    <s v=""/>
    <n v="54"/>
  </r>
  <r>
    <x v="0"/>
    <n v="2698"/>
    <s v="IL SOLE 24 ORE S.P.A.                   "/>
    <s v="K           "/>
    <s v="REDAZIONI GIORNALISTICHE"/>
    <s v="K03 "/>
    <x v="36"/>
    <s v="514300      "/>
    <s v="514300   REDAZIONE MILANO"/>
    <s v="CALANDRA                        "/>
    <s v="RAFFAELLA         "/>
    <s v="CLNRFL76S47A783J"/>
    <x v="0"/>
    <s v="34"/>
    <x v="0"/>
    <s v="01/04/2021"/>
    <s v="MILANO                 "/>
    <s v="85"/>
    <x v="4"/>
    <s v="G"/>
    <x v="3"/>
    <s v="RM2"/>
    <s v="RM2 REDATTORE MAGG. 30 MM     "/>
    <s v="01/01/2014"/>
    <s v="13/09/2001"/>
    <s v="07/11/1976"/>
    <s v="P"/>
    <s v="P.POST PARTUM"/>
    <s v="1  -ASSUNZIONE                1"/>
    <s v=""/>
    <s v=" "/>
    <s v=""/>
    <s v=""/>
    <n v="2698"/>
    <s v="00"/>
    <n v="100"/>
    <s v="FULL TIME      100000000FF100-FULL TIME"/>
    <s v="13/09/2001"/>
    <s v=""/>
    <s v="  "/>
    <s v=""/>
    <s v="GSS "/>
    <s v="L08 "/>
    <s v="IMPRESA E TERRITORI"/>
    <s v="SIND.GIORN.        SINDACATO GIORNALISTI"/>
    <s v="raffaella.calandra@ilsole24ore.com                "/>
    <s v="E"/>
    <s v="E-ESENTE"/>
    <s v="3 "/>
    <s v="3=5 X 7"/>
    <s v=""/>
    <s v=""/>
    <s v=""/>
    <s v="0015000700                    "/>
    <s v=""/>
    <n v="49"/>
  </r>
  <r>
    <x v="0"/>
    <n v="1374"/>
    <s v="IL SOLE 24 ORE S.P.A.                   "/>
    <s v="K           "/>
    <s v="REDAZIONI GIORNALISTICHE"/>
    <s v="K03 "/>
    <x v="36"/>
    <s v="514300      "/>
    <s v="514300   REDAZIONE MILANO"/>
    <s v="CANDIDI                         "/>
    <s v="ANDREA MARIA      "/>
    <s v="CNDNRM63A03L182E"/>
    <x v="1"/>
    <s v="34"/>
    <x v="0"/>
    <s v="01/04/2021"/>
    <s v="MILANO                 "/>
    <s v="85"/>
    <x v="4"/>
    <s v="G"/>
    <x v="3"/>
    <s v="CS "/>
    <s v="CS CAPO SERVIZIO              "/>
    <s v="15/06/1994"/>
    <s v="15/06/1994"/>
    <s v="03/01/1963"/>
    <s v="A"/>
    <s v="A.IN FORZA"/>
    <s v="1  -ASSUNZIONE                1"/>
    <s v=""/>
    <s v=" "/>
    <s v=""/>
    <s v=""/>
    <n v="280"/>
    <s v="00"/>
    <n v="100"/>
    <s v="FULL TIME      100000000FF100-FULL TIME"/>
    <s v="15/06/1994"/>
    <s v=""/>
    <s v="  "/>
    <s v=""/>
    <s v="GSS "/>
    <s v="L05 "/>
    <s v="NORME E TRIBUTI"/>
    <s v="SIND.GIORN.        SINDACATO GIORNALISTI"/>
    <s v="andreamaria.candidi@ilsole24ore.com               "/>
    <s v="E"/>
    <s v="E-ESENTE"/>
    <s v="2 "/>
    <s v="2=6 X 6"/>
    <s v="01/07/2025"/>
    <s v="TEMPO DETERMINATO"/>
    <s v="31/05/2027"/>
    <s v="0015000739                    "/>
    <s v="DECESARI SEVERINA"/>
    <n v="63"/>
  </r>
  <r>
    <x v="0"/>
    <n v="1741"/>
    <s v="IL SOLE 24 ORE S.P.A.                   "/>
    <s v="K           "/>
    <s v="REDAZIONI GIORNALISTICHE"/>
    <s v="K03 "/>
    <x v="36"/>
    <s v="514300      "/>
    <s v="514300   REDAZIONE MILANO"/>
    <s v="CAPPELLINI                      "/>
    <s v="MICAELA           "/>
    <s v="CPPMCL75S59M126K"/>
    <x v="0"/>
    <s v="34"/>
    <x v="0"/>
    <s v="01/04/2021"/>
    <s v="MILANO                 "/>
    <s v="85"/>
    <x v="4"/>
    <s v="G"/>
    <x v="3"/>
    <s v="RM2"/>
    <s v="RM2 REDATTORE MAGG. 30 MM     "/>
    <s v="15/02/2001"/>
    <s v="15/02/2001"/>
    <s v="19/11/1975"/>
    <s v="A"/>
    <s v="A.IN FORZA"/>
    <s v="1  -ASSUNZIONE                1"/>
    <s v=""/>
    <s v=" "/>
    <s v=""/>
    <s v=""/>
    <n v="338"/>
    <s v="00"/>
    <n v="100"/>
    <s v="FULL TIME      100000000FF100-FULL TIME"/>
    <s v="15/02/2001"/>
    <s v=""/>
    <s v="  "/>
    <s v=""/>
    <s v="GSS "/>
    <s v="L10 "/>
    <s v="ESTERI EUROPA-MONDO"/>
    <s v="SIND.GIORN.        SINDACATO GIORNALISTI"/>
    <s v="micaela.cappellini@ilsole24ore.com                "/>
    <s v="E"/>
    <s v="E-ESENTE"/>
    <s v="2 "/>
    <s v="2=6 X 6"/>
    <s v="01/07/2025"/>
    <s v="TEMPO DETERMINATO"/>
    <s v="31/05/2027"/>
    <s v="                              "/>
    <s v=""/>
    <n v="50"/>
  </r>
  <r>
    <x v="0"/>
    <n v="1982"/>
    <s v="IL SOLE 24 ORE S.P.A.                   "/>
    <s v="K           "/>
    <s v="REDAZIONI GIORNALISTICHE"/>
    <s v="K03 "/>
    <x v="36"/>
    <s v="514300      "/>
    <s v="514300   REDAZIONE MILANO"/>
    <s v="CAPRINO                         "/>
    <s v="MAURIZIO          "/>
    <s v="CPRMRZ68D28F158X"/>
    <x v="1"/>
    <s v="34"/>
    <x v="0"/>
    <s v="01/04/2021"/>
    <s v="MILANO                 "/>
    <s v="85"/>
    <x v="4"/>
    <s v="G"/>
    <x v="3"/>
    <s v="CSV"/>
    <s v="CSV VICE CAPO SERVIZIO        "/>
    <s v="03/11/2003"/>
    <s v="03/11/2003"/>
    <s v="28/04/1968"/>
    <s v="A"/>
    <s v="A.IN FORZA"/>
    <s v="1  -ASSUNZIONE                1"/>
    <s v=""/>
    <s v=" "/>
    <s v=""/>
    <s v=""/>
    <n v="414"/>
    <s v="00"/>
    <n v="100"/>
    <s v="FULL TIME      100000000FF100-FULL TIME"/>
    <s v="03/11/2003"/>
    <s v=""/>
    <s v="  "/>
    <s v=""/>
    <s v="GSS "/>
    <s v="L05 "/>
    <s v="NORME E TRIBUTI"/>
    <s v="SIND.GIORN.        SINDACATO GIORNALISTI"/>
    <s v="maurizio.caprino@ilsole24ore.com                  "/>
    <s v="E"/>
    <s v="E-ESENTE"/>
    <s v="3 "/>
    <s v="3=5 X 7"/>
    <s v="01/07/2025"/>
    <s v="TEMPO DETERMINATO"/>
    <s v="31/05/2027"/>
    <s v="0015000739                    "/>
    <s v="DECESARI SEVERINA"/>
    <n v="57"/>
  </r>
  <r>
    <x v="0"/>
    <n v="2259"/>
    <s v="IL SOLE 24 ORE S.P.A.                   "/>
    <s v="K           "/>
    <s v="REDAZIONI GIORNALISTICHE"/>
    <s v="K03 "/>
    <x v="36"/>
    <s v="514300      "/>
    <s v="514300   REDAZIONE MILANO"/>
    <s v="CARLINI                         "/>
    <s v="VITTORIO          "/>
    <s v="CRLVTR68L04D969J"/>
    <x v="1"/>
    <s v="34"/>
    <x v="0"/>
    <s v="01/04/2021"/>
    <s v="MILANO                 "/>
    <s v="85"/>
    <x v="4"/>
    <s v="G"/>
    <x v="3"/>
    <s v="RM2"/>
    <s v="RM2 REDATTORE MAGG. 30 MM     "/>
    <s v="19/11/2007"/>
    <s v="19/11/2007"/>
    <s v="04/07/1968"/>
    <s v="A"/>
    <s v="A.IN FORZA"/>
    <s v="1  -ASSUNZIONE                1"/>
    <s v=""/>
    <s v=" "/>
    <s v=""/>
    <s v=""/>
    <n v="540"/>
    <s v="00"/>
    <n v="100"/>
    <s v="FULL TIME      100000000FF100-FULL TIME"/>
    <s v="19/11/2007"/>
    <s v=""/>
    <s v="  "/>
    <s v=""/>
    <s v="GSS "/>
    <s v="L07 "/>
    <s v="FINANZA E MERCATI"/>
    <s v=""/>
    <s v="vittorio.carlini@ilsole24ore.com                  "/>
    <s v="E"/>
    <s v="E-ESENTE"/>
    <s v="3 "/>
    <s v="3=5 X 7"/>
    <s v="01/07/2025"/>
    <s v="TEMPO DETERMINATO"/>
    <s v="31/05/2027"/>
    <s v="0015002010                    "/>
    <s v="GRASSANI ALBERTO"/>
    <n v="57"/>
  </r>
  <r>
    <x v="0"/>
    <n v="2082"/>
    <s v="IL SOLE 24 ORE S.P.A.                   "/>
    <s v="K           "/>
    <s v="REDAZIONI GIORNALISTICHE"/>
    <s v="K03 "/>
    <x v="36"/>
    <s v="514300      "/>
    <s v="514300   REDAZIONE MILANO"/>
    <s v="CASADEI                         "/>
    <s v="CRISTINA          "/>
    <s v="CSDCST76E52I304Z"/>
    <x v="0"/>
    <s v="34"/>
    <x v="0"/>
    <s v="01/04/2021"/>
    <s v="MILANO                 "/>
    <s v="85"/>
    <x v="4"/>
    <s v="G"/>
    <x v="3"/>
    <s v="CSV"/>
    <s v="CSV VICE CAPO SERVIZIO        "/>
    <s v="15/09/2005"/>
    <s v="15/09/2005"/>
    <s v="12/05/1976"/>
    <s v="A"/>
    <s v="A.IN FORZA"/>
    <s v="1  -ASSUNZIONE                1"/>
    <s v=""/>
    <s v=" "/>
    <s v=""/>
    <s v=""/>
    <n v="480"/>
    <s v="00"/>
    <n v="100"/>
    <s v="FULL TIME      100000000FF100-FULL TIME"/>
    <s v="15/09/2005"/>
    <s v=""/>
    <s v="  "/>
    <s v=""/>
    <s v="GSS "/>
    <s v="L08 "/>
    <s v="IMPRESA E TERRITORI"/>
    <s v="NON ISCRITTO       NON ISCRITTO"/>
    <s v="cristina.casadei@ilsole24ore.com                  "/>
    <s v="E"/>
    <s v="E-ESENTE"/>
    <s v="2 "/>
    <s v="2=6 X 6"/>
    <s v="01/07/2025"/>
    <s v="TEMPO DETERMINATO"/>
    <s v="31/05/2027"/>
    <s v="0015001979                    "/>
    <s v="DI PILLO LAURA"/>
    <n v="49"/>
  </r>
  <r>
    <x v="0"/>
    <n v="2935"/>
    <s v="IL SOLE 24 ORE S.P.A.                   "/>
    <s v="K           "/>
    <s v="REDAZIONI GIORNALISTICHE"/>
    <s v="K03 "/>
    <x v="36"/>
    <s v="514300      "/>
    <s v="514300   REDAZIONE MILANO"/>
    <s v="CASADEI                         "/>
    <s v="MARTA             "/>
    <s v="CSDMRT83T63G388C"/>
    <x v="0"/>
    <s v="34"/>
    <x v="0"/>
    <s v="01/04/2021"/>
    <s v="MILANO                 "/>
    <s v="85"/>
    <x v="4"/>
    <s v="G"/>
    <x v="3"/>
    <s v="RM2"/>
    <s v="RM2 REDATTORE MAGG. 30 MM     "/>
    <s v="22/12/2017"/>
    <s v="22/12/2017"/>
    <s v="23/12/1983"/>
    <s v="C"/>
    <s v="C.MATERN.OBBLIG."/>
    <s v="1  -ASSUNZIONE                1"/>
    <s v=""/>
    <s v=" "/>
    <s v=""/>
    <s v=""/>
    <n v="2935"/>
    <s v="00"/>
    <n v="100"/>
    <s v="FULL TIME      100000000FF100-FULL TIME"/>
    <s v="22/12/2017"/>
    <s v=""/>
    <s v="  "/>
    <s v=""/>
    <s v="GBM "/>
    <s v="L09 "/>
    <s v="PLUS24"/>
    <s v=""/>
    <s v="marta.casadei@ilsole24ore.com                     "/>
    <s v="E"/>
    <s v="E-ESENTE"/>
    <s v="3 "/>
    <s v="3=5 X 7"/>
    <s v="01/07/2025"/>
    <s v="TEMPO DETERMINATO"/>
    <s v="31/05/2027"/>
    <s v="0015000700                    "/>
    <s v=""/>
    <n v="42"/>
  </r>
  <r>
    <x v="0"/>
    <n v="2564"/>
    <s v="IL SOLE 24 ORE S.P.A.                   "/>
    <s v="K           "/>
    <s v="REDAZIONI GIORNALISTICHE"/>
    <s v="K03 "/>
    <x v="36"/>
    <s v="514300      "/>
    <s v="514300   REDAZIONE MILANO"/>
    <s v="CATTANEO                        "/>
    <s v="LAURA             "/>
    <s v="CTTLRA79A58I628W"/>
    <x v="0"/>
    <s v="34"/>
    <x v="0"/>
    <s v="01/04/2021"/>
    <s v="MILANO                 "/>
    <s v="85"/>
    <x v="4"/>
    <s v="G"/>
    <x v="3"/>
    <s v="RM2"/>
    <s v="RM2 REDATTORE MAGG. 30 MM     "/>
    <s v="07/06/2010"/>
    <s v="07/06/2010"/>
    <s v="18/01/1979"/>
    <s v="A"/>
    <s v="A.IN FORZA"/>
    <s v="1  -ASSUNZIONE                1"/>
    <s v=""/>
    <s v=" "/>
    <s v=""/>
    <s v=""/>
    <n v="2564"/>
    <s v="00"/>
    <n v="100"/>
    <s v="FULL TIME      100000000FF100-FULL TIME"/>
    <s v="07/06/2010"/>
    <s v=""/>
    <s v="  "/>
    <s v=""/>
    <s v="GSS "/>
    <s v="L06 "/>
    <s v="GRAFICI"/>
    <s v=""/>
    <s v="laura.cattaneo@ilsole24ore.com                    "/>
    <s v="E"/>
    <s v="E-ESENTE"/>
    <s v="3 "/>
    <s v="3=5 X 7"/>
    <s v="01/07/2025"/>
    <s v="TEMPO DETERMINATO"/>
    <s v="31/05/2027"/>
    <s v="0015000700                    "/>
    <s v=""/>
    <n v="47"/>
  </r>
  <r>
    <x v="0"/>
    <n v="1951"/>
    <s v="IL SOLE 24 ORE S.P.A.                   "/>
    <s v="K           "/>
    <s v="REDAZIONI GIORNALISTICHE"/>
    <s v="K03 "/>
    <x v="36"/>
    <s v="514300      "/>
    <s v="514300   REDAZIONE MILANO"/>
    <s v="CAVESTRI                        "/>
    <s v="LAURA             "/>
    <s v="CVSLRA74M52L219O"/>
    <x v="0"/>
    <s v="34"/>
    <x v="0"/>
    <s v="01/04/2021"/>
    <s v="MILANO                 "/>
    <s v="85"/>
    <x v="4"/>
    <s v="G"/>
    <x v="3"/>
    <s v="RM2"/>
    <s v="RM2 REDATTORE MAGG. 30 MM     "/>
    <s v="01/06/2003"/>
    <s v="01/06/2003"/>
    <s v="12/08/1974"/>
    <s v="A"/>
    <s v="A.IN FORZA"/>
    <s v="1  -ASSUNZIONE                1"/>
    <s v=""/>
    <s v=" "/>
    <s v=""/>
    <s v=""/>
    <n v="396"/>
    <s v="00"/>
    <n v="100"/>
    <s v="FULL TIME      100000000FF100-FULL TIME"/>
    <s v="01/06/2003"/>
    <s v=""/>
    <s v="  "/>
    <s v=""/>
    <s v="GSS "/>
    <s v="L07 "/>
    <s v="FINANZA E MERCATI"/>
    <s v=""/>
    <s v="laura.cavestri@ilsole24ore.com                    "/>
    <s v="E"/>
    <s v="E-ESENTE"/>
    <s v="2 "/>
    <s v="2=6 X 6"/>
    <s v="01/07/2025"/>
    <s v="TEMPO DETERMINATO"/>
    <s v="31/05/2027"/>
    <s v="0015002010                    "/>
    <s v="GRASSANI ALBERTO"/>
    <n v="51"/>
  </r>
  <r>
    <x v="0"/>
    <n v="1558"/>
    <s v="IL SOLE 24 ORE S.P.A.                   "/>
    <s v="K           "/>
    <s v="REDAZIONI GIORNALISTICHE"/>
    <s v="K03 "/>
    <x v="36"/>
    <s v="514300      "/>
    <s v="514300   REDAZIONE MILANO"/>
    <s v="CELLINO                         "/>
    <s v="MAXIMILIAN        "/>
    <s v="CLLMML70C23H501I"/>
    <x v="1"/>
    <s v="34"/>
    <x v="0"/>
    <s v="01/04/2021"/>
    <s v="MILANO                 "/>
    <s v="85"/>
    <x v="4"/>
    <s v="G"/>
    <x v="3"/>
    <s v="RM2"/>
    <s v="RM2 REDATTORE MAGG. 30 MM     "/>
    <s v="01/06/2000"/>
    <s v="01/06/2000"/>
    <s v="23/03/1970"/>
    <s v="A"/>
    <s v="A.IN FORZA"/>
    <s v="1  -ASSUNZIONE                1"/>
    <s v=""/>
    <s v=" "/>
    <s v=""/>
    <s v=""/>
    <n v="315"/>
    <s v="00"/>
    <n v="100"/>
    <s v="FULL TIME      100000000FF100-FULL TIME"/>
    <s v="01/06/2000"/>
    <s v=""/>
    <s v="  "/>
    <s v=""/>
    <s v="GSS "/>
    <s v="L07 "/>
    <s v="FINANZA E MERCATI"/>
    <s v=""/>
    <s v="maximilian.cellino@ilsole24ore.com                "/>
    <s v="E"/>
    <s v="E-ESENTE"/>
    <s v="2 "/>
    <s v="2=6 X 6"/>
    <s v="01/07/2025"/>
    <s v="TEMPO DETERMINATO"/>
    <s v="31/05/2027"/>
    <s v="0015002010                    "/>
    <s v="GRASSANI ALBERTO"/>
    <n v="55"/>
  </r>
  <r>
    <x v="0"/>
    <n v="789"/>
    <s v="IL SOLE 24 ORE S.P.A.                   "/>
    <s v="K           "/>
    <s v="REDAZIONI GIORNALISTICHE"/>
    <s v="K03 "/>
    <x v="36"/>
    <s v="514300      "/>
    <s v="514300   REDAZIONE MILANO"/>
    <s v="CEPPETELLI CAPRINI              "/>
    <s v="BALDUINO          "/>
    <s v="CPPBDN62D17H501C"/>
    <x v="1"/>
    <s v="34"/>
    <x v="0"/>
    <s v="01/04/2021"/>
    <s v="MILANO                 "/>
    <s v="85"/>
    <x v="4"/>
    <s v="G"/>
    <x v="3"/>
    <s v="CS "/>
    <s v="CS CAPO SERVIZIO              "/>
    <s v="01/07/1994"/>
    <s v="01/07/1994"/>
    <s v="17/04/1962"/>
    <s v="A"/>
    <s v="A.IN FORZA"/>
    <s v="1  -ASSUNZIONE                1"/>
    <s v=""/>
    <s v=" "/>
    <s v=""/>
    <s v=""/>
    <n v="196"/>
    <s v="00"/>
    <n v="100"/>
    <s v="FULL TIME      100000000FF100-FULL TIME"/>
    <s v="01/07/1994"/>
    <s v=""/>
    <s v="  "/>
    <s v=""/>
    <s v="GSS "/>
    <s v="L02 "/>
    <s v="CAPOREDAZIONE"/>
    <s v=""/>
    <s v="balduino.ceppetelli@ilsole24ore.com               "/>
    <s v="E"/>
    <s v="E-ESENTE"/>
    <s v="2 "/>
    <s v="2=6 X 6"/>
    <s v="01/07/2025"/>
    <s v="TEMPO DETERMINATO"/>
    <s v="31/05/2027"/>
    <s v="0015000700                    "/>
    <s v=""/>
    <n v="63"/>
  </r>
  <r>
    <x v="0"/>
    <n v="337"/>
    <s v="IL SOLE 24 ORE S.P.A.                   "/>
    <s v="K           "/>
    <s v="REDAZIONI GIORNALISTICHE"/>
    <s v="K03 "/>
    <x v="36"/>
    <s v="514300      "/>
    <s v="514300   REDAZIONE MILANO"/>
    <s v="CHIERCHIA                       "/>
    <s v="VINCENZO          "/>
    <s v="CHRVCN60T03L245Y"/>
    <x v="1"/>
    <s v="34"/>
    <x v="0"/>
    <s v="01/04/2021"/>
    <s v="MILANO                 "/>
    <s v="85"/>
    <x v="4"/>
    <s v="G"/>
    <x v="3"/>
    <s v="CRV"/>
    <s v="CRV VICE CAPO REDATTORE       "/>
    <s v="02/05/1988"/>
    <s v="02/05/1988"/>
    <s v="03/12/1960"/>
    <s v="A"/>
    <s v="A.IN FORZA"/>
    <s v="1  -ASSUNZIONE                1"/>
    <s v=""/>
    <s v=" "/>
    <s v=""/>
    <s v=""/>
    <n v="97"/>
    <s v="00"/>
    <n v="100"/>
    <s v="FULL TIME      100000000FF100-FULL TIME"/>
    <s v="02/05/1988"/>
    <s v=""/>
    <s v="  "/>
    <s v=""/>
    <s v="GSS "/>
    <s v="L08 "/>
    <s v="IMPRESA E TERRITORI"/>
    <s v="SIND.GIORN.        SINDACATO GIORNALISTI"/>
    <s v="vincenzo.chierchia@ilsole24ore.com                "/>
    <s v="E"/>
    <s v="E-ESENTE"/>
    <s v="7 "/>
    <s v="7=5 X 7.20"/>
    <s v="01/07/2025"/>
    <s v="TEMPO DETERMINATO"/>
    <s v="31/05/2027"/>
    <s v="0015001979                    "/>
    <s v="DI PILLO LAURA"/>
    <n v="65"/>
  </r>
  <r>
    <x v="0"/>
    <n v="1256"/>
    <s v="IL SOLE 24 ORE S.P.A.                   "/>
    <s v="K           "/>
    <s v="REDAZIONI GIORNALISTICHE"/>
    <s v="K03 "/>
    <x v="36"/>
    <s v="514300      "/>
    <s v="514300   REDAZIONE MILANO"/>
    <s v="COLLEDANI                       "/>
    <s v="MARIA LUISA       "/>
    <s v="CLLMLS72R44I904C"/>
    <x v="0"/>
    <s v="34"/>
    <x v="0"/>
    <s v="01/04/2021"/>
    <s v="MILANO                 "/>
    <s v="85"/>
    <x v="4"/>
    <s v="G"/>
    <x v="3"/>
    <s v="CS "/>
    <s v="CS CAPO SERVIZIO              "/>
    <s v="03/05/1999"/>
    <s v="03/05/1999"/>
    <s v="04/10/1972"/>
    <s v="A"/>
    <s v="A.IN FORZA"/>
    <s v="1  -ASSUNZIONE                1"/>
    <s v=""/>
    <s v=" "/>
    <s v=""/>
    <s v=""/>
    <n v="264"/>
    <s v="00"/>
    <n v="100"/>
    <s v="FULL TIME      100000000FF100-FULL TIME"/>
    <s v="03/05/1999"/>
    <s v=""/>
    <s v="  "/>
    <s v=""/>
    <s v="GSS "/>
    <s v="L14 "/>
    <s v="DOMENICA"/>
    <s v="FIGEC CISAL        FIGEC CISAL"/>
    <s v="marialuisa.colledani@ilsole24ore.com              "/>
    <s v="E"/>
    <s v="E-ESENTE"/>
    <s v="2 "/>
    <s v="2=6 X 6"/>
    <s v="12/01/2026"/>
    <s v="TEMPO DETERMINATO"/>
    <s v="11/04/2026"/>
    <s v="0015000700                    "/>
    <s v=""/>
    <n v="53"/>
  </r>
  <r>
    <x v="0"/>
    <n v="1386"/>
    <s v="IL SOLE 24 ORE S.P.A.                   "/>
    <s v="K           "/>
    <s v="REDAZIONI GIORNALISTICHE"/>
    <s v="K03 "/>
    <x v="36"/>
    <s v="514300      "/>
    <s v="514300   REDAZIONE MILANO"/>
    <s v="CRISCIONE                       "/>
    <s v="ANTONIO           "/>
    <s v="CRSNTN64C30A755H"/>
    <x v="1"/>
    <s v="34"/>
    <x v="0"/>
    <s v="01/04/2021"/>
    <s v="MILANO                 "/>
    <s v="85"/>
    <x v="4"/>
    <s v="G"/>
    <x v="3"/>
    <s v="CSV"/>
    <s v="CSV VICE CAPO SERVIZIO        "/>
    <s v="01/10/1994"/>
    <s v="01/10/1994"/>
    <s v="30/03/1964"/>
    <s v="A"/>
    <s v="A.IN FORZA"/>
    <s v="1  -ASSUNZIONE                1"/>
    <s v=""/>
    <s v=" "/>
    <s v=""/>
    <s v=""/>
    <n v="282"/>
    <s v="00"/>
    <n v="100"/>
    <s v="FULL TIME      100000000FF100-FULL TIME"/>
    <s v="01/10/1994"/>
    <s v=""/>
    <s v="  "/>
    <s v=""/>
    <s v="GSS "/>
    <s v="L09 "/>
    <s v="PLUS24"/>
    <s v="FIGEC CISAL        FIGEC CISAL"/>
    <s v="antonio.criscione@ilsole24ore.com                 "/>
    <s v="E"/>
    <s v="E-ESENTE"/>
    <s v="2 "/>
    <s v="2=6 X 6"/>
    <s v="01/07/2025"/>
    <s v="TEMPO DETERMINATO"/>
    <s v="31/05/2027"/>
    <s v="0015000700                    "/>
    <s v=""/>
    <n v="61"/>
  </r>
  <r>
    <x v="0"/>
    <n v="1603"/>
    <s v="IL SOLE 24 ORE S.P.A.                   "/>
    <s v="K           "/>
    <s v="REDAZIONI GIORNALISTICHE"/>
    <s v="K03 "/>
    <x v="36"/>
    <s v="514300      "/>
    <s v="514300   REDAZIONE MILANO"/>
    <s v="CRIVELLI                        "/>
    <s v="GIULIA VALENTINA  "/>
    <s v="CRVGVL69R61F205Q"/>
    <x v="0"/>
    <s v="34"/>
    <x v="0"/>
    <s v="01/04/2021"/>
    <s v="MILANO                 "/>
    <s v="85"/>
    <x v="4"/>
    <s v="G"/>
    <x v="3"/>
    <s v="CRV"/>
    <s v="CRV VICE CAPO REDATTORE       "/>
    <s v="01/08/2000"/>
    <s v="01/08/2000"/>
    <s v="21/10/1969"/>
    <s v="A"/>
    <s v="A.IN FORZA"/>
    <s v="1  -ASSUNZIONE                1"/>
    <s v=""/>
    <s v=" "/>
    <s v=""/>
    <s v=""/>
    <n v="317"/>
    <s v="00"/>
    <n v="100"/>
    <s v="FULL TIME      100000000FF100-FULL TIME"/>
    <s v="01/08/2000"/>
    <s v=""/>
    <s v="  "/>
    <s v=""/>
    <s v="GSS "/>
    <s v="L18 "/>
    <s v="MODA24"/>
    <s v="SIND.GIORN.        SINDACATO GIORNALISTI"/>
    <s v="giulia.crivelli@ilsole24ore.com                   "/>
    <s v="E"/>
    <s v="E-ESENTE"/>
    <s v="1 "/>
    <s v="1=5 X 8"/>
    <s v="01/07/2025"/>
    <s v="TEMPO DETERMINATO"/>
    <s v="31/05/2027"/>
    <s v="0015000700                    "/>
    <s v=""/>
    <n v="56"/>
  </r>
  <r>
    <x v="0"/>
    <n v="3046"/>
    <s v="IL SOLE 24 ORE S.P.A.                   "/>
    <s v="K           "/>
    <s v="REDAZIONI GIORNALISTICHE"/>
    <s v="K03 "/>
    <x v="36"/>
    <s v="514300      "/>
    <s v="514300   REDAZIONE MILANO"/>
    <s v="CURCIO                          "/>
    <s v="CAMILLA           "/>
    <s v="CRCCLL92P46H919J"/>
    <x v="0"/>
    <s v="34"/>
    <x v="0"/>
    <s v="20/06/2022"/>
    <s v="MILANO                 "/>
    <s v="85"/>
    <x v="4"/>
    <s v="G"/>
    <x v="3"/>
    <s v="RM2"/>
    <s v="RM2 REDATTORE MAGG. 30 MM     "/>
    <s v="20/06/2022"/>
    <s v="20/06/2022"/>
    <s v="06/09/1992"/>
    <s v="A"/>
    <s v="A.IN FORZA"/>
    <s v="1  -ASSUNZIONE                1"/>
    <s v=""/>
    <s v=" "/>
    <s v=""/>
    <s v=""/>
    <n v="3046"/>
    <s v="00"/>
    <n v="100"/>
    <s v="FULL TIME      100000000FF100-FULL TIME"/>
    <s v="20/06/2022"/>
    <s v=""/>
    <s v="  "/>
    <s v=""/>
    <s v="GBM "/>
    <s v="L05 "/>
    <s v="NORME E TRIBUTI"/>
    <s v=""/>
    <s v="camilla.curcio@ilsole24ore.com                    "/>
    <s v="E"/>
    <s v="E-ESENTE"/>
    <s v="7 "/>
    <s v="7=5 X 7.20"/>
    <s v="01/07/2025"/>
    <s v="TEMPO DETERMINATO"/>
    <s v="31/05/2027"/>
    <s v="0015000739                    "/>
    <s v="DECESARI SEVERINA"/>
    <n v="33"/>
  </r>
  <r>
    <x v="0"/>
    <n v="2710"/>
    <s v="IL SOLE 24 ORE S.P.A.                   "/>
    <s v="K           "/>
    <s v="REDAZIONI GIORNALISTICHE"/>
    <s v="K03 "/>
    <x v="36"/>
    <s v="514300      "/>
    <s v="514300   REDAZIONE MILANO"/>
    <s v="D'AMBROSIO                      "/>
    <s v="ANNARITA          "/>
    <s v="DMBNRT68T51F839T"/>
    <x v="0"/>
    <s v="34"/>
    <x v="0"/>
    <s v="01/04/2021"/>
    <s v="MILANO                 "/>
    <s v="85"/>
    <x v="4"/>
    <s v="G"/>
    <x v="3"/>
    <s v="CS "/>
    <s v="CS CAPO SERVIZIO              "/>
    <s v="01/01/2014"/>
    <s v="20/05/2002"/>
    <s v="11/12/1968"/>
    <s v="A"/>
    <s v="A.IN FORZA"/>
    <s v="1  -ASSUNZIONE                1"/>
    <s v=""/>
    <s v=" "/>
    <s v=""/>
    <s v=""/>
    <n v="2710"/>
    <s v="00"/>
    <n v="100"/>
    <s v="FULL TIME      100000000FF100-FULL TIME"/>
    <s v="01/01/2004"/>
    <s v=""/>
    <s v="  "/>
    <s v=""/>
    <s v="GN  "/>
    <s v="L05 "/>
    <s v="NORME E TRIBUTI"/>
    <s v="SIND.GIORN.        SINDACATO GIORNALISTI"/>
    <s v="annarita.dambrosio@ilsole24ore.com                "/>
    <s v="E"/>
    <s v="E-ESENTE"/>
    <s v="3 "/>
    <s v="3=5 X 7"/>
    <s v="01/07/2025"/>
    <s v="TEMPO DETERMINATO"/>
    <s v="31/05/2027"/>
    <s v="0015000739                    "/>
    <s v="DECESARI SEVERINA"/>
    <n v="57"/>
  </r>
  <r>
    <x v="0"/>
    <n v="2079"/>
    <s v="IL SOLE 24 ORE S.P.A.                   "/>
    <s v="K           "/>
    <s v="REDAZIONI GIORNALISTICHE"/>
    <s v="K03 "/>
    <x v="36"/>
    <s v="514300      "/>
    <s v="514300   REDAZIONE MILANO"/>
    <s v="D'ANGERIO                       "/>
    <s v="VITALIANO         "/>
    <s v="DNGVLN67H27I073Y"/>
    <x v="1"/>
    <s v="34"/>
    <x v="0"/>
    <s v="01/04/2021"/>
    <s v="MILANO                 "/>
    <s v="85"/>
    <x v="4"/>
    <s v="G"/>
    <x v="3"/>
    <s v="RM2"/>
    <s v="RM2 REDATTORE MAGG. 30 MM     "/>
    <s v="01/09/2005"/>
    <s v="01/09/2005"/>
    <s v="27/06/1967"/>
    <s v="A"/>
    <s v="A.IN FORZA"/>
    <s v="1  -ASSUNZIONE                1"/>
    <s v=""/>
    <s v=" "/>
    <s v=""/>
    <s v=""/>
    <n v="477"/>
    <s v="00"/>
    <n v="100"/>
    <s v="FULL TIME      100000000FF100-FULL TIME"/>
    <s v="01/09/2005"/>
    <s v=""/>
    <s v="  "/>
    <s v=""/>
    <s v="GSS "/>
    <s v="L09 "/>
    <s v="PLUS24"/>
    <s v="SIND.GIORN.        SINDACATO GIORNALISTI"/>
    <s v="vitaliano.dangerio@ilsole24ore.com                "/>
    <s v="E"/>
    <s v="E-ESENTE"/>
    <s v="2 "/>
    <s v="2=6 X 6"/>
    <s v="01/07/2025"/>
    <s v="TEMPO DETERMINATO"/>
    <s v="31/05/2027"/>
    <s v="0015000700                    "/>
    <s v=""/>
    <n v="58"/>
  </r>
  <r>
    <x v="0"/>
    <n v="1978"/>
    <s v="IL SOLE 24 ORE S.P.A.                   "/>
    <s v="K           "/>
    <s v="REDAZIONI GIORNALISTICHE"/>
    <s v="K03 "/>
    <x v="36"/>
    <s v="514300      "/>
    <s v="514300   REDAZIONE MILANO"/>
    <s v="D'ASCENZO                       "/>
    <s v="MONICA            "/>
    <s v="DSCMNC71D64F205X"/>
    <x v="0"/>
    <s v="34"/>
    <x v="0"/>
    <s v="01/04/2021"/>
    <s v="MILANO                 "/>
    <s v="85"/>
    <x v="4"/>
    <s v="G"/>
    <x v="3"/>
    <s v="CSV"/>
    <s v="CSV VICE CAPO SERVIZIO        "/>
    <s v="01/10/2003"/>
    <s v="01/10/2003"/>
    <s v="24/04/1971"/>
    <s v="A"/>
    <s v="A.IN FORZA"/>
    <s v="1  -ASSUNZIONE                1"/>
    <s v=""/>
    <s v=" "/>
    <s v=""/>
    <s v=""/>
    <n v="410"/>
    <s v="00"/>
    <n v="100"/>
    <s v="FULL TIME      100000000FF100-FULL TIME"/>
    <s v="01/10/2003"/>
    <s v=""/>
    <s v="  "/>
    <s v=""/>
    <s v="GSS "/>
    <s v="L07 "/>
    <s v="FINANZA E MERCATI"/>
    <s v="SIND.GIORN.        SINDACATO GIORNALISTI"/>
    <s v="monica.dascenzo@ilsole24ore.com                   "/>
    <s v="E"/>
    <s v="E-ESENTE"/>
    <s v="1 "/>
    <s v="1=5 X 8"/>
    <s v="01/02/2026"/>
    <s v="TEMPO DETERMINATO"/>
    <s v="31/05/2027"/>
    <s v="0015002010                    "/>
    <s v="GRASSANI ALBERTO"/>
    <n v="54"/>
  </r>
  <r>
    <x v="0"/>
    <n v="455"/>
    <s v="IL SOLE 24 ORE S.P.A.                   "/>
    <s v="K           "/>
    <s v="REDAZIONI GIORNALISTICHE"/>
    <s v="K03 "/>
    <x v="36"/>
    <s v="514300      "/>
    <s v="514300   REDAZIONE MILANO"/>
    <s v="DA RIN BETTINA                  "/>
    <s v="ROBERTO           "/>
    <s v="DRNRRT60M07F205F"/>
    <x v="1"/>
    <s v="34"/>
    <x v="0"/>
    <s v="01/04/2021"/>
    <s v="MILANO                 "/>
    <s v="85"/>
    <x v="4"/>
    <s v="G"/>
    <x v="3"/>
    <s v="RM2"/>
    <s v="RM2 REDATTORE MAGG. 30 MM     "/>
    <s v="01/01/1990"/>
    <s v="01/01/1990"/>
    <s v="07/08/1960"/>
    <s v="A"/>
    <s v="A.IN FORZA"/>
    <s v="1  -ASSUNZIONE                1"/>
    <s v=""/>
    <s v=" "/>
    <s v=""/>
    <s v=""/>
    <n v="128"/>
    <s v="00"/>
    <n v="100"/>
    <s v="FULL TIME      100000000FF100-FULL TIME"/>
    <s v="01/01/1990"/>
    <s v=""/>
    <s v="  "/>
    <s v=""/>
    <s v="GSS "/>
    <s v="L10 "/>
    <s v="ESTERI EUROPA-MONDO"/>
    <s v="SIND.GIORN.        SINDACATO GIORNALISTI"/>
    <s v="roberto.darin@ilsole24ore.com                     "/>
    <s v="E"/>
    <s v="E-ESENTE"/>
    <s v="2 "/>
    <s v="2=6 X 6"/>
    <s v="01/07/2025"/>
    <s v="TEMPO DETERMINATO"/>
    <s v="31/05/2027"/>
    <s v="0015000700                    "/>
    <s v=""/>
    <n v="65"/>
  </r>
  <r>
    <x v="0"/>
    <n v="2604"/>
    <s v="IL SOLE 24 ORE S.P.A.                   "/>
    <s v="K           "/>
    <s v="REDAZIONI GIORNALISTICHE"/>
    <s v="K03 "/>
    <x v="36"/>
    <s v="514300      "/>
    <s v="514300   REDAZIONE MILANO"/>
    <s v="DAVI                            "/>
    <s v="LUCA              "/>
    <s v="DVALCU81A03D969O"/>
    <x v="1"/>
    <s v="34"/>
    <x v="0"/>
    <s v="01/04/2021"/>
    <s v="MILANO                 "/>
    <s v="85"/>
    <x v="4"/>
    <s v="G"/>
    <x v="3"/>
    <s v="RM2"/>
    <s v="RM2 REDATTORE MAGG. 30 MM     "/>
    <s v="30/01/2012"/>
    <s v="30/01/2012"/>
    <s v="03/01/1981"/>
    <s v="A"/>
    <s v="A.IN FORZA"/>
    <s v="2  -VARIAZIONE SOCIETARIA     2"/>
    <s v=""/>
    <s v=" "/>
    <s v=""/>
    <s v=""/>
    <n v="2604"/>
    <s v="00"/>
    <n v="100"/>
    <s v="FULL TIME      100000000FF100-FULL TIME"/>
    <s v="30/01/2012"/>
    <s v=""/>
    <s v="  "/>
    <s v=""/>
    <s v="GSS "/>
    <s v="L07 "/>
    <s v="FINANZA E MERCATI"/>
    <s v="SIND.GIORN.        SINDACATO GIORNALISTI"/>
    <s v="luca.davi@ilsole24ore.com                         "/>
    <s v="E"/>
    <s v="E-ESENTE"/>
    <s v="3 "/>
    <s v="3=5 X 7"/>
    <s v="01/07/2025"/>
    <s v="TEMPO DETERMINATO"/>
    <s v="31/05/2027"/>
    <s v="0015002010                    "/>
    <s v="GRASSANI ALBERTO"/>
    <n v="45"/>
  </r>
  <r>
    <x v="0"/>
    <n v="739"/>
    <s v="IL SOLE 24 ORE S.P.A.                   "/>
    <s v="K           "/>
    <s v="REDAZIONI GIORNALISTICHE"/>
    <s v="K03 "/>
    <x v="36"/>
    <s v="514300      "/>
    <s v="514300   REDAZIONE MILANO"/>
    <s v="DECESARI                        "/>
    <s v="SEVERINA          "/>
    <s v="DCSSRN62C56F952I"/>
    <x v="0"/>
    <s v="34"/>
    <x v="0"/>
    <s v="01/04/2021"/>
    <s v="MILANO                 "/>
    <s v="85"/>
    <x v="4"/>
    <s v="G"/>
    <x v="3"/>
    <s v="CR "/>
    <s v="CR CAPO REDATTORE             "/>
    <s v="08/02/1994"/>
    <s v="08/02/1994"/>
    <s v="16/03/1962"/>
    <s v="A"/>
    <s v="A.IN FORZA"/>
    <s v="1  -ASSUNZIONE                1"/>
    <s v=""/>
    <s v=" "/>
    <s v=""/>
    <s v=""/>
    <n v="189"/>
    <s v="00"/>
    <n v="100"/>
    <s v="FULL TIME      100000000FF100-FULL TIME"/>
    <s v="08/02/1994"/>
    <s v=""/>
    <s v="  "/>
    <s v=""/>
    <s v="GSS "/>
    <s v="L05 "/>
    <s v="NORME E TRIBUTI"/>
    <s v="FIGEC CISAL        FIGEC CISAL"/>
    <s v="mariacarla.decesari@ilsole24ore.com               "/>
    <s v="E"/>
    <s v="E-ESENTE"/>
    <s v="2 "/>
    <s v="2=6 X 6"/>
    <s v="01/07/2025"/>
    <s v="TEMPO DETERMINATO"/>
    <s v="31/05/2027"/>
    <s v="0015003154                    "/>
    <s v="TAMBURINI FABIO ANTONIO"/>
    <n v="63"/>
  </r>
  <r>
    <x v="0"/>
    <n v="2320"/>
    <s v="IL SOLE 24 ORE S.P.A.                   "/>
    <s v="K           "/>
    <s v="REDAZIONI GIORNALISTICHE"/>
    <s v="K03 "/>
    <x v="36"/>
    <s v="514300      "/>
    <s v="514300   REDAZIONE MILANO"/>
    <s v="DEGANELLO                       "/>
    <s v="SARA              "/>
    <s v="DGNSRA81H61I531W"/>
    <x v="0"/>
    <s v="34"/>
    <x v="0"/>
    <s v="01/04/2021"/>
    <s v="MILANO                 "/>
    <s v="85"/>
    <x v="4"/>
    <s v="G"/>
    <x v="3"/>
    <s v="CSV"/>
    <s v="CSV VICE CAPO SERVIZIO        "/>
    <s v="01/08/2008"/>
    <s v="01/08/2008"/>
    <s v="21/06/1981"/>
    <s v="A"/>
    <s v="A.IN FORZA"/>
    <s v="1  -ASSUNZIONE                1"/>
    <s v=""/>
    <s v=" "/>
    <s v=""/>
    <s v=""/>
    <n v="568"/>
    <s v="00"/>
    <n v="100"/>
    <s v="FULL TIME      100000000FF100-FULL TIME"/>
    <s v="01/08/2008"/>
    <s v=""/>
    <s v="  "/>
    <s v=""/>
    <s v="GBM "/>
    <s v="L08 "/>
    <s v="IMPRESA E TERRITORI"/>
    <s v="SIND.GIORN.        SINDACATO GIORNALISTI"/>
    <s v="sara.deganello@ilsole24ore.com                    "/>
    <s v="E"/>
    <s v="E-ESENTE"/>
    <s v="3 "/>
    <s v="3=5 X 7"/>
    <s v="01/07/2025"/>
    <s v="TEMPO DETERMINATO"/>
    <s v="31/05/2027"/>
    <s v="0015001979                    "/>
    <s v="DI PILLO LAURA"/>
    <n v="44"/>
  </r>
  <r>
    <x v="0"/>
    <n v="956"/>
    <s v="IL SOLE 24 ORE S.P.A.                   "/>
    <s v="K           "/>
    <s v="REDAZIONI GIORNALISTICHE"/>
    <s v="K03 "/>
    <x v="36"/>
    <s v="514300      "/>
    <s v="514300   REDAZIONE MILANO"/>
    <s v="DEL BO                          "/>
    <s v="JEAN MARIE        "/>
    <s v="DLBJMR66A03Z110O"/>
    <x v="1"/>
    <s v="34"/>
    <x v="0"/>
    <s v="01/04/2021"/>
    <s v="MILANO                 "/>
    <s v="85"/>
    <x v="4"/>
    <s v="G"/>
    <x v="3"/>
    <s v="AV "/>
    <s v="AV VICE DIRETTORE             "/>
    <s v="29/11/1996"/>
    <s v="29/11/1996"/>
    <s v="03/01/1966"/>
    <s v="A"/>
    <s v="A.IN FORZA"/>
    <s v="1  -ASSUNZIONE                1"/>
    <s v=""/>
    <s v=" "/>
    <s v=""/>
    <s v=""/>
    <n v="223"/>
    <s v="00"/>
    <n v="100"/>
    <s v="FULL TIME      100000000FF100-FULL TIME"/>
    <s v="29/11/1996"/>
    <s v=""/>
    <s v="  "/>
    <s v=""/>
    <s v="GSS "/>
    <s v="L05 "/>
    <s v="NORME E TRIBUTI"/>
    <s v="SIND.GIORN.        SINDACATO GIORNALISTI"/>
    <s v="jean.delbo@ilsole24ore.com                        "/>
    <s v="E"/>
    <s v="E-ESENTE"/>
    <s v="2 "/>
    <s v="2=6 X 6"/>
    <s v="01/07/2025"/>
    <s v="TEMPO DETERMINATO"/>
    <s v="31/05/2027"/>
    <s v="0015003154                    "/>
    <s v="TAMBURINI FABIO ANTONIO"/>
    <n v="60"/>
  </r>
  <r>
    <x v="0"/>
    <n v="513"/>
    <s v="IL SOLE 24 ORE S.P.A.                   "/>
    <s v="K           "/>
    <s v="REDAZIONI GIORNALISTICHE"/>
    <s v="K03 "/>
    <x v="36"/>
    <s v="514300      "/>
    <s v="514300   REDAZIONE MILANO"/>
    <s v="DELLA VALLE                     "/>
    <s v="MARIA ISABELLA    "/>
    <s v="DLLMSB67B43Z401K"/>
    <x v="0"/>
    <s v="34"/>
    <x v="0"/>
    <s v="01/04/2021"/>
    <s v="MILANO                 "/>
    <s v="85"/>
    <x v="4"/>
    <s v="G"/>
    <x v="3"/>
    <s v="CS "/>
    <s v="CS CAPO SERVIZIO              "/>
    <s v="07/01/1991"/>
    <s v="07/01/1991"/>
    <s v="03/02/1967"/>
    <s v="A"/>
    <s v="A.IN FORZA"/>
    <s v="1  -ASSUNZIONE                1"/>
    <s v=""/>
    <s v=" "/>
    <s v=""/>
    <s v=""/>
    <n v="296"/>
    <s v="00"/>
    <n v="100"/>
    <s v="FULL TIME      100000000FF100-FULL TIME"/>
    <s v="07/01/1991"/>
    <s v=""/>
    <s v="  "/>
    <s v=""/>
    <s v="GSS "/>
    <s v="L09 "/>
    <s v="PLUS24"/>
    <s v=""/>
    <s v="isabella.dellavalle@ilsole24ore.com               "/>
    <s v="E"/>
    <s v="E-ESENTE"/>
    <s v="2 "/>
    <s v="2=6 X 6"/>
    <s v="01/07/2025"/>
    <s v="TEMPO DETERMINATO"/>
    <s v="31/05/2027"/>
    <s v="0015000700                    "/>
    <s v=""/>
    <n v="58"/>
  </r>
  <r>
    <x v="0"/>
    <n v="1922"/>
    <s v="IL SOLE 24 ORE S.P.A.                   "/>
    <s v="K           "/>
    <s v="REDAZIONI GIORNALISTICHE"/>
    <s v="K03 "/>
    <x v="36"/>
    <s v="514300      "/>
    <s v="514300   REDAZIONE MILANO"/>
    <s v="DI CARO                         "/>
    <s v="ELIANA            "/>
    <s v="DCRLNE72E70F052A"/>
    <x v="0"/>
    <s v="34"/>
    <x v="0"/>
    <s v="01/04/2021"/>
    <s v="MILANO                 "/>
    <s v="85"/>
    <x v="4"/>
    <s v="G"/>
    <x v="3"/>
    <s v="CSV"/>
    <s v="CSV VICE CAPO SERVIZIO        "/>
    <s v="21/02/2000"/>
    <s v="21/02/2000"/>
    <s v="30/05/1972"/>
    <s v="A"/>
    <s v="A.IN FORZA"/>
    <s v="1  -ASSUNZIONE                1"/>
    <s v=""/>
    <s v=" "/>
    <s v=""/>
    <s v=""/>
    <n v="381"/>
    <s v="00"/>
    <n v="100"/>
    <s v="FULL TIME      100000000FF100-FULL TIME"/>
    <s v="31/05/2020"/>
    <s v=""/>
    <s v="  "/>
    <s v=""/>
    <s v="GSS "/>
    <s v="L14 "/>
    <s v="DOMENICA"/>
    <s v=""/>
    <s v="eliana.dicaro@ilsole24ore.com                     "/>
    <s v="E"/>
    <s v="E-ESENTE"/>
    <s v="3 "/>
    <s v="3=5 X 7"/>
    <s v="01/07/2025"/>
    <s v="TEMPO DETERMINATO"/>
    <s v="31/05/2027"/>
    <s v="0015000700                    "/>
    <s v=""/>
    <n v="53"/>
  </r>
  <r>
    <x v="0"/>
    <n v="1773"/>
    <s v="IL SOLE 24 ORE S.P.A.                   "/>
    <s v="K           "/>
    <s v="REDAZIONI GIORNALISTICHE"/>
    <s v="K03 "/>
    <x v="36"/>
    <s v="514300      "/>
    <s v="514300   REDAZIONE MILANO"/>
    <s v="DI DONFRANCESCO                 "/>
    <s v="GIANLUCA          "/>
    <s v="DDNGLC72L04E388I"/>
    <x v="1"/>
    <s v="34"/>
    <x v="0"/>
    <s v="01/04/2021"/>
    <s v="MILANO                 "/>
    <s v="85"/>
    <x v="4"/>
    <s v="G"/>
    <x v="3"/>
    <s v="RM2"/>
    <s v="RM2 REDATTORE MAGG. 30 MM     "/>
    <s v="15/05/2001"/>
    <s v="15/05/2001"/>
    <s v="04/07/1972"/>
    <s v="A"/>
    <s v="A.IN FORZA"/>
    <s v="1  -ASSUNZIONE                1"/>
    <s v=""/>
    <s v=" "/>
    <s v=""/>
    <s v=""/>
    <n v="349"/>
    <s v="00"/>
    <n v="100"/>
    <s v="FULL TIME      100000000FF100-FULL TIME"/>
    <s v="15/05/2001"/>
    <s v=""/>
    <s v="  "/>
    <s v=""/>
    <s v="GSS "/>
    <s v="L10 "/>
    <s v="ESTERI EUROPA-MONDO"/>
    <s v="SIND.GIORN.        SINDACATO GIORNALISTI"/>
    <s v="gianluca.didonfrancesco@ilsole24ore.com           "/>
    <s v="E"/>
    <s v="E-ESENTE"/>
    <s v="3 "/>
    <s v="3=5 X 7"/>
    <s v="01/07/2025"/>
    <s v="TEMPO DETERMINATO"/>
    <s v="31/05/2027"/>
    <s v="0015000700                    "/>
    <s v=""/>
    <n v="53"/>
  </r>
  <r>
    <x v="0"/>
    <n v="1979"/>
    <s v="IL SOLE 24 ORE S.P.A.                   "/>
    <s v="K           "/>
    <s v="REDAZIONI GIORNALISTICHE"/>
    <s v="K03 "/>
    <x v="36"/>
    <s v="514300      "/>
    <s v="514300   REDAZIONE MILANO"/>
    <s v="DI PILLO                        "/>
    <s v="LAURA             "/>
    <s v="DPLLRA68B61A345U"/>
    <x v="0"/>
    <s v="34"/>
    <x v="0"/>
    <s v="01/10/2023"/>
    <s v="MILANO                 "/>
    <s v="85"/>
    <x v="4"/>
    <s v="G"/>
    <x v="3"/>
    <s v="CR "/>
    <s v="CR CAPO REDATTORE             "/>
    <s v="01/10/2003"/>
    <s v="01/10/2003"/>
    <s v="21/02/1968"/>
    <s v="A"/>
    <s v="A.IN FORZA"/>
    <s v="1  -ASSUNZIONE                1"/>
    <s v=""/>
    <s v=" "/>
    <s v=""/>
    <s v=""/>
    <n v="411"/>
    <s v="00"/>
    <n v="100"/>
    <s v="FULL TIME      100000000FF100-FULL TIME"/>
    <s v="01/10/2003"/>
    <s v=""/>
    <s v="  "/>
    <s v=""/>
    <s v="GSS "/>
    <s v="L08 "/>
    <s v="IMPRESA E TERRITORI"/>
    <s v=""/>
    <s v="laura.dipillo@ilsole24ore.com                     "/>
    <s v="E"/>
    <s v="E-ESENTE"/>
    <s v="2 "/>
    <s v="2=6 X 6"/>
    <s v="01/07/2025"/>
    <s v="TEMPO DETERMINATO"/>
    <s v="31/05/2027"/>
    <s v="0015003154                    "/>
    <s v="TAMBURINI FABIO ANTONIO"/>
    <n v="57"/>
  </r>
  <r>
    <x v="0"/>
    <n v="2075"/>
    <s v="IL SOLE 24 ORE S.P.A.                   "/>
    <s v="K           "/>
    <s v="REDAZIONI GIORNALISTICHE"/>
    <s v="K03 "/>
    <x v="36"/>
    <s v="514300      "/>
    <s v="514300   REDAZIONE MILANO"/>
    <s v="ELLI                            "/>
    <s v="STEFANO           "/>
    <s v="LLESFN62E25F205C"/>
    <x v="1"/>
    <s v="34"/>
    <x v="0"/>
    <s v="01/04/2021"/>
    <s v="MILANO                 "/>
    <s v="85"/>
    <x v="4"/>
    <s v="G"/>
    <x v="3"/>
    <s v="RM2"/>
    <s v="RM2 REDATTORE MAGG. 30 MM     "/>
    <s v="01/08/2005"/>
    <s v="01/08/2005"/>
    <s v="25/05/1962"/>
    <s v="A"/>
    <s v="A.IN FORZA"/>
    <s v="1  -ASSUNZIONE                1"/>
    <s v=""/>
    <s v=" "/>
    <s v=""/>
    <s v=""/>
    <n v="473"/>
    <s v="00"/>
    <n v="100"/>
    <s v="FULL TIME      100000000FF100-FULL TIME"/>
    <s v="01/08/2005"/>
    <s v=""/>
    <s v="  "/>
    <s v=""/>
    <s v="GSS "/>
    <s v="L09 "/>
    <s v="PLUS24"/>
    <s v="SIND.GIORN.        SINDACATO GIORNALISTI"/>
    <s v="stefano.elli@ilsole24ore.com                      "/>
    <s v="E"/>
    <s v="E-ESENTE"/>
    <s v="2 "/>
    <s v="2=6 X 6"/>
    <s v="01/07/2025"/>
    <s v="TEMPO DETERMINATO"/>
    <s v="31/05/2027"/>
    <s v="0015000700                    "/>
    <s v=""/>
    <n v="63"/>
  </r>
  <r>
    <x v="0"/>
    <n v="1961"/>
    <s v="IL SOLE 24 ORE S.P.A.                   "/>
    <s v="K           "/>
    <s v="REDAZIONI GIORNALISTICHE"/>
    <s v="K03 "/>
    <x v="36"/>
    <s v="514300      "/>
    <s v="514300   REDAZIONE MILANO"/>
    <s v="FESTA                           "/>
    <s v="CARLO             "/>
    <s v="FSTCRL66L10F205M"/>
    <x v="1"/>
    <s v="34"/>
    <x v="0"/>
    <s v="01/04/2021"/>
    <s v="MILANO                 "/>
    <s v="85"/>
    <x v="4"/>
    <s v="G"/>
    <x v="3"/>
    <s v="CSV"/>
    <s v="CSV VICE CAPO SERVIZIO        "/>
    <s v="01/07/2003"/>
    <s v="01/07/2003"/>
    <s v="10/07/1966"/>
    <s v="A"/>
    <s v="A.IN FORZA"/>
    <s v="1  -ASSUNZIONE                1"/>
    <s v=""/>
    <s v=" "/>
    <s v=""/>
    <s v=""/>
    <n v="403"/>
    <s v="00"/>
    <n v="100"/>
    <s v="FULL TIME      100000000FF100-FULL TIME"/>
    <s v="01/07/2003"/>
    <s v=""/>
    <s v="  "/>
    <s v=""/>
    <s v="GSS "/>
    <s v="L07 "/>
    <s v="FINANZA E MERCATI"/>
    <s v=""/>
    <s v="carlo.festa@ilsole24ore.com                       "/>
    <s v="E"/>
    <s v="E-ESENTE"/>
    <s v="2 "/>
    <s v="2=6 X 6"/>
    <s v="01/07/2025"/>
    <s v="TEMPO DETERMINATO"/>
    <s v="31/05/2027"/>
    <s v="0015002010                    "/>
    <s v="GRASSANI ALBERTO"/>
    <n v="59"/>
  </r>
  <r>
    <x v="0"/>
    <n v="866"/>
    <s v="IL SOLE 24 ORE S.P.A.                   "/>
    <s v="K           "/>
    <s v="REDAZIONI GIORNALISTICHE"/>
    <s v="K03 "/>
    <x v="36"/>
    <s v="514300      "/>
    <s v="514300   REDAZIONE MILANO"/>
    <s v="FRISONE                         "/>
    <s v="MARCELLO          "/>
    <s v="FRSMCL66T04F158N"/>
    <x v="1"/>
    <s v="34"/>
    <x v="0"/>
    <s v="01/04/2021"/>
    <s v="MILANO                 "/>
    <s v="85"/>
    <x v="4"/>
    <s v="G"/>
    <x v="3"/>
    <s v="RM2"/>
    <s v="RM2 REDATTORE MAGG. 30 MM     "/>
    <s v="16/10/1995"/>
    <s v="16/10/1995"/>
    <s v="04/12/1966"/>
    <s v="A"/>
    <s v="A.IN FORZA"/>
    <s v="1  -ASSUNZIONE                1"/>
    <s v=""/>
    <s v=" "/>
    <s v=""/>
    <s v=""/>
    <n v="205"/>
    <s v="00"/>
    <n v="100"/>
    <s v="FULL TIME      100000000FF100-FULL TIME"/>
    <s v="16/10/1995"/>
    <s v=""/>
    <s v="  "/>
    <s v=""/>
    <s v="GSS "/>
    <s v="L09 "/>
    <s v="PLUS24"/>
    <s v="SIND.GIORN.        SINDACATO GIORNALISTI"/>
    <s v="marcello.frisone@ilsole24ore.com                  "/>
    <s v="E"/>
    <s v="E-ESENTE"/>
    <s v="2 "/>
    <s v="2=6 X 6"/>
    <s v="01/07/2025"/>
    <s v="TEMPO DETERMINATO"/>
    <s v="31/05/2027"/>
    <s v="0015000700                    "/>
    <s v=""/>
    <n v="59"/>
  </r>
  <r>
    <x v="0"/>
    <n v="2264"/>
    <s v="IL SOLE 24 ORE S.P.A.                   "/>
    <s v="K           "/>
    <s v="REDAZIONI GIORNALISTICHE"/>
    <s v="K03 "/>
    <x v="36"/>
    <s v="514300      "/>
    <s v="514300   REDAZIONE MILANO"/>
    <s v="GALIMBERTI                      "/>
    <s v="ALESSANDRO        "/>
    <s v="GLMLSN66H27I625T"/>
    <x v="1"/>
    <s v="34"/>
    <x v="0"/>
    <s v="01/04/2021"/>
    <s v="MILANO                 "/>
    <s v="85"/>
    <x v="4"/>
    <s v="G"/>
    <x v="3"/>
    <s v="CS "/>
    <s v="CS CAPO SERVIZIO              "/>
    <s v="03/12/2007"/>
    <s v="03/12/2007"/>
    <s v="27/06/1966"/>
    <s v="A"/>
    <s v="A.IN FORZA"/>
    <s v="1  -ASSUNZIONE                1"/>
    <s v=""/>
    <s v=" "/>
    <s v=""/>
    <s v=""/>
    <n v="541"/>
    <s v="00"/>
    <n v="100"/>
    <s v="FULL TIME      100000000FF100-FULL TIME"/>
    <s v="03/12/2007"/>
    <s v=""/>
    <s v="  "/>
    <s v=""/>
    <s v="GSS "/>
    <s v="L05 "/>
    <s v="NORME E TRIBUTI"/>
    <s v="FIGEC CISAL        FIGEC CISAL"/>
    <s v="alessandro.galimberti@ilsole24ore.com             "/>
    <s v="E"/>
    <s v="E-ESENTE"/>
    <s v="2 "/>
    <s v="2=6 X 6"/>
    <s v="01/07/2025"/>
    <s v="TEMPO DETERMINATO"/>
    <s v="31/05/2027"/>
    <s v="0015000739                    "/>
    <s v="DECESARI SEVERINA"/>
    <n v="59"/>
  </r>
  <r>
    <x v="0"/>
    <n v="2241"/>
    <s v="IL SOLE 24 ORE S.P.A.                   "/>
    <s v="K           "/>
    <s v="REDAZIONI GIORNALISTICHE"/>
    <s v="K03 "/>
    <x v="36"/>
    <s v="514300      "/>
    <s v="514300   REDAZIONE MILANO"/>
    <s v="GALVAGNI                        "/>
    <s v="LAURA             "/>
    <s v="GLVLRA75R47E565M"/>
    <x v="0"/>
    <s v="34"/>
    <x v="0"/>
    <s v="01/04/2021"/>
    <s v="MILANO                 "/>
    <s v="85"/>
    <x v="4"/>
    <s v="G"/>
    <x v="3"/>
    <s v="CRV"/>
    <s v="CRV VICE CAPO REDATTORE       "/>
    <s v="22/10/2007"/>
    <s v="22/10/2007"/>
    <s v="07/10/1975"/>
    <s v="A"/>
    <s v="A.IN FORZA"/>
    <s v="1  -ASSUNZIONE                1"/>
    <s v=""/>
    <s v=" "/>
    <s v=""/>
    <s v=""/>
    <n v="535"/>
    <s v="00"/>
    <n v="100"/>
    <s v="FULL TIME      100000000FF100-FULL TIME"/>
    <s v="22/10/2007"/>
    <s v=""/>
    <s v="  "/>
    <s v=""/>
    <s v="GSS "/>
    <s v="L08 "/>
    <s v="IMPRESA E TERRITORI"/>
    <s v=""/>
    <s v="laura.galvagni@ilsole24ore.com                    "/>
    <s v="E"/>
    <s v="E-ESENTE"/>
    <s v="3 "/>
    <s v="3=5 X 7"/>
    <s v="01/07/2025"/>
    <s v="TEMPO DETERMINATO"/>
    <s v="31/05/2027"/>
    <s v="0015001979                    "/>
    <s v="DI PILLO LAURA"/>
    <n v="50"/>
  </r>
  <r>
    <x v="0"/>
    <n v="1906"/>
    <s v="IL SOLE 24 ORE S.P.A.                   "/>
    <s v="K           "/>
    <s v="REDAZIONI GIORNALISTICHE"/>
    <s v="K03 "/>
    <x v="36"/>
    <s v="514300      "/>
    <s v="514300   REDAZIONE MILANO"/>
    <s v="GAMBA                           "/>
    <s v="CRISTIANA         "/>
    <s v="GMBCST68C47G388T"/>
    <x v="0"/>
    <s v="34"/>
    <x v="0"/>
    <s v="01/04/2021"/>
    <s v="MILANO                 "/>
    <s v="85"/>
    <x v="4"/>
    <s v="G"/>
    <x v="3"/>
    <s v="CS "/>
    <s v="CS CAPO SERVIZIO              "/>
    <s v="19/09/2002"/>
    <s v="19/09/2002"/>
    <s v="07/03/1968"/>
    <s v="A"/>
    <s v="A.IN FORZA"/>
    <s v="1  -ASSUNZIONE                1"/>
    <s v=""/>
    <s v=" "/>
    <s v=""/>
    <s v=""/>
    <n v="369"/>
    <s v="00"/>
    <n v="100"/>
    <s v="FULL TIME      100000000FF100-FULL TIME"/>
    <s v="19/09/2002"/>
    <s v=""/>
    <s v="  "/>
    <s v=""/>
    <s v="GSS "/>
    <s v="L08 "/>
    <s v="IMPRESA E TERRITORI"/>
    <s v="SIND.GIORN.        SINDACATO GIORNALISTI"/>
    <s v="cristiana.gamba@ilsole24ore.com                   "/>
    <s v="E"/>
    <s v="E-ESENTE"/>
    <s v="2 "/>
    <s v="2=6 X 6"/>
    <s v="01/07/2025"/>
    <s v="TEMPO DETERMINATO"/>
    <s v="31/05/2027"/>
    <s v="0015001979                    "/>
    <s v="DI PILLO LAURA"/>
    <n v="57"/>
  </r>
  <r>
    <x v="0"/>
    <n v="1446"/>
    <s v="IL SOLE 24 ORE S.P.A.                   "/>
    <s v="K           "/>
    <s v="REDAZIONI GIORNALISTICHE"/>
    <s v="K03 "/>
    <x v="36"/>
    <s v="514300      "/>
    <s v="514300   REDAZIONE MILANO"/>
    <s v="GENNAI                          "/>
    <s v="ANDREA            "/>
    <s v="GNNNDR69P07G702B"/>
    <x v="1"/>
    <s v="34"/>
    <x v="0"/>
    <s v="01/04/2021"/>
    <s v="MILANO                 "/>
    <s v="85"/>
    <x v="4"/>
    <s v="G"/>
    <x v="3"/>
    <s v="T1 "/>
    <s v="T1 COLLABORATORE FISSO 8      "/>
    <s v="27/12/1999"/>
    <s v="01/01/2000"/>
    <s v="07/09/1969"/>
    <s v="A"/>
    <s v="A.IN FORZA"/>
    <s v="1  -ASSUNZIONE                1"/>
    <s v=""/>
    <s v=" "/>
    <s v=""/>
    <s v=""/>
    <n v="297"/>
    <s v="00"/>
    <n v="100"/>
    <s v="FULL TIME      100000000FF100-FULL TIME"/>
    <s v="27/12/1999"/>
    <s v=""/>
    <s v="  "/>
    <s v=""/>
    <s v="GSS "/>
    <s v="L09 "/>
    <s v="PLUS24"/>
    <s v="SIND.GIORN.        SINDACATO GIORNALISTI"/>
    <s v="andrea.gennai@ilsole24ore.com                     "/>
    <s v="E"/>
    <s v="E-ESENTE"/>
    <s v="3 "/>
    <s v="3=5 X 7"/>
    <s v=""/>
    <s v=""/>
    <s v=""/>
    <s v="0015000700                    "/>
    <s v=""/>
    <n v="56"/>
  </r>
  <r>
    <x v="0"/>
    <n v="1731"/>
    <s v="IL SOLE 24 ORE S.P.A.                   "/>
    <s v="K           "/>
    <s v="REDAZIONI GIORNALISTICHE"/>
    <s v="K03 "/>
    <x v="36"/>
    <s v="514300      "/>
    <s v="514300   REDAZIONE MILANO"/>
    <s v="GERVASIO                        "/>
    <s v="MARIA             "/>
    <s v="GRVMRA73H61C495I"/>
    <x v="0"/>
    <s v="34"/>
    <x v="0"/>
    <s v="01/04/2021"/>
    <s v="MILANO                 "/>
    <s v="85"/>
    <x v="4"/>
    <s v="G"/>
    <x v="3"/>
    <s v="RM2"/>
    <s v="RM2 REDATTORE MAGG. 30 MM     "/>
    <s v="01/02/2001"/>
    <s v="01/02/2001"/>
    <s v="21/06/1973"/>
    <s v="A"/>
    <s v="A.IN FORZA"/>
    <s v="1  -ASSUNZIONE                1"/>
    <s v=""/>
    <s v=" "/>
    <s v=""/>
    <s v=""/>
    <n v="336"/>
    <s v="00"/>
    <n v="100"/>
    <s v="FULL TIME      100000000FF100-FULL TIME"/>
    <s v="01/10/2020"/>
    <s v=""/>
    <s v="  "/>
    <s v=""/>
    <s v="GSS "/>
    <s v="L18 "/>
    <s v="MODA24"/>
    <s v="SIND.GIORN.        SINDACATO GIORNALISTI"/>
    <s v="marika.gervasio@ilsole24ore.com                   "/>
    <s v="E"/>
    <s v="E-ESENTE"/>
    <s v="2 "/>
    <s v="2=6 X 6"/>
    <s v="01/07/2025"/>
    <s v="TEMPO DETERMINATO"/>
    <s v="31/05/2027"/>
    <s v="0015000700                    "/>
    <s v=""/>
    <n v="52"/>
  </r>
  <r>
    <x v="0"/>
    <n v="2179"/>
    <s v="IL SOLE 24 ORE S.P.A.                   "/>
    <s v="K           "/>
    <s v="REDAZIONI GIORNALISTICHE"/>
    <s v="K03 "/>
    <x v="36"/>
    <s v="514300      "/>
    <s v="514300   REDAZIONE MILANO"/>
    <s v="GIAMMARIOLI                     "/>
    <s v="CLAUDIO           "/>
    <s v="GMMCLD74D24G478E"/>
    <x v="1"/>
    <s v="34"/>
    <x v="0"/>
    <s v="01/04/2021"/>
    <s v="MILANO                 "/>
    <s v="85"/>
    <x v="4"/>
    <s v="G"/>
    <x v="3"/>
    <s v="CS "/>
    <s v="CS CAPO SERVIZIO              "/>
    <s v="01/04/2007"/>
    <s v="01/04/2007"/>
    <s v="24/04/1974"/>
    <s v="A"/>
    <s v="A.IN FORZA"/>
    <s v="1  -ASSUNZIONE                1"/>
    <s v=""/>
    <s v=" "/>
    <s v=""/>
    <s v=""/>
    <n v="513"/>
    <s v="00"/>
    <n v="100"/>
    <s v="FULL TIME      100000000FF100-FULL TIME"/>
    <s v="01/04/2007"/>
    <s v=""/>
    <s v="  "/>
    <s v=""/>
    <s v="GSS "/>
    <s v="L02 "/>
    <s v="CAPOREDAZIONE"/>
    <s v=""/>
    <s v="claudio.giammarioli@ilsole24ore.com               "/>
    <s v="E"/>
    <s v="E-ESENTE"/>
    <s v="2 "/>
    <s v="2=6 X 6"/>
    <s v="01/07/2025"/>
    <s v="TEMPO DETERMINATO"/>
    <s v="31/05/2027"/>
    <s v="                              "/>
    <s v=""/>
    <n v="51"/>
  </r>
  <r>
    <x v="0"/>
    <n v="2010"/>
    <s v="IL SOLE 24 ORE S.P.A.                   "/>
    <s v="K           "/>
    <s v="REDAZIONI GIORNALISTICHE"/>
    <s v="K03 "/>
    <x v="36"/>
    <s v="514300      "/>
    <s v="514300   REDAZIONE MILANO"/>
    <s v="GRASSANI                        "/>
    <s v="ALBERTO           "/>
    <s v="GRSLRT70H22F205Q"/>
    <x v="1"/>
    <s v="34"/>
    <x v="0"/>
    <s v="01/04/2021"/>
    <s v="MILANO                 "/>
    <s v="85"/>
    <x v="4"/>
    <s v="G"/>
    <x v="3"/>
    <s v="CR "/>
    <s v="CR CAPO REDATTORE             "/>
    <s v="17/05/2004"/>
    <s v="17/05/2004"/>
    <s v="22/06/1970"/>
    <s v="A"/>
    <s v="A.IN FORZA"/>
    <s v="1  -ASSUNZIONE                1"/>
    <s v=""/>
    <s v=" "/>
    <s v=""/>
    <s v=""/>
    <n v="433"/>
    <s v="00"/>
    <n v="100"/>
    <s v="FULL TIME      100000000FF100-FULL TIME"/>
    <s v="17/05/2004"/>
    <s v=""/>
    <s v="  "/>
    <s v=""/>
    <s v="GSS "/>
    <s v="L03 "/>
    <s v="ECONOMIA E IMPRESE"/>
    <s v=""/>
    <s v="alberto.grassani@ilsole24ore.com                  "/>
    <s v="E"/>
    <s v="E-ESENTE"/>
    <s v="2 "/>
    <s v="2=6 X 6"/>
    <s v="01/07/2025"/>
    <s v="TEMPO DETERMINATO"/>
    <s v="31/05/2027"/>
    <s v="0015003154                    "/>
    <s v="TAMBURINI FABIO ANTONIO"/>
    <n v="55"/>
  </r>
  <r>
    <x v="0"/>
    <n v="683"/>
    <s v="IL SOLE 24 ORE S.P.A.                   "/>
    <s v="K           "/>
    <s v="REDAZIONI GIORNALISTICHE"/>
    <s v="K03 "/>
    <x v="36"/>
    <s v="514300      "/>
    <s v="514300   REDAZIONE MILANO"/>
    <s v="GRATTAGLIANO                    "/>
    <s v="FABIO             "/>
    <s v="GRTFBA69E22C975E"/>
    <x v="1"/>
    <s v="34"/>
    <x v="0"/>
    <s v="01/04/2021"/>
    <s v="MILANO                 "/>
    <s v="85"/>
    <x v="4"/>
    <s v="G"/>
    <x v="3"/>
    <s v="CS "/>
    <s v="CS CAPO SERVIZIO              "/>
    <s v="01/04/1993"/>
    <s v="01/04/1993"/>
    <s v="22/05/1969"/>
    <s v="A"/>
    <s v="A.IN FORZA"/>
    <s v="1  -ASSUNZIONE                1"/>
    <s v=""/>
    <s v=" "/>
    <s v=""/>
    <s v=""/>
    <n v="182"/>
    <s v="00"/>
    <n v="100"/>
    <s v="FULL TIME      100000000FF100-FULL TIME"/>
    <s v="01/04/1993"/>
    <s v=""/>
    <s v="  "/>
    <s v=""/>
    <s v="GSS "/>
    <s v="L08 "/>
    <s v="IMPRESA E TERRITORI"/>
    <s v=""/>
    <s v="fabio.grattagliano@ilsole24ore.com                "/>
    <s v="E"/>
    <s v="E-ESENTE"/>
    <s v="2 "/>
    <s v="2=6 X 6"/>
    <s v="01/07/2025"/>
    <s v="TEMPO DETERMINATO"/>
    <s v="31/05/2027"/>
    <s v="0015000700                    "/>
    <s v=""/>
    <n v="56"/>
  </r>
  <r>
    <x v="0"/>
    <n v="1269"/>
    <s v="IL SOLE 24 ORE S.P.A.                   "/>
    <s v="K           "/>
    <s v="REDAZIONI GIORNALISTICHE"/>
    <s v="K03 "/>
    <x v="36"/>
    <s v="514300      "/>
    <s v="514300   REDAZIONE MILANO"/>
    <s v="GRAZIANI                        "/>
    <s v="ALESSANDRO        "/>
    <s v="GRZLSN64P10D612J"/>
    <x v="1"/>
    <s v="34"/>
    <x v="0"/>
    <s v="01/04/2021"/>
    <s v="MILANO                 "/>
    <s v="85"/>
    <x v="4"/>
    <s v="G"/>
    <x v="3"/>
    <s v="CRV"/>
    <s v="CRV VICE CAPO REDATTORE       "/>
    <s v="05/07/1999"/>
    <s v="05/07/1999"/>
    <s v="10/09/1964"/>
    <s v="A"/>
    <s v="A.IN FORZA"/>
    <s v="1  -ASSUNZIONE                1"/>
    <s v=""/>
    <s v=" "/>
    <s v=""/>
    <s v=""/>
    <n v="270"/>
    <s v="00"/>
    <n v="100"/>
    <s v="FULL TIME      100000000FF100-FULL TIME"/>
    <s v="05/07/1999"/>
    <s v=""/>
    <s v="  "/>
    <s v=""/>
    <s v="GSS "/>
    <s v="L07 "/>
    <s v="FINANZA E MERCATI"/>
    <s v=""/>
    <s v="alessandro.graziani@ilsole24ore.com               "/>
    <s v="E"/>
    <s v="E-ESENTE"/>
    <s v="2 "/>
    <s v="2=6 X 6"/>
    <s v="01/07/2025"/>
    <s v="TEMPO DETERMINATO"/>
    <s v="31/05/2027"/>
    <s v="0015002010                    "/>
    <s v="GRASSANI ALBERTO"/>
    <n v="61"/>
  </r>
  <r>
    <x v="0"/>
    <n v="1493"/>
    <s v="IL SOLE 24 ORE S.P.A.                   "/>
    <s v="K           "/>
    <s v="REDAZIONI GIORNALISTICHE"/>
    <s v="K03 "/>
    <x v="36"/>
    <s v="514300      "/>
    <s v="514300   REDAZIONE MILANO"/>
    <s v="INCORVATI                       "/>
    <s v="LUCILLA           "/>
    <s v="NCRLLL64T47C632F"/>
    <x v="0"/>
    <s v="34"/>
    <x v="0"/>
    <s v="01/04/2021"/>
    <s v="MILANO                 "/>
    <s v="85"/>
    <x v="4"/>
    <s v="G"/>
    <x v="3"/>
    <s v="RM2"/>
    <s v="RM2 REDATTORE MAGG. 30 MM     "/>
    <s v="01/03/2000"/>
    <s v="01/03/2000"/>
    <s v="07/12/1964"/>
    <s v="A"/>
    <s v="A.IN FORZA"/>
    <s v="1  -ASSUNZIONE                1"/>
    <s v=""/>
    <s v=" "/>
    <s v=""/>
    <s v=""/>
    <n v="306"/>
    <s v="00"/>
    <n v="100"/>
    <s v="FULL TIME      100000000FF100-FULL TIME"/>
    <s v="01/12/2019"/>
    <s v=""/>
    <s v="  "/>
    <s v=""/>
    <s v="GSS "/>
    <s v="L09 "/>
    <s v="PLUS24"/>
    <s v="SIND.GIORN.        SINDACATO GIORNALISTI"/>
    <s v="lucilla.incorvati@ilsole24ore.com                 "/>
    <s v="E"/>
    <s v="E-ESENTE"/>
    <s v="3 "/>
    <s v="3=5 X 7"/>
    <s v="01/07/2025"/>
    <s v="TEMPO DETERMINATO"/>
    <s v="31/05/2027"/>
    <s v="0015000700                    "/>
    <s v=""/>
    <n v="61"/>
  </r>
  <r>
    <x v="0"/>
    <n v="924"/>
    <s v="IL SOLE 24 ORE S.P.A.                   "/>
    <s v="K           "/>
    <s v="REDAZIONI GIORNALISTICHE"/>
    <s v="K03 "/>
    <x v="36"/>
    <s v="514300      "/>
    <s v="514300   REDAZIONE MILANO"/>
    <s v="IOTTI                           "/>
    <s v="ROBERTO           "/>
    <s v="TTIRRT62C27C933O"/>
    <x v="1"/>
    <s v="34"/>
    <x v="0"/>
    <s v="01/04/2021"/>
    <s v="MILANO                 "/>
    <s v="85"/>
    <x v="4"/>
    <s v="G"/>
    <x v="3"/>
    <s v="AV "/>
    <s v="AV VICE DIRETTORE             "/>
    <s v="02/09/1996"/>
    <s v="02/09/1996"/>
    <s v="27/03/1962"/>
    <s v="A"/>
    <s v="A.IN FORZA"/>
    <s v="1  -ASSUNZIONE                1"/>
    <s v=""/>
    <s v=" "/>
    <s v=""/>
    <s v=""/>
    <n v="215"/>
    <s v="00"/>
    <n v="100"/>
    <s v="FULL TIME      100000000FF100-FULL TIME"/>
    <s v="02/09/1996"/>
    <s v=""/>
    <s v="  "/>
    <s v=""/>
    <s v="GSS "/>
    <s v="L02 "/>
    <s v="CAPOREDAZIONE"/>
    <s v=""/>
    <s v="roberto.iotti@ilsole24ore.com                     "/>
    <s v="E"/>
    <s v="E-ESENTE"/>
    <s v="3 "/>
    <s v="3=5 X 7"/>
    <s v=""/>
    <s v=""/>
    <s v=""/>
    <s v="0015003154                    "/>
    <s v="TAMBURINI FABIO ANTONIO"/>
    <n v="63"/>
  </r>
  <r>
    <x v="0"/>
    <n v="1090"/>
    <s v="IL SOLE 24 ORE S.P.A.                   "/>
    <s v="K           "/>
    <s v="REDAZIONI GIORNALISTICHE"/>
    <s v="K03 "/>
    <x v="36"/>
    <s v="514300      "/>
    <s v="514300   REDAZIONE MILANO"/>
    <s v="LA POSTA                        "/>
    <s v="LAURA             "/>
    <s v="LPSLRA69L59F839W"/>
    <x v="0"/>
    <s v="34"/>
    <x v="0"/>
    <s v="01/04/2021"/>
    <s v="MILANO                 "/>
    <s v="85"/>
    <x v="4"/>
    <s v="G"/>
    <x v="3"/>
    <s v="CR "/>
    <s v="CR CAPO REDATTORE             "/>
    <s v="04/12/1997"/>
    <s v="04/12/1997"/>
    <s v="19/07/1969"/>
    <s v="A"/>
    <s v="A.IN FORZA"/>
    <s v="1  -ASSUNZIONE                1"/>
    <s v=""/>
    <s v=" "/>
    <s v=""/>
    <s v=""/>
    <n v="236"/>
    <s v="00"/>
    <n v="100"/>
    <s v="FULL TIME      100000000FF100-FULL TIME"/>
    <s v="04/12/1997"/>
    <s v=""/>
    <s v="  "/>
    <s v=""/>
    <s v="GSS "/>
    <s v="L15 "/>
    <s v="RAPPORTI24"/>
    <s v="FIGEC CISAL        FIGEC CISAL"/>
    <s v="laura.laposta@ilsole24ore.com                     "/>
    <s v="E"/>
    <s v="E-ESENTE"/>
    <s v="2 "/>
    <s v="2=6 X 6"/>
    <s v="01/07/2025"/>
    <s v="TEMPO DETERMINATO"/>
    <s v="31/05/2027"/>
    <s v="0015000700                    "/>
    <s v=""/>
    <n v="56"/>
  </r>
  <r>
    <x v="0"/>
    <n v="2941"/>
    <s v="IL SOLE 24 ORE S.P.A.                   "/>
    <s v="K           "/>
    <s v="REDAZIONI GIORNALISTICHE"/>
    <s v="K03 "/>
    <x v="36"/>
    <s v="514300      "/>
    <s v="514300   REDAZIONE MILANO"/>
    <s v="LATOUR                          "/>
    <s v="GIUSEPPE          "/>
    <s v="LTRGPP81L27H703Z"/>
    <x v="1"/>
    <s v="34"/>
    <x v="0"/>
    <s v="01/04/2021"/>
    <s v="MILANO                 "/>
    <s v="85"/>
    <x v="4"/>
    <s v="G"/>
    <x v="3"/>
    <s v="RM2"/>
    <s v="RM2 REDATTORE MAGG. 30 MM     "/>
    <s v="24/01/2018"/>
    <s v="24/01/2018"/>
    <s v="27/07/1981"/>
    <s v="A"/>
    <s v="A.IN FORZA"/>
    <s v="1  -ASSUNZIONE                1"/>
    <s v=""/>
    <s v=" "/>
    <s v=""/>
    <s v=""/>
    <n v="2941"/>
    <s v="00"/>
    <n v="100"/>
    <s v="FULL TIME      100000000FF100-FULL TIME"/>
    <s v="24/01/2018"/>
    <s v=""/>
    <s v="  "/>
    <s v=""/>
    <s v="GBM "/>
    <s v="L05 "/>
    <s v="NORME E TRIBUTI"/>
    <s v=""/>
    <s v="giuseppe.latour@ilsole24ore.com                   "/>
    <s v="E"/>
    <s v="E-ESENTE"/>
    <s v="3 "/>
    <s v="3=5 X 7"/>
    <s v="01/07/2025"/>
    <s v="TEMPO DETERMINATO"/>
    <s v="31/05/2027"/>
    <s v="0015000739                    "/>
    <s v="DECESARI SEVERINA"/>
    <n v="44"/>
  </r>
  <r>
    <x v="0"/>
    <n v="1729"/>
    <s v="IL SOLE 24 ORE S.P.A.                   "/>
    <s v="K           "/>
    <s v="REDAZIONI GIORNALISTICHE"/>
    <s v="K03 "/>
    <x v="36"/>
    <s v="514300      "/>
    <s v="514300   REDAZIONE MILANO"/>
    <s v="LONGO                           "/>
    <s v="MORYA             "/>
    <s v="LNGMRY75T04F205O"/>
    <x v="1"/>
    <s v="34"/>
    <x v="0"/>
    <s v="01/04/2021"/>
    <s v="MILANO                 "/>
    <s v="85"/>
    <x v="4"/>
    <s v="G"/>
    <x v="3"/>
    <s v="CS "/>
    <s v="CS CAPO SERVIZIO              "/>
    <s v="01/02/2001"/>
    <s v="01/02/2001"/>
    <s v="04/12/1975"/>
    <s v="A"/>
    <s v="A.IN FORZA"/>
    <s v="1  -ASSUNZIONE                1"/>
    <s v=""/>
    <s v=" "/>
    <s v=""/>
    <s v=""/>
    <n v="334"/>
    <s v="00"/>
    <n v="100"/>
    <s v="FULL TIME      100000000FF100-FULL TIME"/>
    <s v="01/02/2001"/>
    <s v=""/>
    <s v="  "/>
    <s v=""/>
    <s v="GSS "/>
    <s v="L07 "/>
    <s v="FINANZA E MERCATI"/>
    <s v=""/>
    <s v="morya.longo@ilsole24ore.com                       "/>
    <s v="E"/>
    <s v="E-ESENTE"/>
    <s v="2 "/>
    <s v="2=6 X 6"/>
    <s v="01/07/2025"/>
    <s v="TEMPO DETERMINATO"/>
    <s v="31/05/2027"/>
    <s v="0015002010                    "/>
    <s v="GRASSANI ALBERTO"/>
    <n v="50"/>
  </r>
  <r>
    <x v="0"/>
    <n v="2140"/>
    <s v="IL SOLE 24 ORE S.P.A.                   "/>
    <s v="K           "/>
    <s v="REDAZIONI GIORNALISTICHE"/>
    <s v="K03 "/>
    <x v="36"/>
    <s v="514300      "/>
    <s v="514300   REDAZIONE MILANO"/>
    <s v="LOPS                            "/>
    <s v="VITO              "/>
    <s v="LPSVTI78H30A285Q"/>
    <x v="1"/>
    <s v="34"/>
    <x v="0"/>
    <s v="01/04/2021"/>
    <s v="MILANO                 "/>
    <s v="85"/>
    <x v="4"/>
    <s v="G"/>
    <x v="3"/>
    <s v="RM2"/>
    <s v="RM2 REDATTORE MAGG. 30 MM     "/>
    <s v="23/10/2006"/>
    <s v="23/10/2006"/>
    <s v="30/06/1978"/>
    <s v="A"/>
    <s v="A.IN FORZA"/>
    <s v="1  -ASSUNZIONE                1"/>
    <s v=""/>
    <s v=" "/>
    <s v=""/>
    <s v=""/>
    <n v="496"/>
    <s v="00"/>
    <n v="100"/>
    <s v="FULL TIME      100000000FF100-FULL TIME"/>
    <s v="23/10/2006"/>
    <s v=""/>
    <s v="  "/>
    <s v=""/>
    <s v="GSS "/>
    <s v="L07 "/>
    <s v="FINANZA E MERCATI"/>
    <s v=""/>
    <s v="vito.lops@ilsole24ore.com                         "/>
    <s v="E"/>
    <s v="E-ESENTE"/>
    <s v="3 "/>
    <s v="3=5 X 7"/>
    <s v="01/07/2025"/>
    <s v="TEMPO DETERMINATO"/>
    <s v="31/05/2027"/>
    <s v="0015002010                    "/>
    <s v="GRASSANI ALBERTO"/>
    <n v="47"/>
  </r>
  <r>
    <x v="0"/>
    <n v="1413"/>
    <s v="IL SOLE 24 ORE S.P.A.                   "/>
    <s v="K           "/>
    <s v="REDAZIONI GIORNALISTICHE"/>
    <s v="K03 "/>
    <x v="36"/>
    <s v="514300      "/>
    <s v="514300   REDAZIONE MILANO"/>
    <s v="MACIOCCHI                       "/>
    <s v="PATRIZIA          "/>
    <s v="MCCPRZ60C69H501K"/>
    <x v="0"/>
    <s v="31"/>
    <x v="1"/>
    <s v="25/05/2009"/>
    <s v="ROMA                   "/>
    <s v="85"/>
    <x v="4"/>
    <s v="G"/>
    <x v="3"/>
    <s v="RM2"/>
    <s v="RM2 REDATTORE MAGG. 30 MM     "/>
    <s v="01/03/1999"/>
    <s v="01/03/1999"/>
    <s v="29/03/1960"/>
    <s v="A"/>
    <s v="A.IN FORZA"/>
    <s v="1  -ASSUNZIONE                1"/>
    <s v=""/>
    <s v=" "/>
    <s v=""/>
    <s v=""/>
    <n v="289"/>
    <s v="00"/>
    <n v="100"/>
    <s v="FULL TIME      100000000FF100-FULL TIME"/>
    <s v="01/03/1999"/>
    <s v=""/>
    <s v="  "/>
    <s v=""/>
    <s v="GSS "/>
    <s v="L05 "/>
    <s v="NORME E TRIBUTI"/>
    <s v="SIND.GIORN.        SINDACATO GIORNALISTI"/>
    <s v="patrizia.maciocchi@ilsole24ore.com                "/>
    <s v="E"/>
    <s v="E-ESENTE"/>
    <s v="2 "/>
    <s v="2=6 X 6"/>
    <s v="01/07/2025"/>
    <s v="TEMPO DETERMINATO"/>
    <s v="31/05/2027"/>
    <s v="0015000739                    "/>
    <s v="DECESARI SEVERINA"/>
    <n v="65"/>
  </r>
  <r>
    <x v="0"/>
    <n v="2293"/>
    <s v="IL SOLE 24 ORE S.P.A.                   "/>
    <s v="K           "/>
    <s v="REDAZIONI GIORNALISTICHE"/>
    <s v="K03 "/>
    <x v="36"/>
    <s v="514300      "/>
    <s v="514300   REDAZIONE MILANO"/>
    <s v="MANCINI                         "/>
    <s v="GIOVANNA          "/>
    <s v="MNCGNN78E48L736W"/>
    <x v="0"/>
    <s v="34"/>
    <x v="0"/>
    <s v="01/04/2021"/>
    <s v="MILANO                 "/>
    <s v="85"/>
    <x v="4"/>
    <s v="G"/>
    <x v="3"/>
    <s v="RM2"/>
    <s v="RM2 REDATTORE MAGG. 30 MM     "/>
    <s v="02/05/2008"/>
    <s v="02/05/2008"/>
    <s v="08/05/1978"/>
    <s v="A"/>
    <s v="A.IN FORZA"/>
    <s v="1  -ASSUNZIONE                1"/>
    <s v=""/>
    <s v=" "/>
    <s v=""/>
    <s v=""/>
    <n v="551"/>
    <s v="00"/>
    <n v="100"/>
    <s v="FULL TIME      100000000FF100-FULL TIME"/>
    <s v="01/06/2020"/>
    <s v=""/>
    <s v="  "/>
    <s v=""/>
    <s v="GSS "/>
    <s v="L15 "/>
    <s v="RAPPORTI24"/>
    <s v="SIND.GIORN.        SINDACATO GIORNALISTI"/>
    <s v="giovanna.mancini@ilsole24ore.com                  "/>
    <s v="E"/>
    <s v="E-ESENTE"/>
    <s v="2 "/>
    <s v="2=6 X 6"/>
    <s v="01/07/2025"/>
    <s v="TEMPO DETERMINATO"/>
    <s v="31/05/2027"/>
    <s v="0015001979                    "/>
    <s v="DI PILLO LAURA"/>
    <n v="47"/>
  </r>
  <r>
    <x v="0"/>
    <n v="2081"/>
    <s v="IL SOLE 24 ORE S.P.A.                   "/>
    <s v="K           "/>
    <s v="REDAZIONI GIORNALISTICHE"/>
    <s v="K03 "/>
    <x v="36"/>
    <s v="514300      "/>
    <s v="514300   REDAZIONE MILANO"/>
    <s v="MANGANO                         "/>
    <s v="MARIGIA           "/>
    <s v="MNGMRG75R42A662H"/>
    <x v="0"/>
    <s v="34"/>
    <x v="0"/>
    <s v="01/04/2021"/>
    <s v="MILANO                 "/>
    <s v="85"/>
    <x v="4"/>
    <s v="G"/>
    <x v="3"/>
    <s v="RM2"/>
    <s v="RM2 REDATTORE MAGG. 30 MM     "/>
    <s v="01/09/2005"/>
    <s v="01/09/2005"/>
    <s v="02/10/1975"/>
    <s v="A"/>
    <s v="A.IN FORZA"/>
    <s v="1  -ASSUNZIONE                1"/>
    <s v=""/>
    <s v=" "/>
    <s v=""/>
    <s v=""/>
    <n v="479"/>
    <s v="00"/>
    <n v="100"/>
    <s v="FULL TIME      100000000FF100-FULL TIME"/>
    <s v="01/03/2020"/>
    <s v=""/>
    <s v="  "/>
    <s v=""/>
    <s v="GSS "/>
    <s v="L16 "/>
    <s v="INVIATI"/>
    <s v=""/>
    <s v="marigia.mangano@ilsole24ore.com                   "/>
    <s v="E"/>
    <s v="E-ESENTE"/>
    <s v="2 "/>
    <s v="2=6 X 6"/>
    <s v="01/03/2019"/>
    <s v=""/>
    <s v=""/>
    <s v="0015000700                    "/>
    <s v=""/>
    <n v="50"/>
  </r>
  <r>
    <x v="0"/>
    <n v="2634"/>
    <s v="IL SOLE 24 ORE S.P.A.                   "/>
    <s v="K           "/>
    <s v="REDAZIONI GIORNALISTICHE"/>
    <s v="K03 "/>
    <x v="36"/>
    <s v="514300      "/>
    <s v="514300   REDAZIONE MILANO"/>
    <s v="MASCIAGA                        "/>
    <s v="MARCO             "/>
    <s v="MSCMRC73P30E379Z"/>
    <x v="1"/>
    <s v="34"/>
    <x v="0"/>
    <s v="01/04/2021"/>
    <s v="MILANO                 "/>
    <s v="85"/>
    <x v="4"/>
    <s v="G"/>
    <x v="3"/>
    <s v="RM2"/>
    <s v="RM2 REDATTORE MAGG. 30 MM     "/>
    <s v="03/12/2012"/>
    <s v="03/12/2012"/>
    <s v="30/09/1973"/>
    <s v="A"/>
    <s v="A.IN FORZA"/>
    <s v="1  -ASSUNZIONE                1"/>
    <s v=""/>
    <s v=" "/>
    <s v=""/>
    <s v=""/>
    <n v="2634"/>
    <s v="00"/>
    <n v="100"/>
    <s v="FULL TIME      100000000FF100-FULL TIME"/>
    <s v="03/12/2012"/>
    <s v=""/>
    <s v="  "/>
    <s v=""/>
    <s v="GSS "/>
    <s v="L11 "/>
    <s v="COMMENTI E INCHIESTE"/>
    <s v="SIND.GIORN.        SINDACATO GIORNALISTI"/>
    <s v="marco.masciaga@ilsole24ore.com                    "/>
    <s v="E"/>
    <s v="E-ESENTE"/>
    <s v="7 "/>
    <s v="7=5 X 7.20"/>
    <s v="01/06/2023"/>
    <s v="TEMPO DETERMINATO"/>
    <s v="30/06/2024"/>
    <s v="0015000700                    "/>
    <s v=""/>
    <n v="52"/>
  </r>
  <r>
    <x v="0"/>
    <n v="2236"/>
    <s v="IL SOLE 24 ORE S.P.A.                   "/>
    <s v="K           "/>
    <s v="REDAZIONI GIORNALISTICHE"/>
    <s v="K03 "/>
    <x v="36"/>
    <s v="514300      "/>
    <s v="514300   REDAZIONE MILANO"/>
    <s v="MENEGHELLO                      "/>
    <s v="MATTEO            "/>
    <s v="MNGMTT76M13B157H"/>
    <x v="1"/>
    <s v="34"/>
    <x v="0"/>
    <s v="01/04/2021"/>
    <s v="MILANO                 "/>
    <s v="85"/>
    <x v="4"/>
    <s v="G"/>
    <x v="3"/>
    <s v="RM2"/>
    <s v="RM2 REDATTORE MAGG. 30 MM     "/>
    <s v="15/10/2007"/>
    <s v="15/10/2007"/>
    <s v="13/08/1976"/>
    <s v="A"/>
    <s v="A.IN FORZA"/>
    <s v="1  -ASSUNZIONE                1"/>
    <s v=""/>
    <s v=" "/>
    <s v=""/>
    <s v=""/>
    <n v="532"/>
    <s v="00"/>
    <n v="100"/>
    <s v="FULL TIME      100000000FF100-FULL TIME"/>
    <s v="15/10/2007"/>
    <s v=""/>
    <s v="  "/>
    <s v=""/>
    <s v="GSS "/>
    <s v="L07 "/>
    <s v="FINANZA E MERCATI"/>
    <s v=""/>
    <s v="matteo.meneghello@ilsole24ore.com                 "/>
    <s v="E"/>
    <s v="E-ESENTE"/>
    <s v="3 "/>
    <s v="3=5 X 7"/>
    <s v="01/07/2025"/>
    <s v="TEMPO DETERMINATO"/>
    <s v="31/05/2027"/>
    <s v="0015002010                    "/>
    <s v="GRASSANI ALBERTO"/>
    <n v="49"/>
  </r>
  <r>
    <x v="0"/>
    <n v="2071"/>
    <s v="IL SOLE 24 ORE S.P.A.                   "/>
    <s v="K           "/>
    <s v="REDAZIONI GIORNALISTICHE"/>
    <s v="K03 "/>
    <x v="36"/>
    <s v="514300      "/>
    <s v="514300   REDAZIONE MILANO"/>
    <s v="MICARDI                         "/>
    <s v="FEDERICA          "/>
    <s v="MCRFRC68L70F205X"/>
    <x v="0"/>
    <s v="34"/>
    <x v="0"/>
    <s v="01/04/2021"/>
    <s v="MILANO                 "/>
    <s v="85"/>
    <x v="4"/>
    <s v="G"/>
    <x v="3"/>
    <s v="RM2"/>
    <s v="RM2 REDATTORE MAGG. 30 MM     "/>
    <s v="01/06/2005"/>
    <s v="01/06/2005"/>
    <s v="30/07/1968"/>
    <s v="A"/>
    <s v="A.IN FORZA"/>
    <s v="1  -ASSUNZIONE                1"/>
    <s v=""/>
    <s v=" "/>
    <s v=""/>
    <s v=""/>
    <n v="468"/>
    <s v="00"/>
    <n v="100"/>
    <s v="FULL TIME      100000000FF100-FULL TIME"/>
    <s v="01/06/2005"/>
    <s v=""/>
    <s v="  "/>
    <s v=""/>
    <s v="GSS "/>
    <s v="L05 "/>
    <s v="NORME E TRIBUTI"/>
    <s v="SIND.GIORN.        SINDACATO GIORNALISTI"/>
    <s v="federica.micardi@ilsole24ore.com                  "/>
    <s v="E"/>
    <s v="E-ESENTE"/>
    <s v="2 "/>
    <s v="2=6 X 6"/>
    <s v="01/07/2025"/>
    <s v="TEMPO DETERMINATO"/>
    <s v="31/05/2027"/>
    <s v="0015000739                    "/>
    <s v="DECESARI SEVERINA"/>
    <n v="57"/>
  </r>
  <r>
    <x v="0"/>
    <n v="673"/>
    <s v="IL SOLE 24 ORE S.P.A.                   "/>
    <s v="K           "/>
    <s v="REDAZIONI GIORNALISTICHE"/>
    <s v="K03 "/>
    <x v="36"/>
    <s v="514300      "/>
    <s v="514300   REDAZIONE MILANO"/>
    <s v="MINCIOTTI                       "/>
    <s v="GUIDO             "/>
    <s v="MNCGDU67D26D969K"/>
    <x v="1"/>
    <s v="34"/>
    <x v="0"/>
    <s v="01/04/2021"/>
    <s v="MILANO                 "/>
    <s v="85"/>
    <x v="4"/>
    <s v="G"/>
    <x v="3"/>
    <s v="CS "/>
    <s v="CS CAPO SERVIZIO              "/>
    <s v="01/03/1993"/>
    <s v="01/03/1993"/>
    <s v="26/04/1967"/>
    <s v="A"/>
    <s v="A.IN FORZA"/>
    <s v="1  -ASSUNZIONE                1"/>
    <s v=""/>
    <s v=" "/>
    <s v=""/>
    <s v=""/>
    <n v="181"/>
    <s v="00"/>
    <n v="100"/>
    <s v="FULL TIME      100000000FF100-FULL TIME"/>
    <s v="01/03/1993"/>
    <s v=""/>
    <s v="  "/>
    <s v=""/>
    <s v="GSS "/>
    <s v="L06 "/>
    <s v="GRAFICI"/>
    <s v="NON ISCRITTO       NON ISCRITTO"/>
    <s v="guido.minciotti@ilsole24ore.com                   "/>
    <s v="E"/>
    <s v="E-ESENTE"/>
    <s v="2 "/>
    <s v="2=6 X 6"/>
    <s v="01/07/2025"/>
    <s v="TEMPO DETERMINATO"/>
    <s v="31/05/2027"/>
    <s v="0015000700                    "/>
    <s v=""/>
    <n v="58"/>
  </r>
  <r>
    <x v="0"/>
    <n v="441"/>
    <s v="IL SOLE 24 ORE S.P.A.                   "/>
    <s v="K           "/>
    <s v="REDAZIONI GIORNALISTICHE"/>
    <s v="K03 "/>
    <x v="36"/>
    <s v="514300      "/>
    <s v="514300   REDAZIONE MILANO"/>
    <s v="MIRAGLIA                        "/>
    <s v="ROBERTA           "/>
    <s v="MRGRRT64T42B157D"/>
    <x v="0"/>
    <s v="34"/>
    <x v="0"/>
    <s v="01/04/2021"/>
    <s v="MILANO                 "/>
    <s v="85"/>
    <x v="4"/>
    <s v="G"/>
    <x v="3"/>
    <s v="CRV"/>
    <s v="CRV VICE CAPO REDATTORE       "/>
    <s v="02/10/1989"/>
    <s v="02/10/1989"/>
    <s v="02/12/1964"/>
    <s v="A"/>
    <s v="A.IN FORZA"/>
    <s v="1  -ASSUNZIONE                1"/>
    <s v=""/>
    <s v=" "/>
    <s v=""/>
    <s v=""/>
    <n v="121"/>
    <s v="00"/>
    <n v="100"/>
    <s v="FULL TIME      100000000FF100-FULL TIME"/>
    <s v="02/10/1989"/>
    <s v=""/>
    <s v="  "/>
    <s v=""/>
    <s v="GSS "/>
    <s v="L10 "/>
    <s v="ESTERI EUROPA-MONDO"/>
    <s v="NON ISCRITTO       NON ISCRITTO"/>
    <s v="roberta.miraglia@ilsole24ore.com                  "/>
    <s v="E"/>
    <s v="E-ESENTE"/>
    <s v="2 "/>
    <s v="2=6 X 6"/>
    <s v="01/07/2025"/>
    <s v="TEMPO DETERMINATO"/>
    <s v="31/05/2027"/>
    <s v="0015000700                    "/>
    <s v=""/>
    <n v="61"/>
  </r>
  <r>
    <x v="0"/>
    <n v="649"/>
    <s v="IL SOLE 24 ORE S.P.A.                   "/>
    <s v="K           "/>
    <s v="REDAZIONI GIORNALISTICHE"/>
    <s v="K03 "/>
    <x v="36"/>
    <s v="514300      "/>
    <s v="514300   REDAZIONE MILANO"/>
    <s v="MISSIERI                        "/>
    <s v="ANTONIO           "/>
    <s v="MSSNTN68B13G535Y"/>
    <x v="1"/>
    <s v="34"/>
    <x v="0"/>
    <s v="01/04/2021"/>
    <s v="MILANO                 "/>
    <s v="85"/>
    <x v="4"/>
    <s v="G"/>
    <x v="3"/>
    <s v="CS "/>
    <s v="CS CAPO SERVIZIO              "/>
    <s v="04/01/1993"/>
    <s v="04/01/1993"/>
    <s v="13/02/1968"/>
    <s v="A"/>
    <s v="A.IN FORZA"/>
    <s v="1  -ASSUNZIONE                1"/>
    <s v=""/>
    <s v=" "/>
    <s v=""/>
    <s v=""/>
    <n v="177"/>
    <s v="00"/>
    <n v="100"/>
    <s v="FULL TIME      100000000FF100-FULL TIME"/>
    <s v="04/01/1993"/>
    <s v=""/>
    <s v="  "/>
    <s v=""/>
    <s v="GSS "/>
    <s v="L06 "/>
    <s v="GRAFICI"/>
    <s v="SIND.GIORN.        SINDACATO GIORNALISTI"/>
    <s v="antonio.missieri@ilsole24ore.com                  "/>
    <s v="E"/>
    <s v="E-ESENTE"/>
    <s v="2 "/>
    <s v="2=6 X 6"/>
    <s v="01/07/2025"/>
    <s v="TEMPO DETERMINATO"/>
    <s v="31/05/2027"/>
    <s v="0015000700                    "/>
    <s v=""/>
    <n v="57"/>
  </r>
  <r>
    <x v="0"/>
    <n v="2242"/>
    <s v="IL SOLE 24 ORE S.P.A.                   "/>
    <s v="K           "/>
    <s v="REDAZIONI GIORNALISTICHE"/>
    <s v="K03 "/>
    <x v="36"/>
    <s v="514300      "/>
    <s v="514300   REDAZIONE MILANO"/>
    <s v="MONACI                          "/>
    <s v="SARA              "/>
    <s v="MNCSRA77P69E202A"/>
    <x v="0"/>
    <s v="34"/>
    <x v="0"/>
    <s v="01/04/2021"/>
    <s v="MILANO                 "/>
    <s v="85"/>
    <x v="4"/>
    <s v="G"/>
    <x v="3"/>
    <s v="RM2"/>
    <s v="RM2 REDATTORE MAGG. 30 MM     "/>
    <s v="22/10/2007"/>
    <s v="22/10/2007"/>
    <s v="29/09/1977"/>
    <s v="A"/>
    <s v="A.IN FORZA"/>
    <s v="1  -ASSUNZIONE                1"/>
    <s v=""/>
    <s v=" "/>
    <s v=""/>
    <s v=""/>
    <n v="536"/>
    <s v="00"/>
    <n v="100"/>
    <s v="FULL TIME      100000000FF100-FULL TIME"/>
    <s v="22/10/2007"/>
    <s v=""/>
    <s v="  "/>
    <s v=""/>
    <s v="GSS "/>
    <s v="L08 "/>
    <s v="IMPRESA E TERRITORI"/>
    <s v="SIND.GIORN.        SINDACATO GIORNALISTI"/>
    <s v="sara.monaci@ilsole24ore.com                       "/>
    <s v="E"/>
    <s v="E-ESENTE"/>
    <s v="3 "/>
    <s v="3=5 X 7"/>
    <s v="01/07/2025"/>
    <s v="TEMPO DETERMINATO"/>
    <s v="31/05/2027"/>
    <s v="0015001979                    "/>
    <s v="DI PILLO LAURA"/>
    <n v="48"/>
  </r>
  <r>
    <x v="0"/>
    <n v="1883"/>
    <s v="IL SOLE 24 ORE S.P.A.                   "/>
    <s v="K           "/>
    <s v="REDAZIONI GIORNALISTICHE"/>
    <s v="K03 "/>
    <x v="36"/>
    <s v="514300      "/>
    <s v="514300   REDAZIONE MILANO"/>
    <s v="MONTI                           "/>
    <s v="MARA              "/>
    <s v="MNTMRA62B68A944L"/>
    <x v="0"/>
    <s v="34"/>
    <x v="0"/>
    <s v="01/04/2021"/>
    <s v="MILANO                 "/>
    <s v="85"/>
    <x v="4"/>
    <s v="G"/>
    <x v="3"/>
    <s v="RM2"/>
    <s v="RM2 REDATTORE MAGG. 30 MM     "/>
    <s v="01/05/2002"/>
    <s v="01/05/2002"/>
    <s v="28/02/1962"/>
    <s v="A"/>
    <s v="A.IN FORZA"/>
    <s v="1  -ASSUNZIONE                1"/>
    <s v=""/>
    <s v=" "/>
    <s v=""/>
    <s v=""/>
    <n v="364"/>
    <s v="00"/>
    <n v="100"/>
    <s v="FULL TIME      100000000FF100-FULL TIME"/>
    <s v="01/09/2019"/>
    <s v=""/>
    <s v="  "/>
    <s v=""/>
    <s v="GSS "/>
    <s v="L07 "/>
    <s v="FINANZA E MERCATI"/>
    <s v=""/>
    <s v="mara.monti@ilsole24ore.com                        "/>
    <s v="E"/>
    <s v="E-ESENTE"/>
    <s v="2 "/>
    <s v="2=6 X 6"/>
    <s v="01/07/2025"/>
    <s v="TEMPO DETERMINATO"/>
    <s v="31/05/2027"/>
    <s v="0015002010                    "/>
    <s v="GRASSANI ALBERTO"/>
    <n v="63"/>
  </r>
  <r>
    <x v="0"/>
    <n v="465"/>
    <s v="IL SOLE 24 ORE S.P.A.                   "/>
    <s v="K           "/>
    <s v="REDAZIONI GIORNALISTICHE"/>
    <s v="K03 "/>
    <x v="36"/>
    <s v="514300      "/>
    <s v="514300   REDAZIONE MILANO"/>
    <s v="MORINO                          "/>
    <s v="MARCO VITTORIO    "/>
    <s v="MRNMCV63S23H570E"/>
    <x v="1"/>
    <s v="34"/>
    <x v="0"/>
    <s v="01/04/2021"/>
    <s v="MILANO                 "/>
    <s v="85"/>
    <x v="4"/>
    <s v="G"/>
    <x v="3"/>
    <s v="CRV"/>
    <s v="CRV VICE CAPO REDATTORE       "/>
    <s v="01/02/1990"/>
    <s v="01/02/1990"/>
    <s v="23/11/1963"/>
    <s v="A"/>
    <s v="A.IN FORZA"/>
    <s v="1  -ASSUNZIONE                1"/>
    <s v=""/>
    <s v=" "/>
    <s v=""/>
    <s v=""/>
    <n v="134"/>
    <s v="00"/>
    <n v="100"/>
    <s v="FULL TIME      100000000FF100-FULL TIME"/>
    <s v="01/02/1990"/>
    <s v=""/>
    <s v="  "/>
    <s v=""/>
    <s v="GSS "/>
    <s v="L15 "/>
    <s v="RAPPORTI24"/>
    <s v="SIND.GIORN.        SINDACATO GIORNALISTI"/>
    <s v="marco.morino@ilsole24ore.com                      "/>
    <s v="E"/>
    <s v="E-ESENTE"/>
    <s v="2 "/>
    <s v="2=6 X 6"/>
    <s v="01/07/2025"/>
    <s v="TEMPO DETERMINATO"/>
    <s v="31/05/2027"/>
    <s v="0015000700                    "/>
    <s v=""/>
    <n v="62"/>
  </r>
  <r>
    <x v="0"/>
    <n v="823"/>
    <s v="IL SOLE 24 ORE S.P.A.                   "/>
    <s v="K           "/>
    <s v="REDAZIONI GIORNALISTICHE"/>
    <s v="K03 "/>
    <x v="36"/>
    <s v="514300      "/>
    <s v="514300   REDAZIONE MILANO"/>
    <s v="NARRACCI                        "/>
    <s v="FRANCESCO         "/>
    <s v="NRRFNC66H28C975S"/>
    <x v="1"/>
    <s v="34"/>
    <x v="0"/>
    <s v="01/04/2021"/>
    <s v="MILANO                 "/>
    <s v="85"/>
    <x v="4"/>
    <s v="G"/>
    <x v="3"/>
    <s v="CR "/>
    <s v="CR CAPO REDATTORE             "/>
    <s v="01/01/1995"/>
    <s v="01/10/1993"/>
    <s v="28/06/1966"/>
    <s v="A"/>
    <s v="A.IN FORZA"/>
    <s v="1  -ASSUNZIONE                1"/>
    <s v=""/>
    <s v=" "/>
    <s v=""/>
    <s v=""/>
    <n v="200"/>
    <s v="00"/>
    <n v="100"/>
    <s v="FULL TIME      100000000FF100-FULL TIME"/>
    <s v="01/01/1995"/>
    <s v=""/>
    <s v="  "/>
    <s v=""/>
    <s v="GSS "/>
    <s v="L06 "/>
    <s v="GRAFICI"/>
    <s v=""/>
    <s v="francesco.narracci@ilsole24ore.com                "/>
    <s v="E"/>
    <s v="E-ESENTE"/>
    <s v="2 "/>
    <s v="2=6 X 6"/>
    <s v="01/07/2025"/>
    <s v="TEMPO DETERMINATO"/>
    <s v="31/05/2027"/>
    <s v="0015000700                    "/>
    <s v=""/>
    <n v="59"/>
  </r>
  <r>
    <x v="0"/>
    <n v="997"/>
    <s v="IL SOLE 24 ORE S.P.A.                   "/>
    <s v="K           "/>
    <s v="REDAZIONI GIORNALISTICHE"/>
    <s v="K03 "/>
    <x v="36"/>
    <s v="514300      "/>
    <s v="514300   REDAZIONE MILANO"/>
    <s v="NASO                            "/>
    <s v="GESUELE           "/>
    <s v="NSAGSL67M05H224O"/>
    <x v="1"/>
    <s v="34"/>
    <x v="0"/>
    <s v="01/04/2021"/>
    <s v="MILANO                 "/>
    <s v="85"/>
    <x v="4"/>
    <s v="G"/>
    <x v="3"/>
    <s v="CR "/>
    <s v="CR CAPO REDATTORE             "/>
    <s v="01/02/1997"/>
    <s v="01/02/1997"/>
    <s v="05/08/1967"/>
    <s v="A"/>
    <s v="A.IN FORZA"/>
    <s v="1  -ASSUNZIONE                1"/>
    <s v=""/>
    <s v=" "/>
    <s v=""/>
    <s v=""/>
    <n v="225"/>
    <s v="00"/>
    <n v="100"/>
    <s v="FULL TIME      100000000FF100-FULL TIME"/>
    <s v="01/02/1997"/>
    <s v=""/>
    <s v="  "/>
    <s v=""/>
    <s v="GSS "/>
    <s v="L15 "/>
    <s v="RAPPORTI24"/>
    <s v="SIND.GIORN.        SINDACATO GIORNALISTI"/>
    <s v="lello.naso@ilsole24ore.com                        "/>
    <s v="E"/>
    <s v="E-ESENTE"/>
    <s v="3 "/>
    <s v="3=5 X 7"/>
    <s v=""/>
    <s v=""/>
    <s v=""/>
    <s v="0015000700                    "/>
    <s v=""/>
    <n v="58"/>
  </r>
  <r>
    <x v="0"/>
    <n v="616"/>
    <s v="IL SOLE 24 ORE S.P.A.                   "/>
    <s v="K           "/>
    <s v="REDAZIONI GIORNALISTICHE"/>
    <s v="K03 "/>
    <x v="36"/>
    <s v="514300      "/>
    <s v="514300   REDAZIONE MILANO"/>
    <s v="NEGRI                           "/>
    <s v="GIOVANNI          "/>
    <s v="NGRGNN65M08F205X"/>
    <x v="1"/>
    <s v="34"/>
    <x v="0"/>
    <s v="01/04/2021"/>
    <s v="MILANO                 "/>
    <s v="85"/>
    <x v="4"/>
    <s v="G"/>
    <x v="3"/>
    <s v="CS "/>
    <s v="CS CAPO SERVIZIO              "/>
    <s v="01/04/1992"/>
    <s v="01/04/1992"/>
    <s v="08/08/1965"/>
    <s v="A"/>
    <s v="A.IN FORZA"/>
    <s v="1  -ASSUNZIONE                1"/>
    <s v=""/>
    <s v=" "/>
    <s v=""/>
    <s v=""/>
    <n v="174"/>
    <s v="00"/>
    <n v="100"/>
    <s v="FULL TIME      100000000FF100-FULL TIME"/>
    <s v="01/04/1992"/>
    <s v=""/>
    <s v="  "/>
    <s v=""/>
    <s v="GSS "/>
    <s v="L05 "/>
    <s v="NORME E TRIBUTI"/>
    <s v="SIND.GIORN.        SINDACATO GIORNALISTI"/>
    <s v="giovanni.negri@ilsole24ore.com                    "/>
    <s v="E"/>
    <s v="E-ESENTE"/>
    <s v="2 "/>
    <s v="2=6 X 6"/>
    <s v="01/07/2025"/>
    <s v="TEMPO DETERMINATO"/>
    <s v="31/05/2027"/>
    <s v="0015000739                    "/>
    <s v="DECESARI SEVERINA"/>
    <n v="60"/>
  </r>
  <r>
    <x v="0"/>
    <n v="1514"/>
    <s v="IL SOLE 24 ORE S.P.A.                   "/>
    <s v="K           "/>
    <s v="REDAZIONI GIORNALISTICHE"/>
    <s v="K03 "/>
    <x v="36"/>
    <s v="514300      "/>
    <s v="514300   REDAZIONE MILANO"/>
    <s v="NETTI                           "/>
    <s v="ENRICO CAIO MAURO "/>
    <s v="NTTNCC59S09F205V"/>
    <x v="1"/>
    <s v="34"/>
    <x v="0"/>
    <s v="01/04/2021"/>
    <s v="MILANO                 "/>
    <s v="85"/>
    <x v="4"/>
    <s v="G"/>
    <x v="3"/>
    <s v="RM2"/>
    <s v="RM2 REDATTORE MAGG. 30 MM     "/>
    <s v="03/04/2000"/>
    <s v="03/04/2000"/>
    <s v="09/11/1959"/>
    <s v="A"/>
    <s v="A.IN FORZA"/>
    <s v="1  -ASSUNZIONE                1"/>
    <s v=""/>
    <s v=" "/>
    <s v=""/>
    <s v=""/>
    <n v="312"/>
    <s v="00"/>
    <n v="100"/>
    <s v="FULL TIME      100000000FF100-FULL TIME"/>
    <s v="03/04/2000"/>
    <s v=""/>
    <s v="  "/>
    <s v=""/>
    <s v="GSS "/>
    <s v="L03 "/>
    <s v="ECONOMIA E IMPRESE"/>
    <s v=""/>
    <s v="enrico.netti@ilsole24ore.com                      "/>
    <s v="E"/>
    <s v="E-ESENTE"/>
    <s v="3 "/>
    <s v="3=5 X 7"/>
    <s v="01/07/2025"/>
    <s v="TEMPO DETERMINATO"/>
    <s v="31/05/2027"/>
    <s v="0015001979                    "/>
    <s v="DI PILLO LAURA"/>
    <n v="66"/>
  </r>
  <r>
    <x v="0"/>
    <n v="398"/>
    <s v="IL SOLE 24 ORE S.P.A.                   "/>
    <s v="K           "/>
    <s v="REDAZIONI GIORNALISTICHE"/>
    <s v="K03 "/>
    <x v="36"/>
    <s v="514300      "/>
    <s v="514300   REDAZIONE MILANO"/>
    <s v="OLIVIERI                        "/>
    <s v="ANTONELLA         "/>
    <s v="LVRNNL60A44F205Z"/>
    <x v="0"/>
    <s v="34"/>
    <x v="0"/>
    <s v="01/04/2021"/>
    <s v="MILANO                 "/>
    <s v="85"/>
    <x v="4"/>
    <s v="G"/>
    <x v="3"/>
    <s v="CS "/>
    <s v="CS CAPO SERVIZIO              "/>
    <s v="16/01/1989"/>
    <s v="16/01/1989"/>
    <s v="04/01/1960"/>
    <s v="A"/>
    <s v="A.IN FORZA"/>
    <s v="1  -ASSUNZIONE                1"/>
    <s v=""/>
    <s v=" "/>
    <s v=""/>
    <s v=""/>
    <n v="109"/>
    <s v="00"/>
    <n v="100"/>
    <s v="FULL TIME      100000000FF100-FULL TIME"/>
    <s v="16/01/1989"/>
    <s v=""/>
    <s v="  "/>
    <s v=""/>
    <s v="GSS "/>
    <s v="L16 "/>
    <s v="INVIATI"/>
    <s v="SIND.GIORN.        SINDACATO GIORNALISTI"/>
    <s v="antonella.olivieri@ilsole24ore.com                "/>
    <s v="E"/>
    <s v="E-ESENTE"/>
    <s v="7 "/>
    <s v="7=5 X 7.20"/>
    <s v=""/>
    <s v=""/>
    <s v=""/>
    <s v="0015000700                    "/>
    <s v=""/>
    <n v="66"/>
  </r>
  <r>
    <x v="0"/>
    <n v="2060"/>
    <s v="IL SOLE 24 ORE S.P.A.                   "/>
    <s v="K           "/>
    <s v="REDAZIONI GIORNALISTICHE"/>
    <s v="K03 "/>
    <x v="36"/>
    <s v="514300      "/>
    <s v="514300   REDAZIONE MILANO"/>
    <s v="ORLANDO                         "/>
    <s v="LUCA ENRICO       "/>
    <s v="RLNLNR66A09F205X"/>
    <x v="1"/>
    <s v="34"/>
    <x v="0"/>
    <s v="01/04/2021"/>
    <s v="MILANO                 "/>
    <s v="85"/>
    <x v="4"/>
    <s v="G"/>
    <x v="3"/>
    <s v="CR "/>
    <s v="CR CAPO REDATTORE             "/>
    <s v="01/03/2005"/>
    <s v="01/03/2005"/>
    <s v="09/01/1966"/>
    <s v="A"/>
    <s v="A.IN FORZA"/>
    <s v="1  -ASSUNZIONE                1"/>
    <s v=""/>
    <s v=" "/>
    <s v=""/>
    <s v=""/>
    <n v="458"/>
    <s v="00"/>
    <n v="100"/>
    <s v="FULL TIME      100000000FF100-FULL TIME"/>
    <s v="01/03/2005"/>
    <s v=""/>
    <s v="  "/>
    <s v=""/>
    <s v="GSS "/>
    <s v="L16 "/>
    <s v="INVIATI"/>
    <s v="SIND.GIORN.        SINDACATO GIORNALISTI"/>
    <s v="luca.orlando@ilsole24ore.com                      "/>
    <s v="E"/>
    <s v="E-ESENTE"/>
    <s v="2 "/>
    <s v="2=6 X 6"/>
    <s v=""/>
    <s v=""/>
    <s v=""/>
    <s v="0015000700                    "/>
    <s v=""/>
    <n v="60"/>
  </r>
  <r>
    <x v="0"/>
    <n v="1998"/>
    <s v="IL SOLE 24 ORE S.P.A.                   "/>
    <s v="K           "/>
    <s v="REDAZIONI GIORNALISTICHE"/>
    <s v="K03 "/>
    <x v="36"/>
    <s v="514300      "/>
    <s v="514300   REDAZIONE MILANO"/>
    <s v="PATERNOSTER                     "/>
    <s v="MADDALENA         "/>
    <s v="PTRMDL77D47A662I"/>
    <x v="0"/>
    <s v="34"/>
    <x v="0"/>
    <s v="01/04/2021"/>
    <s v="MILANO                 "/>
    <s v="85"/>
    <x v="4"/>
    <s v="G"/>
    <x v="3"/>
    <s v="RM2"/>
    <s v="RM2 REDATTORE MAGG. 30 MM     "/>
    <s v="05/02/2004"/>
    <s v="05/02/2004"/>
    <s v="07/04/1977"/>
    <s v="A"/>
    <s v="A.IN FORZA"/>
    <s v="1  -ASSUNZIONE                1"/>
    <s v=""/>
    <s v=" "/>
    <s v=""/>
    <s v=""/>
    <n v="424"/>
    <s v="00"/>
    <n v="100"/>
    <s v="FULL TIME      100000000FF100-FULL TIME"/>
    <s v="05/02/2004"/>
    <s v=""/>
    <s v="  "/>
    <s v=""/>
    <s v="GBM "/>
    <s v="L06 "/>
    <s v="GRAFICI"/>
    <s v=""/>
    <s v="madda.paternoster@ilsole24ore.com                 "/>
    <s v="E"/>
    <s v="E-ESENTE"/>
    <s v="1 "/>
    <s v="1=5 X 8"/>
    <s v="01/07/2025"/>
    <s v="TEMPO DETERMINATO"/>
    <s v="31/05/2027"/>
    <s v="0015000700                    "/>
    <s v=""/>
    <n v="48"/>
  </r>
  <r>
    <x v="0"/>
    <n v="1668"/>
    <s v="IL SOLE 24 ORE S.P.A.                   "/>
    <s v="K           "/>
    <s v="REDAZIONI GIORNALISTICHE"/>
    <s v="K03 "/>
    <x v="36"/>
    <s v="514300      "/>
    <s v="514300   REDAZIONE MILANO"/>
    <s v="PEZZATTI                        "/>
    <s v="FEDERICA          "/>
    <s v="PZZFRC69T61F205D"/>
    <x v="0"/>
    <s v="34"/>
    <x v="0"/>
    <s v="01/04/2021"/>
    <s v="MILANO                 "/>
    <s v="85"/>
    <x v="4"/>
    <s v="G"/>
    <x v="3"/>
    <s v="RM2"/>
    <s v="RM2 REDATTORE MAGG. 30 MM     "/>
    <s v="02/11/2000"/>
    <s v="02/11/2000"/>
    <s v="21/12/1969"/>
    <s v="A"/>
    <s v="A.IN FORZA"/>
    <s v="1  -ASSUNZIONE                1"/>
    <s v=""/>
    <s v=" "/>
    <s v=""/>
    <s v=""/>
    <n v="323"/>
    <s v="00"/>
    <n v="100"/>
    <s v="FULL TIME      100000000FF100-FULL TIME"/>
    <s v="02/11/2000"/>
    <s v=""/>
    <s v="  "/>
    <s v=""/>
    <s v="GSS "/>
    <s v="L09 "/>
    <s v="PLUS24"/>
    <s v="SIND.GIORN.        SINDACATO GIORNALISTI"/>
    <s v="federica.pezzatti@ilsole24ore.com                 "/>
    <s v="E"/>
    <s v="E-ESENTE"/>
    <s v="2 "/>
    <s v="2=6 X 6"/>
    <s v="01/07/2025"/>
    <s v="TEMPO DETERMINATO"/>
    <s v="31/05/2027"/>
    <s v="0015000700                    "/>
    <s v=""/>
    <n v="56"/>
  </r>
  <r>
    <x v="0"/>
    <n v="2180"/>
    <s v="IL SOLE 24 ORE S.P.A.                   "/>
    <s v="K           "/>
    <s v="REDAZIONI GIORNALISTICHE"/>
    <s v="K03 "/>
    <x v="36"/>
    <s v="514300      "/>
    <s v="514300   REDAZIONE MILANO"/>
    <s v="PIGNATELLI                      "/>
    <s v="MICHELE           "/>
    <s v="PGNMHL70C03L872K"/>
    <x v="1"/>
    <s v="34"/>
    <x v="0"/>
    <s v="01/04/2021"/>
    <s v="MILANO                 "/>
    <s v="85"/>
    <x v="4"/>
    <s v="G"/>
    <x v="3"/>
    <s v="CS "/>
    <s v="CS CAPO SERVIZIO              "/>
    <s v="01/04/2007"/>
    <s v="01/04/2007"/>
    <s v="03/03/1970"/>
    <s v="A"/>
    <s v="A.IN FORZA"/>
    <s v="1  -ASSUNZIONE                1"/>
    <s v=""/>
    <s v=" "/>
    <s v=""/>
    <s v=""/>
    <n v="514"/>
    <s v="00"/>
    <n v="100"/>
    <s v="FULL TIME      100000000FF100-FULL TIME"/>
    <s v="01/04/2007"/>
    <s v=""/>
    <s v="  "/>
    <s v=""/>
    <s v="GSS "/>
    <s v="L10 "/>
    <s v="ESTERI EUROPA-MONDO"/>
    <s v="SIND.GIORN.        SINDACATO GIORNALISTI"/>
    <s v="michele.pignatelli@ilsole24ore.com                "/>
    <s v="E"/>
    <s v="E-ESENTE"/>
    <s v="2 "/>
    <s v="2=6 X 6"/>
    <s v="01/07/2025"/>
    <s v="TEMPO DETERMINATO"/>
    <s v="31/05/2027"/>
    <s v="0015000700                    "/>
    <s v=""/>
    <n v="55"/>
  </r>
  <r>
    <x v="0"/>
    <n v="1867"/>
    <s v="IL SOLE 24 ORE S.P.A.                   "/>
    <s v="K           "/>
    <s v="REDAZIONI GIORNALISTICHE"/>
    <s v="K03 "/>
    <x v="36"/>
    <s v="514300      "/>
    <s v="514300   REDAZIONE MILANO"/>
    <s v="PIRRELLI                        "/>
    <s v="MARILENA          "/>
    <s v="PRRMLN63R45A662W"/>
    <x v="0"/>
    <s v="34"/>
    <x v="0"/>
    <s v="01/04/2021"/>
    <s v="MILANO                 "/>
    <s v="85"/>
    <x v="4"/>
    <s v="G"/>
    <x v="3"/>
    <s v="CSV"/>
    <s v="CSV VICE CAPO SERVIZIO        "/>
    <s v="04/02/2002"/>
    <s v="04/02/2002"/>
    <s v="05/10/1963"/>
    <s v="A"/>
    <s v="A.IN FORZA"/>
    <s v="1  -ASSUNZIONE                1"/>
    <s v=""/>
    <s v=" "/>
    <s v=""/>
    <s v=""/>
    <n v="361"/>
    <s v="00"/>
    <n v="100"/>
    <s v="FULL TIME      100000000FF100-FULL TIME"/>
    <s v="01/02/2019"/>
    <s v=""/>
    <s v="05"/>
    <s v="INVALIDI CIVILI"/>
    <s v="GSS "/>
    <s v="L09 "/>
    <s v="PLUS24"/>
    <s v="SIND.GIORN.        SINDACATO GIORNALISTI"/>
    <s v="marilena.pirrelli@ilsole24ore.com                 "/>
    <s v="E"/>
    <s v="E-ESENTE"/>
    <s v="3 "/>
    <s v="3=5 X 7"/>
    <s v="01/07/2025"/>
    <s v="TEMPO DETERMINATO"/>
    <s v="31/05/2027"/>
    <s v="0015000700                    "/>
    <s v=""/>
    <n v="62"/>
  </r>
  <r>
    <x v="0"/>
    <n v="1969"/>
    <s v="IL SOLE 24 ORE S.P.A.                   "/>
    <s v="K           "/>
    <s v="REDAZIONI GIORNALISTICHE"/>
    <s v="K03 "/>
    <x v="36"/>
    <s v="514300      "/>
    <s v="514300   REDAZIONE MILANO"/>
    <s v="PIZZIN                          "/>
    <s v="MAURO             "/>
    <s v="PZZMRA63R10L424A"/>
    <x v="1"/>
    <s v="34"/>
    <x v="0"/>
    <s v="01/04/2021"/>
    <s v="MILANO                 "/>
    <s v="85"/>
    <x v="4"/>
    <s v="G"/>
    <x v="3"/>
    <s v="RM2"/>
    <s v="RM2 REDATTORE MAGG. 30 MM     "/>
    <s v="01/09/2003"/>
    <s v="01/09/2003"/>
    <s v="10/10/1963"/>
    <s v="A"/>
    <s v="A.IN FORZA"/>
    <s v="1  -ASSUNZIONE                1"/>
    <s v=""/>
    <s v=" "/>
    <s v=""/>
    <s v=""/>
    <n v="405"/>
    <s v="00"/>
    <n v="100"/>
    <s v="FULL TIME      100000000FF100-FULL TIME"/>
    <s v="01/09/2003"/>
    <s v=""/>
    <s v="  "/>
    <s v=""/>
    <s v="GSS "/>
    <s v="L05 "/>
    <s v="NORME E TRIBUTI"/>
    <s v=""/>
    <s v="mauro.pizzin@ilsole24ore.com                      "/>
    <s v="E"/>
    <s v="E-ESENTE"/>
    <s v="1 "/>
    <s v="1=5 X 8"/>
    <s v="01/07/2025"/>
    <s v="TEMPO DETERMINATO"/>
    <s v="31/05/2027"/>
    <s v="0015000739                    "/>
    <s v="DECESARI SEVERINA"/>
    <n v="62"/>
  </r>
  <r>
    <x v="0"/>
    <n v="2240"/>
    <s v="IL SOLE 24 ORE S.P.A.                   "/>
    <s v="K           "/>
    <s v="REDAZIONI GIORNALISTICHE"/>
    <s v="K03 "/>
    <x v="36"/>
    <s v="514300      "/>
    <s v="514300   REDAZIONE MILANO"/>
    <s v="PRIOSCHI                        "/>
    <s v="MATTEO            "/>
    <s v="PRSMTT71D02I441Y"/>
    <x v="1"/>
    <s v="34"/>
    <x v="0"/>
    <s v="01/04/2021"/>
    <s v="MILANO                 "/>
    <s v="85"/>
    <x v="4"/>
    <s v="G"/>
    <x v="3"/>
    <s v="RM2"/>
    <s v="RM2 REDATTORE MAGG. 30 MM     "/>
    <s v="22/10/2007"/>
    <s v="22/10/2007"/>
    <s v="02/04/1971"/>
    <s v="A"/>
    <s v="A.IN FORZA"/>
    <s v="1  -ASSUNZIONE                1"/>
    <s v=""/>
    <s v=" "/>
    <s v=""/>
    <s v=""/>
    <n v="534"/>
    <s v="00"/>
    <n v="100"/>
    <s v="FULL TIME      100000000FF100-FULL TIME"/>
    <s v="22/10/2007"/>
    <s v=""/>
    <s v="  "/>
    <s v=""/>
    <s v="GSS "/>
    <s v="L05 "/>
    <s v="NORME E TRIBUTI"/>
    <s v=""/>
    <s v="matteo.prioschi@ilsole24ore.com                   "/>
    <s v="E"/>
    <s v="E-ESENTE"/>
    <s v="3 "/>
    <s v="3=5 X 7"/>
    <s v="01/07/2025"/>
    <s v="TEMPO DETERMINATO"/>
    <s v="31/05/2027"/>
    <s v="0015000739                    "/>
    <s v="DECESARI SEVERINA"/>
    <n v="54"/>
  </r>
  <r>
    <x v="0"/>
    <n v="2920"/>
    <s v="IL SOLE 24 ORE S.P.A.                   "/>
    <s v="K           "/>
    <s v="REDAZIONI GIORNALISTICHE"/>
    <s v="K03 "/>
    <x v="36"/>
    <s v="514300      "/>
    <s v="514300   REDAZIONE MILANO"/>
    <s v="REDAELLI                        "/>
    <s v="MARZIA            "/>
    <s v="RDLMRZ66A52A940O"/>
    <x v="0"/>
    <s v="34"/>
    <x v="0"/>
    <s v="01/04/2021"/>
    <s v="MILANO                 "/>
    <s v="85"/>
    <x v="4"/>
    <s v="G"/>
    <x v="3"/>
    <s v="RM2"/>
    <s v="RM2 REDATTORE MAGG. 30 MM     "/>
    <s v="22/06/2017"/>
    <s v="20/04/2000"/>
    <s v="12/01/1966"/>
    <s v="A"/>
    <s v="A.IN FORZA"/>
    <s v="1  -ASSUNZIONE                1"/>
    <s v=""/>
    <s v=" "/>
    <s v=""/>
    <s v=""/>
    <n v="2920"/>
    <s v="00"/>
    <n v="100"/>
    <s v="FULL TIME      100000000FF100-FULL TIME"/>
    <s v="22/06/2017"/>
    <s v=""/>
    <s v="  "/>
    <s v=""/>
    <s v="GBM "/>
    <s v="L09 "/>
    <s v="PLUS24"/>
    <s v=""/>
    <s v="marzia.redaelli@ilsole24ore.com                   "/>
    <s v="E"/>
    <s v="E-ESENTE"/>
    <s v="2 "/>
    <s v="2=6 X 6"/>
    <s v="01/07/2025"/>
    <s v="TEMPO DETERMINATO"/>
    <s v="31/05/2027"/>
    <s v="0015000700                    "/>
    <s v=""/>
    <n v="60"/>
  </r>
  <r>
    <x v="0"/>
    <n v="1512"/>
    <s v="IL SOLE 24 ORE S.P.A.                   "/>
    <s v="K           "/>
    <s v="REDAZIONI GIORNALISTICHE"/>
    <s v="K03 "/>
    <x v="36"/>
    <s v="514300      "/>
    <s v="514300   REDAZIONE MILANO"/>
    <s v="RICCI                           "/>
    <s v="LARA ALESSANDRA   "/>
    <s v="RCCLLS76M54Z401H"/>
    <x v="0"/>
    <s v="34"/>
    <x v="0"/>
    <s v="01/04/2021"/>
    <s v="MILANO                 "/>
    <s v="85"/>
    <x v="4"/>
    <s v="G"/>
    <x v="3"/>
    <s v="CSV"/>
    <s v="CSV VICE CAPO SERVIZIO        "/>
    <s v="03/04/2000"/>
    <s v="03/04/2000"/>
    <s v="14/08/1976"/>
    <s v="A"/>
    <s v="A.IN FORZA"/>
    <s v="1  -ASSUNZIONE                1"/>
    <s v=""/>
    <s v=" "/>
    <s v=""/>
    <s v=""/>
    <n v="310"/>
    <s v="00"/>
    <n v="100"/>
    <s v="FULL TIME      100000000FF100-FULL TIME"/>
    <s v="01/12/2020"/>
    <s v=""/>
    <s v="  "/>
    <s v=""/>
    <s v="GSS "/>
    <s v="L14 "/>
    <s v="DOMENICA"/>
    <s v="SIND.GIORN.        SINDACATO GIORNALISTI"/>
    <s v="lara.ricci@ilsole24ore.com                        "/>
    <s v="E"/>
    <s v="E-ESENTE"/>
    <s v="3 "/>
    <s v="3=5 X 7"/>
    <s v="01/07/2025"/>
    <s v="TEMPO DETERMINATO"/>
    <s v="31/05/2027"/>
    <s v="0015000700                    "/>
    <s v=""/>
    <n v="49"/>
  </r>
  <r>
    <x v="0"/>
    <n v="1780"/>
    <s v="IL SOLE 24 ORE S.P.A.                   "/>
    <s v="K           "/>
    <s v="REDAZIONI GIORNALISTICHE"/>
    <s v="K03 "/>
    <x v="36"/>
    <s v="514300      "/>
    <s v="514300   REDAZIONE MILANO"/>
    <s v="SALIS                           "/>
    <s v="STEFANO           "/>
    <s v="SLSSFN70T06B745E"/>
    <x v="1"/>
    <s v="34"/>
    <x v="0"/>
    <s v="01/04/2021"/>
    <s v="MILANO                 "/>
    <s v="85"/>
    <x v="4"/>
    <s v="G"/>
    <x v="3"/>
    <s v="CR "/>
    <s v="CR CAPO REDATTORE             "/>
    <s v="02/07/2001"/>
    <s v="02/07/2001"/>
    <s v="06/12/1970"/>
    <s v="A"/>
    <s v="A.IN FORZA"/>
    <s v="1  -ASSUNZIONE                1"/>
    <s v=""/>
    <s v=" "/>
    <s v=""/>
    <s v=""/>
    <n v="350"/>
    <s v="00"/>
    <n v="100"/>
    <s v="FULL TIME      100000000FF100-FULL TIME"/>
    <s v="02/07/2001"/>
    <s v=""/>
    <s v="  "/>
    <s v=""/>
    <s v="GSS "/>
    <s v="L14 "/>
    <s v="DOMENICA"/>
    <s v="SIND.GIORN.        SINDACATO GIORNALISTI"/>
    <s v="stefano.salis@ilsole24ore.com                     "/>
    <s v="E"/>
    <s v="E-ESENTE"/>
    <s v="2 "/>
    <s v="2=6 X 6"/>
    <s v="01/07/2025"/>
    <s v="TEMPO DETERMINATO"/>
    <s v="31/05/2027"/>
    <s v="0015000700                    "/>
    <s v=""/>
    <n v="55"/>
  </r>
  <r>
    <x v="0"/>
    <n v="1631"/>
    <s v="IL SOLE 24 ORE S.P.A.                   "/>
    <s v="K           "/>
    <s v="REDAZIONI GIORNALISTICHE"/>
    <s v="K03 "/>
    <x v="36"/>
    <s v="514300      "/>
    <s v="514300   REDAZIONE MILANO"/>
    <s v="SGAMBATO                        "/>
    <s v="EMILIANO          "/>
    <s v="SGMMLN73C23B963E"/>
    <x v="1"/>
    <s v="34"/>
    <x v="0"/>
    <s v="01/04/2021"/>
    <s v="MILANO                 "/>
    <s v="85"/>
    <x v="4"/>
    <s v="G"/>
    <x v="3"/>
    <s v="CSV"/>
    <s v="CSV VICE CAPO SERVIZIO        "/>
    <s v="16/10/2000"/>
    <s v="16/10/2000"/>
    <s v="23/03/1973"/>
    <s v="A"/>
    <s v="A.IN FORZA"/>
    <s v="1  -ASSUNZIONE                1"/>
    <s v=""/>
    <s v=" "/>
    <s v=""/>
    <s v=""/>
    <n v="322"/>
    <s v="00"/>
    <n v="100"/>
    <s v="FULL TIME      100000000FF100-FULL TIME"/>
    <s v="16/10/2000"/>
    <s v=""/>
    <s v="  "/>
    <s v=""/>
    <s v="GSS "/>
    <s v="L22 "/>
    <s v="CASA24 PLUS"/>
    <s v="SIND.GIORN.        SINDACATO GIORNALISTI"/>
    <s v="emiliano.sgambato@ilsole24ore.com                 "/>
    <s v="E"/>
    <s v="E-ESENTE"/>
    <s v="3 "/>
    <s v="3=5 X 7"/>
    <s v="01/07/2025"/>
    <s v="TEMPO DETERMINATO"/>
    <s v="31/05/2027"/>
    <s v="0015000700                    "/>
    <s v=""/>
    <n v="52"/>
  </r>
  <r>
    <x v="0"/>
    <n v="3044"/>
    <s v="IL SOLE 24 ORE S.P.A.                   "/>
    <s v="K           "/>
    <s v="REDAZIONI GIORNALISTICHE"/>
    <s v="K03 "/>
    <x v="36"/>
    <s v="514300      "/>
    <s v="514300   REDAZIONE MILANO"/>
    <s v="SIMONETTA                       "/>
    <s v="BIAGIO            "/>
    <s v="SMNBGI80T23D086H"/>
    <x v="1"/>
    <s v="34"/>
    <x v="0"/>
    <s v="06/06/2022"/>
    <s v="MILANO                 "/>
    <s v="85"/>
    <x v="4"/>
    <s v="G"/>
    <x v="3"/>
    <s v="RM2"/>
    <s v="RM2 REDATTORE MAGG. 30 MM     "/>
    <s v="06/06/2022"/>
    <s v="06/06/2022"/>
    <s v="23/12/1980"/>
    <s v="A"/>
    <s v="A.IN FORZA"/>
    <s v="1  -ASSUNZIONE                1"/>
    <s v=""/>
    <s v=" "/>
    <s v=""/>
    <s v=""/>
    <n v="3044"/>
    <s v="00"/>
    <n v="100"/>
    <s v="FULL TIME      100000000FF100-FULL TIME"/>
    <s v="06/06/2022"/>
    <s v=""/>
    <s v="  "/>
    <s v=""/>
    <s v="GBM "/>
    <s v="L07 "/>
    <s v="FINANZA E MERCATI"/>
    <s v=""/>
    <s v="biagio.simonetta@ilsole24ore.com                  "/>
    <s v="E"/>
    <s v="E-ESENTE"/>
    <s v="7 "/>
    <s v="7=5 X 7.20"/>
    <s v="01/07/2025"/>
    <s v="TEMPO DETERMINATO"/>
    <s v="31/05/2027"/>
    <s v="0015002010                    "/>
    <s v="GRASSANI ALBERTO"/>
    <n v="45"/>
  </r>
  <r>
    <x v="0"/>
    <n v="597"/>
    <s v="IL SOLE 24 ORE S.P.A.                   "/>
    <s v="K           "/>
    <s v="REDAZIONI GIORNALISTICHE"/>
    <s v="K03 "/>
    <x v="36"/>
    <s v="514300      "/>
    <s v="514300   REDAZIONE MILANO"/>
    <s v="SORRENTINO                      "/>
    <s v="RICCARDO          "/>
    <s v="SRRRCR64B27L259A"/>
    <x v="1"/>
    <s v="34"/>
    <x v="0"/>
    <s v="01/04/2021"/>
    <s v="MILANO                 "/>
    <s v="85"/>
    <x v="4"/>
    <s v="G"/>
    <x v="3"/>
    <s v="RM2"/>
    <s v="RM2 REDATTORE MAGG. 30 MM     "/>
    <s v="02/01/1992"/>
    <s v="02/01/1992"/>
    <s v="27/02/1964"/>
    <s v="A"/>
    <s v="A.IN FORZA"/>
    <s v="1  -ASSUNZIONE                1"/>
    <s v=""/>
    <s v=" "/>
    <s v=""/>
    <s v=""/>
    <n v="170"/>
    <s v="00"/>
    <n v="100"/>
    <s v="FULL TIME      100000000FF100-FULL TIME"/>
    <s v="02/01/1992"/>
    <s v=""/>
    <s v="  "/>
    <s v=""/>
    <s v="GSS "/>
    <s v="L10 "/>
    <s v="ESTERI EUROPA-MONDO"/>
    <s v=""/>
    <s v="riccardo.sorrentino@ilsole24ore.com               "/>
    <s v="E"/>
    <s v="E-ESENTE"/>
    <s v="2 "/>
    <s v="2=6 X 6"/>
    <s v="01/07/2025"/>
    <s v="TEMPO DETERMINATO"/>
    <s v="31/05/2027"/>
    <s v="0015000700                    "/>
    <s v=""/>
    <n v="61"/>
  </r>
  <r>
    <x v="0"/>
    <n v="853"/>
    <s v="IL SOLE 24 ORE S.P.A.                   "/>
    <s v="K           "/>
    <s v="REDAZIONI GIORNALISTICHE"/>
    <s v="K03 "/>
    <x v="36"/>
    <s v="514300      "/>
    <s v="514300   REDAZIONE MILANO"/>
    <s v="URSINO                          "/>
    <s v="GIANFRANCO        "/>
    <s v="RSNGFR68A30D969F"/>
    <x v="1"/>
    <s v="34"/>
    <x v="0"/>
    <s v="01/04/2021"/>
    <s v="MILANO                 "/>
    <s v="85"/>
    <x v="4"/>
    <s v="G"/>
    <x v="3"/>
    <s v="CR "/>
    <s v="CR CAPO REDATTORE             "/>
    <s v="27/06/1995"/>
    <s v="27/06/1995"/>
    <s v="30/01/1968"/>
    <s v="A"/>
    <s v="A.IN FORZA"/>
    <s v="1  -ASSUNZIONE                1"/>
    <s v=""/>
    <s v=" "/>
    <s v=""/>
    <s v=""/>
    <n v="469"/>
    <s v="00"/>
    <n v="100"/>
    <s v="FULL TIME      100000000FF100-FULL TIME"/>
    <s v="27/06/1995"/>
    <s v=""/>
    <s v="  "/>
    <s v=""/>
    <s v="GSS "/>
    <s v="L09 "/>
    <s v="PLUS24"/>
    <s v="FIGEC CISAL        FIGEC CISAL"/>
    <s v="gianfranco.ursino@ilsole24ore.com                 "/>
    <s v="E"/>
    <s v="E-ESENTE"/>
    <s v="2 "/>
    <s v="2=6 X 6"/>
    <s v="01/07/2025"/>
    <s v="TEMPO DETERMINATO"/>
    <s v="31/05/2027"/>
    <s v="0015000700                    "/>
    <s v=""/>
    <n v="58"/>
  </r>
  <r>
    <x v="0"/>
    <n v="1001"/>
    <s v="IL SOLE 24 ORE S.P.A.                   "/>
    <s v="K           "/>
    <s v="REDAZIONI GIORNALISTICHE"/>
    <s v="K03 "/>
    <x v="36"/>
    <s v="514300      "/>
    <s v="514300   REDAZIONE MILANO"/>
    <s v="VALSANIA                        "/>
    <s v="MARCO             "/>
    <s v="VLSMRC61S10L219T"/>
    <x v="1"/>
    <s v="34"/>
    <x v="0"/>
    <s v="01/04/2021"/>
    <s v="MILANO                 "/>
    <s v="85"/>
    <x v="4"/>
    <s v="G"/>
    <x v="3"/>
    <s v="CS "/>
    <s v="CS CAPO SERVIZIO              "/>
    <s v="01/02/1997"/>
    <s v="01/02/1997"/>
    <s v="10/11/1961"/>
    <s v="A"/>
    <s v="A.IN FORZA"/>
    <s v="1  -ASSUNZIONE                1"/>
    <s v=""/>
    <s v=" "/>
    <s v=""/>
    <s v=""/>
    <n v="228"/>
    <s v="00"/>
    <n v="100"/>
    <s v="FULL TIME      100000000FF100-FULL TIME"/>
    <s v="01/02/1997"/>
    <s v=""/>
    <s v="  "/>
    <s v=""/>
    <s v="GSS "/>
    <s v="L19 "/>
    <s v="REDAZIONI ESTERE"/>
    <s v="SIND.GIORN.        SINDACATO GIORNALISTI"/>
    <s v="marco.valsania@ilsole24ore.com                    "/>
    <s v="E"/>
    <s v="E-ESENTE"/>
    <s v="2 "/>
    <s v="2=6 X 6"/>
    <s v=""/>
    <s v=""/>
    <s v=""/>
    <s v="0015000700                    "/>
    <s v=""/>
    <n v="64"/>
  </r>
  <r>
    <x v="0"/>
    <n v="1909"/>
    <s v="IL SOLE 24 ORE S.P.A.                   "/>
    <s v="K           "/>
    <s v="REDAZIONI GIORNALISTICHE"/>
    <s v="K03 "/>
    <x v="36"/>
    <s v="514300      "/>
    <s v="514300   REDAZIONE MILANO"/>
    <s v="VERONESE                        "/>
    <s v="LUCA              "/>
    <s v="VRNLCU71E05H620S"/>
    <x v="1"/>
    <s v="34"/>
    <x v="0"/>
    <s v="01/04/2021"/>
    <s v="MILANO                 "/>
    <s v="85"/>
    <x v="4"/>
    <s v="G"/>
    <x v="3"/>
    <s v="CSV"/>
    <s v="CSV VICE CAPO SERVIZIO        "/>
    <s v="01/10/2002"/>
    <s v="01/10/2002"/>
    <s v="05/05/1971"/>
    <s v="A"/>
    <s v="A.IN FORZA"/>
    <s v="2  -VARIAZIONE SOCIETARIA     2"/>
    <s v=""/>
    <s v=" "/>
    <s v=""/>
    <s v=""/>
    <n v="372"/>
    <s v="00"/>
    <n v="100"/>
    <s v="FULL TIME      100000000FF100-FULL TIME"/>
    <s v="01/10/2002"/>
    <s v=""/>
    <s v="  "/>
    <s v=""/>
    <s v="GSS "/>
    <s v="L10 "/>
    <s v="ESTERI EUROPA-MONDO"/>
    <s v=""/>
    <s v="luca.veronese@ilsole24ore.com                     "/>
    <s v="E"/>
    <s v="E-ESENTE"/>
    <s v="3 "/>
    <s v="3=5 X 7"/>
    <s v="01/07/2025"/>
    <s v="TEMPO DETERMINATO"/>
    <s v="31/05/2027"/>
    <s v="0015000700                    "/>
    <s v=""/>
    <n v="54"/>
  </r>
  <r>
    <x v="0"/>
    <n v="1263"/>
    <s v="IL SOLE 24 ORE S.P.A.                   "/>
    <s v="K           "/>
    <s v="REDAZIONI GIORNALISTICHE"/>
    <s v="K03 "/>
    <x v="36"/>
    <s v="514400      "/>
    <s v="514400   NOVA 24"/>
    <s v="MACCAFERRI                      "/>
    <s v="ALESSIA           "/>
    <s v="MCCLSS72M69A944I"/>
    <x v="0"/>
    <s v="34"/>
    <x v="0"/>
    <s v="01/04/2021"/>
    <s v="MILANO                 "/>
    <s v="85"/>
    <x v="4"/>
    <s v="G"/>
    <x v="3"/>
    <s v="CS "/>
    <s v="CS CAPO SERVIZIO              "/>
    <s v="10/06/1999"/>
    <s v="10/06/1999"/>
    <s v="29/08/1972"/>
    <s v="A"/>
    <s v="A.IN FORZA"/>
    <s v="1  -ASSUNZIONE                1"/>
    <s v=""/>
    <s v=" "/>
    <s v=""/>
    <s v=""/>
    <n v="266"/>
    <s v="00"/>
    <n v="100"/>
    <s v="FULL TIME      100000000FF100-FULL TIME"/>
    <s v="01/11/2014"/>
    <s v=""/>
    <s v="  "/>
    <s v=""/>
    <s v="GSS "/>
    <s v="L25 "/>
    <s v="NOVA24"/>
    <s v="SIND.GIORN.        SINDACATO GIORNALISTI"/>
    <s v="alessia.maccaferri@ilsole24ore.com                "/>
    <s v="E"/>
    <s v="E-ESENTE"/>
    <s v="2 "/>
    <s v="2=6 X 6"/>
    <s v="01/07/2025"/>
    <s v="TEMPO DETERMINATO"/>
    <s v="31/05/2027"/>
    <s v="0015000700                    "/>
    <s v=""/>
    <n v="53"/>
  </r>
  <r>
    <x v="0"/>
    <n v="1976"/>
    <s v="IL SOLE 24 ORE S.P.A.                   "/>
    <s v="K           "/>
    <s v="REDAZIONI GIORNALISTICHE"/>
    <s v="K03 "/>
    <x v="36"/>
    <s v="514400      "/>
    <s v="514400   NOVA 24"/>
    <s v="TREMOLADA                       "/>
    <s v="LUCA STEFANO      "/>
    <s v="TRMLST70B05D969Q"/>
    <x v="1"/>
    <s v="34"/>
    <x v="0"/>
    <s v="01/04/2021"/>
    <s v="MILANO                 "/>
    <s v="85"/>
    <x v="4"/>
    <s v="G"/>
    <x v="3"/>
    <s v="RM2"/>
    <s v="RM2 REDATTORE MAGG. 30 MM     "/>
    <s v="01/10/2003"/>
    <s v="01/10/2003"/>
    <s v="05/02/1970"/>
    <s v="A"/>
    <s v="A.IN FORZA"/>
    <s v="1  -ASSUNZIONE                1"/>
    <s v=""/>
    <s v=" "/>
    <s v=""/>
    <s v=""/>
    <n v="408"/>
    <s v="00"/>
    <n v="100"/>
    <s v="FULL TIME      100000000FF100-FULL TIME"/>
    <s v="01/10/2003"/>
    <s v=""/>
    <s v="  "/>
    <s v=""/>
    <s v="GSS "/>
    <s v="L25 "/>
    <s v="NOVA24"/>
    <s v="SIND.GIORN.        SINDACATO GIORNALISTI"/>
    <s v="luca.tremolada@ilsole24ore.com                    "/>
    <s v="E"/>
    <s v="E-ESENTE"/>
    <s v="2 "/>
    <s v="2=6 X 6"/>
    <s v="01/07/2025"/>
    <s v="TEMPO DETERMINATO"/>
    <s v="31/05/2027"/>
    <s v="0015000700                    "/>
    <s v=""/>
    <n v="55"/>
  </r>
  <r>
    <x v="0"/>
    <n v="2085"/>
    <s v="IL SOLE 24 ORE S.P.A.                   "/>
    <s v="K           "/>
    <s v="REDAZIONI GIORNALISTICHE"/>
    <s v="K03 "/>
    <x v="36"/>
    <s v="514500      "/>
    <s v="514500  LUNEDI'"/>
    <s v="BRUNO                           "/>
    <s v="EUGENIO           "/>
    <s v="BRNGNE74S13H501Y"/>
    <x v="1"/>
    <s v="31"/>
    <x v="1"/>
    <s v="01/06/2009"/>
    <s v="ROMA                   "/>
    <s v="85"/>
    <x v="4"/>
    <s v="G"/>
    <x v="3"/>
    <s v="CSV"/>
    <s v="CSV VICE CAPO SERVIZIO        "/>
    <s v="10/10/2005"/>
    <s v="10/10/2005"/>
    <s v="13/11/1974"/>
    <s v="A"/>
    <s v="A.IN FORZA"/>
    <s v="1  -ASSUNZIONE                1"/>
    <s v=""/>
    <s v=" "/>
    <s v=""/>
    <s v=""/>
    <n v="482"/>
    <s v="00"/>
    <n v="100"/>
    <s v="FULL TIME      100000000FF100-FULL TIME"/>
    <s v="10/10/2005"/>
    <s v=""/>
    <s v="  "/>
    <s v=""/>
    <s v="GSS "/>
    <s v="L23 "/>
    <s v="LUNEDI"/>
    <s v="SIND.GIORN.        SINDACATO GIORNALISTI"/>
    <s v="eugenio.bruno@ilsole24ore.com                     "/>
    <s v="E"/>
    <s v="E-ESENTE"/>
    <s v="2 "/>
    <s v="2=6 X 6"/>
    <s v="01/07/2025"/>
    <s v="TEMPO DETERMINATO"/>
    <s v="31/05/2027"/>
    <s v="0015000754                    "/>
    <s v="CARDUCCI ARTENISIO FABIO"/>
    <n v="51"/>
  </r>
  <r>
    <x v="0"/>
    <n v="3045"/>
    <s v="IL SOLE 24 ORE S.P.A.                   "/>
    <s v="K           "/>
    <s v="REDAZIONI GIORNALISTICHE"/>
    <s v="K03 "/>
    <x v="36"/>
    <s v="514500      "/>
    <s v="514500  LUNEDI'"/>
    <s v="CECI                            "/>
    <s v="MARGHERITA        "/>
    <s v="CCEMGH98H67L781Z"/>
    <x v="0"/>
    <s v="34"/>
    <x v="0"/>
    <s v="06/06/2022"/>
    <s v="MILANO                 "/>
    <s v="85"/>
    <x v="4"/>
    <s v="G"/>
    <x v="3"/>
    <s v="RP2"/>
    <s v="RP2 REDATTORE MINORE 30 MM    "/>
    <s v="06/06/2022"/>
    <s v="06/06/2022"/>
    <s v="27/06/1998"/>
    <s v="A"/>
    <s v="A.IN FORZA"/>
    <s v="1  -ASSUNZIONE                1"/>
    <s v=""/>
    <s v=" "/>
    <s v=""/>
    <s v=""/>
    <n v="3045"/>
    <s v="00"/>
    <n v="100"/>
    <s v="FULL TIME      100000000FF100-FULL TIME"/>
    <s v="06/06/2022"/>
    <s v=""/>
    <s v="  "/>
    <s v=""/>
    <s v="GBM "/>
    <s v="L05 "/>
    <s v="NORME E TRIBUTI"/>
    <s v="SIND.GIORN.        SINDACATO GIORNALISTI"/>
    <s v="margherita.ceci@ilsole24ore.com                   "/>
    <s v="E"/>
    <s v="E-ESENTE"/>
    <s v="7 "/>
    <s v="7=5 X 7.20"/>
    <s v="01/07/2025"/>
    <s v="TEMPO DETERMINATO"/>
    <s v="31/05/2027"/>
    <s v="0015000700                    "/>
    <s v=""/>
    <n v="27"/>
  </r>
  <r>
    <x v="0"/>
    <n v="3069"/>
    <s v="IL SOLE 24 ORE S.P.A.                   "/>
    <s v="K           "/>
    <s v="REDAZIONI GIORNALISTICHE"/>
    <s v="K03 "/>
    <x v="36"/>
    <s v="514500      "/>
    <s v="514500  LUNEDI'"/>
    <s v="COLOMBO                         "/>
    <s v="CAMILLA ILARIA    "/>
    <s v="CLMCLL89M65I577F"/>
    <x v="0"/>
    <s v="34"/>
    <x v="0"/>
    <s v="13/03/2023"/>
    <s v="MILANO                 "/>
    <s v="85"/>
    <x v="4"/>
    <s v="G"/>
    <x v="3"/>
    <s v="RM2"/>
    <s v="RM2 REDATTORE MAGG. 30 MM     "/>
    <s v="13/03/2023"/>
    <s v="13/03/2023"/>
    <s v="25/08/1989"/>
    <s v="A"/>
    <s v="A.IN FORZA"/>
    <s v="1  -ASSUNZIONE                1"/>
    <s v=""/>
    <s v=" "/>
    <s v=""/>
    <s v=""/>
    <n v="3069"/>
    <s v="00"/>
    <n v="100"/>
    <s v="FULL TIME      100000000FF100-FULL TIME"/>
    <s v="13/03/2023"/>
    <s v=""/>
    <s v="  "/>
    <s v=""/>
    <s v="GBM "/>
    <s v="L23 "/>
    <s v="LUNEDI"/>
    <s v=""/>
    <s v="camilla.colombo@ilsole24ore.com                   "/>
    <s v="E"/>
    <s v="E-ESENTE"/>
    <s v="7 "/>
    <s v="7=5 X 7.20"/>
    <s v="01/07/2025"/>
    <s v="TEMPO DETERMINATO"/>
    <s v="31/05/2027"/>
    <s v="0015000739                    "/>
    <s v="DECESARI SEVERINA"/>
    <n v="36"/>
  </r>
  <r>
    <x v="0"/>
    <n v="2141"/>
    <s v="IL SOLE 24 ORE S.P.A.                   "/>
    <s v="K           "/>
    <s v="REDAZIONI GIORNALISTICHE"/>
    <s v="K03 "/>
    <x v="36"/>
    <s v="514500      "/>
    <s v="514500  LUNEDI'"/>
    <s v="DELL'OSTE                       "/>
    <s v="CRISTIANO         "/>
    <s v="DLLCST77L30B885Y"/>
    <x v="1"/>
    <s v="34"/>
    <x v="0"/>
    <s v="01/04/2021"/>
    <s v="MILANO                 "/>
    <s v="85"/>
    <x v="4"/>
    <s v="G"/>
    <x v="3"/>
    <s v="CS "/>
    <s v="CS CAPO SERVIZIO              "/>
    <s v="23/10/2006"/>
    <s v="23/10/2006"/>
    <s v="30/07/1977"/>
    <s v="A"/>
    <s v="A.IN FORZA"/>
    <s v="1  -ASSUNZIONE                1"/>
    <s v=""/>
    <s v=" "/>
    <s v=""/>
    <s v=""/>
    <n v="497"/>
    <s v="00"/>
    <n v="100"/>
    <s v="FULL TIME      100000000FF100-FULL TIME"/>
    <s v="23/10/2006"/>
    <s v=""/>
    <s v="  "/>
    <s v=""/>
    <s v="GSS "/>
    <s v="L23 "/>
    <s v="LUNEDI"/>
    <s v=""/>
    <s v="cristiano.delloste@ilsole24ore.com                "/>
    <s v="E"/>
    <s v="E-ESENTE"/>
    <s v="2 "/>
    <s v="2=6 X 6"/>
    <s v="01/07/2025"/>
    <s v="TEMPO DETERMINATO"/>
    <s v="31/05/2027"/>
    <s v="0015000700                    "/>
    <s v=""/>
    <n v="48"/>
  </r>
  <r>
    <x v="0"/>
    <n v="2021"/>
    <s v="IL SOLE 24 ORE S.P.A.                   "/>
    <s v="K           "/>
    <s v="REDAZIONI GIORNALISTICHE"/>
    <s v="K03 "/>
    <x v="36"/>
    <s v="514500      "/>
    <s v="514500  LUNEDI'"/>
    <s v="DEZZA                           "/>
    <s v="PAOLA             "/>
    <s v="DZZPLA68L69F205V"/>
    <x v="0"/>
    <s v="34"/>
    <x v="0"/>
    <s v="01/04/2021"/>
    <s v="MILANO                 "/>
    <s v="85"/>
    <x v="4"/>
    <s v="G"/>
    <x v="3"/>
    <s v="CR "/>
    <s v="CR CAPO REDATTORE             "/>
    <s v="01/07/2004"/>
    <s v="01/07/2004"/>
    <s v="29/07/1968"/>
    <s v="A"/>
    <s v="A.IN FORZA"/>
    <s v="1  -ASSUNZIONE                1"/>
    <s v=""/>
    <s v=" "/>
    <s v=""/>
    <s v=""/>
    <n v="442"/>
    <s v="00"/>
    <n v="100"/>
    <s v="FULL TIME      100000000FF100-FULL TIME"/>
    <s v="01/03/2019"/>
    <s v=""/>
    <s v="  "/>
    <s v=""/>
    <s v="GSS "/>
    <s v="L07 "/>
    <s v="FINANZA E MERCATI"/>
    <s v="FIGEC CISAL        FIGEC CISAL"/>
    <s v="paola.dezza@ilsole24ore.com                       "/>
    <s v="E"/>
    <s v="E-ESENTE"/>
    <s v="2 "/>
    <s v="2=6 X 6"/>
    <s v="01/07/2025"/>
    <s v="TEMPO DETERMINATO"/>
    <s v="31/05/2027"/>
    <s v="0015000700                    "/>
    <s v=""/>
    <n v="57"/>
  </r>
  <r>
    <x v="0"/>
    <n v="2594"/>
    <s v="IL SOLE 24 ORE S.P.A.                   "/>
    <s v="K           "/>
    <s v="REDAZIONI GIORNALISTICHE"/>
    <s v="K03 "/>
    <x v="36"/>
    <s v="514500      "/>
    <s v="514500  LUNEDI'"/>
    <s v="FINIZIO                         "/>
    <s v="MICHELA           "/>
    <s v="FNZMHL82R56G224E"/>
    <x v="0"/>
    <s v="34"/>
    <x v="0"/>
    <s v="01/04/2021"/>
    <s v="MILANO                 "/>
    <s v="85"/>
    <x v="4"/>
    <s v="G"/>
    <x v="3"/>
    <s v="CSV"/>
    <s v="CSV VICE CAPO SERVIZIO        "/>
    <s v="01/08/2011"/>
    <s v="01/08/2011"/>
    <s v="16/10/1982"/>
    <s v="A"/>
    <s v="A.IN FORZA"/>
    <s v="2  -VARIAZIONE SOCIETARIA     2"/>
    <s v=""/>
    <s v=" "/>
    <s v=""/>
    <s v=""/>
    <n v="2594"/>
    <s v="00"/>
    <n v="100"/>
    <s v="FULL TIME      100000000FF100-FULL TIME"/>
    <s v="01/08/2011"/>
    <s v=""/>
    <s v="  "/>
    <s v=""/>
    <s v="GSS "/>
    <s v="L23 "/>
    <s v="LUNEDI"/>
    <s v="SIND.GIORN.        SINDACATO GIORNALISTI"/>
    <s v="michela.finizio@ilsole24ore.com                   "/>
    <s v="E"/>
    <s v="E-ESENTE"/>
    <s v="3 "/>
    <s v="3=5 X 7"/>
    <s v="01/07/2025"/>
    <s v="TEMPO DETERMINATO"/>
    <s v="31/05/2027"/>
    <s v="                              "/>
    <s v=""/>
    <n v="43"/>
  </r>
  <r>
    <x v="0"/>
    <n v="1962"/>
    <s v="IL SOLE 24 ORE S.P.A.                   "/>
    <s v="K           "/>
    <s v="REDAZIONI GIORNALISTICHE"/>
    <s v="K03 "/>
    <x v="36"/>
    <s v="514500      "/>
    <s v="514500  LUNEDI'"/>
    <s v="ILLIANO                         "/>
    <s v="LUIGI             "/>
    <s v="LLNLGU63S21L259Z"/>
    <x v="1"/>
    <s v="31"/>
    <x v="1"/>
    <s v="01/08/2020"/>
    <s v="ROMA                   "/>
    <s v="85"/>
    <x v="4"/>
    <s v="G"/>
    <x v="3"/>
    <s v="CSV"/>
    <s v="CSV VICE CAPO SERVIZIO        "/>
    <s v="01/07/2003"/>
    <s v="01/07/2003"/>
    <s v="21/11/1963"/>
    <s v="A"/>
    <s v="A.IN FORZA"/>
    <s v="1  -ASSUNZIONE                1"/>
    <s v=""/>
    <s v=" "/>
    <s v=""/>
    <s v=""/>
    <n v="404"/>
    <s v="00"/>
    <n v="100"/>
    <s v="FULL TIME      100000000FF100-FULL TIME"/>
    <s v="01/07/2003"/>
    <s v=""/>
    <s v="  "/>
    <s v=""/>
    <s v="GSS "/>
    <s v="L23 "/>
    <s v="LUNEDI"/>
    <s v="SIND.GIORN.        SINDACATO GIORNALISTI"/>
    <s v="luigi.illiano@ilsole24ore.com                     "/>
    <s v="E"/>
    <s v="E-ESENTE"/>
    <s v="1 "/>
    <s v="1=5 X 8"/>
    <s v="15/09/2025"/>
    <s v="TEMPO DETERMINATO"/>
    <s v="31/03/2026"/>
    <s v="0015000754                    "/>
    <s v="CARDUCCI ARTENISIO FABIO"/>
    <n v="62"/>
  </r>
  <r>
    <x v="0"/>
    <n v="2272"/>
    <s v="IL SOLE 24 ORE S.P.A.                   "/>
    <s v="K           "/>
    <s v="REDAZIONI GIORNALISTICHE"/>
    <s v="K03 "/>
    <x v="36"/>
    <s v="514500      "/>
    <s v="514500  LUNEDI'"/>
    <s v="MAGLIONE                        "/>
    <s v="VALENTINA         "/>
    <s v="MGLVNT77H41E379Q"/>
    <x v="0"/>
    <s v="34"/>
    <x v="0"/>
    <s v="01/04/2021"/>
    <s v="MILANO                 "/>
    <s v="85"/>
    <x v="4"/>
    <s v="G"/>
    <x v="3"/>
    <s v="RM2"/>
    <s v="RM2 REDATTORE MAGG. 30 MM     "/>
    <s v="21/01/2008"/>
    <s v="21/01/2008"/>
    <s v="01/06/1977"/>
    <s v="A"/>
    <s v="A.IN FORZA"/>
    <s v="1  -ASSUNZIONE                1"/>
    <s v=""/>
    <s v=" "/>
    <s v=""/>
    <s v=""/>
    <n v="544"/>
    <s v="00"/>
    <n v="100"/>
    <s v="FULL TIME      100000000FF100-FULL TIME"/>
    <s v="01/12/2020"/>
    <s v=""/>
    <s v="  "/>
    <s v=""/>
    <s v="GSS "/>
    <s v="L23 "/>
    <s v="LUNEDI"/>
    <s v="SIND.GIORN.        SINDACATO GIORNALISTI"/>
    <s v="valentina.maglione@ilsole24ore.com                "/>
    <s v="E"/>
    <s v="E-ESENTE"/>
    <s v="2 "/>
    <s v="2=6 X 6"/>
    <s v="01/07/2025"/>
    <s v="TEMPO DETERMINATO"/>
    <s v="31/05/2027"/>
    <s v="0015000700                    "/>
    <s v=""/>
    <n v="48"/>
  </r>
  <r>
    <x v="0"/>
    <n v="1008"/>
    <s v="IL SOLE 24 ORE S.P.A.                   "/>
    <s v="K           "/>
    <s v="REDAZIONI GIORNALISTICHE"/>
    <s v="K03 "/>
    <x v="36"/>
    <s v="514500      "/>
    <s v="514500  LUNEDI'"/>
    <s v="MAZZEI                          "/>
    <s v="BIANCA LUCIA      "/>
    <s v="MZZBCL66T71B496D"/>
    <x v="0"/>
    <s v="31"/>
    <x v="1"/>
    <s v="25/05/2009"/>
    <s v="ROMA                   "/>
    <s v="85"/>
    <x v="4"/>
    <s v="G"/>
    <x v="3"/>
    <s v="RM2"/>
    <s v="RM2 REDATTORE MAGG. 30 MM     "/>
    <s v="01/03/1997"/>
    <s v="01/03/1997"/>
    <s v="31/12/1966"/>
    <s v="A"/>
    <s v="A.IN FORZA"/>
    <s v="1  -ASSUNZIONE                1"/>
    <s v=""/>
    <s v=" "/>
    <s v=""/>
    <s v=""/>
    <n v="229"/>
    <s v="00"/>
    <n v="100"/>
    <s v="FULL TIME      100000000FF100-FULL TIME"/>
    <s v="01/06/2020"/>
    <s v=""/>
    <s v="  "/>
    <s v=""/>
    <s v="GSS "/>
    <s v="L23 "/>
    <s v="LUNEDI"/>
    <s v="SIND.GIORN.        SINDACATO GIORNALISTI"/>
    <s v="biancalucia.mazzei@ilsole24ore.com                "/>
    <s v="E"/>
    <s v="E-ESENTE"/>
    <s v="3 "/>
    <s v="3=5 X 7"/>
    <s v="01/07/2025"/>
    <s v="TEMPO DETERMINATO"/>
    <s v="31/05/2027"/>
    <s v="0015000754                    "/>
    <s v="CARDUCCI ARTENISIO FABIO"/>
    <n v="59"/>
  </r>
  <r>
    <x v="0"/>
    <n v="2069"/>
    <s v="IL SOLE 24 ORE S.P.A.                   "/>
    <s v="K           "/>
    <s v="REDAZIONI GIORNALISTICHE"/>
    <s v="K03 "/>
    <x v="36"/>
    <s v="514500      "/>
    <s v="514500  LUNEDI'"/>
    <s v="MELIS                           "/>
    <s v="VALENTINA MARIA   "/>
    <s v="MLSVNT75B41D969W"/>
    <x v="0"/>
    <s v="34"/>
    <x v="0"/>
    <s v="01/04/2021"/>
    <s v="MILANO                 "/>
    <s v="85"/>
    <x v="4"/>
    <s v="G"/>
    <x v="3"/>
    <s v="RM2"/>
    <s v="RM2 REDATTORE MAGG. 30 MM     "/>
    <s v="25/05/2005"/>
    <s v="25/05/2005"/>
    <s v="01/02/1975"/>
    <s v="A"/>
    <s v="A.IN FORZA"/>
    <s v="2  -VARIAZIONE SOCIETARIA     2"/>
    <s v=""/>
    <s v=" "/>
    <s v=""/>
    <s v=""/>
    <n v="466"/>
    <s v="00"/>
    <n v="100"/>
    <s v="FULL TIME      100000000FF100-FULL TIME"/>
    <s v="01/04/2021"/>
    <s v=""/>
    <s v="  "/>
    <s v=""/>
    <s v="GSS "/>
    <s v="L23 "/>
    <s v="LUNEDI"/>
    <s v="SIND.GIORN.        SINDACATO GIORNALISTI"/>
    <s v="valentina.melis@ilsole24ore.com                   "/>
    <s v="E"/>
    <s v="E-ESENTE"/>
    <s v="2 "/>
    <s v="2=6 X 6"/>
    <s v="01/07/2025"/>
    <s v="TEMPO DETERMINATO"/>
    <s v="31/05/2027"/>
    <s v="0015000700                    "/>
    <s v=""/>
    <n v="50"/>
  </r>
  <r>
    <x v="0"/>
    <n v="3061"/>
    <s v="IL SOLE 24 ORE S.P.A.                   "/>
    <s v="K           "/>
    <s v="REDAZIONI GIORNALISTICHE"/>
    <s v="K03 "/>
    <x v="36"/>
    <s v="514500      "/>
    <s v="514500  LUNEDI'"/>
    <s v="PAPARO                          "/>
    <s v="ALEXIS BENEDICTA  "/>
    <s v="PPRLSB88L66E202M"/>
    <x v="0"/>
    <s v="34"/>
    <x v="0"/>
    <s v="01/12/2022"/>
    <s v="MILANO                 "/>
    <s v="85"/>
    <x v="4"/>
    <s v="G"/>
    <x v="3"/>
    <s v="CSV"/>
    <s v="CSV VICE CAPO SERVIZIO        "/>
    <s v="01/12/2022"/>
    <s v="01/12/2022"/>
    <s v="26/07/1988"/>
    <s v="C"/>
    <s v="C.MATERN.OBBLIG."/>
    <s v="1  -ASSUNZIONE                1"/>
    <s v=""/>
    <s v=" "/>
    <s v=""/>
    <s v=""/>
    <n v="3061"/>
    <s v="00"/>
    <n v="100"/>
    <s v="FULL TIME      100000000FF100-FULL TIME"/>
    <s v="01/12/2022"/>
    <s v=""/>
    <s v="  "/>
    <s v=""/>
    <s v="GBM "/>
    <s v="L23 "/>
    <s v="LUNEDI"/>
    <s v="FIGEC CISAL        FIGEC CISAL"/>
    <s v="alexis.paparo@ilsole24ore.com                     "/>
    <s v="E"/>
    <s v="E-ESENTE"/>
    <s v="7 "/>
    <s v="7=5 X 7.20"/>
    <s v="01/07/2025"/>
    <s v="TEMPO DETERMINATO"/>
    <s v="31/05/2027"/>
    <s v="0015000700                    "/>
    <s v=""/>
    <n v="37"/>
  </r>
  <r>
    <x v="0"/>
    <n v="1748"/>
    <s v="IL SOLE 24 ORE S.P.A.                   "/>
    <s v="K           "/>
    <s v="REDAZIONI GIORNALISTICHE"/>
    <s v="K03 "/>
    <x v="36"/>
    <s v="514500      "/>
    <s v="514500  LUNEDI'"/>
    <s v="UCCELLO                         "/>
    <s v="MARIA             "/>
    <s v="CCLMRA72R68G273E"/>
    <x v="0"/>
    <s v="34"/>
    <x v="0"/>
    <s v="01/04/2021"/>
    <s v="MILANO                 "/>
    <s v="85"/>
    <x v="4"/>
    <s v="G"/>
    <x v="3"/>
    <s v="CSV"/>
    <s v="CSV VICE CAPO SERVIZIO        "/>
    <s v="01/03/2001"/>
    <s v="01/03/2001"/>
    <s v="28/10/1972"/>
    <s v="A"/>
    <s v="A.IN FORZA"/>
    <s v="1  -ASSUNZIONE                1"/>
    <s v=""/>
    <s v=" "/>
    <s v=""/>
    <s v=""/>
    <n v="344"/>
    <s v="00"/>
    <n v="100"/>
    <s v="FULL TIME      100000000FF100-FULL TIME"/>
    <s v="01/03/2001"/>
    <s v=""/>
    <s v="  "/>
    <s v=""/>
    <s v="GSS "/>
    <s v="L23 "/>
    <s v="LUNEDI"/>
    <s v=""/>
    <s v="serena.uccello@ilsole24ore.com                    "/>
    <s v="E"/>
    <s v="E-ESENTE"/>
    <s v="2 "/>
    <s v="2=6 X 6"/>
    <s v="01/07/2025"/>
    <s v="TEMPO DETERMINATO"/>
    <s v="31/05/2027"/>
    <s v="0015000700                    "/>
    <s v=""/>
    <n v="53"/>
  </r>
  <r>
    <x v="0"/>
    <n v="2196"/>
    <s v="IL SOLE 24 ORE S.P.A.                   "/>
    <s v="K           "/>
    <s v="REDAZIONI GIORNALISTICHE"/>
    <s v="K03 "/>
    <x v="36"/>
    <s v="514700      "/>
    <s v="514700   REDAZIONE ROMA"/>
    <s v="BEGHELLI                        "/>
    <s v="CHIARA            "/>
    <s v="BGHCHR78D51D653W"/>
    <x v="0"/>
    <s v="31"/>
    <x v="1"/>
    <s v="01/09/2013"/>
    <s v="ROMA                   "/>
    <s v="85"/>
    <x v="4"/>
    <s v="G"/>
    <x v="3"/>
    <s v="RM2"/>
    <s v="RM2 REDATTORE MAGG. 30 MM     "/>
    <s v="01/06/2007"/>
    <s v="01/06/2007"/>
    <s v="11/04/1978"/>
    <s v="A"/>
    <s v="A.IN FORZA"/>
    <s v="1  -ASSUNZIONE                1"/>
    <s v=""/>
    <s v=" "/>
    <s v=""/>
    <s v=""/>
    <n v="519"/>
    <s v="00"/>
    <n v="100"/>
    <s v="FULL TIME      100000000FF100-FULL TIME"/>
    <s v="01/06/2007"/>
    <s v=""/>
    <s v="  "/>
    <s v=""/>
    <s v="GSS "/>
    <s v="L27 "/>
    <s v="REDAZIONE ROMA"/>
    <s v=""/>
    <s v="chiara.beghelli@ilsole24ore.com                   "/>
    <s v="E"/>
    <s v="E-ESENTE"/>
    <s v="2 "/>
    <s v="2=6 X 6"/>
    <s v="01/07/2025"/>
    <s v="TEMPO DETERMINATO"/>
    <s v="31/05/2027"/>
    <s v="0015000754                    "/>
    <s v="CARDUCCI ARTENISIO FABIO"/>
    <n v="47"/>
  </r>
  <r>
    <x v="0"/>
    <n v="754"/>
    <s v="IL SOLE 24 ORE S.P.A.                   "/>
    <s v="K           "/>
    <s v="REDAZIONI GIORNALISTICHE"/>
    <s v="K03 "/>
    <x v="36"/>
    <s v="514700      "/>
    <s v="514700   REDAZIONE ROMA"/>
    <s v="CARDUCCI ARTENISIO              "/>
    <s v="FABIO             "/>
    <s v="CRDFBA64L24H501K"/>
    <x v="1"/>
    <s v="31"/>
    <x v="1"/>
    <s v="01/06/2009"/>
    <s v="ROMA                   "/>
    <s v="85"/>
    <x v="4"/>
    <s v="G"/>
    <x v="3"/>
    <s v="CR "/>
    <s v="CR CAPO REDATTORE             "/>
    <s v="21/03/1994"/>
    <s v="21/03/1994"/>
    <s v="24/07/1964"/>
    <s v="A"/>
    <s v="A.IN FORZA"/>
    <s v="1  -ASSUNZIONE                1"/>
    <s v=""/>
    <s v=" "/>
    <s v=""/>
    <s v=""/>
    <n v="190"/>
    <s v="00"/>
    <n v="100"/>
    <s v="FULL TIME      100000000FF100-FULL TIME"/>
    <s v="21/03/1994"/>
    <s v=""/>
    <s v="  "/>
    <s v=""/>
    <s v="GSS "/>
    <s v="L27 "/>
    <s v="REDAZIONE ROMA"/>
    <s v="SIND.GIORN.        SINDACATO GIORNALISTI"/>
    <s v="fabio.carducci@ilsole24ore.com                    "/>
    <s v="E"/>
    <s v="E-ESENTE"/>
    <s v="2 "/>
    <s v="2=6 X 6"/>
    <s v="01/07/2025"/>
    <s v="TEMPO DETERMINATO"/>
    <s v="31/05/2027"/>
    <s v="0015003107                    "/>
    <s v=""/>
    <n v="61"/>
  </r>
  <r>
    <x v="0"/>
    <n v="2282"/>
    <s v="IL SOLE 24 ORE S.P.A.                   "/>
    <s v="K           "/>
    <s v="REDAZIONI GIORNALISTICHE"/>
    <s v="K03 "/>
    <x v="36"/>
    <s v="514700      "/>
    <s v="514700   REDAZIONE ROMA"/>
    <s v="CARLI                           "/>
    <s v="ANDREA            "/>
    <s v="CRLNDR78B17H501W"/>
    <x v="1"/>
    <s v="31"/>
    <x v="1"/>
    <s v="10/02/2012"/>
    <s v="ROMA                   "/>
    <s v="85"/>
    <x v="4"/>
    <s v="G"/>
    <x v="3"/>
    <s v="RM2"/>
    <s v="RM2 REDATTORE MAGG. 30 MM     "/>
    <s v="01/04/2008"/>
    <s v="01/04/2008"/>
    <s v="17/02/1978"/>
    <s v="A"/>
    <s v="A.IN FORZA"/>
    <s v="1  -ASSUNZIONE                1"/>
    <s v=""/>
    <s v=" "/>
    <s v=""/>
    <s v=""/>
    <n v="549"/>
    <s v="00"/>
    <n v="100"/>
    <s v="FULL TIME      100000000FF100-FULL TIME"/>
    <s v="01/04/2008"/>
    <s v=""/>
    <s v="  "/>
    <s v=""/>
    <s v="GSS "/>
    <s v="L27 "/>
    <s v="REDAZIONE ROMA"/>
    <s v="SIND.GIORN.        SINDACATO GIORNALISTI"/>
    <s v="andrea.carli@ilsole24ore.com                      "/>
    <s v="E"/>
    <s v="E-ESENTE"/>
    <s v="3 "/>
    <s v="3=5 X 7"/>
    <s v="01/07/2025"/>
    <s v="TEMPO DETERMINATO"/>
    <s v="31/05/2027"/>
    <s v="0015000754                    "/>
    <s v="CARDUCCI ARTENISIO FABIO"/>
    <n v="47"/>
  </r>
  <r>
    <x v="0"/>
    <n v="2928"/>
    <s v="IL SOLE 24 ORE S.P.A.                   "/>
    <s v="K           "/>
    <s v="REDAZIONI GIORNALISTICHE"/>
    <s v="K03 "/>
    <x v="36"/>
    <s v="514700      "/>
    <s v="514700   REDAZIONE ROMA"/>
    <s v="CIMMARUSTI                      "/>
    <s v="IVAN              "/>
    <s v="CMMVNI78M12A662D"/>
    <x v="1"/>
    <s v="31"/>
    <x v="1"/>
    <s v="23/10/2017"/>
    <s v="ROMA                   "/>
    <s v="85"/>
    <x v="4"/>
    <s v="G"/>
    <x v="3"/>
    <s v="RM2"/>
    <s v="RM2 REDATTORE MAGG. 30 MM     "/>
    <s v="23/10/2017"/>
    <s v="23/10/2017"/>
    <s v="12/08/1978"/>
    <s v="A"/>
    <s v="A.IN FORZA"/>
    <s v="1  -ASSUNZIONE                1"/>
    <s v=""/>
    <s v=" "/>
    <s v=""/>
    <s v=""/>
    <n v="2928"/>
    <s v="00"/>
    <n v="100"/>
    <s v="FULL TIME      100000000FF100-FULL TIME"/>
    <s v="23/10/2017"/>
    <s v=""/>
    <s v="  "/>
    <s v=""/>
    <s v="GBM "/>
    <s v="L27 "/>
    <s v="REDAZIONE ROMA"/>
    <s v=""/>
    <s v="ivan.cimmarusti@ilsole24ore.com                   "/>
    <s v="E"/>
    <s v="E-ESENTE"/>
    <s v="2 "/>
    <s v="2=6 X 6"/>
    <s v="01/07/2025"/>
    <s v="TEMPO DETERMINATO"/>
    <s v="31/05/2027"/>
    <s v="0015000754                    "/>
    <s v="CARDUCCI ARTENISIO FABIO"/>
    <n v="47"/>
  </r>
  <r>
    <x v="0"/>
    <n v="2178"/>
    <s v="IL SOLE 24 ORE S.P.A.                   "/>
    <s v="K           "/>
    <s v="REDAZIONI GIORNALISTICHE"/>
    <s v="K03 "/>
    <x v="36"/>
    <s v="514700      "/>
    <s v="514700   REDAZIONE ROMA"/>
    <s v="COLOMBO                         "/>
    <s v="DAVIDE            "/>
    <s v="CLMDVD63P30E514Y"/>
    <x v="1"/>
    <s v="31"/>
    <x v="1"/>
    <s v="01/06/2009"/>
    <s v="ROMA                   "/>
    <s v="85"/>
    <x v="4"/>
    <s v="G"/>
    <x v="3"/>
    <s v="RE "/>
    <s v="RE REDATTORE ESPERTO          "/>
    <s v="01/04/2007"/>
    <s v="01/04/2007"/>
    <s v="30/09/1963"/>
    <s v="I"/>
    <s v="I.ASPETT. PERSON."/>
    <s v="1  -ASSUNZIONE                1"/>
    <s v="30/04/2027"/>
    <s v=" "/>
    <s v=""/>
    <s v=""/>
    <n v="512"/>
    <s v="00"/>
    <n v="100"/>
    <s v="FULL TIME      100000000FF100-FULL TIME"/>
    <s v="01/04/2007"/>
    <s v=""/>
    <s v="  "/>
    <s v=""/>
    <s v="GSS "/>
    <s v="L27 "/>
    <s v="REDAZIONE ROMA"/>
    <s v=""/>
    <s v="davide.colombo@ilsole24ore.com                    "/>
    <s v="E"/>
    <s v="E-ESENTE"/>
    <s v="2 "/>
    <s v="2=6 X 6"/>
    <s v="01/05/2021"/>
    <s v=""/>
    <s v=""/>
    <s v="0015000754                    "/>
    <s v="CARDUCCI ARTENISIO FABIO"/>
    <n v="62"/>
  </r>
  <r>
    <x v="0"/>
    <n v="2563"/>
    <s v="IL SOLE 24 ORE S.P.A.                   "/>
    <s v="K           "/>
    <s v="REDAZIONI GIORNALISTICHE"/>
    <s v="K03 "/>
    <x v="36"/>
    <s v="514700      "/>
    <s v="514700   REDAZIONE ROMA"/>
    <s v="DOMINELLI                       "/>
    <s v="CELESTINA         "/>
    <s v="DMNCST77L64D976F"/>
    <x v="0"/>
    <s v="31"/>
    <x v="1"/>
    <s v="07/06/2010"/>
    <s v="ROMA                   "/>
    <s v="85"/>
    <x v="4"/>
    <s v="G"/>
    <x v="3"/>
    <s v="CS "/>
    <s v="CS CAPO SERVIZIO              "/>
    <s v="07/06/2010"/>
    <s v="07/06/2010"/>
    <s v="24/07/1977"/>
    <s v="A"/>
    <s v="A.IN FORZA"/>
    <s v="1  -ASSUNZIONE                1"/>
    <s v=""/>
    <s v=" "/>
    <s v=""/>
    <s v=""/>
    <n v="2563"/>
    <s v="00"/>
    <n v="100"/>
    <s v="FULL TIME      100000000FF100-FULL TIME"/>
    <s v="07/06/2010"/>
    <s v=""/>
    <s v="  "/>
    <s v=""/>
    <s v="GSS "/>
    <s v="L27 "/>
    <s v="REDAZIONE ROMA"/>
    <s v="SIND.GIORN.        SINDACATO GIORNALISTI"/>
    <s v="celestina.dominelli@ilsole24ore.com               "/>
    <s v="E"/>
    <s v="E-ESENTE"/>
    <s v="3 "/>
    <s v="3=5 X 7"/>
    <s v="01/07/2025"/>
    <s v="TEMPO DETERMINATO"/>
    <s v="31/05/2027"/>
    <s v="0015000754                    "/>
    <s v="CARDUCCI ARTENISIO FABIO"/>
    <n v="48"/>
  </r>
  <r>
    <x v="0"/>
    <n v="1985"/>
    <s v="IL SOLE 24 ORE S.P.A.                   "/>
    <s v="K           "/>
    <s v="REDAZIONI GIORNALISTICHE"/>
    <s v="K03 "/>
    <x v="36"/>
    <s v="514700      "/>
    <s v="514700   REDAZIONE ROMA"/>
    <s v="FERRAZZA                        "/>
    <s v="RICCARDO          "/>
    <s v="FRRRCR74L25H501H"/>
    <x v="1"/>
    <s v="31"/>
    <x v="1"/>
    <s v="01/06/2009"/>
    <s v="ROMA                   "/>
    <s v="85"/>
    <x v="4"/>
    <s v="G"/>
    <x v="3"/>
    <s v="CSV"/>
    <s v="CSV VICE CAPO SERVIZIO        "/>
    <s v="17/11/2003"/>
    <s v="17/11/2003"/>
    <s v="25/07/1974"/>
    <s v="A"/>
    <s v="A.IN FORZA"/>
    <s v="1  -ASSUNZIONE                1"/>
    <s v=""/>
    <s v=" "/>
    <s v=""/>
    <s v=""/>
    <n v="417"/>
    <s v="00"/>
    <n v="100"/>
    <s v="FULL TIME      100000000FF100-FULL TIME"/>
    <s v="17/11/2003"/>
    <s v=""/>
    <s v="  "/>
    <s v=""/>
    <s v="GSS "/>
    <s v="L27 "/>
    <s v="REDAZIONE ROMA"/>
    <s v="NON ISCRITTO       NON ISCRITTO"/>
    <s v="riccardo.ferrazza@ilsole24ore.com                 "/>
    <s v="E"/>
    <s v="E-ESENTE"/>
    <s v="2 "/>
    <s v="2=6 X 6"/>
    <s v="01/07/2025"/>
    <s v="TEMPO DETERMINATO"/>
    <s v="31/05/2027"/>
    <s v="0015000754                    "/>
    <s v="CARDUCCI ARTENISIO FABIO"/>
    <n v="51"/>
  </r>
  <r>
    <x v="0"/>
    <n v="1675"/>
    <s v="IL SOLE 24 ORE S.P.A.                   "/>
    <s v="K           "/>
    <s v="REDAZIONI GIORNALISTICHE"/>
    <s v="K03 "/>
    <x v="36"/>
    <s v="514700      "/>
    <s v="514700   REDAZIONE ROMA"/>
    <s v="FOTINA                          "/>
    <s v="CARMINE           "/>
    <s v="FTNCMN75P19F839Y"/>
    <x v="1"/>
    <s v="31"/>
    <x v="1"/>
    <s v="01/06/2009"/>
    <s v="ROMA                   "/>
    <s v="85"/>
    <x v="4"/>
    <s v="G"/>
    <x v="3"/>
    <s v="CSV"/>
    <s v="CSV VICE CAPO SERVIZIO        "/>
    <s v="06/11/2000"/>
    <s v="06/11/2000"/>
    <s v="19/09/1975"/>
    <s v="A"/>
    <s v="A.IN FORZA"/>
    <s v="1  -ASSUNZIONE                1"/>
    <s v=""/>
    <s v=" "/>
    <s v=""/>
    <s v=""/>
    <n v="324"/>
    <s v="00"/>
    <n v="100"/>
    <s v="FULL TIME      100000000FF100-FULL TIME"/>
    <s v="06/11/2000"/>
    <s v=""/>
    <s v="  "/>
    <s v=""/>
    <s v="GSS "/>
    <s v="L27 "/>
    <s v="REDAZIONE ROMA"/>
    <s v=""/>
    <s v="carmine.fotina@ilsole24ore.com                    "/>
    <s v="E"/>
    <s v="E-ESENTE"/>
    <s v="2 "/>
    <s v="2=6 X 6"/>
    <s v=""/>
    <s v=""/>
    <s v=""/>
    <s v="0015000754                    "/>
    <s v="CARDUCCI ARTENISIO FABIO"/>
    <n v="50"/>
  </r>
  <r>
    <x v="0"/>
    <n v="2226"/>
    <s v="IL SOLE 24 ORE S.P.A.                   "/>
    <s v="K           "/>
    <s v="REDAZIONI GIORNALISTICHE"/>
    <s v="K03 "/>
    <x v="36"/>
    <s v="514700      "/>
    <s v="514700   REDAZIONE ROMA"/>
    <s v="GAGLIARDI                       "/>
    <s v="ANDREA            "/>
    <s v="GGLNDR71T22F839T"/>
    <x v="1"/>
    <s v="31"/>
    <x v="1"/>
    <s v="01/06/2009"/>
    <s v="ROMA                   "/>
    <s v="85"/>
    <x v="4"/>
    <s v="G"/>
    <x v="3"/>
    <s v="RM2"/>
    <s v="RM2 REDATTORE MAGG. 30 MM     "/>
    <s v="18/09/2007"/>
    <s v="18/09/2007"/>
    <s v="22/12/1971"/>
    <s v="A"/>
    <s v="A.IN FORZA"/>
    <s v="1  -ASSUNZIONE                1"/>
    <s v=""/>
    <s v=" "/>
    <s v=""/>
    <s v=""/>
    <n v="526"/>
    <s v="00"/>
    <n v="100"/>
    <s v="FULL TIME      100000000FF100-FULL TIME"/>
    <s v="18/09/2007"/>
    <s v=""/>
    <s v="  "/>
    <s v=""/>
    <s v="GSS "/>
    <s v="L27 "/>
    <s v="REDAZIONE ROMA"/>
    <s v=""/>
    <s v="andrea.gagliardi@ilsole24ore.com                  "/>
    <s v="E"/>
    <s v="E-ESENTE"/>
    <s v="3 "/>
    <s v="3=5 X 7"/>
    <s v="01/07/2025"/>
    <s v="TEMPO DETERMINATO"/>
    <s v="31/05/2027"/>
    <s v="0015000754                    "/>
    <s v="CARDUCCI ARTENISIO FABIO"/>
    <n v="54"/>
  </r>
  <r>
    <x v="0"/>
    <n v="1739"/>
    <s v="IL SOLE 24 ORE S.P.A.                   "/>
    <s v="K           "/>
    <s v="REDAZIONI GIORNALISTICHE"/>
    <s v="K03 "/>
    <x v="36"/>
    <s v="514700      "/>
    <s v="514700   REDAZIONE ROMA"/>
    <s v="LANDOLFI                        "/>
    <s v="FLAVIA            "/>
    <s v="LNDFLV69P62H501I"/>
    <x v="0"/>
    <s v="31"/>
    <x v="1"/>
    <s v="25/05/2009"/>
    <s v="ROMA                   "/>
    <s v="85"/>
    <x v="4"/>
    <s v="G"/>
    <x v="3"/>
    <s v="RM2"/>
    <s v="RM2 REDATTORE MAGG. 30 MM     "/>
    <s v="12/02/2001"/>
    <s v="12/02/2001"/>
    <s v="22/09/1969"/>
    <s v="A"/>
    <s v="A.IN FORZA"/>
    <s v="1  -ASSUNZIONE                1"/>
    <s v=""/>
    <s v=" "/>
    <s v=""/>
    <s v=""/>
    <n v="337"/>
    <s v="00"/>
    <n v="100"/>
    <s v="FULL TIME      100000000FF100-FULL TIME"/>
    <s v="12/02/2001"/>
    <s v=""/>
    <s v="  "/>
    <s v=""/>
    <s v="GSS "/>
    <s v="    "/>
    <s v=""/>
    <s v="SIND.GIORN.        SINDACATO GIORNALISTI"/>
    <s v="flavia.landolfi@ilsole24ore.com                   "/>
    <s v="E"/>
    <s v="E-ESENTE"/>
    <s v="3 "/>
    <s v="3=5 X 7"/>
    <s v="01/07/2025"/>
    <s v="TEMPO DETERMINATO"/>
    <s v="31/05/2027"/>
    <s v="0015000754                    "/>
    <s v="CARDUCCI ARTENISIO FABIO"/>
    <n v="56"/>
  </r>
  <r>
    <x v="0"/>
    <n v="2225"/>
    <s v="IL SOLE 24 ORE S.P.A.                   "/>
    <s v="K           "/>
    <s v="REDAZIONI GIORNALISTICHE"/>
    <s v="K03 "/>
    <x v="36"/>
    <s v="514700      "/>
    <s v="514700   REDAZIONE ROMA"/>
    <s v="MARINI                          "/>
    <s v="ANDREA            "/>
    <s v="MRNNDR77H03G535T"/>
    <x v="1"/>
    <s v="31"/>
    <x v="1"/>
    <s v="01/06/2009"/>
    <s v="ROMA                   "/>
    <s v="85"/>
    <x v="4"/>
    <s v="G"/>
    <x v="3"/>
    <s v="RM2"/>
    <s v="RM2 REDATTORE MAGG. 30 MM     "/>
    <s v="17/09/2007"/>
    <s v="17/09/2007"/>
    <s v="03/06/1977"/>
    <s v="A"/>
    <s v="A.IN FORZA"/>
    <s v="1  -ASSUNZIONE                1"/>
    <s v=""/>
    <s v=" "/>
    <s v=""/>
    <s v=""/>
    <n v="525"/>
    <s v="00"/>
    <n v="100"/>
    <s v="FULL TIME      100000000FF100-FULL TIME"/>
    <s v="17/09/2007"/>
    <s v=""/>
    <s v="  "/>
    <s v=""/>
    <s v="GSS "/>
    <s v="L27 "/>
    <s v="REDAZIONE ROMA"/>
    <s v=""/>
    <s v="andrea.marini@ilsole24ore.com                     "/>
    <s v="E"/>
    <s v="E-ESENTE"/>
    <s v="3 "/>
    <s v="3=5 X 7"/>
    <s v="01/07/2025"/>
    <s v="TEMPO DETERMINATO"/>
    <s v="31/05/2027"/>
    <s v="0015000754                    "/>
    <s v="CARDUCCI ARTENISIO FABIO"/>
    <n v="48"/>
  </r>
  <r>
    <x v="0"/>
    <n v="483"/>
    <s v="IL SOLE 24 ORE S.P.A.                   "/>
    <s v="K           "/>
    <s v="REDAZIONI GIORNALISTICHE"/>
    <s v="K03 "/>
    <x v="36"/>
    <s v="514700      "/>
    <s v="514700   REDAZIONE ROMA"/>
    <s v="MARRONI                         "/>
    <s v="CARLO             "/>
    <s v="MRRCRL61M21I726M"/>
    <x v="1"/>
    <s v="31"/>
    <x v="1"/>
    <s v="01/06/2009"/>
    <s v="ROMA                   "/>
    <s v="85"/>
    <x v="4"/>
    <s v="G"/>
    <x v="3"/>
    <s v="CR "/>
    <s v="CR CAPO REDATTORE             "/>
    <s v="01/06/1990"/>
    <s v="01/01/1996"/>
    <s v="21/08/1961"/>
    <s v="A"/>
    <s v="A.IN FORZA"/>
    <s v="1  -ASSUNZIONE                1"/>
    <s v=""/>
    <s v=" "/>
    <s v=""/>
    <s v=""/>
    <n v="140"/>
    <s v="00"/>
    <n v="100"/>
    <s v="FULL TIME      100000000FF100-FULL TIME"/>
    <s v="01/06/1990"/>
    <s v=""/>
    <s v="  "/>
    <s v=""/>
    <s v="GSS "/>
    <s v="L27 "/>
    <s v="REDAZIONE ROMA"/>
    <s v="SIND.GIORN.        SINDACATO GIORNALISTI"/>
    <s v="carlo.marroni@ilsole24ore.com                     "/>
    <s v="E"/>
    <s v="E-ESENTE"/>
    <s v="2 "/>
    <s v="2=6 X 6"/>
    <s v=""/>
    <s v=""/>
    <s v=""/>
    <s v="0015000754                    "/>
    <s v="CARDUCCI ARTENISIO FABIO"/>
    <n v="64"/>
  </r>
  <r>
    <x v="0"/>
    <n v="1341"/>
    <s v="IL SOLE 24 ORE S.P.A.                   "/>
    <s v="K           "/>
    <s v="REDAZIONI GIORNALISTICHE"/>
    <s v="K03 "/>
    <x v="36"/>
    <s v="514700      "/>
    <s v="514700   REDAZIONE ROMA"/>
    <s v="MOBILI                          "/>
    <s v="MARCO             "/>
    <s v="MBLMRC63P20H501L"/>
    <x v="1"/>
    <s v="31"/>
    <x v="1"/>
    <s v="01/06/2009"/>
    <s v="ROMA                   "/>
    <s v="85"/>
    <x v="4"/>
    <s v="G"/>
    <x v="3"/>
    <s v="CR "/>
    <s v="CR CAPO REDATTORE             "/>
    <s v="07/10/1991"/>
    <s v="07/10/1991"/>
    <s v="20/09/1963"/>
    <s v="A"/>
    <s v="A.IN FORZA"/>
    <s v="1  -ASSUNZIONE                1"/>
    <s v=""/>
    <s v=" "/>
    <s v=""/>
    <s v=""/>
    <n v="276"/>
    <s v="00"/>
    <n v="100"/>
    <s v="FULL TIME      100000000FF100-FULL TIME"/>
    <s v="07/10/1991"/>
    <s v=""/>
    <s v="  "/>
    <s v=""/>
    <s v="GSS "/>
    <s v="L27 "/>
    <s v="REDAZIONE ROMA"/>
    <s v=""/>
    <s v="marco.mobili@ilsole24ore.com                      "/>
    <s v="E"/>
    <s v="E-ESENTE"/>
    <s v="2 "/>
    <s v="2=6 X 6"/>
    <s v=""/>
    <s v=""/>
    <s v=""/>
    <s v="0015000754                    "/>
    <s v="CARDUCCI ARTENISIO FABIO"/>
    <n v="62"/>
  </r>
  <r>
    <x v="0"/>
    <n v="3167"/>
    <s v="IL SOLE 24 ORE S.P.A.                   "/>
    <s v="K           "/>
    <s v="REDAZIONI GIORNALISTICHE"/>
    <s v="K03 "/>
    <x v="36"/>
    <s v="514700      "/>
    <s v="514700   REDAZIONE ROMA"/>
    <s v="PACE                            "/>
    <s v="LORENZO           "/>
    <s v="PCALNZ02P24G273A"/>
    <x v="1"/>
    <s v="31"/>
    <x v="1"/>
    <s v="07/01/2026"/>
    <s v="ROMA                   "/>
    <s v="85"/>
    <x v="4"/>
    <e v="#N/A"/>
    <x v="4"/>
    <s v="PM2"/>
    <s v="PM2 PRATICANTE MAGG. 12 MM    "/>
    <s v="07/01/2026"/>
    <s v="07/01/2026"/>
    <s v="24/09/2002"/>
    <s v="A"/>
    <s v="A.IN FORZA"/>
    <s v="1  -ASSUNZIONE                1"/>
    <s v=""/>
    <s v=" "/>
    <s v=""/>
    <s v=""/>
    <n v="3167"/>
    <s v="00"/>
    <n v="100"/>
    <s v="FULL TIME      100000000FF100-FULL TIME"/>
    <s v="07/01/2026"/>
    <s v=""/>
    <s v="  "/>
    <s v=""/>
    <s v="GBM "/>
    <s v="L27 "/>
    <s v="REDAZIONE ROMA"/>
    <s v=""/>
    <s v="lorenzo.pace@ilsole24ore.com                      "/>
    <s v="E"/>
    <s v="E-ESENTE"/>
    <s v="7 "/>
    <s v="7=5 X 7.20"/>
    <s v=""/>
    <s v=""/>
    <s v=""/>
    <s v="0015003059                    "/>
    <s v="BELLASIO DANIELE"/>
    <n v="23"/>
  </r>
  <r>
    <x v="0"/>
    <n v="842"/>
    <s v="IL SOLE 24 ORE S.P.A.                   "/>
    <s v="K           "/>
    <s v="REDAZIONI GIORNALISTICHE"/>
    <s v="K03 "/>
    <x v="36"/>
    <s v="514700      "/>
    <s v="514700   REDAZIONE ROMA"/>
    <s v="PALMERINI                       "/>
    <s v="LINA              "/>
    <s v="PLMLNI65H60A345J"/>
    <x v="0"/>
    <s v="31"/>
    <x v="1"/>
    <s v="01/06/2009"/>
    <s v="ROMA                   "/>
    <s v="85"/>
    <x v="4"/>
    <s v="G"/>
    <x v="3"/>
    <s v="CS "/>
    <s v="CS CAPO SERVIZIO              "/>
    <s v="01/05/1995"/>
    <s v="01/05/1995"/>
    <s v="20/06/1965"/>
    <s v="A"/>
    <s v="A.IN FORZA"/>
    <s v="1  -ASSUNZIONE                1"/>
    <s v=""/>
    <s v=" "/>
    <s v=""/>
    <s v=""/>
    <n v="203"/>
    <s v="00"/>
    <n v="100"/>
    <s v="FULL TIME      100000000FF100-FULL TIME"/>
    <s v="01/05/1995"/>
    <s v=""/>
    <s v="  "/>
    <s v=""/>
    <s v="GSS "/>
    <s v="L27 "/>
    <s v="REDAZIONE ROMA"/>
    <s v="SIND.GIORN.        SINDACATO GIORNALISTI"/>
    <s v="lina.palmerini@ilsole24ore.com                    "/>
    <s v="E"/>
    <s v="E-ESENTE"/>
    <s v="2 "/>
    <s v="2=6 X 6"/>
    <s v=""/>
    <s v=""/>
    <s v=""/>
    <s v="0015000754                    "/>
    <s v="CARDUCCI ARTENISIO FABIO"/>
    <n v="60"/>
  </r>
  <r>
    <x v="0"/>
    <n v="2377"/>
    <s v="IL SOLE 24 ORE S.P.A.                   "/>
    <s v="K           "/>
    <s v="REDAZIONI GIORNALISTICHE"/>
    <s v="K03 "/>
    <x v="36"/>
    <s v="514700      "/>
    <s v="514700   REDAZIONE ROMA"/>
    <s v="PARENTE                         "/>
    <s v="GIOVANNI          "/>
    <s v="PRNGNN77H12G596N"/>
    <x v="1"/>
    <s v="31"/>
    <x v="1"/>
    <s v="17/06/2015"/>
    <s v="ROMA                   "/>
    <s v="85"/>
    <x v="4"/>
    <s v="G"/>
    <x v="3"/>
    <s v="CSV"/>
    <s v="CSV VICE CAPO SERVIZIO        "/>
    <s v="23/12/2009"/>
    <s v="23/12/2009"/>
    <s v="12/06/1977"/>
    <s v="A"/>
    <s v="A.IN FORZA"/>
    <s v="1  -ASSUNZIONE                1"/>
    <s v=""/>
    <s v=" "/>
    <s v=""/>
    <s v=""/>
    <n v="585"/>
    <s v="00"/>
    <n v="100"/>
    <s v="FULL TIME      100000000FF100-FULL TIME"/>
    <s v="23/12/2009"/>
    <s v=""/>
    <s v="  "/>
    <s v=""/>
    <s v="GSS "/>
    <s v="L27 "/>
    <s v="REDAZIONE ROMA"/>
    <s v=""/>
    <s v="giovanni.parente@ilsole24ore.com                  "/>
    <s v="E"/>
    <s v="E-ESENTE"/>
    <s v="3 "/>
    <s v="3=5 X 7"/>
    <s v="01/07/2025"/>
    <s v="TEMPO DETERMINATO"/>
    <s v="31/05/2027"/>
    <s v="0015000739                    "/>
    <s v="DECESARI SEVERINA"/>
    <n v="48"/>
  </r>
  <r>
    <x v="0"/>
    <n v="1459"/>
    <s v="IL SOLE 24 ORE S.P.A.                   "/>
    <s v="K           "/>
    <s v="REDAZIONI GIORNALISTICHE"/>
    <s v="K03 "/>
    <x v="36"/>
    <s v="514700      "/>
    <s v="514700   REDAZIONE ROMA"/>
    <s v="PATTA                           "/>
    <s v="EMILIA ALZIRA     "/>
    <s v="PTTMLZ69B49H501Q"/>
    <x v="0"/>
    <s v="31"/>
    <x v="1"/>
    <s v="01/06/2009"/>
    <s v="ROMA                   "/>
    <s v="85"/>
    <x v="4"/>
    <s v="G"/>
    <x v="3"/>
    <s v="CS "/>
    <s v="CS CAPO SERVIZIO              "/>
    <s v="14/01/2000"/>
    <s v="14/01/2000"/>
    <s v="09/02/1969"/>
    <s v="A"/>
    <s v="A.IN FORZA"/>
    <s v="1  -ASSUNZIONE                1"/>
    <s v=""/>
    <s v=" "/>
    <s v=""/>
    <s v=""/>
    <n v="300"/>
    <s v="00"/>
    <n v="100"/>
    <s v="FULL TIME      100000000FF100-FULL TIME"/>
    <s v="14/01/2000"/>
    <s v=""/>
    <s v="  "/>
    <s v=""/>
    <s v="GSS "/>
    <s v="L27 "/>
    <s v="REDAZIONE ROMA"/>
    <s v=""/>
    <s v="emilia.patta@ilsole24ore.com                      "/>
    <s v="E"/>
    <s v="E-ESENTE"/>
    <s v="2 "/>
    <s v="2=6 X 6"/>
    <s v=""/>
    <s v=""/>
    <s v=""/>
    <s v="0015000754                    "/>
    <s v="CARDUCCI ARTENISIO FABIO"/>
    <n v="56"/>
  </r>
  <r>
    <x v="0"/>
    <n v="1942"/>
    <s v="IL SOLE 24 ORE S.P.A.                   "/>
    <s v="K           "/>
    <s v="REDAZIONI GIORNALISTICHE"/>
    <s v="K03 "/>
    <x v="36"/>
    <s v="514700      "/>
    <s v="514700   REDAZIONE ROMA"/>
    <s v="PERRONE                         "/>
    <s v="MANUELA           "/>
    <s v="PRRMNL77B42H501U"/>
    <x v="0"/>
    <s v="31"/>
    <x v="1"/>
    <s v="25/05/2009"/>
    <s v="ROMA                   "/>
    <s v="85"/>
    <x v="4"/>
    <s v="G"/>
    <x v="3"/>
    <s v="CSV"/>
    <s v="CSV VICE CAPO SERVIZIO        "/>
    <s v="07/04/2003"/>
    <s v="07/04/2003"/>
    <s v="02/02/1977"/>
    <s v="A"/>
    <s v="A.IN FORZA"/>
    <s v="1  -ASSUNZIONE                1"/>
    <s v=""/>
    <s v=" "/>
    <s v=""/>
    <s v=""/>
    <n v="389"/>
    <s v="00"/>
    <n v="100"/>
    <s v="FULL TIME      100000000FF100-FULL TIME"/>
    <s v="07/04/2003"/>
    <s v=""/>
    <s v="  "/>
    <s v=""/>
    <s v="GSS "/>
    <s v="L27 "/>
    <s v="REDAZIONE ROMA"/>
    <s v="SIND.GIORN.        SINDACATO GIORNALISTI"/>
    <s v="manuela.perrone@ilsole24ore.com                   "/>
    <s v="E"/>
    <s v="E-ESENTE"/>
    <s v="3 "/>
    <s v="3=5 X 7"/>
    <s v=""/>
    <s v=""/>
    <s v=""/>
    <s v="0015000754                    "/>
    <s v="CARDUCCI ARTENISIO FABIO"/>
    <n v="48"/>
  </r>
  <r>
    <x v="0"/>
    <n v="928"/>
    <s v="IL SOLE 24 ORE S.P.A.                   "/>
    <s v="K           "/>
    <s v="REDAZIONI GIORNALISTICHE"/>
    <s v="K03 "/>
    <x v="36"/>
    <s v="514700      "/>
    <s v="514700   REDAZIONE ROMA"/>
    <s v="POGLIOTTI                       "/>
    <s v="GIORGIO           "/>
    <s v="PGLGRG67H06H501D"/>
    <x v="1"/>
    <s v="31"/>
    <x v="1"/>
    <s v="01/06/2009"/>
    <s v="ROMA                   "/>
    <s v="85"/>
    <x v="4"/>
    <s v="G"/>
    <x v="3"/>
    <s v="RE "/>
    <s v="RE REDATTORE ESPERTO          "/>
    <s v="02/09/1996"/>
    <s v="02/09/1996"/>
    <s v="06/06/1967"/>
    <s v="A"/>
    <s v="A.IN FORZA"/>
    <s v="1  -ASSUNZIONE                1"/>
    <s v=""/>
    <s v=" "/>
    <s v=""/>
    <s v=""/>
    <n v="217"/>
    <s v="00"/>
    <n v="100"/>
    <s v="FULL TIME      100000000FF100-FULL TIME"/>
    <s v="02/09/1996"/>
    <s v=""/>
    <s v="  "/>
    <s v=""/>
    <s v="GSS "/>
    <s v="L27 "/>
    <s v="REDAZIONE ROMA"/>
    <s v="SIND.GIORN.        SINDACATO GIORNALISTI"/>
    <s v="giorgio.pogliotti@ilsole24ore.com                 "/>
    <s v="E"/>
    <s v="E-ESENTE"/>
    <s v="2 "/>
    <s v="2=6 X 6"/>
    <s v="01/07/2025"/>
    <s v="TEMPO DETERMINATO"/>
    <s v="31/05/2027"/>
    <s v="0015000754                    "/>
    <s v="CARDUCCI ARTENISIO FABIO"/>
    <n v="58"/>
  </r>
  <r>
    <x v="0"/>
    <n v="1591"/>
    <s v="IL SOLE 24 ORE S.P.A.                   "/>
    <s v="K           "/>
    <s v="REDAZIONI GIORNALISTICHE"/>
    <s v="K03 "/>
    <x v="36"/>
    <s v="514700      "/>
    <s v="514700   REDAZIONE ROMA"/>
    <s v="SERAFINI                        "/>
    <s v="LAURA             "/>
    <s v="SRFLRA69A60H501J"/>
    <x v="0"/>
    <s v="31"/>
    <x v="1"/>
    <s v="01/06/2009"/>
    <s v="ROMA                   "/>
    <s v="85"/>
    <x v="4"/>
    <s v="G"/>
    <x v="3"/>
    <s v="CS "/>
    <s v="CS CAPO SERVIZIO              "/>
    <s v="10/07/2000"/>
    <s v="10/07/2000"/>
    <s v="20/01/1969"/>
    <s v="A"/>
    <s v="A.IN FORZA"/>
    <s v="1  -ASSUNZIONE                1"/>
    <s v=""/>
    <s v=" "/>
    <s v=""/>
    <s v=""/>
    <n v="316"/>
    <s v="00"/>
    <n v="100"/>
    <s v="FULL TIME      100000000FF100-FULL TIME"/>
    <s v="10/07/2000"/>
    <s v=""/>
    <s v="  "/>
    <s v=""/>
    <s v="GSS "/>
    <s v="L27 "/>
    <s v="REDAZIONE ROMA"/>
    <s v="FIGEC CISAL        FIGEC CISAL"/>
    <s v="laura.serafini@ilsole24ore.com                    "/>
    <s v="E"/>
    <s v="E-ESENTE"/>
    <s v="2 "/>
    <s v="2=6 X 6"/>
    <s v="01/07/2025"/>
    <s v="TEMPO DETERMINATO"/>
    <s v="31/05/2027"/>
    <s v="0015000754                    "/>
    <s v="CARDUCCI ARTENISIO FABIO"/>
    <n v="57"/>
  </r>
  <r>
    <x v="0"/>
    <n v="1936"/>
    <s v="IL SOLE 24 ORE S.P.A.                   "/>
    <s v="K           "/>
    <s v="REDAZIONI GIORNALISTICHE"/>
    <s v="K03 "/>
    <x v="36"/>
    <s v="514700      "/>
    <s v="514700   REDAZIONE ROMA"/>
    <s v="SESTO                           "/>
    <s v="MARIOLINA         "/>
    <s v="SSTMLN72S49C351N"/>
    <x v="0"/>
    <s v="31"/>
    <x v="1"/>
    <s v="01/06/2009"/>
    <s v="ROMA                   "/>
    <s v="85"/>
    <x v="4"/>
    <s v="G"/>
    <x v="3"/>
    <s v="CS "/>
    <s v="CS CAPO SERVIZIO              "/>
    <s v="13/01/2003"/>
    <s v="13/01/2003"/>
    <s v="09/11/1972"/>
    <s v="A"/>
    <s v="A.IN FORZA"/>
    <s v="1  -ASSUNZIONE                1"/>
    <s v=""/>
    <s v=" "/>
    <s v=""/>
    <s v=""/>
    <n v="384"/>
    <s v="00"/>
    <n v="100"/>
    <s v="FULL TIME      100000000FF100-FULL TIME"/>
    <s v="13/01/2003"/>
    <s v=""/>
    <s v="  "/>
    <s v=""/>
    <s v="GSS "/>
    <s v="L27 "/>
    <s v="REDAZIONE ROMA"/>
    <s v=""/>
    <s v="mariolina.sesto@ilsole24ore.com                   "/>
    <s v="E"/>
    <s v="E-ESENTE"/>
    <s v="2 "/>
    <s v="2=6 X 6"/>
    <s v="01/07/2025"/>
    <s v="TEMPO DETERMINATO"/>
    <s v="31/05/2027"/>
    <s v="0015000754                    "/>
    <s v="CARDUCCI ARTENISIO FABIO"/>
    <n v="53"/>
  </r>
  <r>
    <x v="0"/>
    <n v="2066"/>
    <s v="IL SOLE 24 ORE S.P.A.                   "/>
    <s v="K           "/>
    <s v="REDAZIONI GIORNALISTICHE"/>
    <s v="K03 "/>
    <x v="36"/>
    <s v="514700      "/>
    <s v="514700   REDAZIONE ROMA"/>
    <s v="TROVATI                         "/>
    <s v="GIANNI            "/>
    <s v="TRVGNN75S24F952F"/>
    <x v="1"/>
    <s v="31"/>
    <x v="1"/>
    <s v="01/06/2017"/>
    <s v="ROMA                   "/>
    <s v="85"/>
    <x v="4"/>
    <s v="G"/>
    <x v="3"/>
    <s v="CSV"/>
    <s v="CSV VICE CAPO SERVIZIO        "/>
    <s v="16/05/2005"/>
    <s v="16/05/2005"/>
    <s v="24/11/1975"/>
    <s v="A"/>
    <s v="A.IN FORZA"/>
    <s v="1  -ASSUNZIONE                1"/>
    <s v=""/>
    <s v=" "/>
    <s v=""/>
    <s v=""/>
    <n v="463"/>
    <s v="00"/>
    <n v="100"/>
    <s v="FULL TIME      100000000FF100-FULL TIME"/>
    <s v="16/05/2005"/>
    <s v=""/>
    <s v="  "/>
    <s v=""/>
    <s v="GSS "/>
    <s v="L27 "/>
    <s v="REDAZIONE ROMA"/>
    <s v=""/>
    <s v="gianni.trovati@ilsole24ore.com                    "/>
    <s v="E"/>
    <s v="E-ESENTE"/>
    <s v="2 "/>
    <s v="2=6 X 6"/>
    <s v="01/07/2025"/>
    <s v="TEMPO DETERMINATO"/>
    <s v="31/05/2027"/>
    <s v="0015000754                    "/>
    <s v="CARDUCCI ARTENISIO FABIO"/>
    <n v="50"/>
  </r>
  <r>
    <x v="0"/>
    <n v="2562"/>
    <s v="IL SOLE 24 ORE S.P.A.                   "/>
    <s v="K           "/>
    <s v="REDAZIONI GIORNALISTICHE"/>
    <s v="K03 "/>
    <x v="36"/>
    <s v="514700      "/>
    <s v="514700   REDAZIONE ROMA"/>
    <s v="TUCCI                           "/>
    <s v="CLAUDIO           "/>
    <s v="TCCCLD76H26H501D"/>
    <x v="1"/>
    <s v="31"/>
    <x v="1"/>
    <s v="07/06/2010"/>
    <s v="ROMA                   "/>
    <s v="85"/>
    <x v="4"/>
    <s v="G"/>
    <x v="3"/>
    <s v="CSV"/>
    <s v="CSV VICE CAPO SERVIZIO        "/>
    <s v="07/06/2010"/>
    <s v="07/06/2010"/>
    <s v="26/06/1976"/>
    <s v="A"/>
    <s v="A.IN FORZA"/>
    <s v="1  -ASSUNZIONE                1"/>
    <s v=""/>
    <s v=" "/>
    <s v=""/>
    <s v=""/>
    <n v="2562"/>
    <s v="00"/>
    <n v="100"/>
    <s v="FULL TIME      100000000FF100-FULL TIME"/>
    <s v="07/06/2010"/>
    <s v=""/>
    <s v="  "/>
    <s v=""/>
    <s v="GSS "/>
    <s v="L27 "/>
    <s v="REDAZIONE ROMA"/>
    <s v=""/>
    <s v="claudio.tucci@ilsole24ore.com                     "/>
    <s v="E"/>
    <s v="E-ESENTE"/>
    <s v="3 "/>
    <s v="3=5 X 7"/>
    <s v="01/07/2025"/>
    <s v="TEMPO DETERMINATO"/>
    <s v="31/05/2027"/>
    <s v="0015000754                    "/>
    <s v="CARDUCCI ARTENISIO FABIO"/>
    <n v="49"/>
  </r>
  <r>
    <x v="0"/>
    <n v="1481"/>
    <s v="IL SOLE 24 ORE S.P.A.                   "/>
    <s v="K           "/>
    <s v="REDAZIONI GIORNALISTICHE"/>
    <s v="K03 "/>
    <x v="36"/>
    <s v="516000      "/>
    <s v="516000   ON LINE REDAZIONE"/>
    <s v="BARBIERI                        "/>
    <s v="FRANCESCA         "/>
    <s v="BRBFNC74P50B832Y"/>
    <x v="0"/>
    <s v="34"/>
    <x v="0"/>
    <s v="01/04/2021"/>
    <s v="MILANO                 "/>
    <s v="85"/>
    <x v="4"/>
    <s v="G"/>
    <x v="3"/>
    <s v="CSV"/>
    <s v="CSV VICE CAPO SERVIZIO        "/>
    <s v="07/02/2000"/>
    <s v="07/02/2000"/>
    <s v="10/09/1974"/>
    <s v="A"/>
    <s v="A.IN FORZA"/>
    <s v="1  -ASSUNZIONE                1"/>
    <s v=""/>
    <s v=" "/>
    <s v=""/>
    <s v=""/>
    <n v="304"/>
    <s v="00"/>
    <n v="100"/>
    <s v="FULL TIME      100000000FF100-FULL TIME"/>
    <s v="15/02/2001"/>
    <s v=""/>
    <s v="  "/>
    <s v=""/>
    <s v="GSS "/>
    <s v="L26 "/>
    <s v="ONLINE"/>
    <s v=""/>
    <s v="francesca.barbieri@ilsole24ore.com                "/>
    <s v="E"/>
    <s v="E-ESENTE"/>
    <s v="2 "/>
    <s v="2=6 X 6"/>
    <s v="01/07/2025"/>
    <s v="TEMPO DETERMINATO"/>
    <s v="31/05/2027"/>
    <s v="0015000700                    "/>
    <s v=""/>
    <n v="51"/>
  </r>
  <r>
    <x v="0"/>
    <n v="1999"/>
    <s v="IL SOLE 24 ORE S.P.A.                   "/>
    <s v="K           "/>
    <s v="REDAZIONI GIORNALISTICHE"/>
    <s v="K03 "/>
    <x v="36"/>
    <s v="516000      "/>
    <s v="516000   ON LINE REDAZIONE"/>
    <s v="BARONE                          "/>
    <s v="NICOLA            "/>
    <s v="BRNNCL72R23G812D"/>
    <x v="1"/>
    <s v="31"/>
    <x v="1"/>
    <s v="25/05/2009"/>
    <s v="ROMA                   "/>
    <s v="85"/>
    <x v="4"/>
    <s v="G"/>
    <x v="3"/>
    <s v="RM2"/>
    <s v="RM2 REDATTORE MAGG. 30 MM     "/>
    <s v="16/02/2004"/>
    <s v="16/02/2004"/>
    <s v="23/10/1972"/>
    <s v="A"/>
    <s v="A.IN FORZA"/>
    <s v="1  -ASSUNZIONE                1"/>
    <s v=""/>
    <s v=" "/>
    <s v=""/>
    <s v=""/>
    <n v="425"/>
    <s v="00"/>
    <n v="100"/>
    <s v="FULL TIME      100000000FF100-FULL TIME"/>
    <s v="16/02/2004"/>
    <s v=""/>
    <s v="  "/>
    <s v=""/>
    <s v="GSS "/>
    <s v="L26 "/>
    <s v="ONLINE"/>
    <s v="SIND.GIORN.        SINDACATO GIORNALISTI"/>
    <s v="nicola.barone@ilsole24ore.com                     "/>
    <s v="E"/>
    <s v="E-ESENTE"/>
    <s v="2 "/>
    <s v="2=6 X 6"/>
    <s v="01/07/2025"/>
    <s v="TEMPO DETERMINATO"/>
    <s v="31/05/2027"/>
    <s v="0015000754                    "/>
    <s v="CARDUCCI ARTENISIO FABIO"/>
    <n v="53"/>
  </r>
  <r>
    <x v="0"/>
    <n v="1920"/>
    <s v="IL SOLE 24 ORE S.P.A.                   "/>
    <s v="K           "/>
    <s v="REDAZIONI GIORNALISTICHE"/>
    <s v="K03 "/>
    <x v="36"/>
    <s v="516000      "/>
    <s v="516000   ON LINE REDAZIONE"/>
    <s v="BISAZZA                         "/>
    <s v="BARBARA           "/>
    <s v="BSZBBR67S68G224K"/>
    <x v="0"/>
    <s v="34"/>
    <x v="0"/>
    <s v="01/04/2021"/>
    <s v="MILANO                 "/>
    <s v="85"/>
    <x v="4"/>
    <s v="G"/>
    <x v="3"/>
    <s v="CSV"/>
    <s v="CSV VICE CAPO SERVIZIO        "/>
    <s v="24/12/2002"/>
    <s v="24/12/2002"/>
    <s v="28/11/1967"/>
    <s v="A"/>
    <s v="A.IN FORZA"/>
    <s v="1  -ASSUNZIONE                1"/>
    <s v=""/>
    <s v=" "/>
    <s v=""/>
    <s v=""/>
    <n v="380"/>
    <s v="00"/>
    <n v="100"/>
    <s v="FULL TIME      100000000FF100-FULL TIME"/>
    <s v="01/10/2017"/>
    <s v=""/>
    <s v="  "/>
    <s v=""/>
    <s v="GSS "/>
    <s v="L26 "/>
    <s v="ONLINE"/>
    <s v="SIND.GIORN.        SINDACATO GIORNALISTI"/>
    <s v="barbara.bisazza@ilsole24ore.com                   "/>
    <s v="E"/>
    <s v="E-ESENTE"/>
    <s v="3 "/>
    <s v="3=5 X 7"/>
    <s v="01/07/2025"/>
    <s v="TEMPO DETERMINATO"/>
    <s v="31/05/2027"/>
    <s v="0015000700                    "/>
    <s v=""/>
    <n v="58"/>
  </r>
  <r>
    <x v="0"/>
    <n v="1630"/>
    <s v="IL SOLE 24 ORE S.P.A.                   "/>
    <s v="K           "/>
    <s v="REDAZIONI GIORNALISTICHE"/>
    <s v="K03 "/>
    <x v="36"/>
    <s v="516000      "/>
    <s v="516000   ON LINE REDAZIONE"/>
    <s v="BRONZO                          "/>
    <s v="ENRICO            "/>
    <s v="BRNNRC64P09G478O"/>
    <x v="1"/>
    <s v="34"/>
    <x v="0"/>
    <s v="01/04/2021"/>
    <s v="MILANO                 "/>
    <s v="85"/>
    <x v="4"/>
    <s v="G"/>
    <x v="3"/>
    <s v="CSV"/>
    <s v="CSV VICE CAPO SERVIZIO        "/>
    <s v="16/10/2000"/>
    <s v="16/10/2000"/>
    <s v="09/09/1964"/>
    <s v="A"/>
    <s v="A.IN FORZA"/>
    <s v="1  -ASSUNZIONE                1"/>
    <s v=""/>
    <s v=" "/>
    <s v=""/>
    <s v=""/>
    <n v="321"/>
    <s v="00"/>
    <n v="100"/>
    <s v="FULL TIME      100000000FF100-FULL TIME"/>
    <s v="01/10/2019"/>
    <s v=""/>
    <s v="  "/>
    <s v=""/>
    <s v="GSS "/>
    <s v="L26 "/>
    <s v="ONLINE"/>
    <s v="NON ISCRITTO       NON ISCRITTO"/>
    <s v="enrico.bronzo@ilsole24ore.com                     "/>
    <s v="E"/>
    <s v="E-ESENTE"/>
    <s v="2 "/>
    <s v="2=6 X 6"/>
    <s v="01/07/2025"/>
    <s v="TEMPO DETERMINATO"/>
    <s v="31/05/2027"/>
    <s v="0015000700                    "/>
    <s v=""/>
    <n v="61"/>
  </r>
  <r>
    <x v="0"/>
    <n v="1513"/>
    <s v="IL SOLE 24 ORE S.P.A.                   "/>
    <s v="K           "/>
    <s v="REDAZIONI GIORNALISTICHE"/>
    <s v="K03 "/>
    <x v="36"/>
    <s v="516000      "/>
    <s v="516000   ON LINE REDAZIONE"/>
    <s v="CIANFLONE                       "/>
    <s v="MARIO CIRO DOMENIC"/>
    <s v="CNFMCR65C25F205Y"/>
    <x v="1"/>
    <s v="34"/>
    <x v="0"/>
    <s v="01/04/2021"/>
    <s v="MILANO                 "/>
    <s v="85"/>
    <x v="4"/>
    <s v="G"/>
    <x v="3"/>
    <s v="CS "/>
    <s v="CS CAPO SERVIZIO              "/>
    <s v="03/04/2000"/>
    <s v="03/04/2000"/>
    <s v="25/03/1965"/>
    <s v="A"/>
    <s v="A.IN FORZA"/>
    <s v="1  -ASSUNZIONE                1"/>
    <s v=""/>
    <s v=" "/>
    <s v=""/>
    <s v=""/>
    <n v="311"/>
    <s v="00"/>
    <n v="100"/>
    <s v="FULL TIME      100000000FF100-FULL TIME"/>
    <s v="03/04/2000"/>
    <s v=""/>
    <s v="  "/>
    <s v=""/>
    <s v="GSS "/>
    <s v="L26 "/>
    <s v="ONLINE"/>
    <s v="SIND.GIORN.        SINDACATO GIORNALISTI"/>
    <s v="mario.cianflone@ilsole24ore.com                   "/>
    <s v="E"/>
    <s v="E-ESENTE"/>
    <s v="3 "/>
    <s v="3=5 X 7"/>
    <s v="01/07/2025"/>
    <s v="TEMPO DETERMINATO"/>
    <s v="31/05/2027"/>
    <s v="0015000700                    "/>
    <s v=""/>
    <n v="60"/>
  </r>
  <r>
    <x v="0"/>
    <n v="1405"/>
    <s v="IL SOLE 24 ORE S.P.A.                   "/>
    <s v="K           "/>
    <s v="REDAZIONI GIORNALISTICHE"/>
    <s v="K03 "/>
    <x v="36"/>
    <s v="516000      "/>
    <s v="516000   ON LINE REDAZIONE"/>
    <s v="COTTONE                         "/>
    <s v="NICOLETTA         "/>
    <s v="CTTNLT59D47H501O"/>
    <x v="0"/>
    <s v="31"/>
    <x v="1"/>
    <s v="01/06/2009"/>
    <s v="ROMA                   "/>
    <s v="85"/>
    <x v="4"/>
    <s v="G"/>
    <x v="3"/>
    <s v="CR "/>
    <s v="CR CAPO REDATTORE             "/>
    <s v="05/09/1997"/>
    <s v="05/09/1997"/>
    <s v="07/04/1959"/>
    <s v="A"/>
    <s v="A.IN FORZA"/>
    <s v="1  -ASSUNZIONE                1"/>
    <s v=""/>
    <s v=" "/>
    <s v=""/>
    <s v=""/>
    <n v="285"/>
    <s v="00"/>
    <n v="100"/>
    <s v="FULL TIME      100000000FF100-FULL TIME"/>
    <s v="05/09/1997"/>
    <s v=""/>
    <s v="  "/>
    <s v=""/>
    <s v="GSS "/>
    <s v="L26 "/>
    <s v="ONLINE"/>
    <s v=""/>
    <s v="nicoletta.cottone@ilsole24ore.com                 "/>
    <s v="E"/>
    <s v="E-ESENTE"/>
    <s v="7 "/>
    <s v="7=5 X 7.20"/>
    <s v=""/>
    <s v=""/>
    <s v=""/>
    <s v="0015000754                    "/>
    <s v="CARDUCCI ARTENISIO FABIO"/>
    <n v="66"/>
  </r>
  <r>
    <x v="0"/>
    <n v="3168"/>
    <s v="IL SOLE 24 ORE S.P.A.                   "/>
    <s v="K           "/>
    <s v="REDAZIONI GIORNALISTICHE"/>
    <s v="K03 "/>
    <x v="36"/>
    <s v="516000      "/>
    <s v="516000   ON LINE REDAZIONE"/>
    <s v="DE LAURENTIIS                   "/>
    <s v="MASSIMO           "/>
    <s v="DLRMSM01R08F205K"/>
    <x v="1"/>
    <s v="34"/>
    <x v="0"/>
    <s v="07/01/2026"/>
    <s v="MILANO                 "/>
    <s v="85"/>
    <x v="4"/>
    <e v="#N/A"/>
    <x v="4"/>
    <s v="PM2"/>
    <s v="PM2 PRATICANTE MAGG. 12 MM    "/>
    <s v="07/01/2026"/>
    <s v="07/01/2026"/>
    <s v="08/10/2001"/>
    <s v="A"/>
    <s v="A.IN FORZA"/>
    <s v="1  -ASSUNZIONE                1"/>
    <s v=""/>
    <s v=" "/>
    <s v=""/>
    <s v=""/>
    <n v="3168"/>
    <s v="00"/>
    <n v="100"/>
    <s v="FULL TIME      100000000FF100-FULL TIME"/>
    <s v="07/01/2026"/>
    <s v=""/>
    <s v="  "/>
    <s v=""/>
    <s v="GBM "/>
    <s v="L26 "/>
    <s v="ONLINE"/>
    <s v=""/>
    <s v="massimo.delaurentiis@ilsole24ore.com              "/>
    <s v="E"/>
    <s v="E-ESENTE"/>
    <s v="7 "/>
    <s v="7=5 X 7.20"/>
    <s v=""/>
    <s v=""/>
    <s v=""/>
    <s v="0015003059                    "/>
    <s v="BELLASIO DANIELE"/>
    <n v="24"/>
  </r>
  <r>
    <x v="0"/>
    <n v="2074"/>
    <s v="IL SOLE 24 ORE S.P.A.                   "/>
    <s v="K           "/>
    <s v="REDAZIONI GIORNALISTICHE"/>
    <s v="K03 "/>
    <x v="36"/>
    <s v="516000      "/>
    <s v="516000   ON LINE REDAZIONE"/>
    <s v="DONADDIO                        "/>
    <s v="MASSIMO           "/>
    <s v="DNDMSM77H04F952T"/>
    <x v="1"/>
    <s v="34"/>
    <x v="0"/>
    <s v="01/04/2021"/>
    <s v="MILANO                 "/>
    <s v="85"/>
    <x v="4"/>
    <s v="G"/>
    <x v="3"/>
    <s v="CSV"/>
    <s v="CSV VICE CAPO SERVIZIO        "/>
    <s v="06/07/2005"/>
    <s v="06/07/2005"/>
    <s v="04/06/1977"/>
    <s v="A"/>
    <s v="A.IN FORZA"/>
    <s v="1  -ASSUNZIONE                1"/>
    <s v=""/>
    <s v=" "/>
    <s v=""/>
    <s v=""/>
    <n v="471"/>
    <s v="00"/>
    <n v="100"/>
    <s v="FULL TIME      100000000FF100-FULL TIME"/>
    <s v="06/07/2005"/>
    <s v=""/>
    <s v="  "/>
    <s v=""/>
    <s v="GSS "/>
    <s v="L26 "/>
    <s v="ONLINE"/>
    <s v="SIND.GIORN.        SINDACATO GIORNALISTI"/>
    <s v="massimo.donaddio@ilsole24ore.com                  "/>
    <s v="E"/>
    <s v="E-ESENTE"/>
    <s v="2 "/>
    <s v="2=6 X 6"/>
    <s v="01/07/2025"/>
    <s v="TEMPO DETERMINATO"/>
    <s v="31/05/2027"/>
    <s v="0015000700                    "/>
    <s v=""/>
    <n v="48"/>
  </r>
  <r>
    <x v="0"/>
    <n v="1727"/>
    <s v="IL SOLE 24 ORE S.P.A.                   "/>
    <s v="K           "/>
    <s v="REDAZIONI GIORNALISTICHE"/>
    <s v="K03 "/>
    <x v="36"/>
    <s v="516000      "/>
    <s v="516000   ON LINE REDAZIONE"/>
    <s v="FILIPPETTI                      "/>
    <s v="SIMONE            "/>
    <s v="FLPSMN73E09E256Z"/>
    <x v="1"/>
    <s v="34"/>
    <x v="0"/>
    <s v="01/04/2021"/>
    <s v="MILANO                 "/>
    <s v="85"/>
    <x v="4"/>
    <s v="G"/>
    <x v="3"/>
    <s v="RM2"/>
    <s v="RM2 REDATTORE MAGG. 30 MM     "/>
    <s v="01/02/2001"/>
    <s v="01/02/2001"/>
    <s v="09/05/1973"/>
    <s v="A"/>
    <s v="A.IN FORZA"/>
    <s v="1  -ASSUNZIONE                1"/>
    <s v=""/>
    <s v=" "/>
    <s v=""/>
    <s v=""/>
    <n v="332"/>
    <s v="00"/>
    <n v="100"/>
    <s v="FULL TIME      100000000FF100-FULL TIME"/>
    <s v="01/02/2001"/>
    <s v=""/>
    <s v="  "/>
    <s v=""/>
    <s v="GSS "/>
    <s v="L26 "/>
    <s v="ONLINE"/>
    <s v="NON ISCRITTO       NON ISCRITTO"/>
    <s v="simone.filippetti@ilsole24ore.com                 "/>
    <s v="E"/>
    <s v="E-ESENTE"/>
    <s v="2 "/>
    <s v="2=6 X 6"/>
    <s v="01/07/2025"/>
    <s v="TEMPO DETERMINATO"/>
    <s v="31/05/2027"/>
    <s v="0015000700                    "/>
    <s v=""/>
    <n v="52"/>
  </r>
  <r>
    <x v="0"/>
    <n v="2246"/>
    <s v="IL SOLE 24 ORE S.P.A.                   "/>
    <s v="K           "/>
    <s v="REDAZIONI GIORNALISTICHE"/>
    <s v="K03 "/>
    <x v="36"/>
    <s v="516000      "/>
    <s v="516000   ON LINE REDAZIONE"/>
    <s v="FINOTTO                         "/>
    <s v="CARLO             "/>
    <s v="FNTCRL66E03L669V"/>
    <x v="1"/>
    <s v="34"/>
    <x v="0"/>
    <s v="01/04/2021"/>
    <s v="MILANO                 "/>
    <s v="85"/>
    <x v="4"/>
    <s v="G"/>
    <x v="3"/>
    <s v="CRV"/>
    <s v="CRV VICE CAPO REDATTORE       "/>
    <s v="01/11/2007"/>
    <s v="01/11/2007"/>
    <s v="03/05/1966"/>
    <s v="A"/>
    <s v="A.IN FORZA"/>
    <s v="1  -ASSUNZIONE                1"/>
    <s v=""/>
    <s v=" "/>
    <s v=""/>
    <s v=""/>
    <n v="537"/>
    <s v="00"/>
    <n v="100"/>
    <s v="FULL TIME      100000000FF100-FULL TIME"/>
    <s v="01/11/2007"/>
    <s v=""/>
    <s v="  "/>
    <s v=""/>
    <s v="GSS "/>
    <s v="L26 "/>
    <s v="ONLINE"/>
    <s v="SIND.GIORN.        SINDACATO GIORNALISTI"/>
    <s v="carloandrea.finotto@ilsole24ore.com               "/>
    <s v="E"/>
    <s v="E-ESENTE"/>
    <s v="3 "/>
    <s v="3=5 X 7"/>
    <s v="01/07/2025"/>
    <s v="TEMPO DETERMINATO"/>
    <s v="31/05/2027"/>
    <s v="0015000700                    "/>
    <s v=""/>
    <n v="59"/>
  </r>
  <r>
    <x v="0"/>
    <n v="2331"/>
    <s v="IL SOLE 24 ORE S.P.A.                   "/>
    <s v="K           "/>
    <s v="REDAZIONI GIORNALISTICHE"/>
    <s v="K03 "/>
    <x v="36"/>
    <s v="516000      "/>
    <s v="516000   ON LINE REDAZIONE"/>
    <s v="FRANCESCHI DE MARCHI            "/>
    <s v="ANDREA            "/>
    <s v="FRNNDR79R23L682N"/>
    <x v="1"/>
    <s v="34"/>
    <x v="0"/>
    <s v="01/04/2021"/>
    <s v="MILANO                 "/>
    <s v="85"/>
    <x v="4"/>
    <s v="G"/>
    <x v="3"/>
    <s v="RM2"/>
    <s v="RM2 REDATTORE MAGG. 30 MM     "/>
    <s v="15/10/2008"/>
    <s v="15/10/2008"/>
    <s v="23/10/1979"/>
    <s v="A"/>
    <s v="A.IN FORZA"/>
    <s v="1  -ASSUNZIONE                1"/>
    <s v=""/>
    <s v=" "/>
    <s v=""/>
    <s v=""/>
    <n v="571"/>
    <s v="00"/>
    <n v="100"/>
    <s v="FULL TIME      100000000FF100-FULL TIME"/>
    <s v="15/10/2008"/>
    <s v=""/>
    <s v="  "/>
    <s v=""/>
    <s v="GSS "/>
    <s v="L26 "/>
    <s v="ONLINE"/>
    <s v="SIND.GIORN.        SINDACATO GIORNALISTI"/>
    <s v="andrea.franceschi@ilsole24ore.com                 "/>
    <s v="E"/>
    <s v="E-ESENTE"/>
    <s v="3 "/>
    <s v="3=5 X 7"/>
    <s v="01/07/2025"/>
    <s v="TEMPO DETERMINATO"/>
    <s v="31/05/2027"/>
    <s v="0015000700                    "/>
    <s v=""/>
    <n v="46"/>
  </r>
  <r>
    <x v="0"/>
    <n v="2138"/>
    <s v="IL SOLE 24 ORE S.P.A.                   "/>
    <s v="K           "/>
    <s v="REDAZIONI GIORNALISTICHE"/>
    <s v="K03 "/>
    <x v="36"/>
    <s v="516000      "/>
    <s v="516000   ON LINE REDAZIONE"/>
    <s v="LARIZZA                         "/>
    <s v="ANTONIO CARLO     "/>
    <s v="LRZNNC76C03F205H"/>
    <x v="1"/>
    <s v="34"/>
    <x v="0"/>
    <s v="01/04/2021"/>
    <s v="MILANO                 "/>
    <s v="85"/>
    <x v="4"/>
    <s v="G"/>
    <x v="3"/>
    <s v="RM2"/>
    <s v="RM2 REDATTORE MAGG. 30 MM     "/>
    <s v="23/10/2006"/>
    <s v="23/10/2006"/>
    <s v="03/03/1976"/>
    <s v="A"/>
    <s v="A.IN FORZA"/>
    <s v="1  -ASSUNZIONE                1"/>
    <s v=""/>
    <s v=" "/>
    <s v=""/>
    <s v=""/>
    <n v="494"/>
    <s v="00"/>
    <n v="100"/>
    <s v="FULL TIME      100000000FF100-FULL TIME"/>
    <s v="23/10/2006"/>
    <s v=""/>
    <s v="  "/>
    <s v=""/>
    <s v="GSS "/>
    <s v="L26 "/>
    <s v="ONLINE"/>
    <s v=""/>
    <s v="antonio.larizza@ilsole24ore.com                   "/>
    <s v="E"/>
    <s v="E-ESENTE"/>
    <s v="3 "/>
    <s v="3=5 X 7"/>
    <s v="01/07/2025"/>
    <s v="TEMPO DETERMINATO"/>
    <s v="31/05/2027"/>
    <s v="0015000700                    "/>
    <s v=""/>
    <n v="49"/>
  </r>
  <r>
    <x v="0"/>
    <n v="2058"/>
    <s v="IL SOLE 24 ORE S.P.A.                   "/>
    <s v="K           "/>
    <s v="REDAZIONI GIORNALISTICHE"/>
    <s v="K03 "/>
    <x v="36"/>
    <s v="516000      "/>
    <s v="516000   ON LINE REDAZIONE"/>
    <s v="LO CONTE                        "/>
    <s v="MARCO             "/>
    <s v="LCNMRC63S12F205D"/>
    <x v="1"/>
    <s v="34"/>
    <x v="0"/>
    <s v="01/04/2021"/>
    <s v="MILANO                 "/>
    <s v="85"/>
    <x v="4"/>
    <s v="G"/>
    <x v="3"/>
    <s v="CS "/>
    <s v="CS CAPO SERVIZIO              "/>
    <s v="01/03/2005"/>
    <s v="01/03/2005"/>
    <s v="12/11/1963"/>
    <s v="A"/>
    <s v="A.IN FORZA"/>
    <s v="1  -ASSUNZIONE                1"/>
    <s v=""/>
    <s v=" "/>
    <s v=""/>
    <s v=""/>
    <n v="456"/>
    <s v="00"/>
    <n v="100"/>
    <s v="FULL TIME      100000000FF100-FULL TIME"/>
    <s v="01/03/2005"/>
    <s v=""/>
    <s v="  "/>
    <s v=""/>
    <s v="GSS "/>
    <s v="L26 "/>
    <s v="ONLINE"/>
    <s v="SIND.GIORN.        SINDACATO GIORNALISTI"/>
    <s v="marco.loconte@ilsole24ore.com                     "/>
    <s v="E"/>
    <s v="E-ESENTE"/>
    <s v="3 "/>
    <s v="3=5 X 7"/>
    <s v="01/07/2025"/>
    <s v="TEMPO DETERMINATO"/>
    <s v="31/05/2027"/>
    <s v="0015000700                    "/>
    <s v=""/>
    <n v="62"/>
  </r>
  <r>
    <x v="0"/>
    <n v="2923"/>
    <s v="IL SOLE 24 ORE S.P.A.                   "/>
    <s v="K           "/>
    <s v="REDAZIONI GIORNALISTICHE"/>
    <s v="K03 "/>
    <x v="36"/>
    <s v="516000      "/>
    <s v="516000   ON LINE REDAZIONE"/>
    <s v="MAGNANI                         "/>
    <s v="ALBERTO           "/>
    <s v="MGNLRT90C17L781G"/>
    <x v="1"/>
    <s v="34"/>
    <x v="0"/>
    <s v="01/09/2023"/>
    <s v="MILANO                 "/>
    <s v="85"/>
    <x v="4"/>
    <s v="G"/>
    <x v="3"/>
    <s v="RM2"/>
    <s v="RM2 REDATTORE MAGG. 30 MM     "/>
    <s v="07/08/2017"/>
    <s v="07/08/2017"/>
    <s v="17/03/1990"/>
    <s v="A"/>
    <s v="A.IN FORZA"/>
    <s v="1  -ASSUNZIONE                1"/>
    <s v=""/>
    <s v=" "/>
    <s v=""/>
    <s v=""/>
    <n v="2923"/>
    <s v="00"/>
    <n v="100"/>
    <s v="FULL TIME      100000000FF100-FULL TIME"/>
    <s v="07/08/2017"/>
    <s v=""/>
    <s v="  "/>
    <s v=""/>
    <s v="GBM "/>
    <s v="L10 "/>
    <s v="ESTERI EUROPA-MONDO"/>
    <s v=""/>
    <s v="alberto.magnani@ilsole24ore.com                   "/>
    <s v="E"/>
    <s v="E-ESENTE"/>
    <s v="3 "/>
    <s v="3=5 X 7"/>
    <s v="01/07/2025"/>
    <s v="TEMPO DETERMINATO"/>
    <s v="31/05/2027"/>
    <s v="                              "/>
    <s v=""/>
    <n v="35"/>
  </r>
  <r>
    <x v="0"/>
    <n v="2376"/>
    <s v="IL SOLE 24 ORE S.P.A.                   "/>
    <s v="K           "/>
    <s v="REDAZIONI GIORNALISTICHE"/>
    <s v="K03 "/>
    <x v="36"/>
    <s v="516000      "/>
    <s v="516000   ON LINE REDAZIONE"/>
    <s v="MANGANARO                       "/>
    <s v="ANGELA            "/>
    <s v="MNGNGL77H50F158F"/>
    <x v="0"/>
    <s v="34"/>
    <x v="0"/>
    <s v="01/04/2021"/>
    <s v="MILANO                 "/>
    <s v="85"/>
    <x v="4"/>
    <s v="G"/>
    <x v="3"/>
    <s v="RM2"/>
    <s v="RM2 REDATTORE MAGG. 30 MM     "/>
    <s v="23/12/2009"/>
    <s v="23/12/2009"/>
    <s v="10/06/1977"/>
    <s v="A"/>
    <s v="A.IN FORZA"/>
    <s v="1  -ASSUNZIONE                1"/>
    <s v=""/>
    <s v=" "/>
    <s v=""/>
    <s v=""/>
    <n v="584"/>
    <s v="00"/>
    <n v="100"/>
    <s v="FULL TIME      100000000FF100-FULL TIME"/>
    <s v="23/12/2009"/>
    <s v=""/>
    <s v="  "/>
    <s v=""/>
    <s v="GSS "/>
    <s v="L26 "/>
    <s v="ONLINE"/>
    <s v=""/>
    <s v="angela.manganaro@ilsole24ore.com                  "/>
    <s v="E"/>
    <s v="E-ESENTE"/>
    <s v="3 "/>
    <s v="3=5 X 7"/>
    <s v="01/07/2025"/>
    <s v="TEMPO DETERMINATO"/>
    <s v="31/05/2027"/>
    <s v="0015000700                    "/>
    <s v=""/>
    <n v="48"/>
  </r>
  <r>
    <x v="0"/>
    <n v="2056"/>
    <s v="IL SOLE 24 ORE S.P.A.                   "/>
    <s v="K           "/>
    <s v="REDAZIONI GIORNALISTICHE"/>
    <s v="K03 "/>
    <x v="36"/>
    <s v="516000      "/>
    <s v="516000   ON LINE REDAZIONE"/>
    <s v="MARRO                           "/>
    <s v="ENRICO            "/>
    <s v="MRRNRC67P15A944J"/>
    <x v="1"/>
    <s v="34"/>
    <x v="0"/>
    <s v="01/04/2021"/>
    <s v="MILANO                 "/>
    <s v="85"/>
    <x v="4"/>
    <s v="G"/>
    <x v="3"/>
    <s v="T1 "/>
    <s v="T1 COLLABORATORE FISSO 8      "/>
    <s v="01/03/2005"/>
    <s v="01/03/2005"/>
    <s v="15/09/1967"/>
    <s v="A"/>
    <s v="A.IN FORZA"/>
    <s v="1  -ASSUNZIONE                1"/>
    <s v=""/>
    <s v=" "/>
    <s v=""/>
    <s v=""/>
    <n v="454"/>
    <s v="00"/>
    <n v="100"/>
    <s v="FULL TIME      100000000FF100-FULL TIME"/>
    <s v="01/03/2005"/>
    <s v=""/>
    <s v="  "/>
    <s v=""/>
    <s v="GSS "/>
    <s v="L26 "/>
    <s v="ONLINE"/>
    <s v="SIND.GIORN.        SINDACATO GIORNALISTI"/>
    <s v="enrico.marro@ilsole24ore.com                      "/>
    <s v="E"/>
    <s v="E-ESENTE"/>
    <s v="3 "/>
    <s v="3=5 X 7"/>
    <s v=""/>
    <s v=""/>
    <s v=""/>
    <s v="0015000700                    "/>
    <s v=""/>
    <n v="58"/>
  </r>
  <r>
    <x v="0"/>
    <n v="3089"/>
    <s v="IL SOLE 24 ORE S.P.A.                   "/>
    <s v="K           "/>
    <s v="REDAZIONI GIORNALISTICHE"/>
    <s v="K03 "/>
    <x v="36"/>
    <s v="516000      "/>
    <s v="516000   ON LINE REDAZIONE"/>
    <s v="MARTELLI                        "/>
    <s v="SILVIA            "/>
    <s v="MRTSLV97B64L400A"/>
    <x v="0"/>
    <s v="34"/>
    <x v="0"/>
    <s v="11/09/2023"/>
    <s v="MILANO                 "/>
    <s v="85"/>
    <x v="4"/>
    <s v="G"/>
    <x v="3"/>
    <s v="RP2"/>
    <s v="RP2 REDATTORE MINORE 30 MM    "/>
    <s v="11/09/2023"/>
    <s v="11/09/2023"/>
    <s v="24/02/1997"/>
    <s v="A"/>
    <s v="A.IN FORZA"/>
    <s v="1  -ASSUNZIONE                1"/>
    <s v=""/>
    <s v=" "/>
    <s v=""/>
    <s v=""/>
    <n v="3089"/>
    <s v="00"/>
    <n v="100"/>
    <s v="FULL TIME      100000000FF100-FULL TIME"/>
    <s v="11/09/2023"/>
    <s v=""/>
    <s v="  "/>
    <s v=""/>
    <s v="GBM "/>
    <s v="    "/>
    <s v=""/>
    <s v=""/>
    <s v="silvia.martelli@ilsole24ore.com                   "/>
    <s v="E"/>
    <s v="E-ESENTE"/>
    <s v="7 "/>
    <s v="7=5 X 7.20"/>
    <s v=""/>
    <s v=""/>
    <s v=""/>
    <s v="                              "/>
    <s v=""/>
    <n v="28"/>
  </r>
  <r>
    <x v="0"/>
    <n v="1279"/>
    <s v="IL SOLE 24 ORE S.P.A.                   "/>
    <s v="K           "/>
    <s v="REDAZIONI GIORNALISTICHE"/>
    <s v="K03 "/>
    <x v="36"/>
    <s v="516000      "/>
    <s v="516000   ON LINE REDAZIONE"/>
    <s v="MEONI                           "/>
    <s v="GABRIELE          "/>
    <s v="MNEGRL71S02A944E"/>
    <x v="1"/>
    <s v="34"/>
    <x v="0"/>
    <s v="01/04/2021"/>
    <s v="MILANO                 "/>
    <s v="85"/>
    <x v="4"/>
    <s v="G"/>
    <x v="3"/>
    <s v="CRV"/>
    <s v="CRV VICE CAPO REDATTORE       "/>
    <s v="01/08/1999"/>
    <s v="01/08/1999"/>
    <s v="02/11/1971"/>
    <s v="A"/>
    <s v="A.IN FORZA"/>
    <s v="1  -ASSUNZIONE                1"/>
    <s v=""/>
    <s v=" "/>
    <s v=""/>
    <s v=""/>
    <n v="271"/>
    <s v="00"/>
    <n v="100"/>
    <s v="FULL TIME      100000000FF100-FULL TIME"/>
    <s v="01/08/1999"/>
    <s v=""/>
    <s v="  "/>
    <s v=""/>
    <s v="GSS "/>
    <s v="L26 "/>
    <s v="ONLINE"/>
    <s v="SIND.GIORN.        SINDACATO GIORNALISTI"/>
    <s v="gabriele.meoni@ilsole24ore.com                    "/>
    <s v="E"/>
    <s v="E-ESENTE"/>
    <s v="2 "/>
    <s v="2=6 X 6"/>
    <s v="01/07/2025"/>
    <s v="TEMPO DETERMINATO"/>
    <s v="31/05/2027"/>
    <s v="0015000700                    "/>
    <s v=""/>
    <n v="54"/>
  </r>
  <r>
    <x v="0"/>
    <n v="3086"/>
    <s v="IL SOLE 24 ORE S.P.A.                   "/>
    <s v="K           "/>
    <s v="REDAZIONI GIORNALISTICHE"/>
    <s v="K03 "/>
    <x v="36"/>
    <s v="516000      "/>
    <s v="516000   ON LINE REDAZIONE"/>
    <s v="MIGLIORISI                      "/>
    <s v="ANGELICA          "/>
    <s v="MGLNLC93L49H501Q"/>
    <x v="0"/>
    <s v="34"/>
    <x v="0"/>
    <s v="01/09/2023"/>
    <s v="MILANO                 "/>
    <s v="85"/>
    <x v="4"/>
    <s v="G"/>
    <x v="3"/>
    <s v="RM2"/>
    <s v="RM2 REDATTORE MAGG. 30 MM     "/>
    <s v="01/09/2023"/>
    <s v="01/09/2023"/>
    <s v="09/07/1993"/>
    <s v="A"/>
    <s v="A.IN FORZA"/>
    <s v="1  -ASSUNZIONE                1"/>
    <s v=""/>
    <s v=" "/>
    <s v=""/>
    <s v=""/>
    <n v="3086"/>
    <s v="00"/>
    <n v="100"/>
    <s v="FULL TIME      100000000FF100-FULL TIME"/>
    <s v="01/09/2023"/>
    <s v=""/>
    <s v="  "/>
    <s v=""/>
    <s v="GBM "/>
    <s v="L26 "/>
    <s v="ONLINE"/>
    <s v=""/>
    <s v="angelica.migliorisi@ilsole24ore.com               "/>
    <s v="E"/>
    <s v="E-ESENTE"/>
    <s v="7 "/>
    <s v="7=5 X 7.20"/>
    <s v="01/07/2025"/>
    <s v="TEMPO DETERMINATO"/>
    <s v="31/05/2027"/>
    <s v="                              "/>
    <s v=""/>
    <n v="32"/>
  </r>
  <r>
    <x v="0"/>
    <n v="1943"/>
    <s v="IL SOLE 24 ORE S.P.A.                   "/>
    <s v="K           "/>
    <s v="REDAZIONI GIORNALISTICHE"/>
    <s v="K03 "/>
    <x v="36"/>
    <s v="516000      "/>
    <s v="516000   ON LINE REDAZIONE"/>
    <s v="NUTI                            "/>
    <s v="VITTORIO          "/>
    <s v="NTUVTR68E04G702U"/>
    <x v="1"/>
    <s v="31"/>
    <x v="1"/>
    <s v="25/05/2009"/>
    <s v="ROMA                   "/>
    <s v="85"/>
    <x v="4"/>
    <s v="G"/>
    <x v="3"/>
    <s v="RM2"/>
    <s v="RM2 REDATTORE MAGG. 30 MM     "/>
    <s v="14/04/2003"/>
    <s v="14/04/2003"/>
    <s v="04/05/1968"/>
    <s v="A"/>
    <s v="A.IN FORZA"/>
    <s v="1  -ASSUNZIONE                1"/>
    <s v=""/>
    <s v=" "/>
    <s v=""/>
    <s v=""/>
    <n v="390"/>
    <s v="00"/>
    <n v="100"/>
    <s v="FULL TIME      100000000FF100-FULL TIME"/>
    <s v="14/04/2003"/>
    <s v=""/>
    <s v="  "/>
    <s v=""/>
    <s v="GSS "/>
    <s v="L26 "/>
    <s v="ONLINE"/>
    <s v="SIND.GIORN.        SINDACATO GIORNALISTI"/>
    <s v="vittorio.nuti@ilsole24ore.com                     "/>
    <s v="E"/>
    <s v="E-ESENTE"/>
    <s v="2 "/>
    <s v="2=6 X 6"/>
    <s v="01/07/2025"/>
    <s v="TEMPO DETERMINATO"/>
    <s v="31/05/2027"/>
    <s v="0015000754                    "/>
    <s v="CARDUCCI ARTENISIO FABIO"/>
    <n v="57"/>
  </r>
  <r>
    <x v="0"/>
    <n v="892"/>
    <s v="IL SOLE 24 ORE S.P.A.                   "/>
    <s v="K           "/>
    <s v="REDAZIONI GIORNALISTICHE"/>
    <s v="K03 "/>
    <x v="36"/>
    <s v="516000      "/>
    <s v="516000   ON LINE REDAZIONE"/>
    <s v="PERUZZI                         "/>
    <s v="MARCO             "/>
    <s v="PRZMRC65R17L500G"/>
    <x v="1"/>
    <s v="34"/>
    <x v="0"/>
    <s v="01/04/2021"/>
    <s v="MILANO                 "/>
    <s v="85"/>
    <x v="4"/>
    <s v="G"/>
    <x v="3"/>
    <s v="CS "/>
    <s v="CS CAPO SERVIZIO              "/>
    <s v="02/05/1996"/>
    <s v="02/05/1996"/>
    <s v="17/10/1965"/>
    <s v="A"/>
    <s v="A.IN FORZA"/>
    <s v="1  -ASSUNZIONE                1"/>
    <s v=""/>
    <s v=" "/>
    <s v=""/>
    <s v=""/>
    <n v="208"/>
    <s v="00"/>
    <n v="100"/>
    <s v="FULL TIME      100000000FF100-FULL TIME"/>
    <s v="02/05/1996"/>
    <s v=""/>
    <s v="  "/>
    <s v=""/>
    <s v="GSS "/>
    <s v="L26 "/>
    <s v="ONLINE"/>
    <s v=""/>
    <s v="marco.peruzzi@ilsole24ore.com                     "/>
    <s v="E"/>
    <s v="E-ESENTE"/>
    <s v="2 "/>
    <s v="2=6 X 6"/>
    <s v="01/07/2025"/>
    <s v="TEMPO DETERMINATO"/>
    <s v="31/05/2027"/>
    <s v="0015000700                    "/>
    <s v=""/>
    <n v="60"/>
  </r>
  <r>
    <x v="0"/>
    <n v="2922"/>
    <s v="IL SOLE 24 ORE S.P.A.                   "/>
    <s v="K           "/>
    <s v="REDAZIONI GIORNALISTICHE"/>
    <s v="K03 "/>
    <x v="36"/>
    <s v="516000      "/>
    <s v="516000   ON LINE REDAZIONE"/>
    <s v="PRISCO                          "/>
    <s v="FRANCESCO         "/>
    <s v="PRSFNC76L27G813I"/>
    <x v="1"/>
    <s v="34"/>
    <x v="0"/>
    <s v="01/04/2021"/>
    <s v="MILANO                 "/>
    <s v="85"/>
    <x v="4"/>
    <s v="G"/>
    <x v="3"/>
    <s v="RM2"/>
    <s v="RM2 REDATTORE MAGG. 30 MM     "/>
    <s v="18/07/2017"/>
    <s v="18/07/2017"/>
    <s v="27/07/1976"/>
    <s v="A"/>
    <s v="A.IN FORZA"/>
    <s v="1  -ASSUNZIONE                1"/>
    <s v=""/>
    <s v=" "/>
    <s v=""/>
    <s v=""/>
    <n v="2922"/>
    <s v="00"/>
    <n v="100"/>
    <s v="FULL TIME      100000000FF100-FULL TIME"/>
    <s v="18/07/2017"/>
    <s v=""/>
    <s v="  "/>
    <s v=""/>
    <s v="GBM "/>
    <s v="L26 "/>
    <s v="ONLINE"/>
    <s v=""/>
    <s v="francesco.prisco@ilsole24ore.com                  "/>
    <s v="E"/>
    <s v="E-ESENTE"/>
    <s v="2 "/>
    <s v="2=6 X 6"/>
    <s v="01/07/2025"/>
    <s v="TEMPO DETERMINATO"/>
    <s v="31/05/2027"/>
    <s v="0015000700                    "/>
    <s v=""/>
    <n v="49"/>
  </r>
  <r>
    <x v="0"/>
    <n v="2181"/>
    <s v="IL SOLE 24 ORE S.P.A.                   "/>
    <s v="K           "/>
    <s v="REDAZIONI GIORNALISTICHE"/>
    <s v="K03 "/>
    <x v="36"/>
    <s v="516000      "/>
    <s v="516000   ON LINE REDAZIONE"/>
    <s v="REGGIO                          "/>
    <s v="ROSALBA           "/>
    <s v="RGGRLB66D43F205J"/>
    <x v="0"/>
    <s v="34"/>
    <x v="0"/>
    <s v="01/04/2021"/>
    <s v="MILANO                 "/>
    <s v="85"/>
    <x v="4"/>
    <s v="G"/>
    <x v="3"/>
    <s v="CS "/>
    <s v="CS CAPO SERVIZIO              "/>
    <s v="01/04/2007"/>
    <s v="01/04/2007"/>
    <s v="03/04/1966"/>
    <s v="A"/>
    <s v="A.IN FORZA"/>
    <s v="1  -ASSUNZIONE                1"/>
    <s v=""/>
    <s v=" "/>
    <s v=""/>
    <s v=""/>
    <n v="515"/>
    <s v="00"/>
    <n v="100"/>
    <s v="FULL TIME      100000000FF100-FULL TIME"/>
    <s v="01/04/2007"/>
    <s v=""/>
    <s v="  "/>
    <s v=""/>
    <s v="GSS "/>
    <s v="L26 "/>
    <s v="ONLINE"/>
    <s v="SIND.GIORN.        SINDACATO GIORNALISTI"/>
    <s v="rosalba.reggio@ilsole24ore.com                    "/>
    <s v="E"/>
    <s v="E-ESENTE"/>
    <s v="2 "/>
    <s v="2=6 X 6"/>
    <s v="01/06/2023"/>
    <s v="TEMPO DETERMINATO"/>
    <s v="30/06/2024"/>
    <s v="0015000700                    "/>
    <s v=""/>
    <n v="59"/>
  </r>
  <r>
    <x v="0"/>
    <n v="3169"/>
    <s v="IL SOLE 24 ORE S.P.A.                   "/>
    <s v="K           "/>
    <s v="REDAZIONI GIORNALISTICHE"/>
    <s v="K03 "/>
    <x v="36"/>
    <s v="516000      "/>
    <s v="516000   ON LINE REDAZIONE"/>
    <s v="RIVA                            "/>
    <s v="GIULIA            "/>
    <s v="RVIGLI91B48F704M"/>
    <x v="0"/>
    <s v="34"/>
    <x v="0"/>
    <s v="12/01/2026"/>
    <s v="MILANO                 "/>
    <s v="85"/>
    <x v="4"/>
    <s v="G"/>
    <x v="3"/>
    <s v="RM2"/>
    <s v="RM2 REDATTORE MAGG. 30 MM     "/>
    <s v="12/01/2026"/>
    <s v="12/01/2026"/>
    <s v="08/02/1991"/>
    <s v="A"/>
    <s v="A.IN FORZA"/>
    <s v="1  -ASSUNZIONE                1"/>
    <s v=""/>
    <s v=" "/>
    <s v=""/>
    <s v=""/>
    <n v="3169"/>
    <s v="00"/>
    <n v="100"/>
    <s v="FULL TIME      100000000FF100-FULL TIME"/>
    <s v="12/01/2026"/>
    <s v=""/>
    <s v="05"/>
    <s v="INVALIDI CIVILI"/>
    <s v="GBM "/>
    <s v="L26 "/>
    <s v="ONLINE"/>
    <s v=""/>
    <s v="giulia.riva@ilsole24ore.com                       "/>
    <s v="E"/>
    <s v="E-ESENTE"/>
    <s v="7 "/>
    <s v="7=5 X 7.20"/>
    <s v="20/01/2026"/>
    <s v="TEMPO DETERMINATO"/>
    <s v="05/02/2027"/>
    <s v="0015003059                    "/>
    <s v="BELLASIO DANIELE"/>
    <n v="34"/>
  </r>
  <r>
    <x v="0"/>
    <n v="2332"/>
    <s v="IL SOLE 24 ORE S.P.A.                   "/>
    <s v="K           "/>
    <s v="REDAZIONI GIORNALISTICHE"/>
    <s v="K03 "/>
    <x v="36"/>
    <s v="516000      "/>
    <s v="516000   ON LINE REDAZIONE"/>
    <s v="SALVIOLI MARIANI                "/>
    <s v="LUCA              "/>
    <s v="SLVLCU81D04F205Y"/>
    <x v="1"/>
    <s v="34"/>
    <x v="0"/>
    <s v="01/04/2021"/>
    <s v="MILANO                 "/>
    <s v="85"/>
    <x v="4"/>
    <s v="G"/>
    <x v="3"/>
    <s v="CSV"/>
    <s v="CSV VICE CAPO SERVIZIO        "/>
    <s v="15/10/2008"/>
    <s v="15/10/2008"/>
    <s v="04/04/1981"/>
    <s v="A"/>
    <s v="A.IN FORZA"/>
    <s v="1  -ASSUNZIONE                1"/>
    <s v=""/>
    <s v=" "/>
    <s v=""/>
    <s v=""/>
    <n v="572"/>
    <s v="00"/>
    <n v="100"/>
    <s v="FULL TIME      100000000FF100-FULL TIME"/>
    <s v="15/10/2008"/>
    <s v=""/>
    <s v="  "/>
    <s v=""/>
    <s v="GSS "/>
    <s v="L26 "/>
    <s v="ONLINE"/>
    <s v="SIND.GIORN.        SINDACATO GIORNALISTI"/>
    <s v="luca.salvioli@ilsole24ore.com                     "/>
    <s v="E"/>
    <s v="E-ESENTE"/>
    <s v="3 "/>
    <s v="3=5 X 7"/>
    <s v="01/07/2025"/>
    <s v="TEMPO DETERMINATO"/>
    <s v="31/05/2027"/>
    <s v="0015000700                    "/>
    <s v=""/>
    <n v="44"/>
  </r>
  <r>
    <x v="0"/>
    <n v="2195"/>
    <s v="IL SOLE 24 ORE S.P.A.                   "/>
    <s v="K           "/>
    <s v="REDAZIONI GIORNALISTICHE"/>
    <s v="K03 "/>
    <x v="36"/>
    <s v="516000      "/>
    <s v="516000   ON LINE REDAZIONE"/>
    <s v="SARCINA                         "/>
    <s v="FRANCO            "/>
    <s v="SRCFNC64A29F205X"/>
    <x v="1"/>
    <s v="34"/>
    <x v="0"/>
    <s v="01/04/2021"/>
    <s v="MILANO                 "/>
    <s v="85"/>
    <x v="4"/>
    <s v="G"/>
    <x v="3"/>
    <s v="CRV"/>
    <s v="CRV VICE CAPO REDATTORE       "/>
    <s v="01/06/2007"/>
    <s v="01/06/2007"/>
    <s v="29/01/1964"/>
    <s v="A"/>
    <s v="A.IN FORZA"/>
    <s v="1  -ASSUNZIONE                1"/>
    <s v=""/>
    <s v=" "/>
    <s v=""/>
    <s v=""/>
    <n v="518"/>
    <s v="00"/>
    <n v="100"/>
    <s v="FULL TIME      100000000FF100-FULL TIME"/>
    <s v="01/06/2007"/>
    <s v=""/>
    <s v="  "/>
    <s v=""/>
    <s v="GSS "/>
    <s v="L26 "/>
    <s v="ONLINE"/>
    <s v=""/>
    <s v="franco.sarcina@ilsole24ore.com                    "/>
    <s v="E"/>
    <s v="E-ESENTE"/>
    <s v="2 "/>
    <s v="2=6 X 6"/>
    <s v="01/07/2025"/>
    <s v="TEMPO DETERMINATO"/>
    <s v="31/05/2027"/>
    <s v="0015000700                    "/>
    <s v=""/>
    <n v="62"/>
  </r>
  <r>
    <x v="0"/>
    <n v="1296"/>
    <s v="IL SOLE 24 ORE S.P.A.                   "/>
    <s v="K           "/>
    <s v="REDAZIONI GIORNALISTICHE"/>
    <s v="K03 "/>
    <x v="36"/>
    <s v="516000      "/>
    <s v="516000   ON LINE REDAZIONE"/>
    <s v="TRIPODI                         "/>
    <s v="ALESSIA           "/>
    <s v="TRPLSS71E61H501Y"/>
    <x v="0"/>
    <s v="34"/>
    <x v="0"/>
    <s v="01/04/2021"/>
    <s v="MILANO                 "/>
    <s v="85"/>
    <x v="4"/>
    <s v="G"/>
    <x v="3"/>
    <s v="CSV"/>
    <s v="CSV VICE CAPO SERVIZIO        "/>
    <s v="01/10/1999"/>
    <s v="01/10/1999"/>
    <s v="21/05/1971"/>
    <s v="A"/>
    <s v="A.IN FORZA"/>
    <s v="1  -ASSUNZIONE                1"/>
    <s v=""/>
    <s v=" "/>
    <s v=""/>
    <s v=""/>
    <n v="274"/>
    <s v="00"/>
    <n v="100"/>
    <s v="FULL TIME      100000000FF100-FULL TIME"/>
    <s v="01/10/1999"/>
    <s v=""/>
    <s v="  "/>
    <s v=""/>
    <s v="GSS "/>
    <s v="L26 "/>
    <s v="ONLINE"/>
    <s v="SIND.GIORN.        SINDACATO GIORNALISTI"/>
    <s v="alessia.tripodi@ilsole24ore.com                   "/>
    <s v="E"/>
    <s v="E-ESENTE"/>
    <s v="7 "/>
    <s v="7=5 X 7.20"/>
    <s v="01/07/2025"/>
    <s v="TEMPO DETERMINATO"/>
    <s v="31/05/2027"/>
    <s v="0015000700                    "/>
    <s v=""/>
    <n v="54"/>
  </r>
  <r>
    <x v="0"/>
    <n v="919"/>
    <s v="IL SOLE 24 ORE S.P.A.                   "/>
    <s v="K           "/>
    <s v="REDAZIONI GIORNALISTICHE"/>
    <s v="K04 "/>
    <x v="37"/>
    <s v="Q15000      "/>
    <s v="Q15000   REDAZIONE GIORNALISTICA NEWS"/>
    <s v="ARONA                           "/>
    <s v="ALESSANDRO        "/>
    <s v="RNALSN68D05F965Q"/>
    <x v="1"/>
    <s v="31"/>
    <x v="1"/>
    <s v="25/05/2009"/>
    <s v="ROMA                   "/>
    <s v="85"/>
    <x v="4"/>
    <s v="G"/>
    <x v="3"/>
    <s v="CSV"/>
    <s v="CSV VICE CAPO SERVIZIO        "/>
    <s v="02/09/1996"/>
    <s v="02/09/1996"/>
    <s v="05/04/1968"/>
    <s v="A"/>
    <s v="A.IN FORZA"/>
    <s v="1  -ASSUNZIONE                1"/>
    <s v=""/>
    <s v=" "/>
    <s v=""/>
    <s v=""/>
    <n v="212"/>
    <s v="00"/>
    <n v="100"/>
    <s v="FULL TIME      100000000FF100-FULL TIME"/>
    <s v="01/04/2019"/>
    <s v=""/>
    <s v="  "/>
    <s v=""/>
    <s v="GN  "/>
    <s v="    "/>
    <s v=""/>
    <s v="SIND.GIORN.        SINDACATO GIORNALISTI"/>
    <s v="alessandro.arona@radio24.it                       "/>
    <s v="E"/>
    <s v="E-ESENTE"/>
    <s v="3 "/>
    <s v="3=5 X 7"/>
    <s v="01/07/2025"/>
    <s v="TEMPO DETERMINATO"/>
    <s v="07/09/2025"/>
    <s v="0015002689                    "/>
    <s v="BARISONI SEBASTIANO"/>
    <n v="57"/>
  </r>
  <r>
    <x v="0"/>
    <n v="2692"/>
    <s v="IL SOLE 24 ORE S.P.A.                   "/>
    <s v="K           "/>
    <s v="REDAZIONI GIORNALISTICHE"/>
    <s v="K04 "/>
    <x v="37"/>
    <s v="Q15000      "/>
    <s v="Q15000   REDAZIONE GIORNALISTICA NEWS"/>
    <s v="BETTINI                         "/>
    <s v="LAURA             "/>
    <s v="BTTLRA69D62E202E"/>
    <x v="0"/>
    <s v="34"/>
    <x v="0"/>
    <s v="01/04/2021"/>
    <s v="MILANO                 "/>
    <s v="85"/>
    <x v="4"/>
    <s v="G"/>
    <x v="3"/>
    <s v="RE "/>
    <s v="RE REDATTORE ESPERTO          "/>
    <s v="01/01/2014"/>
    <s v="01/08/2001"/>
    <s v="22/04/1969"/>
    <s v="A"/>
    <s v="A.IN FORZA"/>
    <s v="1  -ASSUNZIONE                1"/>
    <s v=""/>
    <s v=" "/>
    <s v=""/>
    <s v=""/>
    <n v="2692"/>
    <s v="00"/>
    <n v="100"/>
    <s v="FULL TIME      100000000FF100-FULL TIME"/>
    <s v="01/10/2017"/>
    <s v=""/>
    <s v="  "/>
    <s v=""/>
    <s v="GN  "/>
    <s v="    "/>
    <s v=""/>
    <s v="SIND.GIORN.        SINDACATO GIORNALISTI"/>
    <s v="laura.bettini@radio24.it                          "/>
    <s v="E"/>
    <s v="E-ESENTE"/>
    <s v="7 "/>
    <s v="7=5 X 7.20"/>
    <s v="01/07/2025"/>
    <s v="TEMPO DETERMINATO"/>
    <s v="07/09/2025"/>
    <s v="0015002689                    "/>
    <s v="BARISONI SEBASTIANO"/>
    <n v="56"/>
  </r>
  <r>
    <x v="0"/>
    <n v="2697"/>
    <s v="IL SOLE 24 ORE S.P.A.                   "/>
    <s v="K           "/>
    <s v="REDAZIONI GIORNALISTICHE"/>
    <s v="K04 "/>
    <x v="37"/>
    <s v="Q15000      "/>
    <s v="Q15000   REDAZIONE GIORNALISTICA NEWS"/>
    <s v="CAGNOLA                         "/>
    <s v="MARTA             "/>
    <s v="CGNMRT73R62M052C"/>
    <x v="0"/>
    <s v="34"/>
    <x v="0"/>
    <s v="01/04/2021"/>
    <s v="MILANO                 "/>
    <s v="85"/>
    <x v="4"/>
    <s v="G"/>
    <x v="3"/>
    <s v="CSV"/>
    <s v="CSV VICE CAPO SERVIZIO        "/>
    <s v="01/01/2014"/>
    <s v="08/09/2000"/>
    <s v="22/10/1973"/>
    <s v="A"/>
    <s v="A.IN FORZA"/>
    <s v="1  -ASSUNZIONE                1"/>
    <s v=""/>
    <s v=" "/>
    <s v=""/>
    <s v=""/>
    <n v="2697"/>
    <s v="00"/>
    <n v="100"/>
    <s v="FULL TIME      100000000FF100-FULL TIME"/>
    <s v="08/09/2000"/>
    <s v=""/>
    <s v="  "/>
    <s v=""/>
    <s v="GN  "/>
    <s v="    "/>
    <s v=""/>
    <s v=""/>
    <s v="marta.cagnola@radio24.it                          "/>
    <s v="E"/>
    <s v="E-ESENTE"/>
    <s v="3 "/>
    <s v="3=5 X 7"/>
    <s v="01/07/2025"/>
    <s v="TEMPO DETERMINATO"/>
    <s v="07/09/2025"/>
    <s v="0015002689                    "/>
    <s v="BARISONI SEBASTIANO"/>
    <n v="52"/>
  </r>
  <r>
    <x v="0"/>
    <n v="2700"/>
    <s v="IL SOLE 24 ORE S.P.A.                   "/>
    <s v="K           "/>
    <s v="REDAZIONI GIORNALISTICHE"/>
    <s v="K04 "/>
    <x v="37"/>
    <s v="Q15000      "/>
    <s v="Q15000   REDAZIONE GIORNALISTICA NEWS"/>
    <s v="CARAMELLI                       "/>
    <s v="CATERINA          "/>
    <s v="CRMCRN73M58A509D"/>
    <x v="0"/>
    <s v="34"/>
    <x v="0"/>
    <s v="01/04/2021"/>
    <s v="MILANO                 "/>
    <s v="85"/>
    <x v="4"/>
    <s v="G"/>
    <x v="3"/>
    <s v="CSV"/>
    <s v="CSV VICE CAPO SERVIZIO        "/>
    <s v="01/01/2014"/>
    <s v="01/05/2000"/>
    <s v="18/08/1973"/>
    <s v="A"/>
    <s v="A.IN FORZA"/>
    <s v="1  -ASSUNZIONE                1"/>
    <s v=""/>
    <s v=" "/>
    <s v=""/>
    <s v=""/>
    <n v="2700"/>
    <s v="00"/>
    <n v="100"/>
    <s v="FULL TIME      100000000FF100-FULL TIME"/>
    <s v="01/05/2000"/>
    <s v=""/>
    <s v="  "/>
    <s v=""/>
    <s v="GN  "/>
    <s v="    "/>
    <s v=""/>
    <s v="SIND.GIORN.        SINDACATO GIORNALISTI"/>
    <s v="caterina.caramelli@radio24.it                     "/>
    <s v="E"/>
    <s v="E-ESENTE"/>
    <s v="3 "/>
    <s v="3=5 X 7"/>
    <s v="01/07/2025"/>
    <s v="TEMPO DETERMINATO"/>
    <s v="07/09/2025"/>
    <s v="0015002689                    "/>
    <s v="BARISONI SEBASTIANO"/>
    <n v="52"/>
  </r>
  <r>
    <x v="0"/>
    <n v="2701"/>
    <s v="IL SOLE 24 ORE S.P.A.                   "/>
    <s v="K           "/>
    <s v="REDAZIONI GIORNALISTICHE"/>
    <s v="K04 "/>
    <x v="37"/>
    <s v="Q15000      "/>
    <s v="Q15000   REDAZIONE GIORNALISTICA NEWS"/>
    <s v="CARPINELLI                      "/>
    <s v="CRISTINA          "/>
    <s v="CRPCST71D50F704Q"/>
    <x v="0"/>
    <s v="34"/>
    <x v="0"/>
    <s v="01/04/2021"/>
    <s v="MILANO                 "/>
    <s v="85"/>
    <x v="4"/>
    <s v="G"/>
    <x v="3"/>
    <s v="RM2"/>
    <s v="RM2 REDATTORE MAGG. 30 MM     "/>
    <s v="01/01/2014"/>
    <s v="06/09/1999"/>
    <s v="10/04/1971"/>
    <s v="A"/>
    <s v="A.IN FORZA"/>
    <s v="1  -ASSUNZIONE                1"/>
    <s v=""/>
    <s v=" "/>
    <s v=""/>
    <s v=""/>
    <n v="2701"/>
    <s v="00"/>
    <n v="100"/>
    <s v="FULL TIME      100000000FF100-FULL TIME"/>
    <s v="01/09/2020"/>
    <s v=""/>
    <s v="  "/>
    <s v=""/>
    <s v="GN  "/>
    <s v="    "/>
    <s v=""/>
    <s v="SIND.GIORN.        SINDACATO GIORNALISTI"/>
    <s v="cristina.carpinelli@radio24.it                    "/>
    <s v="E"/>
    <s v="E-ESENTE"/>
    <s v="7 "/>
    <s v="7=5 X 7.20"/>
    <s v="01/07/2025"/>
    <s v="TEMPO DETERMINATO"/>
    <s v="07/09/2025"/>
    <s v="0015002689                    "/>
    <s v="BARISONI SEBASTIANO"/>
    <n v="54"/>
  </r>
  <r>
    <x v="0"/>
    <n v="2704"/>
    <s v="IL SOLE 24 ORE S.P.A.                   "/>
    <s v="K           "/>
    <s v="REDAZIONI GIORNALISTICHE"/>
    <s v="K04 "/>
    <x v="37"/>
    <s v="Q15000      "/>
    <s v="Q15000   REDAZIONE GIORNALISTICA NEWS"/>
    <s v="CECI                            "/>
    <s v="MARIA PIERA       "/>
    <s v="CCEMPR68D70A462C"/>
    <x v="0"/>
    <s v="34"/>
    <x v="0"/>
    <s v="01/04/2021"/>
    <s v="MILANO                 "/>
    <s v="85"/>
    <x v="4"/>
    <s v="G"/>
    <x v="3"/>
    <s v="CR "/>
    <s v="CR CAPO REDATTORE             "/>
    <s v="01/01/2014"/>
    <s v="06/09/1999"/>
    <s v="30/04/1968"/>
    <s v="A"/>
    <s v="A.IN FORZA"/>
    <s v="1  -ASSUNZIONE                1"/>
    <s v=""/>
    <s v=" "/>
    <s v=""/>
    <s v=""/>
    <n v="2704"/>
    <s v="00"/>
    <n v="100"/>
    <s v="FULL TIME      100000000FF100-FULL TIME"/>
    <s v="06/09/1999"/>
    <s v=""/>
    <s v="  "/>
    <s v=""/>
    <s v="GN  "/>
    <s v="    "/>
    <s v=""/>
    <s v="SIND.GIORN.        SINDACATO GIORNALISTI"/>
    <s v="piera.ceci@radio24.it                             "/>
    <s v="E"/>
    <s v="E-ESENTE"/>
    <s v="3 "/>
    <s v="3=5 X 7"/>
    <s v="01/07/2025"/>
    <s v="TEMPO DETERMINATO"/>
    <s v="07/09/2025"/>
    <s v="0015002689                    "/>
    <s v="BARISONI SEBASTIANO"/>
    <n v="57"/>
  </r>
  <r>
    <x v="0"/>
    <n v="2712"/>
    <s v="IL SOLE 24 ORE S.P.A.                   "/>
    <s v="K           "/>
    <s v="REDAZIONI GIORNALISTICHE"/>
    <s v="K04 "/>
    <x v="37"/>
    <s v="Q15000      "/>
    <s v="Q15000   REDAZIONE GIORNALISTICA NEWS"/>
    <s v="DE ROSA                         "/>
    <s v="VALERIA           "/>
    <s v="DRSVLR73R45H501N"/>
    <x v="0"/>
    <s v="34"/>
    <x v="0"/>
    <s v="01/04/2021"/>
    <s v="MILANO                 "/>
    <s v="85"/>
    <x v="4"/>
    <s v="G"/>
    <x v="3"/>
    <s v="CRV"/>
    <s v="CRV VICE CAPO REDATTORE       "/>
    <s v="01/01/2014"/>
    <s v="01/03/2005"/>
    <s v="05/10/1973"/>
    <s v="A"/>
    <s v="A.IN FORZA"/>
    <s v="1  -ASSUNZIONE                1"/>
    <s v=""/>
    <s v=" "/>
    <s v=""/>
    <s v=""/>
    <n v="2712"/>
    <s v="00"/>
    <n v="100"/>
    <s v="FULL TIME      100000000FF100-FULL TIME"/>
    <s v="01/03/2005"/>
    <s v=""/>
    <s v="  "/>
    <s v=""/>
    <s v="GN  "/>
    <s v="    "/>
    <s v=""/>
    <s v="SIND.GIORN.        SINDACATO GIORNALISTI"/>
    <s v="valeria.derosa@radio24.it                         "/>
    <s v="E"/>
    <s v="E-ESENTE"/>
    <s v="3 "/>
    <s v="3=5 X 7"/>
    <s v="01/07/2025"/>
    <s v="TEMPO DETERMINATO"/>
    <s v="07/09/2025"/>
    <s v="0015002689                    "/>
    <s v="BARISONI SEBASTIANO"/>
    <n v="52"/>
  </r>
  <r>
    <x v="0"/>
    <n v="2715"/>
    <s v="IL SOLE 24 ORE S.P.A.                   "/>
    <s v="K           "/>
    <s v="REDAZIONI GIORNALISTICHE"/>
    <s v="K04 "/>
    <x v="37"/>
    <s v="Q15000      "/>
    <s v="Q15000   REDAZIONE GIORNALISTICA NEWS"/>
    <s v="DONELLI                         "/>
    <s v="GIANLUIGI         "/>
    <s v="DNLGLG65C14F205U"/>
    <x v="1"/>
    <s v="34"/>
    <x v="0"/>
    <s v="01/04/2021"/>
    <s v="MILANO                 "/>
    <s v="85"/>
    <x v="4"/>
    <s v="G"/>
    <x v="3"/>
    <s v="CR "/>
    <s v="CR CAPO REDATTORE             "/>
    <s v="01/01/2014"/>
    <s v="23/08/1999"/>
    <s v="14/03/1965"/>
    <s v="A"/>
    <s v="A.IN FORZA"/>
    <s v="1  -ASSUNZIONE                1"/>
    <s v=""/>
    <s v=" "/>
    <s v=""/>
    <s v=""/>
    <n v="2715"/>
    <s v="00"/>
    <n v="100"/>
    <s v="FULL TIME      100000000FF100-FULL TIME"/>
    <s v="23/08/1999"/>
    <s v=""/>
    <s v="  "/>
    <s v=""/>
    <s v="GN  "/>
    <s v="    "/>
    <s v=""/>
    <s v="SIND.GIORN.        SINDACATO GIORNALISTI"/>
    <s v="gigi.donelli@radio24.it                           "/>
    <s v="E"/>
    <s v="E-ESENTE"/>
    <s v="3 "/>
    <s v="3=5 X 7"/>
    <s v="01/07/2025"/>
    <s v="TEMPO DETERMINATO"/>
    <s v="07/09/2025"/>
    <s v="0015002689                    "/>
    <s v="BARISONI SEBASTIANO"/>
    <n v="60"/>
  </r>
  <r>
    <x v="0"/>
    <n v="3165"/>
    <s v="IL SOLE 24 ORE S.P.A.                   "/>
    <s v="K           "/>
    <s v="REDAZIONI GIORNALISTICHE"/>
    <s v="K04 "/>
    <x v="37"/>
    <s v="Q15000      "/>
    <s v="Q15000   REDAZIONE GIORNALISTICA NEWS"/>
    <s v="FERRO                           "/>
    <s v="ANDREA            "/>
    <s v="FRRNDR65L28D969P"/>
    <x v="1"/>
    <s v="34"/>
    <x v="0"/>
    <s v="01/01/2026"/>
    <s v="MILANO                 "/>
    <s v="85"/>
    <x v="4"/>
    <s v="G"/>
    <x v="3"/>
    <s v="T1 "/>
    <s v="T1 COLLABORATORE FISSO 8      "/>
    <s v="01/01/2026"/>
    <s v="01/01/2026"/>
    <s v="28/07/1965"/>
    <s v="A"/>
    <s v="A.IN FORZA"/>
    <s v="1  -ASSUNZIONE                1"/>
    <s v=""/>
    <s v=" "/>
    <s v=""/>
    <s v=""/>
    <n v="3165"/>
    <s v="00"/>
    <n v="100"/>
    <s v="FULL TIME      100000000FF100-FULL TIME"/>
    <s v="01/01/2026"/>
    <s v=""/>
    <s v="  "/>
    <s v=""/>
    <s v="GSS "/>
    <s v="    "/>
    <s v=""/>
    <s v=""/>
    <s v="andrea.ferro@radio24.it                           "/>
    <s v="E"/>
    <s v="E-ESENTE"/>
    <s v="3 "/>
    <s v="3=5 X 7"/>
    <s v=""/>
    <s v=""/>
    <s v=""/>
    <s v="0015002689                    "/>
    <s v="BARISONI SEBASTIANO"/>
    <n v="60"/>
  </r>
  <r>
    <x v="0"/>
    <n v="2719"/>
    <s v="IL SOLE 24 ORE S.P.A.                   "/>
    <s v="K           "/>
    <s v="REDAZIONI GIORNALISTICHE"/>
    <s v="K04 "/>
    <x v="37"/>
    <s v="Q15000      "/>
    <s v="Q15000   REDAZIONE GIORNALISTICA NEWS"/>
    <s v="FIORITO                         "/>
    <s v="ELISABETTA        "/>
    <s v="FRTLBT64B45H501A"/>
    <x v="0"/>
    <s v="31"/>
    <x v="1"/>
    <s v="01/06/2009"/>
    <s v="ROMA                   "/>
    <s v="85"/>
    <x v="4"/>
    <s v="G"/>
    <x v="3"/>
    <s v="CSV"/>
    <s v="CSV VICE CAPO SERVIZIO        "/>
    <s v="01/01/2014"/>
    <s v="23/08/1999"/>
    <s v="05/02/1964"/>
    <s v="A"/>
    <s v="A.IN FORZA"/>
    <s v="1  -ASSUNZIONE                1"/>
    <s v=""/>
    <s v=" "/>
    <s v=""/>
    <s v=""/>
    <n v="2719"/>
    <s v="00"/>
    <n v="100"/>
    <s v="FULL TIME      100000000FF100-FULL TIME"/>
    <s v="23/08/1999"/>
    <s v=""/>
    <s v="  "/>
    <s v=""/>
    <s v="GN  "/>
    <s v="    "/>
    <s v=""/>
    <s v="SIND.GIORN.        SINDACATO GIORNALISTI"/>
    <s v="elisabetta.fiorito@radio24.it                     "/>
    <s v="E"/>
    <s v="E-ESENTE"/>
    <s v="7 "/>
    <s v="7=5 X 7.20"/>
    <s v="01/07/2025"/>
    <s v="TEMPO DETERMINATO"/>
    <s v="07/09/2025"/>
    <s v="0015002689                    "/>
    <s v="BARISONI SEBASTIANO"/>
    <n v="61"/>
  </r>
  <r>
    <x v="0"/>
    <n v="2721"/>
    <s v="IL SOLE 24 ORE S.P.A.                   "/>
    <s v="K           "/>
    <s v="REDAZIONI GIORNALISTICHE"/>
    <s v="K04 "/>
    <x v="37"/>
    <s v="Q15000      "/>
    <s v="Q15000   REDAZIONE GIORNALISTICA NEWS"/>
    <s v="FURLANETTO                      "/>
    <s v="VALENTINA         "/>
    <s v="FRLVNT72D54F443D"/>
    <x v="0"/>
    <s v="34"/>
    <x v="0"/>
    <s v="01/04/2021"/>
    <s v="MILANO                 "/>
    <s v="85"/>
    <x v="4"/>
    <s v="G"/>
    <x v="3"/>
    <s v="CSV"/>
    <s v="CSV VICE CAPO SERVIZIO        "/>
    <s v="01/01/2014"/>
    <s v="03/06/2002"/>
    <s v="14/04/1972"/>
    <s v="A"/>
    <s v="A.IN FORZA"/>
    <s v="1  -ASSUNZIONE                1"/>
    <s v=""/>
    <s v=" "/>
    <s v=""/>
    <s v=""/>
    <n v="2721"/>
    <s v="00"/>
    <n v="100"/>
    <s v="FULL TIME      100000000FF100-FULL TIME"/>
    <s v="03/06/2002"/>
    <s v=""/>
    <s v="  "/>
    <s v=""/>
    <s v="GN  "/>
    <s v="    "/>
    <s v=""/>
    <s v=""/>
    <s v="valentina.furlanetto@radio24.it                   "/>
    <s v="E"/>
    <s v="E-ESENTE"/>
    <s v="3 "/>
    <s v="3=5 X 7"/>
    <s v="01/07/2025"/>
    <s v="TEMPO DETERMINATO"/>
    <s v="07/09/2025"/>
    <s v="0015002689                    "/>
    <s v="BARISONI SEBASTIANO"/>
    <n v="53"/>
  </r>
  <r>
    <x v="0"/>
    <n v="2723"/>
    <s v="IL SOLE 24 ORE S.P.A.                   "/>
    <s v="K           "/>
    <s v="REDAZIONI GIORNALISTICHE"/>
    <s v="K04 "/>
    <x v="37"/>
    <s v="Q15000      "/>
    <s v="Q15000   REDAZIONE GIORNALISTICA NEWS"/>
    <s v="GENTA                           "/>
    <s v="GIAN CARLO        "/>
    <s v="GNTGCR68B29G388A"/>
    <x v="1"/>
    <s v="34"/>
    <x v="0"/>
    <s v="01/04/2021"/>
    <s v="MILANO                 "/>
    <s v="85"/>
    <x v="4"/>
    <s v="G"/>
    <x v="3"/>
    <s v="RM2"/>
    <s v="RM2 REDATTORE MAGG. 30 MM     "/>
    <s v="01/01/2014"/>
    <s v="23/08/1999"/>
    <s v="29/02/1968"/>
    <s v="A"/>
    <s v="A.IN FORZA"/>
    <s v="1  -ASSUNZIONE                1"/>
    <s v=""/>
    <s v=" "/>
    <s v=""/>
    <s v=""/>
    <n v="2723"/>
    <s v="00"/>
    <n v="100"/>
    <s v="FULL TIME      100000000FF100-FULL TIME"/>
    <s v="23/08/1999"/>
    <s v=""/>
    <s v="  "/>
    <s v=""/>
    <s v="GN  "/>
    <s v="    "/>
    <s v=""/>
    <s v=""/>
    <s v="carlo.genta@radio24.it                            "/>
    <s v="E"/>
    <s v="E-ESENTE"/>
    <s v="3 "/>
    <s v="3=5 X 7"/>
    <s v="01/07/2025"/>
    <s v="TEMPO DETERMINATO"/>
    <s v="07/09/2025"/>
    <s v="0015002689                    "/>
    <s v="BARISONI SEBASTIANO"/>
    <n v="57"/>
  </r>
  <r>
    <x v="0"/>
    <n v="2724"/>
    <s v="IL SOLE 24 ORE S.P.A.                   "/>
    <s v="K           "/>
    <s v="REDAZIONI GIORNALISTICHE"/>
    <s v="K04 "/>
    <x v="37"/>
    <s v="Q15000      "/>
    <s v="Q15000   REDAZIONE GIORNALISTICA NEWS"/>
    <s v="GIORDANO                        "/>
    <s v="ROBERTA           "/>
    <s v="GRDRRT65S70F205Q"/>
    <x v="0"/>
    <s v="34"/>
    <x v="0"/>
    <s v="01/04/2021"/>
    <s v="MILANO                 "/>
    <s v="85"/>
    <x v="4"/>
    <s v="G"/>
    <x v="3"/>
    <s v="RM2"/>
    <s v="RM2 REDATTORE MAGG. 30 MM     "/>
    <s v="01/01/2014"/>
    <s v="23/08/1999"/>
    <s v="30/11/1965"/>
    <s v="A"/>
    <s v="A.IN FORZA"/>
    <s v="1  -ASSUNZIONE                1"/>
    <s v=""/>
    <s v=" "/>
    <s v=""/>
    <s v=""/>
    <n v="2724"/>
    <s v="00"/>
    <n v="100"/>
    <s v="FULL TIME      100000000FF100-FULL TIME"/>
    <s v="23/08/1999"/>
    <s v=""/>
    <s v="  "/>
    <s v=""/>
    <s v="GN  "/>
    <s v="    "/>
    <s v=""/>
    <s v="SIND.GIORN.        SINDACATO GIORNALISTI"/>
    <s v="roberta.giordano@radio24.it                       "/>
    <s v="E"/>
    <s v="E-ESENTE"/>
    <s v="3 "/>
    <s v="3=5 X 7"/>
    <s v="01/07/2025"/>
    <s v="TEMPO DETERMINATO"/>
    <s v="07/09/2025"/>
    <s v="0015002689                    "/>
    <s v="BARISONI SEBASTIANO"/>
    <n v="60"/>
  </r>
  <r>
    <x v="0"/>
    <n v="2026"/>
    <s v="IL SOLE 24 ORE S.P.A.                   "/>
    <s v="K           "/>
    <s v="REDAZIONI GIORNALISTICHE"/>
    <s v="K04 "/>
    <x v="37"/>
    <s v="Q15000      "/>
    <s v="Q15000   REDAZIONE GIORNALISTICA NEWS"/>
    <s v="MAGNANO                         "/>
    <s v="ROSANNA           "/>
    <s v="MGNRNN70P69L049W"/>
    <x v="0"/>
    <s v="31"/>
    <x v="1"/>
    <s v="01/08/2025"/>
    <s v="ROMA                   "/>
    <s v="85"/>
    <x v="4"/>
    <s v="G"/>
    <x v="3"/>
    <s v="RM2"/>
    <s v="RM2 REDATTORE MAGG. 30 MM     "/>
    <s v="01/08/2004"/>
    <s v="01/08/2004"/>
    <s v="29/09/1970"/>
    <s v="A"/>
    <s v="A.IN FORZA"/>
    <s v="1  -ASSUNZIONE                1"/>
    <s v=""/>
    <s v=" "/>
    <s v=""/>
    <s v=""/>
    <n v="444"/>
    <s v="00"/>
    <n v="100"/>
    <s v="FULL TIME      100000000FF100-FULL TIME"/>
    <s v="01/08/2004"/>
    <s v=""/>
    <s v="  "/>
    <s v=""/>
    <s v="GN  "/>
    <s v="    "/>
    <s v=""/>
    <s v="SIND.GIORN.        SINDACATO GIORNALISTI"/>
    <s v="rosanna.magnano@radio24.it                        "/>
    <s v="E"/>
    <s v="E-ESENTE"/>
    <s v="1 "/>
    <s v="1=5 X 8"/>
    <s v="01/06/2023"/>
    <s v="TEMPO DETERMINATO"/>
    <s v="30/06/2024"/>
    <s v="0015002689                    "/>
    <s v="BARISONI SEBASTIANO"/>
    <n v="55"/>
  </r>
  <r>
    <x v="0"/>
    <n v="1948"/>
    <s v="IL SOLE 24 ORE S.P.A.                   "/>
    <s v="K           "/>
    <s v="REDAZIONI GIORNALISTICHE"/>
    <s v="K04 "/>
    <x v="37"/>
    <s v="Q15000      "/>
    <s v="Q15000   REDAZIONE GIORNALISTICA NEWS"/>
    <s v="MANCINI                         "/>
    <s v="MARCO             "/>
    <s v="MNCMRC64P30C351U"/>
    <x v="1"/>
    <s v="34"/>
    <x v="0"/>
    <s v="01/04/2021"/>
    <s v="MILANO                 "/>
    <s v="85"/>
    <x v="4"/>
    <s v="G"/>
    <x v="3"/>
    <s v="CRV"/>
    <s v="CRV VICE CAPO REDATTORE       "/>
    <s v="01/06/2003"/>
    <s v="01/06/2003"/>
    <s v="30/09/1964"/>
    <s v="A"/>
    <s v="A.IN FORZA"/>
    <s v="1  -ASSUNZIONE                1"/>
    <s v=""/>
    <s v=" "/>
    <s v=""/>
    <s v=""/>
    <n v="393"/>
    <s v="00"/>
    <n v="100"/>
    <s v="FULL TIME      100000000FF100-FULL TIME"/>
    <s v="01/06/2003"/>
    <s v=""/>
    <s v="  "/>
    <s v=""/>
    <s v="GN  "/>
    <s v="    "/>
    <s v=""/>
    <s v=""/>
    <s v="marco.mancini@radio24.it                          "/>
    <s v="E"/>
    <s v="E-ESENTE"/>
    <s v="3 "/>
    <s v="3=5 X 7"/>
    <s v="01/07/2025"/>
    <s v="TEMPO DETERMINATO"/>
    <s v="07/09/2025"/>
    <s v="0015002689                    "/>
    <s v="BARISONI SEBASTIANO"/>
    <n v="61"/>
  </r>
  <r>
    <x v="0"/>
    <n v="2739"/>
    <s v="IL SOLE 24 ORE S.P.A.                   "/>
    <s v="K           "/>
    <s v="REDAZIONI GIORNALISTICHE"/>
    <s v="K04 "/>
    <x v="37"/>
    <s v="Q15000      "/>
    <s v="Q15000   REDAZIONE GIORNALISTICA NEWS"/>
    <s v="MAURIZI                         "/>
    <s v="ALESSIO           "/>
    <s v="MRZLSS71L24G702E"/>
    <x v="1"/>
    <s v="34"/>
    <x v="0"/>
    <s v="01/04/2021"/>
    <s v="MILANO                 "/>
    <s v="85"/>
    <x v="4"/>
    <s v="G"/>
    <x v="3"/>
    <s v="CS "/>
    <s v="CS CAPO SERVIZIO              "/>
    <s v="01/01/2014"/>
    <s v="01/03/2001"/>
    <s v="24/07/1971"/>
    <s v="A"/>
    <s v="A.IN FORZA"/>
    <s v="1  -ASSUNZIONE                1"/>
    <s v=""/>
    <s v=" "/>
    <s v=""/>
    <s v=""/>
    <n v="2739"/>
    <s v="00"/>
    <n v="100"/>
    <s v="FULL TIME      100000000FF100-FULL TIME"/>
    <s v="01/01/2004"/>
    <s v=""/>
    <s v="  "/>
    <s v=""/>
    <s v="GN  "/>
    <s v="    "/>
    <s v=""/>
    <s v=""/>
    <s v="alessio.maurizi@radio24.it                        "/>
    <s v="E"/>
    <s v="E-ESENTE"/>
    <s v="3 "/>
    <s v="3=5 X 7"/>
    <s v=""/>
    <s v=""/>
    <s v=""/>
    <s v="0015002689                    "/>
    <s v="BARISONI SEBASTIANO"/>
    <n v="54"/>
  </r>
  <r>
    <x v="0"/>
    <n v="2747"/>
    <s v="IL SOLE 24 ORE S.P.A.                   "/>
    <s v="K           "/>
    <s v="REDAZIONI GIORNALISTICHE"/>
    <s v="K04 "/>
    <x v="37"/>
    <s v="Q15000      "/>
    <s v="Q15000   REDAZIONE GIORNALISTICA NEWS"/>
    <s v="NAVA                            "/>
    <s v="SERGIO            "/>
    <s v="NVASRG75M27M052A"/>
    <x v="1"/>
    <s v="34"/>
    <x v="0"/>
    <s v="01/04/2021"/>
    <s v="MILANO                 "/>
    <s v="85"/>
    <x v="4"/>
    <s v="G"/>
    <x v="3"/>
    <s v="CSV"/>
    <s v="CSV VICE CAPO SERVIZIO        "/>
    <s v="01/01/2014"/>
    <s v="24/02/2000"/>
    <s v="27/08/1975"/>
    <s v="A"/>
    <s v="A.IN FORZA"/>
    <s v="1  -ASSUNZIONE                1"/>
    <s v=""/>
    <s v=" "/>
    <s v=""/>
    <s v=""/>
    <n v="2747"/>
    <s v="00"/>
    <n v="100"/>
    <s v="FULL TIME      100000000FF100-FULL TIME"/>
    <s v="24/02/2000"/>
    <s v=""/>
    <s v="  "/>
    <s v=""/>
    <s v="GN  "/>
    <s v="    "/>
    <s v=""/>
    <s v="NON ISCRITTO       NON ISCRITTO"/>
    <s v="sergio.nava@radio24.it                            "/>
    <s v="E"/>
    <s v="E-ESENTE"/>
    <s v="3 "/>
    <s v="3=5 X 7"/>
    <s v="01/07/2025"/>
    <s v="TEMPO DETERMINATO"/>
    <s v="07/09/2025"/>
    <s v="0015002689                    "/>
    <s v="BARISONI SEBASTIANO"/>
    <n v="50"/>
  </r>
  <r>
    <x v="0"/>
    <n v="2748"/>
    <s v="IL SOLE 24 ORE S.P.A.                   "/>
    <s v="K           "/>
    <s v="REDAZIONI GIORNALISTICHE"/>
    <s v="K04 "/>
    <x v="37"/>
    <s v="Q15000      "/>
    <s v="Q15000   REDAZIONE GIORNALISTICA NEWS"/>
    <s v="PAGLIARINI                      "/>
    <s v="ENRICO            "/>
    <s v="PGLNRC72A27F257D"/>
    <x v="1"/>
    <s v="34"/>
    <x v="0"/>
    <s v="01/04/2021"/>
    <s v="MILANO                 "/>
    <s v="85"/>
    <x v="4"/>
    <s v="G"/>
    <x v="3"/>
    <s v="CRV"/>
    <s v="CRV VICE CAPO REDATTORE       "/>
    <s v="01/01/2014"/>
    <s v="17/01/2000"/>
    <s v="27/01/1972"/>
    <s v="A"/>
    <s v="A.IN FORZA"/>
    <s v="1  -ASSUNZIONE                1"/>
    <s v=""/>
    <s v=" "/>
    <s v=""/>
    <s v=""/>
    <n v="2748"/>
    <s v="00"/>
    <n v="100"/>
    <s v="FULL TIME      100000000FF100-FULL TIME"/>
    <s v="17/01/2000"/>
    <s v=""/>
    <s v="  "/>
    <s v=""/>
    <s v="GN  "/>
    <s v="    "/>
    <s v=""/>
    <s v=""/>
    <s v="enrico.pagliarini@radio24.it                      "/>
    <s v="E"/>
    <s v="E-ESENTE"/>
    <s v="3 "/>
    <s v="3=5 X 7"/>
    <s v="01/07/2025"/>
    <s v="TEMPO DETERMINATO"/>
    <s v="07/09/2025"/>
    <s v="0015002689                    "/>
    <s v="BARISONI SEBASTIANO"/>
    <n v="54"/>
  </r>
  <r>
    <x v="0"/>
    <n v="2751"/>
    <s v="IL SOLE 24 ORE S.P.A.                   "/>
    <s v="K           "/>
    <s v="REDAZIONI GIORNALISTICHE"/>
    <s v="K04 "/>
    <x v="37"/>
    <s v="Q15000      "/>
    <s v="Q15000   REDAZIONE GIORNALISTICA NEWS"/>
    <s v="PELLEGATTA                      "/>
    <s v="ROBERTA ANGELA    "/>
    <s v="PLLRRT67S62F704I"/>
    <x v="0"/>
    <s v="34"/>
    <x v="0"/>
    <s v="01/04/2021"/>
    <s v="MILANO                 "/>
    <s v="85"/>
    <x v="4"/>
    <s v="G"/>
    <x v="3"/>
    <s v="RM2"/>
    <s v="RM2 REDATTORE MAGG. 30 MM     "/>
    <s v="01/01/2014"/>
    <s v="27/09/1999"/>
    <s v="22/11/1967"/>
    <s v="A"/>
    <s v="A.IN FORZA"/>
    <s v="1  -ASSUNZIONE                1"/>
    <s v=""/>
    <s v=" "/>
    <s v=""/>
    <s v=""/>
    <n v="2751"/>
    <s v="00"/>
    <n v="100"/>
    <s v="FULL TIME      100000000FF100-FULL TIME"/>
    <s v="27/09/1999"/>
    <s v=""/>
    <s v="  "/>
    <s v=""/>
    <s v="GN  "/>
    <s v="    "/>
    <s v=""/>
    <s v="SIND.GIORN.        SINDACATO GIORNALISTI"/>
    <s v="roberta.pellegatta@radio24.it                     "/>
    <s v="E"/>
    <s v="E-ESENTE"/>
    <s v="3 "/>
    <s v="3=5 X 7"/>
    <s v="01/06/2023"/>
    <s v="TEMPO DETERMINATO"/>
    <s v="30/06/2024"/>
    <s v="0015002689                    "/>
    <s v="BARISONI SEBASTIANO"/>
    <n v="58"/>
  </r>
  <r>
    <x v="0"/>
    <n v="2752"/>
    <s v="IL SOLE 24 ORE S.P.A.                   "/>
    <s v="K           "/>
    <s v="REDAZIONI GIORNALISTICHE"/>
    <s v="K04 "/>
    <x v="37"/>
    <s v="Q15000      "/>
    <s v="Q15000   REDAZIONE GIORNALISTICA NEWS"/>
    <s v="PEZZALI                         "/>
    <s v="MARIALUISA        "/>
    <s v="PZZMLS70E48B157B"/>
    <x v="0"/>
    <s v="34"/>
    <x v="0"/>
    <s v="01/04/2021"/>
    <s v="MILANO                 "/>
    <s v="85"/>
    <x v="4"/>
    <s v="G"/>
    <x v="3"/>
    <s v="CSV"/>
    <s v="CSV VICE CAPO SERVIZIO        "/>
    <s v="01/01/2014"/>
    <s v="25/08/1999"/>
    <s v="08/05/1970"/>
    <s v="A"/>
    <s v="A.IN FORZA"/>
    <s v="1  -ASSUNZIONE                1"/>
    <s v=""/>
    <s v=" "/>
    <s v=""/>
    <s v=""/>
    <n v="2752"/>
    <s v="00"/>
    <n v="100"/>
    <s v="FULL TIME      100000000FF100-FULL TIME"/>
    <s v="01/01/2021"/>
    <s v=""/>
    <s v="  "/>
    <s v=""/>
    <s v="GN  "/>
    <s v="    "/>
    <s v=""/>
    <s v="SIND.GIORN.        SINDACATO GIORNALISTI"/>
    <s v="marialuisa.pezzali@radio24.it                     "/>
    <s v="E"/>
    <s v="E-ESENTE"/>
    <s v="7 "/>
    <s v="7=5 X 7.20"/>
    <s v="01/07/2025"/>
    <s v="TEMPO DETERMINATO"/>
    <s v="07/09/2025"/>
    <s v="0015002689                    "/>
    <s v="BARISONI SEBASTIANO"/>
    <n v="55"/>
  </r>
  <r>
    <x v="0"/>
    <n v="2758"/>
    <s v="IL SOLE 24 ORE S.P.A.                   "/>
    <s v="K           "/>
    <s v="REDAZIONI GIORNALISTICHE"/>
    <s v="K04 "/>
    <x v="37"/>
    <s v="Q15000      "/>
    <s v="Q15000   REDAZIONE GIORNALISTICA NEWS"/>
    <s v="RICCI                           "/>
    <s v="DARIO             "/>
    <s v="RCCDRA73C17H501L"/>
    <x v="1"/>
    <s v="34"/>
    <x v="0"/>
    <s v="01/04/2021"/>
    <s v="MILANO                 "/>
    <s v="85"/>
    <x v="4"/>
    <s v="G"/>
    <x v="3"/>
    <s v="CSV"/>
    <s v="CSV VICE CAPO SERVIZIO        "/>
    <s v="01/01/2014"/>
    <s v="12/03/2002"/>
    <s v="17/03/1973"/>
    <s v="A"/>
    <s v="A.IN FORZA"/>
    <s v="1  -ASSUNZIONE                1"/>
    <s v=""/>
    <s v=" "/>
    <s v=""/>
    <s v=""/>
    <n v="2758"/>
    <s v="00"/>
    <n v="100"/>
    <s v="FULL TIME      100000000FF100-FULL TIME"/>
    <s v="12/03/2002"/>
    <s v=""/>
    <s v="  "/>
    <s v=""/>
    <s v="GN  "/>
    <s v="    "/>
    <s v=""/>
    <s v="SIND.GIORN.        SINDACATO GIORNALISTI"/>
    <s v="dario.ricci@ilsole24ore.com                       "/>
    <s v="E"/>
    <s v="E-ESENTE"/>
    <s v="7 "/>
    <s v="7=5 X 7.20"/>
    <s v="01/06/2023"/>
    <s v="TEMPO DETERMINATO"/>
    <s v="30/06/2024"/>
    <s v="0015002689                    "/>
    <s v="BARISONI SEBASTIANO"/>
    <n v="52"/>
  </r>
  <r>
    <x v="0"/>
    <n v="2763"/>
    <s v="IL SOLE 24 ORE S.P.A.                   "/>
    <s v="K           "/>
    <s v="REDAZIONI GIORNALISTICHE"/>
    <s v="K04 "/>
    <x v="37"/>
    <s v="Q15000      "/>
    <s v="Q15000   REDAZIONE GIORNALISTICA NEWS"/>
    <s v="SCHEPISI                        "/>
    <s v="ALESSANDRA        "/>
    <s v="SCHLSN70P45H501U"/>
    <x v="0"/>
    <s v="31"/>
    <x v="1"/>
    <s v="01/06/2009"/>
    <s v="ROMA                   "/>
    <s v="85"/>
    <x v="4"/>
    <s v="G"/>
    <x v="3"/>
    <s v="CSV"/>
    <s v="CSV VICE CAPO SERVIZIO        "/>
    <s v="01/01/2014"/>
    <s v="23/08/1999"/>
    <s v="05/09/1970"/>
    <s v="A"/>
    <s v="A.IN FORZA"/>
    <s v="1  -ASSUNZIONE                1"/>
    <s v=""/>
    <s v=" "/>
    <s v=""/>
    <s v=""/>
    <n v="2763"/>
    <s v="00"/>
    <n v="100"/>
    <s v="FULL TIME      100000000FF100-FULL TIME"/>
    <s v="23/08/1999"/>
    <s v=""/>
    <s v="  "/>
    <s v=""/>
    <s v="GN  "/>
    <s v="    "/>
    <s v=""/>
    <s v=""/>
    <s v="alessandra.schepisi@radio24.it                    "/>
    <s v="E"/>
    <s v="E-ESENTE"/>
    <s v="3 "/>
    <s v="3=5 X 7"/>
    <s v="01/07/2025"/>
    <s v="TEMPO DETERMINATO"/>
    <s v="07/09/2025"/>
    <s v="0015002689                    "/>
    <s v="BARISONI SEBASTIANO"/>
    <n v="55"/>
  </r>
  <r>
    <x v="0"/>
    <n v="2766"/>
    <s v="IL SOLE 24 ORE S.P.A.                   "/>
    <s v="K           "/>
    <s v="REDAZIONI GIORNALISTICHE"/>
    <s v="K04 "/>
    <x v="37"/>
    <s v="Q15000      "/>
    <s v="Q15000   REDAZIONE GIORNALISTICA NEWS"/>
    <s v="SPETIA                          "/>
    <s v="SIMONE            "/>
    <s v="SPTSMN76C16D653I"/>
    <x v="1"/>
    <s v="34"/>
    <x v="0"/>
    <s v="01/04/2021"/>
    <s v="MILANO                 "/>
    <s v="85"/>
    <x v="4"/>
    <s v="G"/>
    <x v="3"/>
    <s v="CRV"/>
    <s v="CRV VICE CAPO REDATTORE       "/>
    <s v="01/01/2014"/>
    <s v="01/02/2001"/>
    <s v="16/03/1976"/>
    <s v="A"/>
    <s v="A.IN FORZA"/>
    <s v="1  -ASSUNZIONE                1"/>
    <s v=""/>
    <s v=" "/>
    <s v=""/>
    <s v=""/>
    <n v="2766"/>
    <s v="00"/>
    <n v="100"/>
    <s v="FULL TIME      100000000FF100-FULL TIME"/>
    <s v="01/01/2004"/>
    <s v=""/>
    <s v="  "/>
    <s v=""/>
    <s v="GN  "/>
    <s v="    "/>
    <s v=""/>
    <s v=""/>
    <s v="simone.spetia@radio24.it                          "/>
    <s v="E"/>
    <s v="E-ESENTE"/>
    <s v="3 "/>
    <s v="3=5 X 7"/>
    <s v=""/>
    <s v=""/>
    <s v=""/>
    <s v="0015002689                    "/>
    <s v="BARISONI SEBASTIANO"/>
    <n v="49"/>
  </r>
  <r>
    <x v="0"/>
    <n v="3130"/>
    <s v="IL SOLE 24 ORE S.P.A.                   "/>
    <s v="K           "/>
    <s v="REDAZIONI GIORNALISTICHE"/>
    <s v="K04 "/>
    <x v="37"/>
    <s v="Q15000      "/>
    <s v="Q15000   REDAZIONE GIORNALISTICA NEWS"/>
    <s v="STAMATOPOULOS                   "/>
    <s v="GIORGIO           "/>
    <s v="STMGRG69M15H501P"/>
    <x v="1"/>
    <s v="31"/>
    <x v="1"/>
    <s v="01/07/2024"/>
    <s v="ROMA                   "/>
    <s v="85"/>
    <x v="4"/>
    <s v="G"/>
    <x v="3"/>
    <s v="RM2"/>
    <s v="RM2 REDATTORE MAGG. 30 MM     "/>
    <s v="01/07/2024"/>
    <s v="01/07/2024"/>
    <s v="15/08/1969"/>
    <s v="A"/>
    <s v="A.IN FORZA"/>
    <s v="1S-ASSUNZIONE STABILIZZAZIONE 1S"/>
    <s v=""/>
    <s v=" "/>
    <s v=""/>
    <s v=""/>
    <n v="3130"/>
    <s v="00"/>
    <n v="100"/>
    <s v="FULL TIME      100000000FF100-FULL TIME"/>
    <s v="01/07/2024"/>
    <s v=""/>
    <s v="  "/>
    <s v=""/>
    <s v="GN  "/>
    <s v="    "/>
    <s v=""/>
    <s v=""/>
    <s v="giorgio.stamatopoulos@radio24.it                  "/>
    <s v="F"/>
    <s v="F-FIRMA"/>
    <s v="1 "/>
    <s v="1=5 X 8"/>
    <s v="01/07/2025"/>
    <s v="TEMPO DETERMINATO"/>
    <s v="07/09/2025"/>
    <s v="0015002689                    "/>
    <s v="BARISONI SEBASTIANO"/>
    <n v="56"/>
  </r>
  <r>
    <x v="0"/>
    <n v="2767"/>
    <s v="IL SOLE 24 ORE S.P.A.                   "/>
    <s v="K           "/>
    <s v="REDAZIONI GIORNALISTICHE"/>
    <s v="K04 "/>
    <x v="37"/>
    <s v="Q15000      "/>
    <s v="Q15000   REDAZIONE GIORNALISTICA NEWS"/>
    <s v="TEDESCO                         "/>
    <s v="ALESSANDRA        "/>
    <s v="TDSLSN70B43A662P"/>
    <x v="0"/>
    <s v="34"/>
    <x v="0"/>
    <s v="01/04/2021"/>
    <s v="MILANO                 "/>
    <s v="85"/>
    <x v="4"/>
    <s v="G"/>
    <x v="3"/>
    <s v="CS "/>
    <s v="CS CAPO SERVIZIO              "/>
    <s v="01/01/2014"/>
    <s v="23/08/1999"/>
    <s v="03/02/1970"/>
    <s v="A"/>
    <s v="A.IN FORZA"/>
    <s v="1  -ASSUNZIONE                1"/>
    <s v=""/>
    <s v=" "/>
    <s v=""/>
    <s v=""/>
    <n v="2767"/>
    <s v="00"/>
    <n v="100"/>
    <s v="FULL TIME      100000000FF100-FULL TIME"/>
    <s v="23/08/1999"/>
    <s v=""/>
    <s v="  "/>
    <s v=""/>
    <s v="GN  "/>
    <s v="    "/>
    <s v=""/>
    <s v=""/>
    <s v="alessandra.tedesco@radio24.it                     "/>
    <s v="E"/>
    <s v="E-ESENTE"/>
    <s v="3 "/>
    <s v="3=5 X 7"/>
    <s v="01/07/2025"/>
    <s v="TEMPO DETERMINATO"/>
    <s v="07/09/2025"/>
    <s v="0015002689                    "/>
    <s v="BARISONI SEBASTIANO"/>
    <n v="55"/>
  </r>
  <r>
    <x v="0"/>
    <n v="1160"/>
    <s v="IL SOLE 24 ORE S.P.A.                   "/>
    <s v="K           "/>
    <s v="REDAZIONI GIORNALISTICHE"/>
    <s v="K04 "/>
    <x v="37"/>
    <s v="Q15000      "/>
    <s v="Q15000   REDAZIONE GIORNALISTICA NEWS"/>
    <s v="TRILLO'                         "/>
    <s v="TERESA            "/>
    <s v="TRLTRS62M70C479G"/>
    <x v="0"/>
    <s v="31"/>
    <x v="1"/>
    <s v="01/06/2009"/>
    <s v="ROMA                   "/>
    <s v="85"/>
    <x v="4"/>
    <s v="G"/>
    <x v="3"/>
    <s v="RM2"/>
    <s v="RM2 REDATTORE MAGG. 30 MM     "/>
    <s v="03/08/1998"/>
    <s v="03/08/1998"/>
    <s v="30/08/1962"/>
    <s v="A"/>
    <s v="A.IN FORZA"/>
    <s v="1  -ASSUNZIONE                1"/>
    <s v=""/>
    <s v=" "/>
    <s v=""/>
    <s v=""/>
    <n v="247"/>
    <s v="00"/>
    <n v="100"/>
    <s v="FULL TIME      100000000FF100-FULL TIME"/>
    <s v="03/08/1998"/>
    <s v=""/>
    <s v="  "/>
    <s v=""/>
    <s v="GN  "/>
    <s v="    "/>
    <s v=""/>
    <s v=""/>
    <s v="teresa.trillo@radio24.it                          "/>
    <s v="E"/>
    <s v="E-ESENTE"/>
    <s v="2 "/>
    <s v="2=6 X 6"/>
    <s v="01/07/2025"/>
    <s v="TEMPO DETERMINATO"/>
    <s v="07/09/2025"/>
    <s v="0015002689                    "/>
    <s v="BARISONI SEBASTIANO"/>
    <n v="63"/>
  </r>
  <r>
    <x v="0"/>
    <n v="2773"/>
    <s v="IL SOLE 24 ORE S.P.A.                   "/>
    <s v="K           "/>
    <s v="REDAZIONI GIORNALISTICHE"/>
    <s v="K04 "/>
    <x v="37"/>
    <s v="Q15000      "/>
    <s v="Q15000   REDAZIONE GIORNALISTICA NEWS"/>
    <s v="VIALI                           "/>
    <s v="ANDREA            "/>
    <s v="VLINDR69L13H501D"/>
    <x v="1"/>
    <s v="31"/>
    <x v="1"/>
    <s v="01/06/2009"/>
    <s v="ROMA                   "/>
    <s v="85"/>
    <x v="4"/>
    <s v="G"/>
    <x v="3"/>
    <s v="RM2"/>
    <s v="RM2 REDATTORE MAGG. 30 MM     "/>
    <s v="01/01/2014"/>
    <s v="15/09/1999"/>
    <s v="13/07/1969"/>
    <s v="A"/>
    <s v="A.IN FORZA"/>
    <s v="1  -ASSUNZIONE                1"/>
    <s v=""/>
    <s v=" "/>
    <s v=""/>
    <s v=""/>
    <n v="2773"/>
    <s v="00"/>
    <n v="100"/>
    <s v="FULL TIME      100000000FF100-FULL TIME"/>
    <s v="15/09/1999"/>
    <s v=""/>
    <s v="  "/>
    <s v=""/>
    <s v="GN  "/>
    <s v="    "/>
    <s v=""/>
    <s v="SIND.GIORN.        SINDACATO GIORNALISTI"/>
    <s v="andrea.viali@radio24.it                           "/>
    <s v="E"/>
    <s v="E-ESENTE"/>
    <s v="3 "/>
    <s v="3=5 X 7"/>
    <s v="01/07/2025"/>
    <s v="TEMPO DETERMINATO"/>
    <s v="07/09/2025"/>
    <s v="0015002689                    "/>
    <s v="BARISONI SEBASTIANO"/>
    <n v="56"/>
  </r>
  <r>
    <x v="0"/>
    <n v="2273"/>
    <s v="IL SOLE 24 ORE S.P.A.                   "/>
    <s v="K           "/>
    <s v="REDAZIONI GIORNALISTICHE"/>
    <s v="K04 "/>
    <x v="37"/>
    <s v="Q15000      "/>
    <s v="Q15000   REDAZIONE GIORNALISTICA NEWS"/>
    <s v="ZANCANER                        "/>
    <s v="LIVIA MARIA       "/>
    <s v="ZNCLMR79C49B041T"/>
    <x v="0"/>
    <s v="34"/>
    <x v="0"/>
    <s v="01/04/2021"/>
    <s v="MILANO                 "/>
    <s v="85"/>
    <x v="4"/>
    <s v="G"/>
    <x v="3"/>
    <s v="CS "/>
    <s v="CS CAPO SERVIZIO              "/>
    <s v="18/02/2008"/>
    <s v="18/02/2008"/>
    <s v="09/03/1979"/>
    <s v="A"/>
    <s v="A.IN FORZA"/>
    <s v="1  -ASSUNZIONE                1"/>
    <s v=""/>
    <s v=" "/>
    <s v=""/>
    <s v=""/>
    <n v="545"/>
    <s v="00"/>
    <n v="100"/>
    <s v="FULL TIME      100000000FF100-FULL TIME"/>
    <s v="18/02/2008"/>
    <s v=""/>
    <s v="  "/>
    <s v=""/>
    <s v="GN  "/>
    <s v="    "/>
    <s v=""/>
    <s v=""/>
    <s v="livia.zancaner@radio24.it                         "/>
    <s v="E"/>
    <s v="E-ESENTE"/>
    <s v="3 "/>
    <s v="3=5 X 7"/>
    <s v="01/06/2023"/>
    <s v="TEMPO DETERMINATO"/>
    <s v="30/06/2024"/>
    <s v="0015002689                    "/>
    <s v="BARISONI SEBASTIANO"/>
    <n v="46"/>
  </r>
  <r>
    <x v="0"/>
    <n v="2689"/>
    <s v="IL SOLE 24 ORE S.P.A.                   "/>
    <s v="K           "/>
    <s v="REDAZIONI GIORNALISTICHE"/>
    <s v="K04 "/>
    <x v="37"/>
    <s v="Q17000      "/>
    <s v="Q17000   REDAZIONE GIORNALISTICA PROGRAM"/>
    <s v="BARISONI                        "/>
    <s v="SEBASTIANO        "/>
    <s v="BRSSST68T11H501G"/>
    <x v="1"/>
    <s v="34"/>
    <x v="0"/>
    <s v="01/04/2021"/>
    <s v="MILANO                 "/>
    <s v="85"/>
    <x v="4"/>
    <s v="G"/>
    <x v="3"/>
    <s v="AV "/>
    <s v="AV VICE DIRETTORE             "/>
    <s v="01/01/2014"/>
    <s v="02/01/2001"/>
    <s v="11/12/1968"/>
    <s v="A"/>
    <s v="A.IN FORZA"/>
    <s v="1  -ASSUNZIONE                1"/>
    <s v=""/>
    <s v=" "/>
    <s v=""/>
    <s v=""/>
    <n v="2689"/>
    <s v="00"/>
    <n v="100"/>
    <s v="FULL TIME      100000000FF100-FULL TIME"/>
    <s v="02/01/2001"/>
    <s v=""/>
    <s v="  "/>
    <s v=""/>
    <s v="GN  "/>
    <s v="    "/>
    <s v=""/>
    <s v=""/>
    <s v="sebastiano.barisoni@radio24.it                    "/>
    <s v="E"/>
    <s v="E-ESENTE"/>
    <s v="3 "/>
    <s v="3=5 X 7"/>
    <s v=""/>
    <s v=""/>
    <s v=""/>
    <s v="0015002689                    "/>
    <s v="BARISONI SEBASTIANO"/>
    <n v="57"/>
  </r>
  <r>
    <x v="0"/>
    <n v="2709"/>
    <s v="IL SOLE 24 ORE S.P.A.                   "/>
    <s v="K           "/>
    <s v="REDAZIONI GIORNALISTICHE"/>
    <s v="K04 "/>
    <x v="37"/>
    <s v="Q17000      "/>
    <s v="Q17000   REDAZIONE GIORNALISTICA PROGRAM"/>
    <s v="CRUCIANI                        "/>
    <s v="GIUSEPPE          "/>
    <s v="CRCGPP66P15H501F"/>
    <x v="1"/>
    <s v="34"/>
    <x v="0"/>
    <s v="01/04/2021"/>
    <s v="MILANO                 "/>
    <s v="85"/>
    <x v="4"/>
    <s v="G"/>
    <x v="3"/>
    <s v="CS "/>
    <s v="CS CAPO SERVIZIO              "/>
    <s v="01/01/2014"/>
    <s v="03/01/2000"/>
    <s v="15/09/1966"/>
    <s v="A"/>
    <s v="A.IN FORZA"/>
    <s v="1  -ASSUNZIONE                1"/>
    <s v=""/>
    <s v=" "/>
    <s v=""/>
    <s v=""/>
    <n v="2709"/>
    <s v="00"/>
    <n v="100"/>
    <s v="FULL TIME      100000000FF100-FULL TIME"/>
    <s v="03/01/2000"/>
    <s v=""/>
    <s v="  "/>
    <s v=""/>
    <s v="GN  "/>
    <s v="    "/>
    <s v=""/>
    <s v=""/>
    <s v="giuseppe.cruciani@radio24.it                      "/>
    <s v="E"/>
    <s v="E-ESENTE"/>
    <s v="3 "/>
    <s v="3=5 X 7"/>
    <s v=""/>
    <s v=""/>
    <s v=""/>
    <s v="0015002689                    "/>
    <s v="BARISONI SEBASTIANO"/>
    <n v="59"/>
  </r>
  <r>
    <x v="0"/>
    <n v="2745"/>
    <s v="IL SOLE 24 ORE S.P.A.                   "/>
    <s v="K           "/>
    <s v="REDAZIONI GIORNALISTICHE"/>
    <s v="K04 "/>
    <x v="37"/>
    <s v="Q17000      "/>
    <s v="Q17000   REDAZIONE GIORNALISTICA PROGRAM"/>
    <s v="MILAN                           "/>
    <s v="ALESSANDRO        "/>
    <s v="MLNLSN70T05I690G"/>
    <x v="1"/>
    <s v="34"/>
    <x v="0"/>
    <s v="01/04/2021"/>
    <s v="MILANO                 "/>
    <s v="85"/>
    <x v="4"/>
    <s v="G"/>
    <x v="3"/>
    <s v="RE "/>
    <s v="RE REDATTORE ESPERTO          "/>
    <s v="01/01/2014"/>
    <s v="14/09/1999"/>
    <s v="05/12/1970"/>
    <s v="A"/>
    <s v="A.IN FORZA"/>
    <s v="1  -ASSUNZIONE                1"/>
    <s v=""/>
    <s v=" "/>
    <s v=""/>
    <s v=""/>
    <n v="2745"/>
    <s v="00"/>
    <n v="100"/>
    <s v="FULL TIME      100000000FF100-FULL TIME"/>
    <s v="14/09/1999"/>
    <s v=""/>
    <s v="  "/>
    <s v=""/>
    <s v="GN  "/>
    <s v="    "/>
    <s v=""/>
    <s v=""/>
    <s v="alessandro.milan@radio24.it                       "/>
    <s v="E"/>
    <s v="E-ESENTE"/>
    <s v="3 "/>
    <s v="3=5 X 7"/>
    <s v=""/>
    <s v=""/>
    <s v=""/>
    <s v="0015002689                    "/>
    <s v="BARISONI SEBASTIANO"/>
    <n v="55"/>
  </r>
  <r>
    <x v="0"/>
    <n v="2760"/>
    <s v="IL SOLE 24 ORE S.P.A.                   "/>
    <s v="K           "/>
    <s v="REDAZIONI GIORNALISTICHE"/>
    <s v="K04 "/>
    <x v="37"/>
    <s v="Q17000      "/>
    <s v="Q17000   REDAZIONE GIORNALISTICA PROGRAM"/>
    <s v="ROSCIANI                        "/>
    <s v="DEBORA            "/>
    <s v="RSCDBR69H48A271X"/>
    <x v="0"/>
    <s v="34"/>
    <x v="0"/>
    <s v="01/04/2021"/>
    <s v="MILANO                 "/>
    <s v="85"/>
    <x v="4"/>
    <s v="G"/>
    <x v="3"/>
    <s v="RE "/>
    <s v="RE REDATTORE ESPERTO          "/>
    <s v="01/01/2014"/>
    <s v="01/03/2005"/>
    <s v="08/06/1969"/>
    <s v="A"/>
    <s v="A.IN FORZA"/>
    <s v="1  -ASSUNZIONE                1"/>
    <s v=""/>
    <s v=" "/>
    <s v=""/>
    <s v=""/>
    <n v="2760"/>
    <s v="00"/>
    <n v="100"/>
    <s v="FULL TIME      100000000FF100-FULL TIME"/>
    <s v="01/03/2005"/>
    <s v=""/>
    <s v="  "/>
    <s v=""/>
    <s v="GN  "/>
    <s v="    "/>
    <s v=""/>
    <s v="SIND.GIORN.        SINDACATO GIORNALISTI"/>
    <s v="debora.rosciani@radio24.it                        "/>
    <s v="E"/>
    <s v="E-ESENTE"/>
    <s v="3 "/>
    <s v="3=5 X 7"/>
    <s v="01/06/2023"/>
    <s v="TEMPO DETERMINATO"/>
    <s v="30/06/2024"/>
    <s v="0015002689                    "/>
    <s v="BARISONI SEBASTIANO"/>
    <n v="56"/>
  </r>
  <r>
    <x v="0"/>
    <n v="2761"/>
    <s v="IL SOLE 24 ORE S.P.A.                   "/>
    <s v="K           "/>
    <s v="REDAZIONI GIORNALISTICHE"/>
    <s v="K04 "/>
    <x v="37"/>
    <s v="Q17000      "/>
    <s v="Q17000   REDAZIONE GIORNALISTICA PROGRAM"/>
    <s v="SCAGLIONI                       "/>
    <s v="ALESSANDRA        "/>
    <s v="SCGLSN65C71D969S"/>
    <x v="0"/>
    <s v="34"/>
    <x v="0"/>
    <s v="01/04/2021"/>
    <s v="MILANO                 "/>
    <s v="85"/>
    <x v="4"/>
    <s v="G"/>
    <x v="3"/>
    <s v="CR "/>
    <s v="CR CAPO REDATTORE             "/>
    <s v="01/01/2014"/>
    <s v="01/11/1999"/>
    <s v="31/03/1965"/>
    <s v="A"/>
    <s v="A.IN FORZA"/>
    <s v="1  -ASSUNZIONE                1"/>
    <s v=""/>
    <s v=" "/>
    <s v=""/>
    <s v=""/>
    <n v="2761"/>
    <s v="00"/>
    <n v="100"/>
    <s v="FULL TIME      100000000FF100-FULL TIME"/>
    <s v="01/01/2025"/>
    <s v=""/>
    <s v="  "/>
    <s v=""/>
    <s v="GN  "/>
    <s v="    "/>
    <s v=""/>
    <s v=""/>
    <s v="alessandra.scaglioni@radio24.it                   "/>
    <s v="E"/>
    <s v="E-ESENTE"/>
    <s v="3 "/>
    <s v="3=5 X 7"/>
    <s v="01/06/2023"/>
    <s v="TEMPO DETERMINATO"/>
    <s v="30/06/2024"/>
    <s v="0015002689                    "/>
    <s v="BARISONI SEBASTIANO"/>
    <n v="60"/>
  </r>
  <r>
    <x v="0"/>
    <n v="2788"/>
    <s v="IL SOLE 24 ORE S.P.A.                   "/>
    <s v="K           "/>
    <s v="REDAZIONI GIORNALISTICHE"/>
    <s v="K08 "/>
    <x v="38"/>
    <s v="518200      "/>
    <s v="518200   HOW TO SPEND IT"/>
    <s v="POLLA MATTIOT                   "/>
    <s v="NICOLETTA         "/>
    <s v="PLLNLT65D45D205P"/>
    <x v="0"/>
    <s v="34"/>
    <x v="0"/>
    <s v="01/04/2021"/>
    <s v="MILANO                 "/>
    <s v="85"/>
    <x v="4"/>
    <s v="G"/>
    <x v="3"/>
    <s v="AV "/>
    <s v="AV VICE DIRETTORE             "/>
    <s v="02/05/2014"/>
    <s v="02/05/2014"/>
    <s v="05/04/1965"/>
    <s v="A"/>
    <s v="A.IN FORZA"/>
    <s v="1  -ASSUNZIONE                1"/>
    <s v=""/>
    <s v=" "/>
    <s v=""/>
    <s v=""/>
    <n v="2788"/>
    <s v="00"/>
    <n v="100"/>
    <s v="FULL TIME      100000000FF100-FULL TIME"/>
    <s v="02/05/2014"/>
    <s v=""/>
    <s v="  "/>
    <s v=""/>
    <s v="GBM "/>
    <s v="    "/>
    <s v=""/>
    <s v=""/>
    <s v="nicoletta.pollamattiot@ilsole24ore.com            "/>
    <s v="E"/>
    <s v="E-ESENTE"/>
    <s v="3 "/>
    <s v="3=5 X 7"/>
    <s v="01/09/2025"/>
    <s v="TEMPO DETERMINATO"/>
    <s v="31/05/2027"/>
    <s v="0015003107                    "/>
    <s v=""/>
    <n v="60"/>
  </r>
  <r>
    <x v="0"/>
    <n v="2939"/>
    <s v="IL SOLE 24 ORE S.P.A.                   "/>
    <s v="K           "/>
    <s v="REDAZIONI GIORNALISTICHE"/>
    <s v="K09 "/>
    <x v="39"/>
    <s v="515010      "/>
    <s v="515010   RCO+ FINANZA E MERCATI MI"/>
    <s v="ARCUDI                          "/>
    <s v="STEFANIA          "/>
    <s v="RCDSFN76D45F205B"/>
    <x v="0"/>
    <s v="34"/>
    <x v="0"/>
    <s v="01/04/2021"/>
    <s v="MILANO                 "/>
    <s v="85"/>
    <x v="4"/>
    <s v="G"/>
    <x v="3"/>
    <s v="RM2"/>
    <s v="RM2 REDATTORE MAGG. 30 MM     "/>
    <s v="24/01/2018"/>
    <s v="24/01/2018"/>
    <s v="05/04/1976"/>
    <s v="A"/>
    <s v="A.IN FORZA"/>
    <s v="1  -ASSUNZIONE                1"/>
    <s v=""/>
    <s v=" "/>
    <s v=""/>
    <s v=""/>
    <n v="2939"/>
    <s v="00"/>
    <n v="100"/>
    <s v="FULL TIME      100000000FF100-FULL TIME"/>
    <s v="24/01/2018"/>
    <s v=""/>
    <s v="  "/>
    <s v=""/>
    <s v="GRR "/>
    <s v="    "/>
    <s v=""/>
    <s v=""/>
    <s v="stefania.arcudi@ilsole24ore.com                   "/>
    <s v="E"/>
    <s v="E-ESENTE"/>
    <s v="3 "/>
    <s v="3=5 X 7"/>
    <s v="01/07/2025"/>
    <s v="TEMPO DETERMINATO"/>
    <s v="31/05/2027"/>
    <s v="0015000759                    "/>
    <s v="TASSO ISABELLA"/>
    <n v="49"/>
  </r>
  <r>
    <x v="0"/>
    <n v="3083"/>
    <s v="IL SOLE 24 ORE S.P.A.                   "/>
    <s v="K           "/>
    <s v="REDAZIONI GIORNALISTICHE"/>
    <s v="K09 "/>
    <x v="39"/>
    <s v="515010      "/>
    <s v="515010   RCO+ FINANZA E MERCATI MI"/>
    <s v="BLASIOLI                        "/>
    <s v="STEFANIA          "/>
    <s v="BLSSFN96L53E435J"/>
    <x v="0"/>
    <s v="34"/>
    <x v="0"/>
    <s v="12/06/2023"/>
    <s v="MILANO                 "/>
    <s v="85"/>
    <x v="4"/>
    <s v="G"/>
    <x v="3"/>
    <s v="RM2"/>
    <s v="RM2 REDATTORE MAGG. 30 MM     "/>
    <s v="12/06/2023"/>
    <s v="12/06/2023"/>
    <s v="13/07/1996"/>
    <s v="A"/>
    <s v="A.IN FORZA"/>
    <s v="1  -ASSUNZIONE                1"/>
    <s v=""/>
    <s v=" "/>
    <s v=""/>
    <s v=""/>
    <n v="3083"/>
    <s v="00"/>
    <n v="100"/>
    <s v="FULL TIME      100000000FF100-FULL TIME"/>
    <s v="12/06/2023"/>
    <s v=""/>
    <s v="  "/>
    <s v=""/>
    <s v="GRR "/>
    <s v="    "/>
    <s v=""/>
    <s v=""/>
    <s v="stefania.blasioli@ilsole24ore.com                 "/>
    <s v="E"/>
    <s v="E-ESENTE"/>
    <s v="3 "/>
    <s v="3=5 X 7"/>
    <s v="01/07/2025"/>
    <s v="TEMPO DETERMINATO"/>
    <s v="31/05/2027"/>
    <s v="0015000759                    "/>
    <s v="TASSO ISABELLA"/>
    <n v="29"/>
  </r>
  <r>
    <x v="0"/>
    <n v="3092"/>
    <s v="IL SOLE 24 ORE S.P.A.                   "/>
    <s v="K           "/>
    <s v="REDAZIONI GIORNALISTICHE"/>
    <s v="K09 "/>
    <x v="39"/>
    <s v="515010      "/>
    <s v="515010   RCO+ FINANZA E MERCATI MI"/>
    <s v="BONADIES                        "/>
    <s v="LAURA             "/>
    <s v="BNDLRA81P65C349L"/>
    <x v="0"/>
    <s v="34"/>
    <x v="0"/>
    <s v="18/09/2023"/>
    <s v="MILANO                 "/>
    <s v="85"/>
    <x v="4"/>
    <s v="G"/>
    <x v="3"/>
    <s v="RM2"/>
    <s v="RM2 REDATTORE MAGG. 30 MM     "/>
    <s v="18/09/2023"/>
    <s v="18/09/2023"/>
    <s v="25/09/1981"/>
    <s v="A"/>
    <s v="A.IN FORZA"/>
    <s v="1  -ASSUNZIONE                1"/>
    <s v=""/>
    <s v=" "/>
    <s v=""/>
    <s v=""/>
    <n v="3092"/>
    <s v="00"/>
    <n v="100"/>
    <s v="FULL TIME      100000000FF100-FULL TIME"/>
    <s v="18/09/2023"/>
    <s v=""/>
    <s v="  "/>
    <s v=""/>
    <s v="GRR "/>
    <s v="    "/>
    <s v=""/>
    <s v="SIND.GIORN.        SINDACATO GIORNALISTI"/>
    <s v="laura.bonadies@ilsole24ore.com                    "/>
    <s v="E"/>
    <s v="E-ESENTE"/>
    <s v="3 "/>
    <s v="3=5 X 7"/>
    <s v="01/07/2025"/>
    <s v="TEMPO DETERMINATO"/>
    <s v="31/05/2027"/>
    <s v="0015000759                    "/>
    <s v="TASSO ISABELLA"/>
    <n v="44"/>
  </r>
  <r>
    <x v="0"/>
    <n v="2134"/>
    <s v="IL SOLE 24 ORE S.P.A.                   "/>
    <s v="K           "/>
    <s v="REDAZIONI GIORNALISTICHE"/>
    <s v="K09 "/>
    <x v="39"/>
    <s v="515010      "/>
    <s v="515010   RCO+ FINANZA E MERCATI MI"/>
    <s v="BRAMBATI                        "/>
    <s v="MANUELA           "/>
    <s v="BRMMNL72C54F205J"/>
    <x v="0"/>
    <s v="34"/>
    <x v="0"/>
    <s v="01/04/2021"/>
    <s v="MILANO                 "/>
    <s v="85"/>
    <x v="4"/>
    <s v="G"/>
    <x v="3"/>
    <s v="CS "/>
    <s v="CS CAPO SERVIZIO              "/>
    <s v="09/10/2006"/>
    <s v="09/10/2006"/>
    <s v="14/03/1972"/>
    <s v="A"/>
    <s v="A.IN FORZA"/>
    <s v="1  -ASSUNZIONE                1"/>
    <s v=""/>
    <s v=" "/>
    <s v=""/>
    <s v=""/>
    <n v="492"/>
    <s v="00"/>
    <n v="100"/>
    <s v="FULL TIME      100000000FF100-FULL TIME"/>
    <s v="09/10/2006"/>
    <s v=""/>
    <s v="  "/>
    <s v=""/>
    <s v="GRR "/>
    <s v="    "/>
    <s v=""/>
    <s v="SIND.GIORN.        SINDACATO GIORNALISTI"/>
    <s v="manuela.brambati@ilsole24ore.com                  "/>
    <s v="E"/>
    <s v="E-ESENTE"/>
    <s v="3 "/>
    <s v="3=5 X 7"/>
    <s v="01/07/2025"/>
    <s v="TEMPO DETERMINATO"/>
    <s v="31/05/2027"/>
    <s v="0015000759                    "/>
    <s v="TASSO ISABELLA"/>
    <n v="53"/>
  </r>
  <r>
    <x v="0"/>
    <n v="3091"/>
    <s v="IL SOLE 24 ORE S.P.A.                   "/>
    <s v="K           "/>
    <s v="REDAZIONI GIORNALISTICHE"/>
    <s v="K09 "/>
    <x v="39"/>
    <s v="515010      "/>
    <s v="515010   RCO+ FINANZA E MERCATI MI"/>
    <s v="COLUCCI                         "/>
    <s v="GIORGIA           "/>
    <s v="CLCGRG98R43L319Z"/>
    <x v="0"/>
    <s v="34"/>
    <x v="0"/>
    <s v="14/09/2023"/>
    <s v="MILANO                 "/>
    <s v="85"/>
    <x v="4"/>
    <s v="G"/>
    <x v="3"/>
    <s v="RM2"/>
    <s v="RM2 REDATTORE MAGG. 30 MM     "/>
    <s v="14/09/2023"/>
    <s v="14/09/2023"/>
    <s v="03/10/1998"/>
    <s v="A"/>
    <s v="A.IN FORZA"/>
    <s v="1  -ASSUNZIONE                1"/>
    <s v=""/>
    <s v=" "/>
    <s v=""/>
    <s v=""/>
    <n v="3091"/>
    <s v="00"/>
    <n v="100"/>
    <s v="FULL TIME      100000000FF100-FULL TIME"/>
    <s v="14/09/2023"/>
    <s v=""/>
    <s v="  "/>
    <s v=""/>
    <s v="GRR "/>
    <s v="    "/>
    <s v=""/>
    <s v=""/>
    <s v="giorgia.colucci@ilsole24ore.com                   "/>
    <s v="E"/>
    <s v="E-ESENTE"/>
    <s v="3 "/>
    <s v="3=5 X 7"/>
    <s v="01/07/2025"/>
    <s v="TEMPO DETERMINATO"/>
    <s v="31/05/2027"/>
    <s v="0015000759                    "/>
    <s v="TASSO ISABELLA"/>
    <n v="27"/>
  </r>
  <r>
    <x v="0"/>
    <n v="2148"/>
    <s v="IL SOLE 24 ORE S.P.A.                   "/>
    <s v="K           "/>
    <s v="REDAZIONI GIORNALISTICHE"/>
    <s v="K09 "/>
    <x v="39"/>
    <s v="515010      "/>
    <s v="515010   RCO+ FINANZA E MERCATI MI"/>
    <s v="CONDINA                         "/>
    <s v="CHEO              "/>
    <s v="CNDCHE77E12F205G"/>
    <x v="1"/>
    <s v="34"/>
    <x v="0"/>
    <s v="01/04/2021"/>
    <s v="MILANO                 "/>
    <s v="85"/>
    <x v="4"/>
    <s v="G"/>
    <x v="3"/>
    <s v="CSV"/>
    <s v="CSV VICE CAPO SERVIZIO        "/>
    <s v="08/11/2006"/>
    <s v="08/11/2006"/>
    <s v="12/05/1977"/>
    <s v="A"/>
    <s v="A.IN FORZA"/>
    <s v="1  -ASSUNZIONE                1"/>
    <s v=""/>
    <s v=" "/>
    <s v=""/>
    <s v=""/>
    <n v="501"/>
    <s v="00"/>
    <n v="100"/>
    <s v="FULL TIME      100000000FF100-FULL TIME"/>
    <s v="08/11/2006"/>
    <s v=""/>
    <s v="  "/>
    <s v=""/>
    <s v="GRR "/>
    <s v="    "/>
    <s v=""/>
    <s v=""/>
    <s v="cheo.condina@ilsole24ore.com                      "/>
    <s v="E"/>
    <s v="E-ESENTE"/>
    <s v="3 "/>
    <s v="3=5 X 7"/>
    <s v="01/07/2025"/>
    <s v="TEMPO DETERMINATO"/>
    <s v="31/05/2027"/>
    <s v="0015000759                    "/>
    <s v="TASSO ISABELLA"/>
    <n v="48"/>
  </r>
  <r>
    <x v="0"/>
    <n v="1954"/>
    <s v="IL SOLE 24 ORE S.P.A.                   "/>
    <s v="K           "/>
    <s v="REDAZIONI GIORNALISTICHE"/>
    <s v="K09 "/>
    <x v="39"/>
    <s v="515010      "/>
    <s v="515010   RCO+ FINANZA E MERCATI MI"/>
    <s v="DI CRISTOFARO                   "/>
    <s v="CHIARA            "/>
    <s v="DCRCHR75M61H501P"/>
    <x v="0"/>
    <s v="34"/>
    <x v="0"/>
    <s v="01/04/2021"/>
    <s v="MILANO                 "/>
    <s v="85"/>
    <x v="4"/>
    <s v="G"/>
    <x v="3"/>
    <s v="RE "/>
    <s v="RE REDATTORE ESPERTO          "/>
    <s v="01/06/2003"/>
    <s v="01/06/2003"/>
    <s v="21/08/1975"/>
    <s v="A"/>
    <s v="A.IN FORZA"/>
    <s v="1  -ASSUNZIONE                1"/>
    <s v=""/>
    <s v=" "/>
    <s v=""/>
    <s v=""/>
    <n v="399"/>
    <s v="00"/>
    <n v="100"/>
    <s v="FULL TIME      100000000FF100-FULL TIME"/>
    <s v="01/09/2023"/>
    <s v=""/>
    <s v="  "/>
    <s v=""/>
    <s v="GRR "/>
    <s v="    "/>
    <s v=""/>
    <s v="SIND.GIORN.        SINDACATO GIORNALISTI"/>
    <s v="chiara.dicristofaro@ilsole24ore.com               "/>
    <s v="E"/>
    <s v="E-ESENTE"/>
    <s v="1 "/>
    <s v="1=5 X 8"/>
    <s v="01/07/2025"/>
    <s v="TEMPO DETERMINATO"/>
    <s v="31/05/2027"/>
    <s v="0015000759                    "/>
    <s v="TASSO ISABELLA"/>
    <n v="50"/>
  </r>
  <r>
    <x v="0"/>
    <n v="3090"/>
    <s v="IL SOLE 24 ORE S.P.A.                   "/>
    <s v="K           "/>
    <s v="REDAZIONI GIORNALISTICHE"/>
    <s v="K09 "/>
    <x v="39"/>
    <s v="515010      "/>
    <s v="515010   RCO+ FINANZA E MERCATI MI"/>
    <s v="DI MICHELE                      "/>
    <s v="CHIARA            "/>
    <s v="DMCCHR79H44H501G"/>
    <x v="0"/>
    <s v="34"/>
    <x v="0"/>
    <s v="18/09/2023"/>
    <s v="MILANO                 "/>
    <s v="85"/>
    <x v="4"/>
    <s v="G"/>
    <x v="3"/>
    <s v="RM2"/>
    <s v="RM2 REDATTORE MAGG. 30 MM     "/>
    <s v="18/09/2023"/>
    <s v="18/09/2023"/>
    <s v="04/06/1979"/>
    <s v="A"/>
    <s v="A.IN FORZA"/>
    <s v="1  -ASSUNZIONE                1"/>
    <s v=""/>
    <s v=" "/>
    <s v=""/>
    <s v=""/>
    <n v="3090"/>
    <s v="00"/>
    <n v="100"/>
    <s v="FULL TIME      100000000FF100-FULL TIME"/>
    <s v="14/09/2023"/>
    <s v=""/>
    <s v="  "/>
    <s v=""/>
    <s v="GRR "/>
    <s v="    "/>
    <s v=""/>
    <s v=""/>
    <s v="chiara.dimichele@ilsole24ore.com                  "/>
    <s v="E"/>
    <s v="E-ESENTE"/>
    <s v="3 "/>
    <s v="3=5 X 7"/>
    <s v="01/07/2025"/>
    <s v="TEMPO DETERMINATO"/>
    <s v="31/05/2027"/>
    <s v="0015000759                    "/>
    <s v="TASSO ISABELLA"/>
    <n v="46"/>
  </r>
  <r>
    <x v="0"/>
    <n v="2142"/>
    <s v="IL SOLE 24 ORE S.P.A.                   "/>
    <s v="K           "/>
    <s v="REDAZIONI GIORNALISTICHE"/>
    <s v="K09 "/>
    <x v="39"/>
    <s v="515010      "/>
    <s v="515010   RCO+ FINANZA E MERCATI MI"/>
    <s v="FONTANA                         "/>
    <s v="ANDREA            "/>
    <s v="FNTNDR78M22B019V"/>
    <x v="1"/>
    <s v="31"/>
    <x v="1"/>
    <s v="01/09/2023"/>
    <s v="ROMA                   "/>
    <s v="85"/>
    <x v="4"/>
    <s v="G"/>
    <x v="3"/>
    <s v="RM2"/>
    <s v="RM2 REDATTORE MAGG. 30 MM     "/>
    <s v="23/10/2006"/>
    <s v="23/10/2006"/>
    <s v="22/08/1978"/>
    <s v="A"/>
    <s v="A.IN FORZA"/>
    <s v="1  -ASSUNZIONE                1"/>
    <s v=""/>
    <s v=" "/>
    <s v=""/>
    <s v=""/>
    <n v="498"/>
    <s v="00"/>
    <n v="100"/>
    <s v="FULL TIME      100000000FF100-FULL TIME"/>
    <s v="23/10/2006"/>
    <s v=""/>
    <s v="  "/>
    <s v=""/>
    <s v="GRR "/>
    <s v="    "/>
    <s v=""/>
    <s v="SIND.GIORN.        SINDACATO GIORNALISTI"/>
    <s v="andrea.fontana@ilsole24ore.com                    "/>
    <s v="E"/>
    <s v="E-ESENTE"/>
    <s v="3 "/>
    <s v="3=5 X 7"/>
    <s v="01/07/2025"/>
    <s v="TEMPO DETERMINATO"/>
    <s v="31/05/2027"/>
    <s v="0015000759                    "/>
    <s v="TASSO ISABELLA"/>
    <n v="47"/>
  </r>
  <r>
    <x v="0"/>
    <n v="273"/>
    <s v="IL SOLE 24 ORE S.P.A.                   "/>
    <s v="K           "/>
    <s v="REDAZIONI GIORNALISTICHE"/>
    <s v="K09 "/>
    <x v="39"/>
    <s v="515010      "/>
    <s v="515010   RCO+ FINANZA E MERCATI MI"/>
    <s v="LODI                            "/>
    <s v="MONICA            "/>
    <s v="LDOMNC62C57D969R"/>
    <x v="0"/>
    <s v="34"/>
    <x v="0"/>
    <s v="01/04/2021"/>
    <s v="MILANO                 "/>
    <s v="85"/>
    <x v="4"/>
    <s v="G"/>
    <x v="3"/>
    <s v="CS "/>
    <s v="CS CAPO SERVIZIO              "/>
    <s v="01/04/1987"/>
    <s v="01/01/1996"/>
    <s v="17/03/1962"/>
    <s v="A"/>
    <s v="A.IN FORZA"/>
    <s v="1  -ASSUNZIONE                1"/>
    <s v=""/>
    <s v=" "/>
    <s v=""/>
    <s v=""/>
    <n v="80"/>
    <s v="00"/>
    <n v="100"/>
    <s v="FULL TIME      100000000FF100-FULL TIME"/>
    <s v="01/07/2019"/>
    <s v=""/>
    <s v="  "/>
    <s v=""/>
    <s v="GRR "/>
    <s v="    "/>
    <s v=""/>
    <s v="SIND.GIORN.        SINDACATO GIORNALISTI"/>
    <s v="monica.lodi@ilsole24ore.com                       "/>
    <s v="E"/>
    <s v="E-ESENTE"/>
    <s v="2 "/>
    <s v="2=6 X 6"/>
    <s v="01/06/2026"/>
    <s v="TEMPO DETERMINATO"/>
    <s v="31/05/2027"/>
    <s v="0015000759                    "/>
    <s v="TASSO ISABELLA"/>
    <n v="63"/>
  </r>
  <r>
    <x v="0"/>
    <n v="2738"/>
    <s v="IL SOLE 24 ORE S.P.A.                   "/>
    <s v="K           "/>
    <s v="REDAZIONI GIORNALISTICHE"/>
    <s v="K09 "/>
    <x v="39"/>
    <s v="515010      "/>
    <s v="515010   RCO+ FINANZA E MERCATI MI"/>
    <s v="MARINO                          "/>
    <s v="ANNA              "/>
    <s v="MRNNNA71M45L219X"/>
    <x v="0"/>
    <s v="34"/>
    <x v="0"/>
    <s v="01/04/2021"/>
    <s v="MILANO                 "/>
    <s v="85"/>
    <x v="4"/>
    <s v="G"/>
    <x v="3"/>
    <s v="RM2"/>
    <s v="RM2 REDATTORE MAGG. 30 MM     "/>
    <s v="01/01/2014"/>
    <s v="01/03/2005"/>
    <s v="05/08/1971"/>
    <s v="A"/>
    <s v="A.IN FORZA"/>
    <s v="1  -ASSUNZIONE                1"/>
    <s v=""/>
    <s v=" "/>
    <s v=""/>
    <s v=""/>
    <n v="2738"/>
    <s v="00"/>
    <n v="100"/>
    <s v="FULL TIME      100000000FF100-FULL TIME"/>
    <s v="01/03/2005"/>
    <s v=""/>
    <s v="  "/>
    <s v=""/>
    <s v="GRR "/>
    <s v="    "/>
    <s v=""/>
    <s v="FIGEC CISAL        FIGEC CISAL"/>
    <s v="anna.marino@ilsole24ore.com                       "/>
    <s v="E"/>
    <s v="E-ESENTE"/>
    <s v="3 "/>
    <s v="3=5 X 7"/>
    <s v="01/07/2025"/>
    <s v="TEMPO DETERMINATO"/>
    <s v="31/05/2027"/>
    <s v="0015000759                    "/>
    <s v="TASSO ISABELLA"/>
    <n v="54"/>
  </r>
  <r>
    <x v="0"/>
    <n v="1506"/>
    <s v="IL SOLE 24 ORE S.P.A.                   "/>
    <s v="K           "/>
    <s v="REDAZIONI GIORNALISTICHE"/>
    <s v="K09 "/>
    <x v="39"/>
    <s v="515010      "/>
    <s v="515010   RCO+ FINANZA E MERCATI MI"/>
    <s v="MICHELI                         "/>
    <s v="ELEONORA          "/>
    <s v="MCHLNR71M59I726H"/>
    <x v="0"/>
    <s v="34"/>
    <x v="0"/>
    <s v="01/04/2021"/>
    <s v="MILANO                 "/>
    <s v="85"/>
    <x v="4"/>
    <s v="G"/>
    <x v="3"/>
    <s v="RE "/>
    <s v="RE REDATTORE ESPERTO          "/>
    <s v="20/03/2000"/>
    <s v="20/03/2000"/>
    <s v="19/08/1971"/>
    <s v="A"/>
    <s v="A.IN FORZA"/>
    <s v="1  -ASSUNZIONE                1"/>
    <s v=""/>
    <s v=" "/>
    <s v=""/>
    <s v=""/>
    <n v="308"/>
    <s v="00"/>
    <n v="100"/>
    <s v="FULL TIME      100000000FF100-FULL TIME"/>
    <s v="20/03/2000"/>
    <s v=""/>
    <s v="  "/>
    <s v=""/>
    <s v="GRR "/>
    <s v="    "/>
    <s v=""/>
    <s v="FIGEC CISAL        FIGEC CISAL"/>
    <s v="eleonora.micheli@ilsole24ore.com                  "/>
    <s v="E"/>
    <s v="E-ESENTE"/>
    <s v="3 "/>
    <s v="3=5 X 7"/>
    <s v="01/07/2025"/>
    <s v="TEMPO DETERMINATO"/>
    <s v="31/05/2027"/>
    <s v="0015000759                    "/>
    <s v="TASSO ISABELLA"/>
    <n v="54"/>
  </r>
  <r>
    <x v="0"/>
    <n v="2940"/>
    <s v="IL SOLE 24 ORE S.P.A.                   "/>
    <s v="K           "/>
    <s v="REDAZIONI GIORNALISTICHE"/>
    <s v="K09 "/>
    <x v="39"/>
    <s v="515010      "/>
    <s v="515010   RCO+ FINANZA E MERCATI MI"/>
    <s v="MIELE                           "/>
    <s v="ENRICO            "/>
    <s v="MLINRC80T19H703B"/>
    <x v="1"/>
    <s v="34"/>
    <x v="0"/>
    <s v="01/04/2021"/>
    <s v="MILANO                 "/>
    <s v="85"/>
    <x v="4"/>
    <s v="G"/>
    <x v="3"/>
    <s v="RM2"/>
    <s v="RM2 REDATTORE MAGG. 30 MM     "/>
    <s v="24/01/2018"/>
    <s v="24/01/2018"/>
    <s v="19/12/1980"/>
    <s v="A"/>
    <s v="A.IN FORZA"/>
    <s v="1  -ASSUNZIONE                1"/>
    <s v=""/>
    <s v=" "/>
    <s v=""/>
    <s v=""/>
    <n v="2940"/>
    <s v="00"/>
    <n v="100"/>
    <s v="FULL TIME      100000000FF100-FULL TIME"/>
    <s v="24/01/2018"/>
    <s v=""/>
    <s v="  "/>
    <s v=""/>
    <s v="GRR "/>
    <s v="    "/>
    <s v=""/>
    <s v=""/>
    <s v="enrico.miele@ilsole24ore.com                      "/>
    <s v="E"/>
    <s v="E-ESENTE"/>
    <s v="3 "/>
    <s v="3=5 X 7"/>
    <s v="01/07/2025"/>
    <s v="TEMPO DETERMINATO"/>
    <s v="31/05/2027"/>
    <s v="0015000759                    "/>
    <s v="TASSO ISABELLA"/>
    <n v="45"/>
  </r>
  <r>
    <x v="0"/>
    <n v="2744"/>
    <s v="IL SOLE 24 ORE S.P.A.                   "/>
    <s v="K           "/>
    <s v="REDAZIONI GIORNALISTICHE"/>
    <s v="K09 "/>
    <x v="39"/>
    <s v="515010      "/>
    <s v="515010   RCO+ FINANZA E MERCATI MI"/>
    <s v="MIGLIORATI                      "/>
    <s v="ANNA              "/>
    <s v="MGLNNA72M67B157O"/>
    <x v="0"/>
    <s v="34"/>
    <x v="0"/>
    <s v="01/04/2021"/>
    <s v="MILANO                 "/>
    <s v="85"/>
    <x v="4"/>
    <s v="G"/>
    <x v="3"/>
    <s v="CR "/>
    <s v="CR CAPO REDATTORE             "/>
    <s v="01/01/2014"/>
    <s v="23/08/1999"/>
    <s v="27/08/1972"/>
    <s v="A"/>
    <s v="A.IN FORZA"/>
    <s v="1  -ASSUNZIONE                1"/>
    <s v=""/>
    <s v=" "/>
    <s v=""/>
    <s v=""/>
    <n v="2744"/>
    <s v="00"/>
    <n v="100"/>
    <s v="FULL TIME      100000000FF100-FULL TIME"/>
    <s v="23/08/1999"/>
    <s v=""/>
    <s v="  "/>
    <s v=""/>
    <s v="GRR "/>
    <s v="    "/>
    <s v=""/>
    <s v=""/>
    <s v="anna.migliorati@radio24.it                        "/>
    <s v="E"/>
    <s v="E-ESENTE"/>
    <s v="3 "/>
    <s v="3=5 X 7"/>
    <s v="01/07/2025"/>
    <s v="TEMPO DETERMINATO"/>
    <s v="31/05/2027"/>
    <s v="0015000759                    "/>
    <s v="TASSO ISABELLA"/>
    <n v="53"/>
  </r>
  <r>
    <x v="0"/>
    <n v="2749"/>
    <s v="IL SOLE 24 ORE S.P.A.                   "/>
    <s v="K           "/>
    <s v="REDAZIONI GIORNALISTICHE"/>
    <s v="K09 "/>
    <x v="39"/>
    <s v="515010      "/>
    <s v="515010   RCO+ FINANZA E MERCATI MI"/>
    <s v="PANCERI                         "/>
    <s v="PAOLO             "/>
    <s v="PNCPLA63A24F205P"/>
    <x v="1"/>
    <s v="34"/>
    <x v="0"/>
    <s v="01/04/2021"/>
    <s v="MILANO                 "/>
    <s v="85"/>
    <x v="4"/>
    <s v="G"/>
    <x v="3"/>
    <s v="RM2"/>
    <s v="RM2 REDATTORE MAGG. 30 MM     "/>
    <s v="01/01/2014"/>
    <s v="18/09/2000"/>
    <s v="24/01/1963"/>
    <s v="A"/>
    <s v="A.IN FORZA"/>
    <s v="1  -ASSUNZIONE                1"/>
    <s v=""/>
    <s v=" "/>
    <s v=""/>
    <s v=""/>
    <n v="2749"/>
    <s v="00"/>
    <n v="100"/>
    <s v="FULL TIME      100000000FF100-FULL TIME"/>
    <s v="18/09/2000"/>
    <s v=""/>
    <s v="  "/>
    <s v=""/>
    <s v="GN  "/>
    <s v="    "/>
    <s v=""/>
    <s v="SIND.GIORN.        SINDACATO GIORNALISTI"/>
    <s v="paolo.panceri@ilsole24ore.com                     "/>
    <s v="E"/>
    <s v="E-ESENTE"/>
    <s v="3 "/>
    <s v="3=5 X 7"/>
    <s v="01/07/2025"/>
    <s v="TEMPO DETERMINATO"/>
    <s v="31/05/2027"/>
    <s v="0015000759                    "/>
    <s v="TASSO ISABELLA"/>
    <n v="63"/>
  </r>
  <r>
    <x v="0"/>
    <n v="2164"/>
    <s v="IL SOLE 24 ORE S.P.A.                   "/>
    <s v="K           "/>
    <s v="REDAZIONI GIORNALISTICHE"/>
    <s v="K09 "/>
    <x v="39"/>
    <s v="515010      "/>
    <s v="515010   RCO+ FINANZA E MERCATI MI"/>
    <s v="PARONETTO                       "/>
    <s v="PAOLO             "/>
    <s v="PRNPLA79L05M172W"/>
    <x v="1"/>
    <s v="34"/>
    <x v="0"/>
    <s v="01/04/2021"/>
    <s v="MILANO                 "/>
    <s v="85"/>
    <x v="4"/>
    <s v="G"/>
    <x v="3"/>
    <s v="RM2"/>
    <s v="RM2 REDATTORE MAGG. 30 MM     "/>
    <s v="01/02/2007"/>
    <s v="01/02/2007"/>
    <s v="05/07/1979"/>
    <s v="A"/>
    <s v="A.IN FORZA"/>
    <s v="1  -ASSUNZIONE                1"/>
    <s v=""/>
    <s v=" "/>
    <s v=""/>
    <s v=""/>
    <n v="506"/>
    <s v="00"/>
    <n v="100"/>
    <s v="FULL TIME      100000000FF100-FULL TIME"/>
    <s v="01/02/2007"/>
    <s v=""/>
    <s v="  "/>
    <s v=""/>
    <s v="GRR "/>
    <s v="    "/>
    <s v=""/>
    <s v="SIND.GIORN.        SINDACATO GIORNALISTI"/>
    <s v="paolo.paronetto@ilsole24ore.com                   "/>
    <s v="E"/>
    <s v="E-ESENTE"/>
    <s v="3 "/>
    <s v="3=5 X 7"/>
    <s v="01/07/2025"/>
    <s v="TEMPO DETERMINATO"/>
    <s v="31/05/2027"/>
    <s v="0015000759                    "/>
    <s v="TASSO ISABELLA"/>
    <n v="46"/>
  </r>
  <r>
    <x v="0"/>
    <n v="2147"/>
    <s v="IL SOLE 24 ORE S.P.A.                   "/>
    <s v="K           "/>
    <s v="REDAZIONI GIORNALISTICHE"/>
    <s v="K09 "/>
    <x v="39"/>
    <s v="515010      "/>
    <s v="515010   RCO+ FINANZA E MERCATI MI"/>
    <s v="POGGI                           "/>
    <s v="CORRADO GIOVANNI  "/>
    <s v="PGGCRD66H24F205F"/>
    <x v="1"/>
    <s v="34"/>
    <x v="0"/>
    <s v="01/04/2021"/>
    <s v="MILANO                 "/>
    <s v="85"/>
    <x v="4"/>
    <s v="G"/>
    <x v="3"/>
    <s v="RM2"/>
    <s v="RM2 REDATTORE MAGG. 30 MM     "/>
    <s v="07/11/2006"/>
    <s v="07/11/2006"/>
    <s v="24/06/1966"/>
    <s v="A"/>
    <s v="A.IN FORZA"/>
    <s v="1  -ASSUNZIONE                1"/>
    <s v=""/>
    <s v=" "/>
    <s v=""/>
    <s v=""/>
    <n v="500"/>
    <s v="00"/>
    <n v="100"/>
    <s v="FULL TIME      100000000FF100-FULL TIME"/>
    <s v="07/11/2006"/>
    <s v=""/>
    <s v="  "/>
    <s v=""/>
    <s v="GRR "/>
    <s v="    "/>
    <s v=""/>
    <s v=""/>
    <s v="corrado.poggi@ilsole24ore.com                     "/>
    <s v="E"/>
    <s v="E-ESENTE"/>
    <s v="3 "/>
    <s v="3=5 X 7"/>
    <s v="01/07/2025"/>
    <s v="TEMPO DETERMINATO"/>
    <s v="31/05/2027"/>
    <s v="0015000759                    "/>
    <s v="TASSO ISABELLA"/>
    <n v="59"/>
  </r>
  <r>
    <x v="0"/>
    <n v="1688"/>
    <s v="IL SOLE 24 ORE S.P.A.                   "/>
    <s v="K           "/>
    <s v="REDAZIONI GIORNALISTICHE"/>
    <s v="K09 "/>
    <x v="39"/>
    <s v="515010      "/>
    <s v="515010   RCO+ FINANZA E MERCATI MI"/>
    <s v="POLLICE                         "/>
    <s v="DARIO             "/>
    <s v="PLLDRA68A16F205O"/>
    <x v="1"/>
    <s v="34"/>
    <x v="0"/>
    <s v="01/04/2021"/>
    <s v="MILANO                 "/>
    <s v="85"/>
    <x v="4"/>
    <s v="G"/>
    <x v="3"/>
    <s v="CS "/>
    <s v="CS CAPO SERVIZIO              "/>
    <s v="11/12/2000"/>
    <s v="11/12/2000"/>
    <s v="16/01/1968"/>
    <s v="A"/>
    <s v="A.IN FORZA"/>
    <s v="1  -ASSUNZIONE                1"/>
    <s v=""/>
    <s v=" "/>
    <s v=""/>
    <s v=""/>
    <n v="327"/>
    <s v="00"/>
    <n v="100"/>
    <s v="FULL TIME      100000000FF100-FULL TIME"/>
    <s v="11/12/2000"/>
    <s v=""/>
    <s v="  "/>
    <s v=""/>
    <s v="GRR "/>
    <s v="    "/>
    <s v=""/>
    <s v="SIND.GIORN.        SINDACATO GIORNALISTI"/>
    <s v="dario.pollice@ilsole24ore.com                     "/>
    <s v="E"/>
    <s v="E-ESENTE"/>
    <s v="2 "/>
    <s v="2=6 X 6"/>
    <s v="01/07/2025"/>
    <s v="TEMPO DETERMINATO"/>
    <s v="31/05/2027"/>
    <s v="0015000759                    "/>
    <s v="TASSO ISABELLA"/>
    <n v="58"/>
  </r>
  <r>
    <x v="0"/>
    <n v="3093"/>
    <s v="IL SOLE 24 ORE S.P.A.                   "/>
    <s v="K           "/>
    <s v="REDAZIONI GIORNALISTICHE"/>
    <s v="K09 "/>
    <x v="39"/>
    <s v="515010      "/>
    <s v="515010   RCO+ FINANZA E MERCATI MI"/>
    <s v="SOLIGO                          "/>
    <s v="MARTINA           "/>
    <s v="SLGMTN93S50L407A"/>
    <x v="0"/>
    <s v="34"/>
    <x v="0"/>
    <s v="18/09/2023"/>
    <s v="MILANO                 "/>
    <s v="85"/>
    <x v="4"/>
    <s v="G"/>
    <x v="3"/>
    <s v="RM2"/>
    <s v="RM2 REDATTORE MAGG. 30 MM     "/>
    <s v="18/09/2023"/>
    <s v="18/09/2023"/>
    <s v="10/11/1993"/>
    <s v="A"/>
    <s v="A.IN FORZA"/>
    <s v="1  -ASSUNZIONE                1"/>
    <s v=""/>
    <s v=" "/>
    <s v=""/>
    <s v=""/>
    <n v="3093"/>
    <s v="00"/>
    <n v="100"/>
    <s v="FULL TIME      100000000FF100-FULL TIME"/>
    <s v="18/09/2023"/>
    <s v=""/>
    <s v="  "/>
    <s v=""/>
    <s v="GRR "/>
    <s v="    "/>
    <s v=""/>
    <s v=""/>
    <s v="martina.soligo@ilsole24ore.com                    "/>
    <s v="E"/>
    <s v="E-ESENTE"/>
    <s v="3 "/>
    <s v="3=5 X 7"/>
    <s v="01/07/2025"/>
    <s v="TEMPO DETERMINATO"/>
    <s v="31/05/2027"/>
    <s v="0015000759                    "/>
    <s v="TASSO ISABELLA"/>
    <n v="32"/>
  </r>
  <r>
    <x v="0"/>
    <n v="759"/>
    <s v="IL SOLE 24 ORE S.P.A.                   "/>
    <s v="K           "/>
    <s v="REDAZIONI GIORNALISTICHE"/>
    <s v="K09 "/>
    <x v="39"/>
    <s v="515010      "/>
    <s v="515010   RCO+ FINANZA E MERCATI MI"/>
    <s v="TASSO                           "/>
    <s v="ISABELLA          "/>
    <s v="TSSSLL67M50F205Q"/>
    <x v="0"/>
    <s v="34"/>
    <x v="0"/>
    <s v="01/04/2021"/>
    <s v="MILANO                 "/>
    <s v="85"/>
    <x v="4"/>
    <s v="G"/>
    <x v="3"/>
    <s v="CR "/>
    <s v="CR CAPO REDATTORE             "/>
    <s v="05/04/1994"/>
    <s v="01/01/1996"/>
    <s v="10/08/1967"/>
    <s v="A"/>
    <s v="A.IN FORZA"/>
    <s v="1  -ASSUNZIONE                1"/>
    <s v=""/>
    <s v=" "/>
    <s v=""/>
    <s v=""/>
    <n v="192"/>
    <s v="00"/>
    <n v="100"/>
    <s v="FULL TIME      100000000FF100-FULL TIME"/>
    <s v="05/04/1994"/>
    <s v=""/>
    <s v="  "/>
    <s v=""/>
    <s v="GRR "/>
    <s v="    "/>
    <s v=""/>
    <s v="SIND.GIORN.        SINDACATO GIORNALISTI"/>
    <s v="isabella.tasso@ilsole24ore.com                    "/>
    <s v="E"/>
    <s v="E-ESENTE"/>
    <s v="2 "/>
    <s v="2=6 X 6"/>
    <s v="01/07/2025"/>
    <s v="TEMPO DETERMINATO"/>
    <s v="31/05/2027"/>
    <s v="0015003107                    "/>
    <s v=""/>
    <n v="58"/>
  </r>
  <r>
    <x v="0"/>
    <n v="3156"/>
    <s v="IL SOLE 24 ORE S.P.A.                   "/>
    <s v="K           "/>
    <s v="REDAZIONI GIORNALISTICHE"/>
    <s v="K09 "/>
    <x v="39"/>
    <s v="515010      "/>
    <s v="515010   RCO+ FINANZA E MERCATI MI"/>
    <s v="TORNEO                          "/>
    <s v="IVAN              "/>
    <s v="TRNVNI94A01I754J"/>
    <x v="1"/>
    <s v="34"/>
    <x v="0"/>
    <s v="21/07/2025"/>
    <s v="MILANO                 "/>
    <s v="85"/>
    <x v="4"/>
    <s v="G"/>
    <x v="3"/>
    <s v="RP2"/>
    <s v="RP2 REDATTORE MINORE 30 MM    "/>
    <s v="21/07/2025"/>
    <s v="21/07/2025"/>
    <s v="01/01/1994"/>
    <s v="A"/>
    <s v="A.IN FORZA"/>
    <s v="1  -ASSUNZIONE                1"/>
    <s v=""/>
    <s v=" "/>
    <s v=""/>
    <s v=""/>
    <n v="3156"/>
    <s v="00"/>
    <n v="100"/>
    <s v="FULL TIME      100000000FF100-FULL TIME"/>
    <s v="21/07/2025"/>
    <s v=""/>
    <s v="  "/>
    <s v=""/>
    <s v="GRR "/>
    <s v="    "/>
    <s v=""/>
    <s v=""/>
    <s v="ivan.torneo@ilsole24ore.com                       "/>
    <s v="E"/>
    <s v="E-ESENTE"/>
    <s v="3 "/>
    <s v="3=5 X 7"/>
    <s v="01/08/2025"/>
    <s v="TEMPO DETERMINATO"/>
    <s v="31/05/2027"/>
    <s v="0015000759                    "/>
    <s v="TASSO ISABELLA"/>
    <n v="32"/>
  </r>
  <r>
    <x v="0"/>
    <n v="1795"/>
    <s v="IL SOLE 24 ORE S.P.A.                   "/>
    <s v="K           "/>
    <s v="REDAZIONI GIORNALISTICHE"/>
    <s v="K09 "/>
    <x v="39"/>
    <s v="515020      "/>
    <s v="515020   RCO+ FINANZA E MERCATI RM"/>
    <s v="BONANNI                         "/>
    <s v="FABIO             "/>
    <s v="BNNFBA61L21H501C"/>
    <x v="1"/>
    <s v="31"/>
    <x v="1"/>
    <s v="01/06/2009"/>
    <s v="ROMA                   "/>
    <s v="85"/>
    <x v="4"/>
    <s v="G"/>
    <x v="3"/>
    <s v="RM2"/>
    <s v="RM2 REDATTORE MAGG. 30 MM     "/>
    <s v="03/12/2001"/>
    <s v="03/12/2001"/>
    <s v="21/07/1961"/>
    <s v="A"/>
    <s v="A.IN FORZA"/>
    <s v="1  -ASSUNZIONE                1"/>
    <s v=""/>
    <s v=" "/>
    <s v=""/>
    <s v=""/>
    <n v="355"/>
    <s v="00"/>
    <n v="100"/>
    <s v="FULL TIME      100000000FF100-FULL TIME"/>
    <s v="03/12/2001"/>
    <s v=""/>
    <s v="  "/>
    <s v=""/>
    <s v="GRR "/>
    <s v="    "/>
    <s v=""/>
    <s v="SIND.GIORN.        SINDACATO GIORNALISTI"/>
    <s v="fabio.bonanni@ilsole24ore.com                     "/>
    <s v="E"/>
    <s v="E-ESENTE"/>
    <s v="3 "/>
    <s v="3=5 X 7"/>
    <s v="01/07/2025"/>
    <s v="TEMPO DETERMINATO"/>
    <s v="31/05/2027"/>
    <s v="0015001708                    "/>
    <s v="LUPOI MASSIMO"/>
    <n v="64"/>
  </r>
  <r>
    <x v="0"/>
    <n v="1899"/>
    <s v="IL SOLE 24 ORE S.P.A.                   "/>
    <s v="K           "/>
    <s v="REDAZIONI GIORNALISTICHE"/>
    <s v="K09 "/>
    <x v="39"/>
    <s v="515020      "/>
    <s v="515020   RCO+ FINANZA E MERCATI RM"/>
    <s v="BONOMI                          "/>
    <s v="BARBARA           "/>
    <s v="BNMBBR72C56H282O"/>
    <x v="0"/>
    <s v="31"/>
    <x v="1"/>
    <s v="01/06/2009"/>
    <s v="ROMA                   "/>
    <s v="85"/>
    <x v="4"/>
    <s v="G"/>
    <x v="3"/>
    <s v="RM2"/>
    <s v="RM2 REDATTORE MAGG. 30 MM     "/>
    <s v="20/06/2002"/>
    <s v="20/06/2002"/>
    <s v="16/03/1972"/>
    <s v="A"/>
    <s v="A.IN FORZA"/>
    <s v="1  -ASSUNZIONE                1"/>
    <s v=""/>
    <s v=" "/>
    <s v=""/>
    <s v=""/>
    <n v="367"/>
    <s v="00"/>
    <n v="100"/>
    <s v="FULL TIME      100000000FF100-FULL TIME"/>
    <s v="01/11/2014"/>
    <s v=""/>
    <s v="  "/>
    <s v=""/>
    <s v="GRR "/>
    <s v="    "/>
    <s v=""/>
    <s v=""/>
    <s v="barbara.bonomi@ilsole24ore.com                    "/>
    <s v="E"/>
    <s v="E-ESENTE"/>
    <s v="3 "/>
    <s v="3=5 X 7"/>
    <s v="01/07/2025"/>
    <s v="TEMPO DETERMINATO"/>
    <s v="31/05/2027"/>
    <s v="0015001708                    "/>
    <s v="LUPOI MASSIMO"/>
    <n v="53"/>
  </r>
  <r>
    <x v="0"/>
    <n v="1865"/>
    <s v="IL SOLE 24 ORE S.P.A.                   "/>
    <s v="K           "/>
    <s v="REDAZIONI GIORNALISTICHE"/>
    <s v="K09 "/>
    <x v="39"/>
    <s v="515020      "/>
    <s v="515020   RCO+ FINANZA E MERCATI RM"/>
    <s v="CAPOZZI                         "/>
    <s v="ALESSANDRA        "/>
    <s v="CPZLSN69P67H501T"/>
    <x v="0"/>
    <s v="31"/>
    <x v="1"/>
    <s v="01/06/2009"/>
    <s v="ROMA                   "/>
    <s v="85"/>
    <x v="4"/>
    <s v="G"/>
    <x v="3"/>
    <s v="CSV"/>
    <s v="CSV VICE CAPO SERVIZIO        "/>
    <s v="01/02/2002"/>
    <s v="01/02/2002"/>
    <s v="27/09/1969"/>
    <s v="A"/>
    <s v="A.IN FORZA"/>
    <s v="1  -ASSUNZIONE                1"/>
    <s v=""/>
    <s v=" "/>
    <s v=""/>
    <s v=""/>
    <n v="360"/>
    <s v="00"/>
    <n v="100"/>
    <s v="FULL TIME      100000000FF100-FULL TIME"/>
    <s v="01/02/2002"/>
    <s v=""/>
    <s v="  "/>
    <s v=""/>
    <s v="GRR "/>
    <s v="    "/>
    <s v=""/>
    <s v="SIND.GIORN.        SINDACATO GIORNALISTI"/>
    <s v="alessandra.capozzi@ilsole24ore.com                "/>
    <s v="E"/>
    <s v="E-ESENTE"/>
    <s v="3 "/>
    <s v="3=5 X 7"/>
    <s v="01/07/2025"/>
    <s v="TEMPO DETERMINATO"/>
    <s v="31/05/2027"/>
    <s v="0015001708                    "/>
    <s v="LUPOI MASSIMO"/>
    <n v="56"/>
  </r>
  <r>
    <x v="0"/>
    <n v="2143"/>
    <s v="IL SOLE 24 ORE S.P.A.                   "/>
    <s v="K           "/>
    <s v="REDAZIONI GIORNALISTICHE"/>
    <s v="K09 "/>
    <x v="39"/>
    <s v="515020      "/>
    <s v="515020   RCO+ FINANZA E MERCATI RM"/>
    <s v="CARLETTI                        "/>
    <s v="FLAVIA            "/>
    <s v="CRLFLV78B50H501D"/>
    <x v="0"/>
    <s v="31"/>
    <x v="1"/>
    <s v="16/10/2023"/>
    <s v="ROMA                   "/>
    <s v="85"/>
    <x v="4"/>
    <s v="G"/>
    <x v="3"/>
    <s v="RM2"/>
    <s v="RM2 REDATTORE MAGG. 30 MM     "/>
    <s v="23/10/2006"/>
    <s v="23/10/2006"/>
    <s v="10/02/1978"/>
    <s v="A"/>
    <s v="A.IN FORZA"/>
    <s v="1  -ASSUNZIONE                1"/>
    <s v=""/>
    <s v=" "/>
    <s v=""/>
    <s v=""/>
    <n v="499"/>
    <s v="00"/>
    <n v="100"/>
    <s v="FULL TIME      100000000FF100-FULL TIME"/>
    <s v="23/10/2006"/>
    <s v=""/>
    <s v="  "/>
    <s v=""/>
    <s v="GRR "/>
    <s v="    "/>
    <s v=""/>
    <s v=""/>
    <s v="flavia.carletti@ilsole24ore.com                   "/>
    <s v="E"/>
    <s v="E-ESENTE"/>
    <s v="3 "/>
    <s v="3=5 X 7"/>
    <s v="01/07/2025"/>
    <s v="TEMPO DETERMINATO"/>
    <s v="31/05/2027"/>
    <s v="0015000759                    "/>
    <s v="TASSO ISABELLA"/>
    <n v="47"/>
  </r>
  <r>
    <x v="0"/>
    <n v="1707"/>
    <s v="IL SOLE 24 ORE S.P.A.                   "/>
    <s v="K           "/>
    <s v="REDAZIONI GIORNALISTICHE"/>
    <s v="K09 "/>
    <x v="39"/>
    <s v="515020      "/>
    <s v="515020   RCO+ FINANZA E MERCATI RM"/>
    <s v="CELIO                           "/>
    <s v="CLAUDIO           "/>
    <s v="CLECLD74H24H501Z"/>
    <x v="1"/>
    <s v="31"/>
    <x v="1"/>
    <s v="01/06/2009"/>
    <s v="ROMA                   "/>
    <s v="85"/>
    <x v="4"/>
    <s v="G"/>
    <x v="3"/>
    <s v="RM2"/>
    <s v="RM2 REDATTORE MAGG. 30 MM     "/>
    <s v="01/01/2001"/>
    <s v="01/01/2001"/>
    <s v="24/06/1974"/>
    <s v="A"/>
    <s v="A.IN FORZA"/>
    <s v="1  -ASSUNZIONE                1"/>
    <s v=""/>
    <s v=" "/>
    <s v=""/>
    <s v=""/>
    <n v="328"/>
    <s v="00"/>
    <n v="100"/>
    <s v="FULL TIME      100000000FF100-FULL TIME"/>
    <s v="01/01/2001"/>
    <s v=""/>
    <s v="  "/>
    <s v=""/>
    <s v="GRR "/>
    <s v="    "/>
    <s v=""/>
    <s v=""/>
    <s v="claudio.celio@ilsole24ore.com                     "/>
    <s v="E"/>
    <s v="E-ESENTE"/>
    <s v="2 "/>
    <s v="2=6 X 6"/>
    <s v="01/07/2025"/>
    <s v="TEMPO DETERMINATO"/>
    <s v="31/05/2027"/>
    <s v="0015001708                    "/>
    <s v="LUPOI MASSIMO"/>
    <n v="51"/>
  </r>
  <r>
    <x v="0"/>
    <n v="2139"/>
    <s v="IL SOLE 24 ORE S.P.A.                   "/>
    <s v="K           "/>
    <s v="REDAZIONI GIORNALISTICHE"/>
    <s v="K09 "/>
    <x v="39"/>
    <s v="515020      "/>
    <s v="515020   RCO+ FINANZA E MERCATI RM"/>
    <s v="FILIPPONE                       "/>
    <s v="NICOLA            "/>
    <s v="FLPNCL78R01F839H"/>
    <x v="1"/>
    <s v="31"/>
    <x v="1"/>
    <s v="01/12/2010"/>
    <s v="ROMA                   "/>
    <s v="85"/>
    <x v="4"/>
    <s v="G"/>
    <x v="3"/>
    <s v="RM2"/>
    <s v="RM2 REDATTORE MAGG. 30 MM     "/>
    <s v="23/10/2006"/>
    <s v="23/10/2006"/>
    <s v="01/10/1978"/>
    <s v="A"/>
    <s v="A.IN FORZA"/>
    <s v="1  -ASSUNZIONE                1"/>
    <s v=""/>
    <s v=" "/>
    <s v=""/>
    <s v=""/>
    <n v="495"/>
    <s v="00"/>
    <n v="100"/>
    <s v="FULL TIME      100000000FF100-FULL TIME"/>
    <s v="23/10/2006"/>
    <s v=""/>
    <s v="  "/>
    <s v=""/>
    <s v="GRR "/>
    <s v="    "/>
    <s v=""/>
    <s v=""/>
    <s v="nicola.filippone@ilsole24ore.com                  "/>
    <s v="E"/>
    <s v="E-ESENTE"/>
    <s v="3 "/>
    <s v="3=5 X 7"/>
    <s v="01/07/2025"/>
    <s v="TEMPO DETERMINATO"/>
    <s v="31/05/2027"/>
    <s v="0015001708                    "/>
    <s v="LUPOI MASSIMO"/>
    <n v="47"/>
  </r>
  <r>
    <x v="0"/>
    <n v="601"/>
    <s v="IL SOLE 24 ORE S.P.A.                   "/>
    <s v="K           "/>
    <s v="REDAZIONI GIORNALISTICHE"/>
    <s v="K09 "/>
    <x v="39"/>
    <s v="515020      "/>
    <s v="515020   RCO+ FINANZA E MERCATI RM"/>
    <s v="GRAZIOLA                        "/>
    <s v="GERARDO           "/>
    <s v="GRZGRD62T20H501W"/>
    <x v="1"/>
    <s v="31"/>
    <x v="1"/>
    <s v="01/06/2009"/>
    <s v="ROMA                   "/>
    <s v="85"/>
    <x v="4"/>
    <s v="G"/>
    <x v="3"/>
    <s v="CSR"/>
    <s v="CSR REDATTORE SENIOR          "/>
    <s v="16/01/1992"/>
    <s v="01/01/1996"/>
    <s v="20/12/1962"/>
    <s v="A"/>
    <s v="A.IN FORZA"/>
    <s v="1  -ASSUNZIONE                1"/>
    <s v=""/>
    <s v=" "/>
    <s v=""/>
    <s v=""/>
    <n v="172"/>
    <s v="00"/>
    <n v="100"/>
    <s v="FULL TIME      100000000FF100-FULL TIME"/>
    <s v="16/01/1992"/>
    <s v=""/>
    <s v="  "/>
    <s v=""/>
    <s v="GRR "/>
    <s v="    "/>
    <s v=""/>
    <s v=""/>
    <s v="gerardo.graziola@ilsole24ore.com                  "/>
    <s v="E"/>
    <s v="E-ESENTE"/>
    <s v="2 "/>
    <s v="2=6 X 6"/>
    <s v="01/07/2025"/>
    <s v="TEMPO DETERMINATO"/>
    <s v="31/05/2027"/>
    <s v="0015001708                    "/>
    <s v="LUPOI MASSIMO"/>
    <n v="63"/>
  </r>
  <r>
    <x v="0"/>
    <n v="1708"/>
    <s v="IL SOLE 24 ORE S.P.A.                   "/>
    <s v="K           "/>
    <s v="REDAZIONI GIORNALISTICHE"/>
    <s v="K09 "/>
    <x v="39"/>
    <s v="515020      "/>
    <s v="515020   RCO+ FINANZA E MERCATI RM"/>
    <s v="LUPOI                           "/>
    <s v="MASSIMO           "/>
    <s v="LPUMSM71D25H224E"/>
    <x v="1"/>
    <s v="31"/>
    <x v="1"/>
    <s v="01/06/2009"/>
    <s v="ROMA                   "/>
    <s v="85"/>
    <x v="4"/>
    <s v="G"/>
    <x v="3"/>
    <s v="CR "/>
    <s v="CR CAPO REDATTORE             "/>
    <s v="01/01/2001"/>
    <s v="01/01/2001"/>
    <s v="25/04/1971"/>
    <s v="A"/>
    <s v="A.IN FORZA"/>
    <s v="1  -ASSUNZIONE                1"/>
    <s v=""/>
    <s v=" "/>
    <s v=""/>
    <s v=""/>
    <n v="329"/>
    <s v="00"/>
    <n v="100"/>
    <s v="FULL TIME      100000000FF100-FULL TIME"/>
    <s v="01/01/2001"/>
    <s v=""/>
    <s v="  "/>
    <s v=""/>
    <s v="GRR "/>
    <s v="    "/>
    <s v=""/>
    <s v=""/>
    <s v="massimo.lupoi@ilsole24ore.com                     "/>
    <s v="E"/>
    <s v="E-ESENTE"/>
    <s v="2 "/>
    <s v="2=6 X 6"/>
    <s v="01/07/2025"/>
    <s v="TEMPO DETERMINATO"/>
    <s v="31/05/2027"/>
    <s v="0015003107                    "/>
    <s v=""/>
    <n v="54"/>
  </r>
  <r>
    <x v="0"/>
    <n v="1265"/>
    <s v="IL SOLE 24 ORE S.P.A.                   "/>
    <s v="K           "/>
    <s v="REDAZIONI GIORNALISTICHE"/>
    <s v="K09 "/>
    <x v="39"/>
    <s v="515020      "/>
    <s v="515020   RCO+ FINANZA E MERCATI RM"/>
    <s v="MARINARO                        "/>
    <s v="ANTONIO           "/>
    <s v="MRNNTN74L30H501O"/>
    <x v="1"/>
    <s v="31"/>
    <x v="1"/>
    <s v="01/06/2009"/>
    <s v="ROMA                   "/>
    <s v="85"/>
    <x v="4"/>
    <s v="G"/>
    <x v="3"/>
    <s v="CSV"/>
    <s v="CSV VICE CAPO SERVIZIO        "/>
    <s v="01/07/1999"/>
    <s v="01/07/1999"/>
    <s v="30/07/1974"/>
    <s v="A"/>
    <s v="A.IN FORZA"/>
    <s v="1  -ASSUNZIONE                1"/>
    <s v=""/>
    <s v=" "/>
    <s v=""/>
    <s v=""/>
    <n v="267"/>
    <s v="00"/>
    <n v="100"/>
    <s v="FULL TIME      100000000FF100-FULL TIME"/>
    <s v="01/07/1999"/>
    <s v=""/>
    <s v="  "/>
    <s v=""/>
    <s v="GRR "/>
    <s v="    "/>
    <s v=""/>
    <s v=""/>
    <s v="marcello.marinaro@ilsole24ore.com                 "/>
    <s v="E"/>
    <s v="E-ESENTE"/>
    <s v="2 "/>
    <s v="2=6 X 6"/>
    <s v="01/07/2025"/>
    <s v="TEMPO DETERMINATO"/>
    <s v="31/05/2027"/>
    <s v="0015001708                    "/>
    <s v="LUPOI MASSIMO"/>
    <n v="51"/>
  </r>
  <r>
    <x v="0"/>
    <n v="2743"/>
    <s v="IL SOLE 24 ORE S.P.A.                   "/>
    <s v="K           "/>
    <s v="REDAZIONI GIORNALISTICHE"/>
    <s v="K09 "/>
    <x v="39"/>
    <s v="515020      "/>
    <s v="515020   RCO+ FINANZA E MERCATI RM"/>
    <s v="MIGLIETTA                       "/>
    <s v="VINCENZO          "/>
    <s v="MGLVCN67D25H501B"/>
    <x v="1"/>
    <s v="31"/>
    <x v="1"/>
    <s v="01/06/2009"/>
    <s v="ROMA                   "/>
    <s v="85"/>
    <x v="4"/>
    <s v="G"/>
    <x v="3"/>
    <s v="CR "/>
    <s v="CR CAPO REDATTORE             "/>
    <s v="01/01/2014"/>
    <s v="26/10/1999"/>
    <s v="25/04/1967"/>
    <s v="A"/>
    <s v="A.IN FORZA"/>
    <s v="1  -ASSUNZIONE                1"/>
    <s v=""/>
    <s v=" "/>
    <s v=""/>
    <s v=""/>
    <n v="2743"/>
    <s v="00"/>
    <n v="100"/>
    <s v="FULL TIME      100000000FF100-FULL TIME"/>
    <s v="26/10/1999"/>
    <s v=""/>
    <s v="  "/>
    <s v=""/>
    <s v="GRR "/>
    <s v="    "/>
    <s v=""/>
    <s v=""/>
    <s v="vincenzo.miglietta@ilsole24ore.com                "/>
    <s v="E"/>
    <s v="E-ESENTE"/>
    <s v="3 "/>
    <s v="3=5 X 7"/>
    <s v="01/07/2025"/>
    <s v="TEMPO DETERMINATO"/>
    <s v="31/05/2027"/>
    <s v="0015001708                    "/>
    <s v="LUPOI MASSIMO"/>
    <n v="58"/>
  </r>
  <r>
    <x v="0"/>
    <n v="1266"/>
    <s v="IL SOLE 24 ORE S.P.A.                   "/>
    <s v="K           "/>
    <s v="REDAZIONI GIORNALISTICHE"/>
    <s v="K09 "/>
    <x v="39"/>
    <s v="515020      "/>
    <s v="515020   RCO+ FINANZA E MERCATI RM"/>
    <s v="NEPITELLI                       "/>
    <s v="BARBARA           "/>
    <s v="NPTBBR65D64H501Z"/>
    <x v="0"/>
    <s v="31"/>
    <x v="1"/>
    <s v="01/06/2009"/>
    <s v="ROMA                   "/>
    <s v="85"/>
    <x v="4"/>
    <s v="G"/>
    <x v="3"/>
    <s v="RM2"/>
    <s v="RM2 REDATTORE MAGG. 30 MM     "/>
    <s v="01/07/1999"/>
    <s v="01/07/1999"/>
    <s v="24/04/1965"/>
    <s v="A"/>
    <s v="A.IN FORZA"/>
    <s v="1  -ASSUNZIONE                1"/>
    <s v=""/>
    <s v=" "/>
    <s v=""/>
    <s v=""/>
    <n v="268"/>
    <s v="00"/>
    <n v="100"/>
    <s v="FULL TIME      100000000FF100-FULL TIME"/>
    <s v="01/07/1999"/>
    <s v=""/>
    <s v="  "/>
    <s v=""/>
    <s v="GRR "/>
    <s v="    "/>
    <s v=""/>
    <s v="SIND.GIORN.        SINDACATO GIORNALISTI"/>
    <s v="barbara.nepitelli@ilsole24ore.com                 "/>
    <s v="E"/>
    <s v="E-ESENTE"/>
    <s v="2 "/>
    <s v="2=6 X 6"/>
    <s v="01/07/2025"/>
    <s v="TEMPO DETERMINATO"/>
    <s v="31/05/2027"/>
    <s v="0015001708                    "/>
    <s v="LUPOI MASSIMO"/>
    <n v="60"/>
  </r>
  <r>
    <x v="0"/>
    <n v="2117"/>
    <s v="IL SOLE 24 ORE S.P.A.                   "/>
    <s v="K           "/>
    <s v="REDAZIONI GIORNALISTICHE"/>
    <s v="K09 "/>
    <x v="39"/>
    <s v="515020      "/>
    <s v="515020   RCO+ FINANZA E MERCATI RM"/>
    <s v="ROSSITTO                        "/>
    <s v="SIMONA            "/>
    <s v="RSSSMN75A51C351Z"/>
    <x v="0"/>
    <s v="31"/>
    <x v="1"/>
    <s v="01/06/2009"/>
    <s v="ROMA                   "/>
    <s v="85"/>
    <x v="4"/>
    <s v="G"/>
    <x v="3"/>
    <s v="RE "/>
    <s v="RE REDATTORE ESPERTO          "/>
    <s v="10/07/2006"/>
    <s v="10/07/2006"/>
    <s v="11/01/1975"/>
    <s v="A"/>
    <s v="A.IN FORZA"/>
    <s v="1  -ASSUNZIONE                1"/>
    <s v=""/>
    <s v=" "/>
    <s v=""/>
    <s v=""/>
    <n v="487"/>
    <s v="00"/>
    <n v="100"/>
    <s v="FULL TIME      100000000FF100-FULL TIME"/>
    <s v="10/07/2006"/>
    <s v=""/>
    <s v="  "/>
    <s v=""/>
    <s v="GRR "/>
    <s v="    "/>
    <s v=""/>
    <s v=""/>
    <s v="simona.rossitto@ilsole24ore.com                   "/>
    <s v="E"/>
    <s v="E-ESENTE"/>
    <s v="3 "/>
    <s v="3=5 X 7"/>
    <s v="01/07/2025"/>
    <s v="TEMPO DETERMINATO"/>
    <s v="31/05/2027"/>
    <s v="0015001708                    "/>
    <s v="LUPOI MASSIMO"/>
    <n v="51"/>
  </r>
  <r>
    <x v="0"/>
    <n v="1472"/>
    <s v="IL SOLE 24 ORE S.P.A.                   "/>
    <s v="K           "/>
    <s v="REDAZIONI GIORNALISTICHE"/>
    <s v="K09 "/>
    <x v="39"/>
    <s v="515020      "/>
    <s v="515020   RCO+ FINANZA E MERCATI RM"/>
    <s v="SALOMONE                        "/>
    <s v="ANDREA            "/>
    <s v="SLMNDR71E22H501C"/>
    <x v="1"/>
    <s v="31"/>
    <x v="1"/>
    <s v="01/06/2009"/>
    <s v="ROMA                   "/>
    <s v="85"/>
    <x v="4"/>
    <s v="G"/>
    <x v="3"/>
    <s v="CSV"/>
    <s v="CSV VICE CAPO SERVIZIO        "/>
    <s v="01/02/2000"/>
    <s v="01/02/2000"/>
    <s v="22/05/1971"/>
    <s v="A"/>
    <s v="A.IN FORZA"/>
    <s v="1  -ASSUNZIONE                1"/>
    <s v=""/>
    <s v=" "/>
    <s v=""/>
    <s v=""/>
    <n v="301"/>
    <s v="00"/>
    <n v="100"/>
    <s v="FULL TIME      100000000FF100-FULL TIME"/>
    <s v="01/02/2000"/>
    <s v=""/>
    <s v="  "/>
    <s v=""/>
    <s v="GRR "/>
    <s v="    "/>
    <s v=""/>
    <s v=""/>
    <s v="andrea.salomone@ilsole24ore.com                   "/>
    <s v="E"/>
    <s v="E-ESENTE"/>
    <s v="2 "/>
    <s v="2=6 X 6"/>
    <s v="01/07/2025"/>
    <s v="TEMPO DETERMINATO"/>
    <s v="31/05/2027"/>
    <s v="0015001708                    "/>
    <s v="LUPOI MASSIMO"/>
    <n v="54"/>
  </r>
  <r>
    <x v="0"/>
    <n v="1421"/>
    <s v="IL SOLE 24 ORE S.P.A.                   "/>
    <s v="K           "/>
    <s v="REDAZIONI GIORNALISTICHE"/>
    <s v="K09 "/>
    <x v="39"/>
    <s v="815410      "/>
    <s v="815410   RCO+ NORME E P.A."/>
    <s v="CASCIOLA                        "/>
    <s v="DANIELA           "/>
    <s v="CSCDNL68P58C811E"/>
    <x v="0"/>
    <s v="31"/>
    <x v="1"/>
    <s v="25/05/2009"/>
    <s v="ROMA                   "/>
    <s v="85"/>
    <x v="4"/>
    <s v="G"/>
    <x v="3"/>
    <s v="CS "/>
    <s v="CS CAPO SERVIZIO              "/>
    <s v="01/12/1999"/>
    <s v="01/12/1999"/>
    <s v="18/09/1968"/>
    <s v="A"/>
    <s v="A.IN FORZA"/>
    <s v="1  -ASSUNZIONE                1"/>
    <s v=""/>
    <s v=" "/>
    <s v=""/>
    <s v=""/>
    <n v="292"/>
    <s v="00"/>
    <n v="100"/>
    <s v="FULL TIME      100000000FF100-FULL TIME"/>
    <s v="01/12/1999"/>
    <s v=""/>
    <s v="  "/>
    <s v=""/>
    <s v="GEG "/>
    <s v="    "/>
    <s v=""/>
    <s v=""/>
    <s v="daniela.casciola@ilsole24ore.com                  "/>
    <s v="E"/>
    <s v="E-ESENTE"/>
    <s v="2 "/>
    <s v="2=6 X 6"/>
    <s v="01/07/2025"/>
    <s v="TEMPO DETERMINATO"/>
    <s v="31/05/2027"/>
    <s v="0015001708                    "/>
    <s v="LUPOI MASSIMO"/>
    <n v="57"/>
  </r>
  <r>
    <x v="0"/>
    <n v="1373"/>
    <s v="IL SOLE 24 ORE S.P.A.                   "/>
    <s v="K           "/>
    <s v="REDAZIONI GIORNALISTICHE"/>
    <s v="K09 "/>
    <x v="39"/>
    <s v="815410      "/>
    <s v="815410   RCO+ NORME E P.A."/>
    <s v="DE PASCALE                      "/>
    <s v="CARMINE           "/>
    <s v="DPSCMN62R09H703O"/>
    <x v="1"/>
    <s v="31"/>
    <x v="1"/>
    <s v="25/05/2009"/>
    <s v="ROMA                   "/>
    <s v="85"/>
    <x v="4"/>
    <s v="G"/>
    <x v="3"/>
    <s v="CRV"/>
    <s v="CRV VICE CAPO REDATTORE       "/>
    <s v="15/06/1994"/>
    <s v="15/06/1994"/>
    <s v="09/10/1962"/>
    <s v="A"/>
    <s v="A.IN FORZA"/>
    <s v="1  -ASSUNZIONE                1"/>
    <s v=""/>
    <s v=" "/>
    <s v=""/>
    <s v=""/>
    <n v="281"/>
    <s v="00"/>
    <n v="100"/>
    <s v="FULL TIME      100000000FF100-FULL TIME"/>
    <s v="15/06/1994"/>
    <s v=""/>
    <s v="  "/>
    <s v=""/>
    <s v="GEG "/>
    <s v="    "/>
    <s v=""/>
    <s v=""/>
    <s v="carmine.depascale@ilsole24ore.com                 "/>
    <s v="E"/>
    <s v="E-ESENTE"/>
    <s v="2 "/>
    <s v="2=6 X 6"/>
    <s v="01/07/2025"/>
    <s v="TEMPO DETERMINATO"/>
    <s v="31/05/2027"/>
    <s v="0015001708                    "/>
    <s v="LUPOI MASSIMO"/>
    <n v="63"/>
  </r>
  <r>
    <x v="0"/>
    <n v="917"/>
    <s v="IL SOLE 24 ORE S.P.A.                   "/>
    <s v="K           "/>
    <s v="REDAZIONI GIORNALISTICHE"/>
    <s v="K09 "/>
    <x v="39"/>
    <s v="815410      "/>
    <s v="815410   RCO+ NORME E P.A."/>
    <s v="DI CAGNO                        "/>
    <s v="ALDO              "/>
    <s v="DCGLDA68T09L219I"/>
    <x v="1"/>
    <s v="31"/>
    <x v="1"/>
    <s v="25/05/2009"/>
    <s v="ROMA                   "/>
    <s v="85"/>
    <x v="4"/>
    <s v="G"/>
    <x v="3"/>
    <s v="RM2"/>
    <s v="RM2 REDATTORE MAGG. 30 MM     "/>
    <s v="01/09/1996"/>
    <s v="01/09/1996"/>
    <s v="09/12/1968"/>
    <s v="A"/>
    <s v="A.IN FORZA"/>
    <s v="1  -ASSUNZIONE                1"/>
    <s v=""/>
    <s v=" "/>
    <s v=""/>
    <s v=""/>
    <n v="706"/>
    <s v="00"/>
    <n v="100"/>
    <s v="FULL TIME      100000000FF100-FULL TIME"/>
    <s v="01/10/2011"/>
    <s v=""/>
    <s v="  "/>
    <s v=""/>
    <s v="GEG "/>
    <s v="    "/>
    <s v=""/>
    <s v="SIND.GIORN.        SINDACATO GIORNALISTI"/>
    <s v="aldo.dicagno@ilsole24ore.com                      "/>
    <s v="E"/>
    <s v="E-ESENTE"/>
    <s v="2 "/>
    <s v="2=6 X 6"/>
    <s v="01/07/2025"/>
    <s v="TEMPO DETERMINATO"/>
    <s v="31/05/2027"/>
    <s v="0015001708                    "/>
    <s v="LUPOI MASSIMO"/>
    <n v="57"/>
  </r>
  <r>
    <x v="0"/>
    <n v="1406"/>
    <s v="IL SOLE 24 ORE S.P.A.                   "/>
    <s v="K           "/>
    <s v="REDAZIONI GIORNALISTICHE"/>
    <s v="K09 "/>
    <x v="39"/>
    <s v="815410      "/>
    <s v="815410   RCO+ NORME E P.A."/>
    <s v="GATTI                           "/>
    <s v="SIMONA            "/>
    <s v="GTTSMN66M42H501J"/>
    <x v="0"/>
    <s v="31"/>
    <x v="1"/>
    <s v="25/05/2009"/>
    <s v="ROMA                   "/>
    <s v="85"/>
    <x v="4"/>
    <s v="G"/>
    <x v="3"/>
    <s v="CSV"/>
    <s v="CSV VICE CAPO SERVIZIO        "/>
    <s v="15/04/1998"/>
    <s v="15/04/1998"/>
    <s v="02/08/1966"/>
    <s v="A"/>
    <s v="A.IN FORZA"/>
    <s v="1  -ASSUNZIONE                1"/>
    <s v=""/>
    <s v=" "/>
    <s v=""/>
    <s v=""/>
    <n v="287"/>
    <s v="00"/>
    <n v="100"/>
    <s v="FULL TIME      100000000FF100-FULL TIME"/>
    <s v="15/04/1998"/>
    <s v=""/>
    <s v="  "/>
    <s v=""/>
    <s v="GEG "/>
    <s v="    "/>
    <s v=""/>
    <s v=""/>
    <s v="simona.gatti@ilsole24ore.com                      "/>
    <s v="E"/>
    <s v="E-ESENTE"/>
    <s v="2 "/>
    <s v="2=6 X 6"/>
    <s v="01/07/2025"/>
    <s v="TEMPO DETERMINATO"/>
    <s v="31/05/2027"/>
    <s v="0015001708                    "/>
    <s v="LUPOI MASSIMO"/>
    <n v="59"/>
  </r>
  <r>
    <x v="0"/>
    <n v="1597"/>
    <s v="IL SOLE 24 ORE S.P.A.                   "/>
    <s v="K           "/>
    <s v="REDAZIONI GIORNALISTICHE"/>
    <s v="K09 "/>
    <x v="39"/>
    <s v="815410      "/>
    <s v="815410   RCO+ NORME E P.A."/>
    <s v="MACHINA GRIFEO                  "/>
    <s v="FRANCESCO         "/>
    <s v="MCHFNC71L17H501U"/>
    <x v="1"/>
    <s v="31"/>
    <x v="1"/>
    <s v="25/05/2009"/>
    <s v="ROMA                   "/>
    <s v="85"/>
    <x v="4"/>
    <s v="G"/>
    <x v="3"/>
    <s v="RM2"/>
    <s v="RM2 REDATTORE MAGG. 30 MM     "/>
    <s v="17/07/2000"/>
    <s v="17/07/2000"/>
    <s v="17/07/1971"/>
    <s v="A"/>
    <s v="A.IN FORZA"/>
    <s v="1  -ASSUNZIONE                1"/>
    <s v=""/>
    <s v=" "/>
    <s v=""/>
    <s v=""/>
    <n v="553"/>
    <s v="00"/>
    <n v="100"/>
    <s v="FULL TIME      100000000FF100-FULL TIME"/>
    <s v="17/07/2000"/>
    <s v=""/>
    <s v="  "/>
    <s v=""/>
    <s v="GEG "/>
    <s v="    "/>
    <s v=""/>
    <s v=""/>
    <s v="francesco.machinagrifeo@ilsole24ore.com           "/>
    <s v="E"/>
    <s v="E-ESENTE"/>
    <s v="2 "/>
    <s v="2=6 X 6"/>
    <s v="01/07/2025"/>
    <s v="TEMPO DETERMINATO"/>
    <s v="31/05/2027"/>
    <s v="0015001708                    "/>
    <s v="LUPOI MASSIMO"/>
    <n v="54"/>
  </r>
  <r>
    <x v="0"/>
    <n v="1873"/>
    <s v="IL SOLE 24 ORE S.P.A.                   "/>
    <s v="K           "/>
    <s v="REDAZIONI GIORNALISTICHE"/>
    <s v="K09 "/>
    <x v="39"/>
    <s v="815410      "/>
    <s v="815410   RCO+ NORME E P.A."/>
    <s v="PIAGNERELLI                     "/>
    <s v="GIAMPAOLO         "/>
    <s v="PGNGPL72H13F205M"/>
    <x v="1"/>
    <s v="31"/>
    <x v="1"/>
    <s v="25/05/2009"/>
    <s v="ROMA                   "/>
    <s v="85"/>
    <x v="4"/>
    <s v="G"/>
    <x v="3"/>
    <s v="RM2"/>
    <s v="RM2 REDATTORE MAGG. 30 MM     "/>
    <s v="01/04/2002"/>
    <s v="01/04/2002"/>
    <s v="13/06/1972"/>
    <s v="A"/>
    <s v="A.IN FORZA"/>
    <s v="1  -ASSUNZIONE                1"/>
    <s v=""/>
    <s v=" "/>
    <s v=""/>
    <s v=""/>
    <n v="363"/>
    <s v="00"/>
    <n v="100"/>
    <s v="FULL TIME      100000000FF100-FULL TIME"/>
    <s v="01/04/2002"/>
    <s v=""/>
    <s v="  "/>
    <s v=""/>
    <s v="GEG "/>
    <s v="    "/>
    <s v=""/>
    <s v=""/>
    <s v="giampaolo.piagnerelli@ilsole24ore.com             "/>
    <s v="E"/>
    <s v="E-ESENTE"/>
    <s v="2 "/>
    <s v="2=6 X 6"/>
    <s v="01/07/2025"/>
    <s v="TEMPO DETERMINATO"/>
    <s v="31/05/2027"/>
    <s v="0015001708                    "/>
    <s v="LUPOI MASSIMO"/>
    <n v="53"/>
  </r>
  <r>
    <x v="0"/>
    <n v="1393"/>
    <s v="IL SOLE 24 ORE S.P.A.                   "/>
    <s v="K           "/>
    <s v="REDAZIONI GIORNALISTICHE"/>
    <s v="K09 "/>
    <x v="39"/>
    <s v="815410      "/>
    <s v="815410   RCO+ NORME E P.A."/>
    <s v="ROSSI                           "/>
    <s v="PAOLA             "/>
    <s v="RSSPLA64L65H501P"/>
    <x v="0"/>
    <s v="31"/>
    <x v="1"/>
    <s v="25/05/2009"/>
    <s v="ROMA                   "/>
    <s v="85"/>
    <x v="4"/>
    <s v="G"/>
    <x v="3"/>
    <s v="RM2"/>
    <s v="RM2 REDATTORE MAGG. 30 MM     "/>
    <s v="30/10/1995"/>
    <s v="30/10/1995"/>
    <s v="25/07/1964"/>
    <s v="A"/>
    <s v="A.IN FORZA"/>
    <s v="1  -ASSUNZIONE                1"/>
    <s v=""/>
    <s v=" "/>
    <s v=""/>
    <s v=""/>
    <n v="283"/>
    <s v="00"/>
    <n v="100"/>
    <s v="FULL TIME      100000000FF100-FULL TIME"/>
    <s v="30/10/1995"/>
    <s v=""/>
    <s v="  "/>
    <s v=""/>
    <s v="GEG "/>
    <s v="    "/>
    <s v=""/>
    <s v="SIND.GIORN.        SINDACATO GIORNALISTI"/>
    <s v="paola.rossi@ilsole24ore.com                       "/>
    <s v="E"/>
    <s v="E-ESENTE"/>
    <s v="2 "/>
    <s v="2=6 X 6"/>
    <s v="01/11/2025"/>
    <s v="TEMPO DETERMINATO"/>
    <s v="31/05/2027"/>
    <s v="0015001708                    "/>
    <s v="LUPOI MASSIMO"/>
    <n v="61"/>
  </r>
  <r>
    <x v="0"/>
    <n v="1423"/>
    <s v="IL SOLE 24 ORE S.P.A.                   "/>
    <s v="K           "/>
    <s v="REDAZIONI GIORNALISTICHE"/>
    <s v="K09 "/>
    <x v="39"/>
    <s v="A16335      "/>
    <s v="A16335   RCO+ ECONOMIA E SERVIZI"/>
    <s v="DELL'OREFICE                    "/>
    <s v="GIORGIO           "/>
    <s v="DLLGRG69M28F839X"/>
    <x v="1"/>
    <s v="31"/>
    <x v="1"/>
    <s v="25/05/2009"/>
    <s v="ROMA                   "/>
    <s v="85"/>
    <x v="4"/>
    <s v="G"/>
    <x v="3"/>
    <s v="CSV"/>
    <s v="CSV VICE CAPO SERVIZIO        "/>
    <s v="01/12/1999"/>
    <s v="01/12/1999"/>
    <s v="28/08/1969"/>
    <s v="A"/>
    <s v="A.IN FORZA"/>
    <s v="1  -ASSUNZIONE                1"/>
    <s v=""/>
    <s v=" "/>
    <s v=""/>
    <s v=""/>
    <n v="294"/>
    <s v="00"/>
    <n v="100"/>
    <s v="FULL TIME      100000000FF100-FULL TIME"/>
    <s v="01/12/1999"/>
    <s v=""/>
    <s v="  "/>
    <s v=""/>
    <s v="GPE "/>
    <s v="    "/>
    <s v=""/>
    <s v=""/>
    <s v="giorgio.dellorefice@ilsole24ore.com               "/>
    <s v="E"/>
    <s v="E-ESENTE"/>
    <s v="1 "/>
    <s v="1=5 X 8"/>
    <s v="01/07/2025"/>
    <s v="TEMPO DETERMINATO"/>
    <s v="31/05/2027"/>
    <s v="0015001708                    "/>
    <s v="LUPOI MASSIMO"/>
    <n v="56"/>
  </r>
  <r>
    <x v="0"/>
    <n v="1267"/>
    <s v="IL SOLE 24 ORE S.P.A.                   "/>
    <s v="K           "/>
    <s v="REDAZIONI GIORNALISTICHE"/>
    <s v="K09 "/>
    <x v="39"/>
    <s v="A16335      "/>
    <s v="A16335   RCO+ ECONOMIA E SERVIZI"/>
    <s v="DIFFIDENTI                      "/>
    <s v="ERNESTO           "/>
    <s v="DFFRST67P11H501P"/>
    <x v="1"/>
    <s v="31"/>
    <x v="1"/>
    <s v="25/05/2009"/>
    <s v="ROMA                   "/>
    <s v="85"/>
    <x v="4"/>
    <s v="G"/>
    <x v="3"/>
    <s v="CSV"/>
    <s v="CSV VICE CAPO SERVIZIO        "/>
    <s v="01/07/1999"/>
    <s v="01/07/1999"/>
    <s v="11/09/1967"/>
    <s v="A"/>
    <s v="A.IN FORZA"/>
    <s v="1  -ASSUNZIONE                1"/>
    <s v=""/>
    <s v=" "/>
    <s v=""/>
    <s v=""/>
    <n v="269"/>
    <s v="00"/>
    <n v="100"/>
    <s v="FULL TIME      100000000FF100-FULL TIME"/>
    <s v="01/07/1999"/>
    <s v=""/>
    <s v="  "/>
    <s v=""/>
    <s v="GPE "/>
    <s v="    "/>
    <s v=""/>
    <s v="SIND.GIORN.        SINDACATO GIORNALISTI"/>
    <s v="ernesto.diffidenti@ilsole24ore.com                "/>
    <s v="E"/>
    <s v="E-ESENTE"/>
    <s v="3 "/>
    <s v="3=5 X 7"/>
    <s v="01/07/2025"/>
    <s v="TEMPO DETERMINATO"/>
    <s v="31/05/2027"/>
    <s v="0015001708                    "/>
    <s v="LUPOI MASSIMO"/>
    <n v="58"/>
  </r>
  <r>
    <x v="0"/>
    <n v="1510"/>
    <s v="IL SOLE 24 ORE S.P.A.                   "/>
    <s v="K           "/>
    <s v="REDAZIONI GIORNALISTICHE"/>
    <s v="K09 "/>
    <x v="39"/>
    <s v="A16335      "/>
    <s v="A16335   RCO+ ECONOMIA E SERVIZI"/>
    <s v="FRONTERA                        "/>
    <s v="MASSIMO           "/>
    <s v="FRNMSM64S16H501X"/>
    <x v="1"/>
    <s v="31"/>
    <x v="1"/>
    <s v="25/05/2009"/>
    <s v="ROMA                   "/>
    <s v="85"/>
    <x v="4"/>
    <s v="G"/>
    <x v="3"/>
    <s v="RM2"/>
    <s v="RM2 REDATTORE MAGG. 30 MM     "/>
    <s v="03/04/2000"/>
    <s v="03/04/2000"/>
    <s v="16/11/1964"/>
    <s v="A"/>
    <s v="A.IN FORZA"/>
    <s v="1  -ASSUNZIONE                1"/>
    <s v=""/>
    <s v=" "/>
    <s v=""/>
    <s v=""/>
    <n v="309"/>
    <s v="00"/>
    <n v="100"/>
    <s v="FULL TIME      100000000FF100-FULL TIME"/>
    <s v="03/04/2000"/>
    <s v=""/>
    <s v="  "/>
    <s v=""/>
    <s v="GPE "/>
    <s v="    "/>
    <s v=""/>
    <s v=""/>
    <s v="massimo.frontera@ilsole24ore.com                  "/>
    <s v="E"/>
    <s v="E-ESENTE"/>
    <s v="3 "/>
    <s v="3=5 X 7"/>
    <s v="01/07/2025"/>
    <s v="TEMPO DETERMINATO"/>
    <s v="31/05/2027"/>
    <s v="0015001708                    "/>
    <s v="LUPOI MASSIMO"/>
    <n v="61"/>
  </r>
  <r>
    <x v="0"/>
    <n v="1747"/>
    <s v="IL SOLE 24 ORE S.P.A.                   "/>
    <s v="K           "/>
    <s v="REDAZIONI GIORNALISTICHE"/>
    <s v="K09 "/>
    <x v="39"/>
    <s v="A16335      "/>
    <s v="A16335   RCO+ ECONOMIA E SERVIZI"/>
    <s v="GOBBI                           "/>
    <s v="BARBARA           "/>
    <s v="GBBBBR70D46G478O"/>
    <x v="0"/>
    <s v="31"/>
    <x v="1"/>
    <s v="25/05/2009"/>
    <s v="ROMA                   "/>
    <s v="85"/>
    <x v="4"/>
    <s v="G"/>
    <x v="3"/>
    <s v="CSV"/>
    <s v="CSV VICE CAPO SERVIZIO        "/>
    <s v="01/03/2001"/>
    <s v="01/03/2001"/>
    <s v="06/04/1970"/>
    <s v="A"/>
    <s v="A.IN FORZA"/>
    <s v="1  -ASSUNZIONE                1"/>
    <s v=""/>
    <s v=" "/>
    <s v=""/>
    <s v=""/>
    <n v="343"/>
    <s v="00"/>
    <n v="100"/>
    <s v="FULL TIME      100000000FF100-FULL TIME"/>
    <s v="01/03/2001"/>
    <s v=""/>
    <s v="  "/>
    <s v=""/>
    <s v="GPE "/>
    <s v="    "/>
    <s v=""/>
    <s v="SIND.GIORN.        SINDACATO GIORNALISTI"/>
    <s v="barbara.gobbi@ilsole24ore.com                     "/>
    <s v="E"/>
    <s v="E-ESENTE"/>
    <s v="3 "/>
    <s v="3=5 X 7"/>
    <s v="01/07/2025"/>
    <s v="TEMPO DETERMINATO"/>
    <s v="31/05/2027"/>
    <s v="0015001708                    "/>
    <s v="LUPOI MASSIMO"/>
    <n v="55"/>
  </r>
  <r>
    <x v="0"/>
    <n v="1119"/>
    <s v="IL SOLE 24 ORE S.P.A.                   "/>
    <s v="K           "/>
    <s v="REDAZIONI GIORNALISTICHE"/>
    <s v="K09 "/>
    <x v="39"/>
    <s v="A16335      "/>
    <s v="A16335   RCO+ ECONOMIA E SERVIZI"/>
    <s v="LERBINI                         "/>
    <s v="ALESSANDRO        "/>
    <s v="LRBLSN70C29H501S"/>
    <x v="1"/>
    <s v="31"/>
    <x v="1"/>
    <s v="25/05/2009"/>
    <s v="ROMA                   "/>
    <s v="85"/>
    <x v="4"/>
    <s v="G"/>
    <x v="3"/>
    <s v="RM2"/>
    <s v="RM2 REDATTORE MAGG. 30 MM     "/>
    <s v="16/03/1998"/>
    <s v="16/03/1998"/>
    <s v="29/03/1970"/>
    <s v="A"/>
    <s v="A.IN FORZA"/>
    <s v="1  -ASSUNZIONE                1"/>
    <s v=""/>
    <s v=" "/>
    <s v=""/>
    <s v=""/>
    <n v="240"/>
    <s v="00"/>
    <n v="100"/>
    <s v="FULL TIME      100000000FF100-FULL TIME"/>
    <s v="16/03/1998"/>
    <s v=""/>
    <s v="  "/>
    <s v=""/>
    <s v="GPE "/>
    <s v="    "/>
    <s v=""/>
    <s v="SIND.GIORN.        SINDACATO GIORNALISTI"/>
    <s v="alessandro.lerbini@ilsole24ore.com                "/>
    <s v="E"/>
    <s v="E-ESENTE"/>
    <s v="2 "/>
    <s v="2=6 X 6"/>
    <s v="01/07/2025"/>
    <s v="TEMPO DETERMINATO"/>
    <s v="31/05/2027"/>
    <s v="0015001708                    "/>
    <s v="LUPOI MASSIMO"/>
    <n v="55"/>
  </r>
  <r>
    <x v="0"/>
    <n v="1454"/>
    <s v="IL SOLE 24 ORE S.P.A.                   "/>
    <s v="K           "/>
    <s v="REDAZIONI GIORNALISTICHE"/>
    <s v="K09 "/>
    <x v="39"/>
    <s v="A16335      "/>
    <s v="A16335   RCO+ ECONOMIA E SERVIZI"/>
    <s v="LODDO                           "/>
    <s v="VINCENZA          "/>
    <s v="LDDVCN70R69H224Y"/>
    <x v="0"/>
    <s v="31"/>
    <x v="1"/>
    <s v="25/05/2009"/>
    <s v="ROMA                   "/>
    <s v="85"/>
    <x v="4"/>
    <s v="G"/>
    <x v="3"/>
    <s v="RM2"/>
    <s v="RM2 REDATTORE MAGG. 30 MM     "/>
    <s v="10/01/2000"/>
    <s v="10/01/2000"/>
    <s v="29/10/1970"/>
    <s v="A"/>
    <s v="A.IN FORZA"/>
    <s v="1  -ASSUNZIONE                1"/>
    <s v=""/>
    <s v=" "/>
    <s v=""/>
    <s v=""/>
    <n v="299"/>
    <s v="00"/>
    <n v="100"/>
    <s v="FULL TIME      100000000FF100-FULL TIME"/>
    <s v="10/01/2000"/>
    <s v=""/>
    <s v="  "/>
    <s v=""/>
    <s v="GPE "/>
    <s v="    "/>
    <s v=""/>
    <s v=""/>
    <s v="vincenza.loddo@ilsole24ore.com                    "/>
    <s v="E"/>
    <s v="E-ESENTE"/>
    <s v="2 "/>
    <s v="2=6 X 6"/>
    <s v="01/07/2025"/>
    <s v="TEMPO DETERMINATO"/>
    <s v="31/05/2027"/>
    <s v="0015001708                    "/>
    <s v="LUPOI MASSIMO"/>
    <n v="55"/>
  </r>
  <r>
    <x v="0"/>
    <n v="1730"/>
    <s v="IL SOLE 24 ORE S.P.A.                   "/>
    <s v="K           "/>
    <s v="REDAZIONI GIORNALISTICHE"/>
    <s v="K09 "/>
    <x v="39"/>
    <s v="A16335      "/>
    <s v="A16335   RCO+ ECONOMIA E SERVIZI"/>
    <s v="MARZIALETTI                     "/>
    <s v="SILVIA            "/>
    <s v="MRZSLV73M68H501C"/>
    <x v="0"/>
    <s v="31"/>
    <x v="1"/>
    <s v="25/05/2009"/>
    <s v="ROMA                   "/>
    <s v="85"/>
    <x v="4"/>
    <s v="G"/>
    <x v="3"/>
    <s v="RM2"/>
    <s v="RM2 REDATTORE MAGG. 30 MM     "/>
    <s v="01/02/2001"/>
    <s v="01/02/2001"/>
    <s v="28/08/1973"/>
    <s v="A"/>
    <s v="A.IN FORZA"/>
    <s v="1  -ASSUNZIONE                1"/>
    <s v=""/>
    <s v=" "/>
    <s v=""/>
    <s v=""/>
    <n v="335"/>
    <s v="00"/>
    <n v="100"/>
    <s v="FULL TIME      100000000FF100-FULL TIME"/>
    <s v="01/08/2019"/>
    <s v=""/>
    <s v="  "/>
    <s v=""/>
    <s v="GPE "/>
    <s v="    "/>
    <s v=""/>
    <s v=""/>
    <s v="silvia.marzialetti@ilsole24ore.com                "/>
    <s v="E"/>
    <s v="E-ESENTE"/>
    <s v="2 "/>
    <s v="2=6 X 6"/>
    <s v="01/07/2025"/>
    <s v="TEMPO DETERMINATO"/>
    <s v="31/05/2027"/>
    <s v="0015001708                    "/>
    <s v="LUPOI MASSIMO"/>
    <n v="52"/>
  </r>
  <r>
    <x v="0"/>
    <n v="2084"/>
    <s v="IL SOLE 24 ORE S.P.A.                   "/>
    <s v="K           "/>
    <s v="REDAZIONI GIORNALISTICHE"/>
    <s v="K09 "/>
    <x v="39"/>
    <s v="A16335      "/>
    <s v="A16335   RCO+ ECONOMIA E SERVIZI"/>
    <s v="ROMEO LIRONCURTI                "/>
    <s v="ALESSIO           "/>
    <s v="RMLLSS75D23H501T"/>
    <x v="1"/>
    <s v="31"/>
    <x v="1"/>
    <s v="25/05/2009"/>
    <s v="ROMA                   "/>
    <s v="85"/>
    <x v="4"/>
    <s v="G"/>
    <x v="3"/>
    <s v="RM2"/>
    <s v="RM2 REDATTORE MAGG. 30 MM     "/>
    <s v="01/10/2005"/>
    <s v="01/10/2005"/>
    <s v="23/04/1975"/>
    <s v="A"/>
    <s v="A.IN FORZA"/>
    <s v="1  -ASSUNZIONE                1"/>
    <s v=""/>
    <s v=" "/>
    <s v=""/>
    <s v=""/>
    <n v="481"/>
    <s v="00"/>
    <n v="100"/>
    <s v="FULL TIME      100000000FF100-FULL TIME"/>
    <s v="01/10/2005"/>
    <s v=""/>
    <s v="  "/>
    <s v=""/>
    <s v="GPE "/>
    <s v="    "/>
    <s v=""/>
    <s v="SIND.GIORN.        SINDACATO GIORNALISTI"/>
    <s v="alessio.romeo@ilsole24ore.com                     "/>
    <s v="E"/>
    <s v="E-ESENTE"/>
    <s v="2 "/>
    <s v="2=6 X 6"/>
    <s v="01/07/2025"/>
    <s v="TEMPO DETERMINATO"/>
    <s v="31/05/2027"/>
    <s v="0015001708                    "/>
    <s v="LUPOI MASSIMO"/>
    <n v="50"/>
  </r>
  <r>
    <x v="0"/>
    <n v="1208"/>
    <s v="IL SOLE 24 ORE S.P.A.                   "/>
    <s v="K           "/>
    <s v="REDAZIONI GIORNALISTICHE"/>
    <s v="K09 "/>
    <x v="39"/>
    <s v="A16335      "/>
    <s v="A16335   RCO+ ECONOMIA E SERVIZI"/>
    <s v="SALERNO                         "/>
    <s v="MAURO             "/>
    <s v="SLRMRA72D24I872X"/>
    <x v="1"/>
    <s v="31"/>
    <x v="1"/>
    <s v="25/05/2009"/>
    <s v="ROMA                   "/>
    <s v="85"/>
    <x v="4"/>
    <s v="G"/>
    <x v="3"/>
    <s v="CS "/>
    <s v="CS CAPO SERVIZIO              "/>
    <s v="15/12/1998"/>
    <s v="15/12/1998"/>
    <s v="24/04/1972"/>
    <s v="A"/>
    <s v="A.IN FORZA"/>
    <s v="1  -ASSUNZIONE                1"/>
    <s v=""/>
    <s v=" "/>
    <s v=""/>
    <s v=""/>
    <n v="257"/>
    <s v="00"/>
    <n v="100"/>
    <s v="FULL TIME      100000000FF100-FULL TIME"/>
    <s v="15/12/1998"/>
    <s v=""/>
    <s v="  "/>
    <s v=""/>
    <s v="GPE "/>
    <s v="    "/>
    <s v=""/>
    <s v=""/>
    <s v="mauro.salerno@ilsole24ore.com                     "/>
    <s v="E"/>
    <s v="E-ESENTE"/>
    <s v="3 "/>
    <s v="3=5 X 7"/>
    <s v="01/07/2025"/>
    <s v="TEMPO DETERMINATO"/>
    <s v="31/05/2027"/>
    <s v="0015001708                    "/>
    <s v="LUPOI MASSIMO"/>
    <n v="53"/>
  </r>
  <r>
    <x v="0"/>
    <n v="3158"/>
    <s v="IL SOLE 24 ORE S.P.A.                   "/>
    <s v="K           "/>
    <s v="REDAZIONI GIORNALISTICHE"/>
    <s v="K10 "/>
    <x v="40"/>
    <s v="518300      "/>
    <s v="518300   REDAZIONE NUOVO PERIODICO"/>
    <s v="ANTONELLI                       "/>
    <s v="CLAUDIO           "/>
    <s v="NTNCLD76T03E333D"/>
    <x v="1"/>
    <s v="34"/>
    <x v="0"/>
    <s v="15/09/2025"/>
    <s v="MILANO                 "/>
    <s v="85"/>
    <x v="4"/>
    <s v="G"/>
    <x v="3"/>
    <s v="AV "/>
    <s v="AV VICE DIRETTORE             "/>
    <s v="15/09/2025"/>
    <s v="15/09/2025"/>
    <s v="03/12/1976"/>
    <s v="A"/>
    <s v="A.IN FORZA"/>
    <s v="1  -ASSUNZIONE                1"/>
    <s v=""/>
    <s v=" "/>
    <s v=""/>
    <s v=""/>
    <n v="3158"/>
    <s v="00"/>
    <n v="100"/>
    <s v="FULL TIME      100000000FF100-FULL TIME"/>
    <s v="15/09/2025"/>
    <s v=""/>
    <s v="  "/>
    <s v=""/>
    <s v="GBM "/>
    <s v="    "/>
    <s v=""/>
    <s v=""/>
    <s v="claudio.antonelli@ilsole24ore.com                 "/>
    <s v="E"/>
    <s v="E-ESENTE"/>
    <s v="3 "/>
    <s v="3=5 X 7"/>
    <s v=""/>
    <s v=""/>
    <s v=""/>
    <s v="                              "/>
    <s v=""/>
    <n v="49"/>
  </r>
  <r>
    <x v="0"/>
    <n v="2029"/>
    <s v="IL SOLE 24 ORE S.P.A.                   "/>
    <s v="L           "/>
    <s v="DG M&amp;B - DG SYSTEM 24"/>
    <s v="L01 "/>
    <x v="41"/>
    <s v="610000      "/>
    <s v="610000   DG SYSTEM 24"/>
    <s v="FAVERO                          "/>
    <s v="MARISTELLA        "/>
    <s v="FVRMST62R58F205B"/>
    <x v="0"/>
    <s v="34"/>
    <x v="0"/>
    <s v="01/04/2021"/>
    <s v="MILANO                 "/>
    <s v="21"/>
    <x v="0"/>
    <s v="I"/>
    <x v="0"/>
    <s v="A  "/>
    <s v="A LIV. IMPIEGATO              "/>
    <s v="01/09/2004"/>
    <s v="01/09/2004"/>
    <s v="18/10/1962"/>
    <s v="A"/>
    <s v="A.IN FORZA"/>
    <s v="1  -ASSUNZIONE                1"/>
    <s v=""/>
    <s v=" "/>
    <s v=""/>
    <s v=""/>
    <n v="1555"/>
    <s v="00"/>
    <n v="100"/>
    <s v="FULL TIME      100000000FF100-FULL TIME"/>
    <s v="01/09/2004"/>
    <s v=""/>
    <s v="  "/>
    <s v=""/>
    <s v="EV  "/>
    <s v="    "/>
    <s v=""/>
    <s v=""/>
    <s v="maristella.favero@ilsole24ore.com                 "/>
    <s v="F"/>
    <s v="F-FIRMA"/>
    <s v="1 "/>
    <s v="1=5 X 8"/>
    <s v="01/07/2025"/>
    <s v="TEMPO DETERMINATO"/>
    <s v="31/05/2027"/>
    <s v="0015002960                    "/>
    <s v="SILVESTRI FEDERICO"/>
    <n v="63"/>
  </r>
  <r>
    <x v="0"/>
    <n v="2960"/>
    <s v="IL SOLE 24 ORE S.P.A.                   "/>
    <s v="L           "/>
    <s v="DG M&amp;B - DG SYSTEM 24"/>
    <s v="L01 "/>
    <x v="41"/>
    <s v="610000      "/>
    <s v="610000   DG SYSTEM 24"/>
    <s v="SILVESTRI                       "/>
    <s v="FEDERICO          "/>
    <s v="SLVFRC71A14F205W"/>
    <x v="1"/>
    <s v="34"/>
    <x v="0"/>
    <s v="01/04/2021"/>
    <s v="MILANO                 "/>
    <s v="90"/>
    <x v="1"/>
    <s v="D"/>
    <x v="1"/>
    <s v="D  "/>
    <s v="DIRIGENTE INDUSTRIA           "/>
    <s v="01/10/2018"/>
    <s v="01/10/2018"/>
    <s v="14/01/1971"/>
    <s v="A"/>
    <s v="A.IN FORZA"/>
    <s v="1  -ASSUNZIONE                1"/>
    <s v=""/>
    <s v=" "/>
    <s v=""/>
    <s v=""/>
    <n v="2960"/>
    <s v="00"/>
    <n v="100"/>
    <s v="FULL TIME      100000000FF100-FULL TIME"/>
    <s v="01/10/2018"/>
    <s v=""/>
    <s v="  "/>
    <s v=""/>
    <s v="DD  "/>
    <s v="    "/>
    <s v=""/>
    <s v=""/>
    <s v="federico.silvestri@ilsole24ore.com                "/>
    <s v="E"/>
    <s v="E-ESENTE"/>
    <s v="1 "/>
    <s v="1=5 X 8"/>
    <s v=""/>
    <s v=""/>
    <s v=""/>
    <s v="                              "/>
    <s v=""/>
    <n v="55"/>
  </r>
  <r>
    <x v="0"/>
    <n v="2591"/>
    <s v="IL SOLE 24 ORE S.P.A.                   "/>
    <s v="L           "/>
    <s v="DG M&amp;B - DG SYSTEM 24"/>
    <s v="L02 "/>
    <x v="42"/>
    <s v="611330      "/>
    <s v="611330   GESTIONE PROVVIGIONE AGENTI"/>
    <s v="CAMARRI                         "/>
    <s v="RITA              "/>
    <s v="CMRRTI69R55F712M"/>
    <x v="0"/>
    <s v="34"/>
    <x v="0"/>
    <s v="01/04/2021"/>
    <s v="MILANO                 "/>
    <s v="21"/>
    <x v="0"/>
    <s v="I"/>
    <x v="0"/>
    <s v="B1 "/>
    <s v="B1 LIV. IMPIEGATO             "/>
    <s v="01/07/2011"/>
    <s v="01/01/2002"/>
    <s v="15/10/1969"/>
    <s v="A"/>
    <s v="A.IN FORZA"/>
    <s v="2  -VARIAZIONE SOCIETARIA     2"/>
    <s v=""/>
    <s v=" "/>
    <s v=""/>
    <s v=""/>
    <n v="2591"/>
    <s v="00"/>
    <n v="100"/>
    <s v="FULL TIME      100000000FF100-FULL TIME"/>
    <s v="01/01/2002"/>
    <s v=""/>
    <s v="  "/>
    <s v=""/>
    <s v="EV  "/>
    <s v="    "/>
    <s v=""/>
    <s v="U.I.L.             U.I.L"/>
    <s v="rita.camarri@ilsole24ore.com                      "/>
    <s v="F"/>
    <s v="F-FIRMA"/>
    <s v="1 "/>
    <s v="1=5 X 8"/>
    <s v="01/07/2025"/>
    <s v="TEMPO DETERMINATO"/>
    <s v="31/05/2027"/>
    <s v="0015002258                    "/>
    <s v="PANARO GRAZIA"/>
    <n v="56"/>
  </r>
  <r>
    <x v="0"/>
    <n v="500"/>
    <s v="IL SOLE 24 ORE S.P.A.                   "/>
    <s v="L           "/>
    <s v="DG M&amp;B - DG SYSTEM 24"/>
    <s v="L02 "/>
    <x v="42"/>
    <s v="61400010    "/>
    <s v="61400010 SALES SUPPORT &amp; OPERATIONS"/>
    <s v="ANELLI                          "/>
    <s v="DANIELA MARIA BAMB"/>
    <s v="NLLDLM68R43F205P"/>
    <x v="0"/>
    <s v="34"/>
    <x v="0"/>
    <s v="01/04/2021"/>
    <s v="MILANO                 "/>
    <s v="21"/>
    <x v="0"/>
    <s v="I"/>
    <x v="0"/>
    <s v="B1 "/>
    <s v="B1 LIV. IMPIEGATO             "/>
    <s v="03/12/1990"/>
    <s v="03/12/1990"/>
    <s v="03/10/1968"/>
    <s v="A"/>
    <s v="A.IN FORZA"/>
    <s v="1  -ASSUNZIONE                1"/>
    <s v=""/>
    <s v=" "/>
    <s v=""/>
    <s v=""/>
    <n v="350"/>
    <s v="00"/>
    <n v="100"/>
    <s v="FULL TIME      100000000FF100-FULL TIME"/>
    <s v="03/12/1990"/>
    <s v=""/>
    <s v="  "/>
    <s v=""/>
    <s v="EV  "/>
    <s v="    "/>
    <s v=""/>
    <s v="NON ISCRITTO       NON ISCRITTO"/>
    <s v="daniela.anelli@ilsole24ore.com                    "/>
    <s v="T"/>
    <s v="T-TIMBRA"/>
    <s v="1 "/>
    <s v="1=5 X 8"/>
    <s v="01/07/2025"/>
    <s v="TEMPO DETERMINATO"/>
    <s v="31/05/2027"/>
    <s v="0015002258                    "/>
    <s v="PANARO GRAZIA"/>
    <n v="57"/>
  </r>
  <r>
    <x v="0"/>
    <n v="406"/>
    <s v="IL SOLE 24 ORE S.P.A.                   "/>
    <s v="L           "/>
    <s v="DG M&amp;B - DG SYSTEM 24"/>
    <s v="L02 "/>
    <x v="42"/>
    <s v="61400010    "/>
    <s v="61400010 SALES SUPPORT &amp; OPERATIONS"/>
    <s v="DE MARTINO                      "/>
    <s v="ALESSANDRO        "/>
    <s v="DMRLSN68L20H501J"/>
    <x v="1"/>
    <s v="31"/>
    <x v="1"/>
    <s v="18/05/2009"/>
    <s v="ROMA                   "/>
    <s v="21"/>
    <x v="0"/>
    <s v="I"/>
    <x v="0"/>
    <s v="B2 "/>
    <s v="B2 LIV. IMPIEGATO             "/>
    <s v="06/03/1989"/>
    <s v="06/03/1989"/>
    <s v="20/07/1968"/>
    <s v="A"/>
    <s v="A.IN FORZA"/>
    <s v="1  -ASSUNZIONE                1"/>
    <s v=""/>
    <s v=" "/>
    <s v=""/>
    <s v=""/>
    <n v="292"/>
    <s v="00"/>
    <n v="100"/>
    <s v="FULL TIME      100000000FF100-FULL TIME"/>
    <s v="06/03/1989"/>
    <s v=""/>
    <s v="  "/>
    <s v=""/>
    <s v="EV  "/>
    <s v="    "/>
    <s v=""/>
    <s v=""/>
    <s v="alessandro.demartino@ilsole24ore.com              "/>
    <s v="T"/>
    <s v="T-TIMBRA"/>
    <s v="1 "/>
    <s v="1=5 X 8"/>
    <s v="01/07/2025"/>
    <s v="TEMPO DETERMINATO"/>
    <s v="31/05/2027"/>
    <s v="0015002258                    "/>
    <s v="PANARO GRAZIA"/>
    <n v="57"/>
  </r>
  <r>
    <x v="0"/>
    <n v="1164"/>
    <s v="IL SOLE 24 ORE S.P.A.                   "/>
    <s v="L           "/>
    <s v="DG M&amp;B - DG SYSTEM 24"/>
    <s v="L02 "/>
    <x v="42"/>
    <s v="61400010    "/>
    <s v="61400010 SALES SUPPORT &amp; OPERATIONS"/>
    <s v="LOZZI                           "/>
    <s v="MATTEO            "/>
    <s v="LZZMTT69A14F205Z"/>
    <x v="1"/>
    <s v="34"/>
    <x v="0"/>
    <s v="01/04/2021"/>
    <s v="MILANO                 "/>
    <s v="21"/>
    <x v="0"/>
    <s v="F"/>
    <x v="2"/>
    <s v="Q  "/>
    <s v="Q LIV. QUADRI                 "/>
    <s v="01/09/1998"/>
    <s v="01/09/1998"/>
    <s v="14/01/1969"/>
    <s v="A"/>
    <s v="A.IN FORZA"/>
    <s v="1  -ASSUNZIONE                1"/>
    <s v=""/>
    <s v=" "/>
    <s v=""/>
    <s v=""/>
    <n v="917"/>
    <s v="00"/>
    <n v="100"/>
    <s v="FULL TIME      100000000FF100-FULL TIME"/>
    <s v="01/09/1998"/>
    <s v=""/>
    <s v="  "/>
    <s v=""/>
    <s v="EV  "/>
    <s v="    "/>
    <s v=""/>
    <s v=""/>
    <s v="matteo.lozzi@ilsole24ore.com                      "/>
    <s v="F"/>
    <s v="F-FIRMA"/>
    <s v="1 "/>
    <s v="1=5 X 8"/>
    <s v="01/07/2025"/>
    <s v="TEMPO DETERMINATO"/>
    <s v="31/05/2027"/>
    <s v="0015002960                    "/>
    <s v="SILVESTRI FEDERICO"/>
    <n v="57"/>
  </r>
  <r>
    <x v="0"/>
    <n v="3129"/>
    <s v="IL SOLE 24 ORE S.P.A.                   "/>
    <s v="L           "/>
    <s v="DG M&amp;B - DG SYSTEM 24"/>
    <s v="L02 "/>
    <x v="42"/>
    <s v="61400010    "/>
    <s v="61400010 SALES SUPPORT &amp; OPERATIONS"/>
    <s v="NESTA                           "/>
    <s v="STEFANIA          "/>
    <s v="NSTSFN92E60F205C"/>
    <x v="0"/>
    <s v="34"/>
    <x v="0"/>
    <s v="01/07/2024"/>
    <s v="MILANO                 "/>
    <s v="21"/>
    <x v="0"/>
    <s v="I"/>
    <x v="0"/>
    <s v="B1 "/>
    <s v="B1 LIV. IMPIEGATO             "/>
    <s v="01/07/2024"/>
    <s v="01/07/2024"/>
    <s v="20/05/1992"/>
    <s v="A"/>
    <s v="A.IN FORZA"/>
    <s v="1  -ASSUNZIONE                1"/>
    <s v=""/>
    <s v=" "/>
    <s v=""/>
    <s v=""/>
    <n v="3129"/>
    <s v="00"/>
    <n v="100"/>
    <s v="FULL TIME      100000000FF100-FULL TIME"/>
    <s v="01/07/2024"/>
    <s v=""/>
    <s v="  "/>
    <s v=""/>
    <s v="EN  "/>
    <s v="    "/>
    <s v=""/>
    <s v=""/>
    <s v="stefania.nesta@ilsole24ore.com                    "/>
    <s v="F"/>
    <s v="F-FIRMA"/>
    <s v="1 "/>
    <s v="1=5 X 8"/>
    <s v="01/07/2025"/>
    <s v="TEMPO DETERMINATO"/>
    <s v="31/05/2027"/>
    <s v="0015002258                    "/>
    <s v="PANARO GRAZIA"/>
    <n v="33"/>
  </r>
  <r>
    <x v="0"/>
    <n v="2258"/>
    <s v="IL SOLE 24 ORE S.P.A.                   "/>
    <s v="L           "/>
    <s v="DG M&amp;B - DG SYSTEM 24"/>
    <s v="L02 "/>
    <x v="42"/>
    <s v="61400010    "/>
    <s v="61400010 SALES SUPPORT &amp; OPERATIONS"/>
    <s v="PANARO                          "/>
    <s v="GRAZIA            "/>
    <s v="PNRGRZ78B42C134H"/>
    <x v="0"/>
    <s v="34"/>
    <x v="0"/>
    <s v="01/04/2021"/>
    <s v="MILANO                 "/>
    <s v="21"/>
    <x v="0"/>
    <s v="F"/>
    <x v="2"/>
    <s v="Q  "/>
    <s v="Q LIV. QUADRI                 "/>
    <s v="19/11/2007"/>
    <s v="19/11/2007"/>
    <s v="02/02/1978"/>
    <s v="A"/>
    <s v="A.IN FORZA"/>
    <s v="1  -ASSUNZIONE                1"/>
    <s v=""/>
    <s v=" "/>
    <s v=""/>
    <s v=""/>
    <n v="1692"/>
    <s v="00"/>
    <n v="100"/>
    <s v="FULL TIME      100000000FF100-FULL TIME"/>
    <s v="19/11/2007"/>
    <s v=""/>
    <s v="  "/>
    <s v=""/>
    <s v="EV  "/>
    <s v="    "/>
    <s v=""/>
    <s v=""/>
    <s v="grazia.panaro@ilsole24ore.com                     "/>
    <s v="F"/>
    <s v="F-FIRMA"/>
    <s v="1 "/>
    <s v="1=5 X 8"/>
    <s v="01/07/2025"/>
    <s v="TEMPO DETERMINATO"/>
    <s v="31/05/2027"/>
    <s v="0015002960                    "/>
    <s v="SILVESTRI FEDERICO"/>
    <n v="47"/>
  </r>
  <r>
    <x v="0"/>
    <n v="269"/>
    <s v="IL SOLE 24 ORE S.P.A.                   "/>
    <s v="L           "/>
    <s v="DG M&amp;B - DG SYSTEM 24"/>
    <s v="L02 "/>
    <x v="42"/>
    <s v="61400010    "/>
    <s v="61400010 SALES SUPPORT &amp; OPERATIONS"/>
    <s v="SAMIOLO                         "/>
    <s v="LAURA             "/>
    <s v="SMLLRA65R55F704U"/>
    <x v="0"/>
    <s v="34"/>
    <x v="0"/>
    <s v="01/04/2021"/>
    <s v="MILANO                 "/>
    <s v="21"/>
    <x v="0"/>
    <s v="I"/>
    <x v="0"/>
    <s v="A  "/>
    <s v="A LIV. IMPIEGATO              "/>
    <s v="16/03/1987"/>
    <s v="16/03/1987"/>
    <s v="15/10/1965"/>
    <s v="A"/>
    <s v="A.IN FORZA"/>
    <s v="1  -ASSUNZIONE                1"/>
    <s v=""/>
    <s v=" "/>
    <s v=""/>
    <s v=""/>
    <n v="191"/>
    <s v="00"/>
    <n v="100"/>
    <s v="FULL TIME      100000000FF100-FULL TIME"/>
    <s v="16/03/1987"/>
    <s v=""/>
    <s v="  "/>
    <s v=""/>
    <s v="EV  "/>
    <s v="    "/>
    <s v=""/>
    <s v=""/>
    <s v="laura.samiolo@ilsole24ore.com                     "/>
    <s v="F"/>
    <s v="F-FIRMA"/>
    <s v="1 "/>
    <s v="1=5 X 8"/>
    <s v="01/07/2025"/>
    <s v="TEMPO DETERMINATO"/>
    <s v="31/05/2027"/>
    <s v="0015002258                    "/>
    <s v="PANARO GRAZIA"/>
    <n v="60"/>
  </r>
  <r>
    <x v="0"/>
    <n v="593"/>
    <s v="IL SOLE 24 ORE S.P.A.                   "/>
    <s v="L           "/>
    <s v="DG M&amp;B - DG SYSTEM 24"/>
    <s v="L02 "/>
    <x v="42"/>
    <s v="61400010    "/>
    <s v="61400010 SALES SUPPORT &amp; OPERATIONS"/>
    <s v="VANELLI                         "/>
    <s v="FABRIZIO          "/>
    <s v="VNLFRZ65H21F205X"/>
    <x v="1"/>
    <s v="34"/>
    <x v="0"/>
    <s v="01/04/2021"/>
    <s v="MILANO                 "/>
    <s v="21"/>
    <x v="0"/>
    <s v="I"/>
    <x v="0"/>
    <s v="AS "/>
    <s v="AS LIV. IMPIEGATO             "/>
    <s v="01/01/1992"/>
    <s v="01/01/1992"/>
    <s v="21/06/1965"/>
    <s v="A"/>
    <s v="A.IN FORZA"/>
    <s v="1  -ASSUNZIONE                1"/>
    <s v=""/>
    <s v=" "/>
    <s v=""/>
    <s v=""/>
    <n v="424"/>
    <s v="00"/>
    <n v="100"/>
    <s v="FULL TIME      100000000FF100-FULL TIME"/>
    <s v="01/01/1992"/>
    <s v=""/>
    <s v="  "/>
    <s v=""/>
    <s v="EV  "/>
    <s v="    "/>
    <s v=""/>
    <s v=""/>
    <s v="fabrizio.vanelli@ilsole24ore.com                  "/>
    <s v="F"/>
    <s v="F-FIRMA"/>
    <s v="1 "/>
    <s v="1=5 X 8"/>
    <s v="01/07/2025"/>
    <s v="TEMPO DETERMINATO"/>
    <s v="31/05/2027"/>
    <s v="0015002258                    "/>
    <s v="PANARO GRAZIA"/>
    <n v="60"/>
  </r>
  <r>
    <x v="0"/>
    <n v="3050"/>
    <s v="IL SOLE 24 ORE S.P.A.                   "/>
    <s v="L           "/>
    <s v="DG M&amp;B - DG SYSTEM 24"/>
    <s v="L02 "/>
    <x v="42"/>
    <s v="C11210      "/>
    <s v="C11210   GESTIONE ORDINI COMMERCIALI"/>
    <s v="CROCI                           "/>
    <s v="ANDREA            "/>
    <s v="CRCNDR92R16E514I"/>
    <x v="1"/>
    <s v="34"/>
    <x v="0"/>
    <s v="15/07/2022"/>
    <s v="MILANO                 "/>
    <s v="21"/>
    <x v="0"/>
    <s v="I"/>
    <x v="0"/>
    <s v="B3 "/>
    <s v="B3 LIV. IMPIEGATO             "/>
    <s v="15/07/2022"/>
    <s v="15/07/2022"/>
    <s v="16/10/1992"/>
    <s v="A"/>
    <s v="A.IN FORZA"/>
    <s v="1  -ASSUNZIONE                1"/>
    <s v=""/>
    <s v=" "/>
    <s v=""/>
    <s v=""/>
    <n v="3050"/>
    <s v="00"/>
    <n v="100"/>
    <s v="FULL TIME      100000000FF100-FULL TIME"/>
    <s v="15/07/2022"/>
    <s v=""/>
    <s v="05"/>
    <s v="INVALIDI CIVILI"/>
    <s v="EN  "/>
    <s v="    "/>
    <s v=""/>
    <s v=""/>
    <s v="andrea.croci@ilsole24ore.com                      "/>
    <s v="F"/>
    <s v="F-FIRMA"/>
    <s v="1 "/>
    <s v="1=5 X 8"/>
    <s v="01/07/2025"/>
    <s v="TEMPO DETERMINATO"/>
    <s v="31/05/2027"/>
    <s v="0015002258                    "/>
    <s v="PANARO GRAZIA"/>
    <n v="33"/>
  </r>
  <r>
    <x v="0"/>
    <n v="1288"/>
    <s v="IL SOLE 24 ORE S.P.A.                   "/>
    <s v="L           "/>
    <s v="DG M&amp;B - DG SYSTEM 24"/>
    <s v="L02 "/>
    <x v="42"/>
    <s v="C11210      "/>
    <s v="C11210   GESTIONE ORDINI COMMERCIALI"/>
    <s v="PASINI                          "/>
    <s v="SILVIA            "/>
    <s v="PSNSLV65B47F205S"/>
    <x v="0"/>
    <s v="34"/>
    <x v="0"/>
    <s v="01/04/2021"/>
    <s v="MILANO                 "/>
    <s v="21"/>
    <x v="0"/>
    <s v="I"/>
    <x v="0"/>
    <s v="A  "/>
    <s v="A LIV. IMPIEGATO              "/>
    <s v="01/09/1999"/>
    <s v="01/09/1999"/>
    <s v="07/02/1965"/>
    <s v="A"/>
    <s v="A.IN FORZA"/>
    <s v="1  -ASSUNZIONE                1"/>
    <s v=""/>
    <s v=" "/>
    <s v=""/>
    <s v=""/>
    <n v="1017"/>
    <s v="00"/>
    <n v="100"/>
    <s v="FULL TIME      100000000FF100-FULL TIME"/>
    <s v="01/09/1999"/>
    <s v=""/>
    <s v="  "/>
    <s v=""/>
    <s v="EV  "/>
    <s v="    "/>
    <s v=""/>
    <s v=""/>
    <s v="silvia.pasini@ilsole24ore.com                     "/>
    <s v="F"/>
    <s v="F-FIRMA"/>
    <s v="1 "/>
    <s v="1=5 X 8"/>
    <s v="01/07/2025"/>
    <s v="TEMPO DETERMINATO"/>
    <s v="31/05/2027"/>
    <s v="0015002258                    "/>
    <s v="PANARO GRAZIA"/>
    <n v="60"/>
  </r>
  <r>
    <x v="0"/>
    <n v="3008"/>
    <s v="IL SOLE 24 ORE S.P.A.                   "/>
    <s v="L           "/>
    <s v="DG M&amp;B - DG SYSTEM 24"/>
    <s v="L02 "/>
    <x v="42"/>
    <s v="C11210      "/>
    <s v="C11210   GESTIONE ORDINI COMMERCIALI"/>
    <s v="RICCIARDI                       "/>
    <s v="ROBERTO           "/>
    <s v="RCCRRT76S08F205G"/>
    <x v="1"/>
    <s v="34"/>
    <x v="0"/>
    <s v="01/04/2021"/>
    <s v="MILANO                 "/>
    <s v="21"/>
    <x v="0"/>
    <s v="I"/>
    <x v="0"/>
    <s v="B1 "/>
    <s v="B1 LIV. IMPIEGATO             "/>
    <s v="20/10/2020"/>
    <s v="20/10/2020"/>
    <s v="08/11/1976"/>
    <s v="A"/>
    <s v="A.IN FORZA"/>
    <s v="1  -ASSUNZIONE                1"/>
    <s v=""/>
    <s v=" "/>
    <s v=""/>
    <s v=""/>
    <n v="3008"/>
    <s v="00"/>
    <n v="100"/>
    <s v="FULL TIME      100000000FF100-FULL TIME"/>
    <s v="20/10/2020"/>
    <s v=""/>
    <s v="05"/>
    <s v="INVALIDI CIVILI"/>
    <s v="EN  "/>
    <s v="    "/>
    <s v=""/>
    <s v="U.I.L.             U.I.L"/>
    <s v="roberto.ricciardi@ilsole24ore.com                 "/>
    <s v="F"/>
    <s v="F-FIRMA"/>
    <s v="1 "/>
    <s v="1=5 X 8"/>
    <s v="01/07/2025"/>
    <s v="TEMPO DETERMINATO"/>
    <s v="31/05/2027"/>
    <s v="0015002258                    "/>
    <s v="PANARO GRAZIA"/>
    <n v="49"/>
  </r>
  <r>
    <x v="0"/>
    <n v="707"/>
    <s v="IL SOLE 24 ORE S.P.A.                   "/>
    <s v="L           "/>
    <s v="DG M&amp;B - DG SYSTEM 24"/>
    <s v="L02 "/>
    <x v="42"/>
    <s v="C11210      "/>
    <s v="C11210   GESTIONE ORDINI COMMERCIALI"/>
    <s v="ROSATI                          "/>
    <s v="RITA              "/>
    <s v="RSTRTI60E46H50ME"/>
    <x v="0"/>
    <s v="31"/>
    <x v="1"/>
    <s v="18/05/2009"/>
    <s v="ROMA                   "/>
    <s v="21"/>
    <x v="0"/>
    <s v="I"/>
    <x v="0"/>
    <s v="B1 "/>
    <s v="B1 LIV. IMPIEGATO             "/>
    <s v="09/07/1993"/>
    <s v="09/07/1993"/>
    <s v="06/05/1960"/>
    <s v="M"/>
    <s v="M.CONGEDO STRAORD."/>
    <s v="1  -ASSUNZIONE                1"/>
    <s v="20/12/2026"/>
    <s v=" "/>
    <s v=""/>
    <s v=""/>
    <n v="522"/>
    <s v="00"/>
    <n v="100"/>
    <s v="FULL TIME      100000000FF100-FULL TIME"/>
    <s v="01/03/2010"/>
    <s v=""/>
    <s v="05"/>
    <s v="INVALIDI CIVILI"/>
    <s v="EV  "/>
    <s v="    "/>
    <s v=""/>
    <s v=""/>
    <s v="rita.rosati@ilsole24ore.com                       "/>
    <s v="F"/>
    <s v="F-FIRMA"/>
    <s v="1 "/>
    <s v="1=5 X 8"/>
    <s v="01/07/2025"/>
    <s v="TEMPO DETERMINATO"/>
    <s v="31/05/2027"/>
    <s v="0015002258                    "/>
    <s v="PANARO GRAZIA"/>
    <n v="65"/>
  </r>
  <r>
    <x v="0"/>
    <n v="2159"/>
    <s v="IL SOLE 24 ORE S.P.A.                   "/>
    <s v="L           "/>
    <s v="DG M&amp;B - DG SYSTEM 24"/>
    <s v="L03 "/>
    <x v="43"/>
    <s v="612050      "/>
    <s v="612050   MARKETING &amp; BRAND CONNECT"/>
    <s v="FACCHINI                        "/>
    <s v="FRANCESCA         "/>
    <s v="FCCFNC77L58A662V"/>
    <x v="0"/>
    <s v="34"/>
    <x v="0"/>
    <s v="01/04/2021"/>
    <s v="MILANO                 "/>
    <s v="21"/>
    <x v="0"/>
    <s v="F"/>
    <x v="2"/>
    <s v="Q  "/>
    <s v="Q LIV. QUADRI                 "/>
    <s v="04/01/2007"/>
    <s v="04/01/2007"/>
    <s v="18/07/1977"/>
    <s v="A"/>
    <s v="A.IN FORZA"/>
    <s v="1  -ASSUNZIONE                1"/>
    <s v=""/>
    <s v=" "/>
    <s v=""/>
    <s v=""/>
    <n v="1628"/>
    <s v="00"/>
    <n v="100"/>
    <s v="FULL TIME      100000000FF100-FULL TIME"/>
    <s v="04/01/2007"/>
    <s v=""/>
    <s v="  "/>
    <s v=""/>
    <s v="EP  "/>
    <s v="    "/>
    <s v=""/>
    <s v=""/>
    <s v="francesca.facchini@ilsole24ore.com                "/>
    <s v="F"/>
    <s v="F-FIRMA"/>
    <s v="1 "/>
    <s v="1=5 X 8"/>
    <s v="01/07/2025"/>
    <s v="TEMPO DETERMINATO"/>
    <s v="31/05/2027"/>
    <s v="0015003047                    "/>
    <s v="VITALE MARCO"/>
    <n v="48"/>
  </r>
  <r>
    <x v="0"/>
    <n v="1158"/>
    <s v="IL SOLE 24 ORE S.P.A.                   "/>
    <s v="L           "/>
    <s v="DG M&amp;B - DG SYSTEM 24"/>
    <s v="L03 "/>
    <x v="43"/>
    <s v="612050      "/>
    <s v="612050   MARKETING &amp; BRAND CONNECT"/>
    <s v="FARINA                          "/>
    <s v="TATIANA ROBERTA   "/>
    <s v="FRNTNR67E41D150U"/>
    <x v="0"/>
    <s v="34"/>
    <x v="0"/>
    <s v="01/04/2021"/>
    <s v="MILANO                 "/>
    <s v="21"/>
    <x v="0"/>
    <s v="I"/>
    <x v="0"/>
    <s v="AS "/>
    <s v="AS LIV. IMPIEGATO             "/>
    <s v="23/07/1998"/>
    <s v="23/07/1998"/>
    <s v="01/05/1967"/>
    <s v="A"/>
    <s v="A.IN FORZA"/>
    <s v="1  -ASSUNZIONE                1"/>
    <s v=""/>
    <s v=" "/>
    <s v=""/>
    <s v=""/>
    <n v="913"/>
    <s v="00"/>
    <n v="100"/>
    <s v="FULL TIME      100000000FF100-FULL TIME"/>
    <s v="23/07/1998"/>
    <s v=""/>
    <s v="  "/>
    <s v=""/>
    <s v="EV  "/>
    <s v="    "/>
    <s v=""/>
    <s v=""/>
    <s v="tatiana.farina@ilsole24ore.com                    "/>
    <s v="F"/>
    <s v="F-FIRMA"/>
    <s v="1 "/>
    <s v="1=5 X 8"/>
    <s v="01/07/2025"/>
    <s v="TEMPO DETERMINATO"/>
    <s v="31/05/2027"/>
    <s v="0015003047                    "/>
    <s v="VITALE MARCO"/>
    <n v="58"/>
  </r>
  <r>
    <x v="0"/>
    <n v="1714"/>
    <s v="IL SOLE 24 ORE S.P.A.                   "/>
    <s v="L           "/>
    <s v="DG M&amp;B - DG SYSTEM 24"/>
    <s v="L03 "/>
    <x v="43"/>
    <s v="612050      "/>
    <s v="612050   MARKETING &amp; BRAND CONNECT"/>
    <s v="GOBBI                           "/>
    <s v="VALERIA           "/>
    <s v="GBBVLR73T63F205Y"/>
    <x v="0"/>
    <s v="34"/>
    <x v="0"/>
    <s v="01/04/2021"/>
    <s v="MILANO                 "/>
    <s v="21"/>
    <x v="0"/>
    <s v="F"/>
    <x v="2"/>
    <s v="Q  "/>
    <s v="Q LIV. QUADRI                 "/>
    <s v="03/01/2001"/>
    <s v="03/01/2001"/>
    <s v="23/12/1973"/>
    <s v="A"/>
    <s v="A.IN FORZA"/>
    <s v="1  -ASSUNZIONE                1"/>
    <s v=""/>
    <s v=" "/>
    <s v=""/>
    <s v=""/>
    <n v="1360"/>
    <s v="00"/>
    <n v="100"/>
    <s v="FULL TIME      100000000FF100-FULL TIME"/>
    <s v="03/01/2001"/>
    <s v=""/>
    <s v="  "/>
    <s v=""/>
    <s v="EV  "/>
    <s v="    "/>
    <s v=""/>
    <s v=""/>
    <s v="valeria.gobbi@ilsole24ore.com                     "/>
    <s v="F"/>
    <s v="F-FIRMA"/>
    <s v="1 "/>
    <s v="1=5 X 8"/>
    <s v="01/07/2025"/>
    <s v="TEMPO DETERMINATO"/>
    <s v="31/05/2027"/>
    <s v="0015003047                    "/>
    <s v="VITALE MARCO"/>
    <n v="52"/>
  </r>
  <r>
    <x v="0"/>
    <n v="3166"/>
    <s v="IL SOLE 24 ORE S.P.A.                   "/>
    <s v="L           "/>
    <s v="DG M&amp;B - DG SYSTEM 24"/>
    <s v="L03 "/>
    <x v="43"/>
    <s v="612050      "/>
    <s v="612050   MARKETING &amp; BRAND CONNECT"/>
    <s v="LEMMA                           "/>
    <s v="JESSICA TINA      "/>
    <s v="LMMJSC84T46F205G"/>
    <x v="0"/>
    <s v="34"/>
    <x v="0"/>
    <s v="07/01/2026"/>
    <s v="MILANO                 "/>
    <s v="21"/>
    <x v="0"/>
    <s v="I"/>
    <x v="0"/>
    <s v="AS "/>
    <s v="AS LIV. IMPIEGATO             "/>
    <s v="07/01/2026"/>
    <s v="07/01/2026"/>
    <s v="06/12/1984"/>
    <s v="A"/>
    <s v="A.IN FORZA"/>
    <s v="1  -ASSUNZIONE                1"/>
    <s v=""/>
    <s v=" "/>
    <s v=""/>
    <s v=""/>
    <n v="3166"/>
    <s v="00"/>
    <n v="100"/>
    <s v="FULL TIME      100000000FF100-FULL TIME"/>
    <s v="07/01/2026"/>
    <s v=""/>
    <s v="  "/>
    <s v=""/>
    <s v="EN  "/>
    <s v="    "/>
    <s v=""/>
    <s v=""/>
    <s v="jessicatina.lemma@ilsole24ore.com                 "/>
    <s v="F"/>
    <s v="F-FIRMA"/>
    <s v="1 "/>
    <s v="1=5 X 8"/>
    <s v=""/>
    <s v=""/>
    <s v=""/>
    <s v="0015003047                    "/>
    <s v="VITALE MARCO"/>
    <n v="41"/>
  </r>
  <r>
    <x v="0"/>
    <n v="3148"/>
    <s v="IL SOLE 24 ORE S.P.A.                   "/>
    <s v="L           "/>
    <s v="DG M&amp;B - DG SYSTEM 24"/>
    <s v="L03 "/>
    <x v="43"/>
    <s v="612050      "/>
    <s v="612050   MARKETING &amp; BRAND CONNECT"/>
    <s v="NUCCIARELLI                     "/>
    <s v="GAIA              "/>
    <s v="NCCGAI01C47G478H"/>
    <x v="0"/>
    <s v="34"/>
    <x v="0"/>
    <s v="03/02/2025"/>
    <s v="MILANO                 "/>
    <s v="21"/>
    <x v="0"/>
    <s v="I"/>
    <x v="0"/>
    <s v="B3 "/>
    <s v="B3 LIV. IMPIEGATO             "/>
    <s v="03/02/2025"/>
    <s v="03/02/2025"/>
    <s v="07/03/2001"/>
    <s v="A"/>
    <s v="A.IN FORZA"/>
    <s v="1S-ASSUNZIONE STABILIZZAZIONE 1S"/>
    <s v=""/>
    <s v=" "/>
    <s v=""/>
    <s v=""/>
    <n v="3148"/>
    <s v="00"/>
    <n v="100"/>
    <s v="FULL TIME      100000000FF100-FULL TIME"/>
    <s v="03/02/2025"/>
    <s v=""/>
    <s v="  "/>
    <s v=""/>
    <s v="EN  "/>
    <s v="    "/>
    <s v=""/>
    <s v=""/>
    <s v="gaia.nucciarelli@ilsole24ore.com                  "/>
    <s v="T"/>
    <s v="T-TIMBRA"/>
    <s v="1 "/>
    <s v="1=5 X 8"/>
    <s v="01/07/2025"/>
    <s v="TEMPO DETERMINATO"/>
    <s v="31/05/2027"/>
    <s v="0015003047                    "/>
    <s v="VITALE MARCO"/>
    <n v="24"/>
  </r>
  <r>
    <x v="0"/>
    <n v="2978"/>
    <s v="IL SOLE 24 ORE S.P.A.                   "/>
    <s v="L           "/>
    <s v="DG M&amp;B - DG SYSTEM 24"/>
    <s v="L03 "/>
    <x v="43"/>
    <s v="612050      "/>
    <s v="612050   MARKETING &amp; BRAND CONNECT"/>
    <s v="RAMELLI                         "/>
    <s v="MATTEO            "/>
    <s v="RMLMTT89L11C751W"/>
    <x v="1"/>
    <s v="34"/>
    <x v="0"/>
    <s v="01/04/2021"/>
    <s v="MILANO                 "/>
    <s v="21"/>
    <x v="0"/>
    <s v="I"/>
    <x v="0"/>
    <s v="B1 "/>
    <s v="B1 LIV. IMPIEGATO             "/>
    <s v="02/09/2019"/>
    <s v="02/09/2019"/>
    <s v="11/07/1989"/>
    <s v="A"/>
    <s v="A.IN FORZA"/>
    <s v="1  -ASSUNZIONE                1"/>
    <s v=""/>
    <s v=" "/>
    <s v=""/>
    <s v=""/>
    <n v="2978"/>
    <s v="00"/>
    <n v="100"/>
    <s v="FULL TIME      100000000FF100-FULL TIME"/>
    <s v="02/09/2019"/>
    <s v=""/>
    <s v="  "/>
    <s v=""/>
    <s v="EN  "/>
    <s v="    "/>
    <s v=""/>
    <s v=""/>
    <s v="matteo.ramelli@ilsole24ore.com                    "/>
    <s v="T"/>
    <s v="T-TIMBRA"/>
    <s v="1 "/>
    <s v="1=5 X 8"/>
    <s v="01/07/2025"/>
    <s v="TEMPO DETERMINATO"/>
    <s v="31/05/2027"/>
    <s v="0015003047                    "/>
    <s v="VITALE MARCO"/>
    <n v="36"/>
  </r>
  <r>
    <x v="0"/>
    <n v="982"/>
    <s v="IL SOLE 24 ORE S.P.A.                   "/>
    <s v="L           "/>
    <s v="DG M&amp;B - DG SYSTEM 24"/>
    <s v="L03 "/>
    <x v="43"/>
    <s v="612050      "/>
    <s v="612050   MARKETING &amp; BRAND CONNECT"/>
    <s v="SCURTO                          "/>
    <s v="VALENTINA         "/>
    <s v="SCRVNT72B50F205A"/>
    <x v="0"/>
    <s v="34"/>
    <x v="0"/>
    <s v="01/04/2021"/>
    <s v="MILANO                 "/>
    <s v="21"/>
    <x v="0"/>
    <s v="I"/>
    <x v="0"/>
    <s v="B1 "/>
    <s v="B1 LIV. IMPIEGATO             "/>
    <s v="01/01/1997"/>
    <s v="03/05/1993"/>
    <s v="10/02/1972"/>
    <s v="A"/>
    <s v="A.IN FORZA"/>
    <s v="1  -ASSUNZIONE                1"/>
    <s v=""/>
    <s v=" "/>
    <s v=""/>
    <s v=""/>
    <n v="758"/>
    <s v="00"/>
    <n v="100"/>
    <s v="FULL TIME      100000000FF100-FULL TIME"/>
    <s v="01/01/2014"/>
    <s v=""/>
    <s v="  "/>
    <s v=""/>
    <s v="EV  "/>
    <s v="    "/>
    <s v=""/>
    <s v=""/>
    <s v="valentina.scurto@ilsole24ore.com                  "/>
    <s v="F"/>
    <s v="F-FIRMA"/>
    <s v="1 "/>
    <s v="1=5 X 8"/>
    <s v="01/07/2025"/>
    <s v="TEMPO DETERMINATO"/>
    <s v="31/05/2027"/>
    <s v="0015003047                    "/>
    <s v="VITALE MARCO"/>
    <n v="53"/>
  </r>
  <r>
    <x v="0"/>
    <n v="470"/>
    <s v="IL SOLE 24 ORE S.P.A.                   "/>
    <s v="L           "/>
    <s v="DG M&amp;B - DG SYSTEM 24"/>
    <s v="L03 "/>
    <x v="43"/>
    <s v="612050      "/>
    <s v="612050   MARKETING &amp; BRAND CONNECT"/>
    <s v="WOLTER                          "/>
    <s v="MARIA PAOLA MADDAL"/>
    <s v="WLTMPL65L45F205H"/>
    <x v="0"/>
    <s v="34"/>
    <x v="0"/>
    <s v="01/04/2021"/>
    <s v="MILANO                 "/>
    <s v="21"/>
    <x v="0"/>
    <s v="I"/>
    <x v="0"/>
    <s v="A  "/>
    <s v="A LIV. IMPIEGATO              "/>
    <s v="14/02/1990"/>
    <s v="14/02/1990"/>
    <s v="05/07/1965"/>
    <s v="A"/>
    <s v="A.IN FORZA"/>
    <s v="1  -ASSUNZIONE                1"/>
    <s v=""/>
    <s v=" "/>
    <s v=""/>
    <s v=""/>
    <n v="334"/>
    <s v="00"/>
    <n v="100"/>
    <s v="FULL TIME      100000000FF100-FULL TIME"/>
    <s v="14/02/1990"/>
    <s v=""/>
    <s v="05"/>
    <s v="INVALIDI CIVILI"/>
    <s v="EP  "/>
    <s v="    "/>
    <s v=""/>
    <s v=""/>
    <s v="Maria.Wolter@ilsole24ore.com                      "/>
    <s v="F"/>
    <s v="F-FIRMA"/>
    <s v="1 "/>
    <s v="1=5 X 8"/>
    <s v="01/07/2025"/>
    <s v="TEMPO DETERMINATO"/>
    <s v="31/05/2027"/>
    <s v="0015003047                    "/>
    <s v="VITALE MARCO"/>
    <n v="60"/>
  </r>
  <r>
    <x v="0"/>
    <n v="3098"/>
    <s v="IL SOLE 24 ORE S.P.A.                   "/>
    <s v="L           "/>
    <s v="DG M&amp;B - DG SYSTEM 24"/>
    <s v="L03 "/>
    <x v="43"/>
    <s v="612300      "/>
    <s v="612300 ANALISI E RICERCHE SYSTEM24"/>
    <s v="IZZO                            "/>
    <s v="FULVIOMARIA       "/>
    <s v="ZZIFVM83H05F912W"/>
    <x v="1"/>
    <s v="34"/>
    <x v="0"/>
    <s v="16/10/2023"/>
    <s v="MILANO                 "/>
    <s v="21"/>
    <x v="0"/>
    <s v="F"/>
    <x v="2"/>
    <s v="Q  "/>
    <s v="Q LIV. QUADRI                 "/>
    <s v="16/10/2023"/>
    <s v="16/10/2023"/>
    <s v="05/06/1983"/>
    <s v="A"/>
    <s v="A.IN FORZA"/>
    <s v="1  -ASSUNZIONE                1"/>
    <s v=""/>
    <s v=" "/>
    <s v=""/>
    <s v=""/>
    <n v="3098"/>
    <s v="00"/>
    <n v="100"/>
    <s v="FULL TIME      100000000FF100-FULL TIME"/>
    <s v="16/10/2023"/>
    <s v=""/>
    <s v="  "/>
    <s v=""/>
    <s v="EN  "/>
    <s v="    "/>
    <s v=""/>
    <s v=""/>
    <s v="fulviomaria.izzo@ilsole24ore.com                  "/>
    <s v="F"/>
    <s v="F-FIRMA"/>
    <s v="1 "/>
    <s v="1=5 X 8"/>
    <s v="01/07/2025"/>
    <s v="TEMPO DETERMINATO"/>
    <s v="31/05/2027"/>
    <s v="0015003047                    "/>
    <s v="VITALE MARCO"/>
    <n v="42"/>
  </r>
  <r>
    <x v="0"/>
    <n v="931"/>
    <s v="IL SOLE 24 ORE S.P.A.                   "/>
    <s v="L           "/>
    <s v="DG M&amp;B - DG SYSTEM 24"/>
    <s v="L03 "/>
    <x v="43"/>
    <s v="612300      "/>
    <s v="612300 ANALISI E RICERCHE SYSTEM24"/>
    <s v="LEONESIO                        "/>
    <s v="BARBARA           "/>
    <s v="LNSBBR69B62A940E"/>
    <x v="0"/>
    <s v="34"/>
    <x v="0"/>
    <s v="01/04/2021"/>
    <s v="MILANO                 "/>
    <s v="21"/>
    <x v="0"/>
    <s v="I"/>
    <x v="0"/>
    <s v="AS "/>
    <s v="AS LIV. IMPIEGATO             "/>
    <s v="09/09/1996"/>
    <s v="09/09/1996"/>
    <s v="22/02/1969"/>
    <s v="A"/>
    <s v="A.IN FORZA"/>
    <s v="1  -ASSUNZIONE                1"/>
    <s v=""/>
    <s v=" "/>
    <s v=""/>
    <s v=""/>
    <n v="712"/>
    <s v="00"/>
    <n v="100"/>
    <s v="FULL TIME      100000000FF100-FULL TIME"/>
    <s v="09/09/1996"/>
    <s v=""/>
    <s v="  "/>
    <s v=""/>
    <s v="EV  "/>
    <s v="    "/>
    <s v=""/>
    <s v=""/>
    <s v="barbara.leonesio@ilsole24ore.com                  "/>
    <s v="F"/>
    <s v="F-FIRMA"/>
    <s v="1 "/>
    <s v="1=5 X 8"/>
    <s v="01/07/2025"/>
    <s v="TEMPO DETERMINATO"/>
    <s v="31/05/2027"/>
    <s v="0015003047                    "/>
    <s v="VITALE MARCO"/>
    <n v="56"/>
  </r>
  <r>
    <x v="0"/>
    <n v="2038"/>
    <s v="IL SOLE 24 ORE S.P.A.                   "/>
    <s v="L           "/>
    <s v="DG M&amp;B - DG SYSTEM 24"/>
    <s v="L03 "/>
    <x v="43"/>
    <s v="612300      "/>
    <s v="612300 ANALISI E RICERCHE SYSTEM24"/>
    <s v="LUVIE'                          "/>
    <s v="ELENA             "/>
    <s v="LVULNE73R46F205Q"/>
    <x v="0"/>
    <s v="34"/>
    <x v="0"/>
    <s v="01/04/2021"/>
    <s v="MILANO                 "/>
    <s v="21"/>
    <x v="0"/>
    <s v="I"/>
    <x v="0"/>
    <s v="A  "/>
    <s v="A LIV. IMPIEGATO              "/>
    <s v="13/12/2004"/>
    <s v="13/12/2004"/>
    <s v="06/10/1973"/>
    <s v="A"/>
    <s v="A.IN FORZA"/>
    <s v="1  -ASSUNZIONE                1"/>
    <s v=""/>
    <s v=" "/>
    <s v=""/>
    <s v=""/>
    <n v="1559"/>
    <s v="00"/>
    <n v="100"/>
    <s v="FULL TIME      100000000FF100-FULL TIME"/>
    <s v="13/12/2004"/>
    <s v=""/>
    <s v="  "/>
    <s v=""/>
    <s v="EV  "/>
    <s v="    "/>
    <s v=""/>
    <s v=""/>
    <s v="elena.luvie@ilsole24ore.com                       "/>
    <s v="F"/>
    <s v="F-FIRMA"/>
    <s v="1 "/>
    <s v="1=5 X 8"/>
    <s v="01/07/2025"/>
    <s v="TEMPO DETERMINATO"/>
    <s v="31/05/2027"/>
    <s v="0015003047                    "/>
    <s v="VITALE MARCO"/>
    <n v="52"/>
  </r>
  <r>
    <x v="0"/>
    <n v="2039"/>
    <s v="IL SOLE 24 ORE S.P.A.                   "/>
    <s v="L           "/>
    <s v="DG M&amp;B - DG SYSTEM 24"/>
    <s v="L03 "/>
    <x v="43"/>
    <s v="612300      "/>
    <s v="612300 ANALISI E RICERCHE SYSTEM24"/>
    <s v="SCUTERI                         "/>
    <s v="MICHELA           "/>
    <s v="SCTMHL77T52F205J"/>
    <x v="0"/>
    <s v="34"/>
    <x v="0"/>
    <s v="01/04/2021"/>
    <s v="MILANO                 "/>
    <s v="21"/>
    <x v="0"/>
    <s v="I"/>
    <x v="0"/>
    <s v="A  "/>
    <s v="A LIV. IMPIEGATO              "/>
    <s v="13/12/2004"/>
    <s v="13/12/2004"/>
    <s v="12/12/1977"/>
    <s v="A"/>
    <s v="A.IN FORZA"/>
    <s v="1  -ASSUNZIONE                1"/>
    <s v=""/>
    <s v=" "/>
    <s v=""/>
    <s v=""/>
    <n v="1560"/>
    <s v="00"/>
    <n v="100"/>
    <s v="FULL TIME      100000000FF100-FULL TIME"/>
    <s v="13/12/2004"/>
    <s v=""/>
    <s v="  "/>
    <s v=""/>
    <s v="EV  "/>
    <s v="    "/>
    <s v=""/>
    <s v=""/>
    <s v="michela.scuteri@ilsole24ore.com                   "/>
    <s v="F"/>
    <s v="F-FIRMA"/>
    <s v="1 "/>
    <s v="1=5 X 8"/>
    <s v="01/07/2025"/>
    <s v="TEMPO DETERMINATO"/>
    <s v="31/05/2027"/>
    <s v="0015003047                    "/>
    <s v="VITALE MARCO"/>
    <n v="48"/>
  </r>
  <r>
    <x v="0"/>
    <n v="992"/>
    <s v="IL SOLE 24 ORE S.P.A.                   "/>
    <s v="L           "/>
    <s v="DG M&amp;B - DG SYSTEM 24"/>
    <s v="L04 "/>
    <x v="44"/>
    <s v="611310      "/>
    <s v="611310   PIANIF. E IMPAGINAZ. QUOTIDIANO"/>
    <s v="CASTRIOTA                       "/>
    <s v="EUGENIO GIORGIO   "/>
    <s v="CSTGGR68R16E514T"/>
    <x v="1"/>
    <s v="34"/>
    <x v="0"/>
    <s v="01/04/2021"/>
    <s v="MILANO                 "/>
    <s v="21"/>
    <x v="0"/>
    <s v="I"/>
    <x v="0"/>
    <s v="B1 "/>
    <s v="B1 LIV. IMPIEGATO             "/>
    <s v="01/02/1997"/>
    <s v="05/06/1992"/>
    <s v="16/10/1968"/>
    <s v="A"/>
    <s v="A.IN FORZA"/>
    <s v="1  -ASSUNZIONE                1"/>
    <s v=""/>
    <s v=" "/>
    <s v=""/>
    <s v=""/>
    <n v="768"/>
    <s v="00"/>
    <n v="100"/>
    <s v="FULL TIME      100000000FF100-FULL TIME"/>
    <s v="01/02/1997"/>
    <s v=""/>
    <s v="  "/>
    <s v=""/>
    <s v="EP  "/>
    <s v="    "/>
    <s v=""/>
    <s v="U.I.L.             U.I.L"/>
    <s v="eugenio.castriota@ilsole24ore.com                 "/>
    <s v="F"/>
    <s v="F-FIRMA"/>
    <s v="1 "/>
    <s v="1=5 X 8"/>
    <s v="01/07/2025"/>
    <s v="TEMPO DETERMINATO"/>
    <s v="31/05/2027"/>
    <s v="0015001586                    "/>
    <s v="BRAMBILLA ALESSANDRA MARIA"/>
    <n v="57"/>
  </r>
  <r>
    <x v="0"/>
    <n v="2037"/>
    <s v="IL SOLE 24 ORE S.P.A.                   "/>
    <s v="L           "/>
    <s v="DG M&amp;B - DG SYSTEM 24"/>
    <s v="L04 "/>
    <x v="44"/>
    <s v="611310      "/>
    <s v="611310   PIANIF. E IMPAGINAZ. QUOTIDIANO"/>
    <s v="CRIVELLI                        "/>
    <s v="SILVIA            "/>
    <s v="CRVSLV76B64F205G"/>
    <x v="0"/>
    <s v="34"/>
    <x v="0"/>
    <s v="01/04/2021"/>
    <s v="MILANO                 "/>
    <s v="21"/>
    <x v="0"/>
    <s v="I"/>
    <x v="0"/>
    <s v="B2 "/>
    <s v="B2 LIV. IMPIEGATO             "/>
    <s v="13/12/2004"/>
    <s v="13/12/2004"/>
    <s v="24/02/1976"/>
    <s v="A"/>
    <s v="A.IN FORZA"/>
    <s v="1  -ASSUNZIONE                1"/>
    <s v=""/>
    <s v=" "/>
    <s v=""/>
    <s v=""/>
    <n v="1558"/>
    <s v="00"/>
    <n v="100"/>
    <s v="FULL TIME      100000000FF100-FULL TIME"/>
    <s v="13/12/2004"/>
    <s v=""/>
    <s v="  "/>
    <s v=""/>
    <s v="EV  "/>
    <s v="    "/>
    <s v=""/>
    <s v=""/>
    <s v="silvia.crivelli@ilsole24ore.com                   "/>
    <s v="T"/>
    <s v="T-TIMBRA"/>
    <s v="1 "/>
    <s v="1=5 X 8"/>
    <s v="01/07/2025"/>
    <s v="TEMPO DETERMINATO"/>
    <s v="31/05/2027"/>
    <s v="0015001586                    "/>
    <s v="BRAMBILLA ALESSANDRA MARIA"/>
    <n v="49"/>
  </r>
  <r>
    <x v="0"/>
    <n v="1661"/>
    <s v="IL SOLE 24 ORE S.P.A.                   "/>
    <s v="L           "/>
    <s v="DG M&amp;B - DG SYSTEM 24"/>
    <s v="L04 "/>
    <x v="44"/>
    <s v="611310      "/>
    <s v="611310   PIANIF. E IMPAGINAZ. QUOTIDIANO"/>
    <s v="MONTAGNA                        "/>
    <s v="ANNAMARIA         "/>
    <s v="MNTNMR70T69G388J"/>
    <x v="0"/>
    <s v="34"/>
    <x v="0"/>
    <s v="01/04/2021"/>
    <s v="MILANO                 "/>
    <s v="21"/>
    <x v="0"/>
    <s v="I"/>
    <x v="0"/>
    <s v="B1 "/>
    <s v="B1 LIV. IMPIEGATO             "/>
    <s v="01/11/2000"/>
    <s v="01/11/2000"/>
    <s v="29/12/1970"/>
    <s v="A"/>
    <s v="A.IN FORZA"/>
    <s v="1  -ASSUNZIONE                1"/>
    <s v=""/>
    <s v=" "/>
    <s v=""/>
    <s v=""/>
    <n v="1322"/>
    <s v="00"/>
    <n v="100"/>
    <s v="FULL TIME      100000000FF100-FULL TIME"/>
    <s v="01/11/2000"/>
    <s v=""/>
    <s v="  "/>
    <s v=""/>
    <s v="EV  "/>
    <s v="    "/>
    <s v=""/>
    <s v="U.I.L.             U.I.L"/>
    <s v="annamaria.montagna@ilsole24ore.com                "/>
    <s v="F"/>
    <s v="F-FIRMA"/>
    <s v="1 "/>
    <s v="1=5 X 8"/>
    <s v="01/07/2025"/>
    <s v="TEMPO DETERMINATO"/>
    <s v="31/05/2027"/>
    <s v="0015001586                    "/>
    <s v="BRAMBILLA ALESSANDRA MARIA"/>
    <n v="55"/>
  </r>
  <r>
    <x v="0"/>
    <n v="1230"/>
    <s v="IL SOLE 24 ORE S.P.A.                   "/>
    <s v="L           "/>
    <s v="DG M&amp;B - DG SYSTEM 24"/>
    <s v="L04 "/>
    <x v="44"/>
    <s v="611310      "/>
    <s v="611310   PIANIF. E IMPAGINAZ. QUOTIDIANO"/>
    <s v="RAIMONDI                        "/>
    <s v="NADIA             "/>
    <s v="RMNNDA75C47E801B"/>
    <x v="0"/>
    <s v="34"/>
    <x v="0"/>
    <s v="01/04/2021"/>
    <s v="MILANO                 "/>
    <s v="21"/>
    <x v="0"/>
    <s v="I"/>
    <x v="0"/>
    <s v="A  "/>
    <s v="A LIV. IMPIEGATO              "/>
    <s v="08/02/1999"/>
    <s v="08/02/1999"/>
    <s v="07/03/1975"/>
    <s v="A"/>
    <s v="A.IN FORZA"/>
    <s v="1  -ASSUNZIONE                1"/>
    <s v=""/>
    <s v=" "/>
    <s v=""/>
    <s v=""/>
    <n v="970"/>
    <s v="00"/>
    <n v="100"/>
    <s v="FULL TIME      100000000FF100-FULL TIME"/>
    <s v="08/02/1999"/>
    <s v=""/>
    <s v="  "/>
    <s v=""/>
    <s v="EV  "/>
    <s v="    "/>
    <s v=""/>
    <s v="U.I.L.             U.I.L"/>
    <s v="nadia.raimondi@ilsole24ore.com                    "/>
    <s v="F"/>
    <s v="F-FIRMA"/>
    <s v="1 "/>
    <s v="1=5 X 8"/>
    <s v="01/07/2025"/>
    <s v="TEMPO DETERMINATO"/>
    <s v="31/05/2027"/>
    <s v="0015001586                    "/>
    <s v="BRAMBILLA ALESSANDRA MARIA"/>
    <n v="50"/>
  </r>
  <r>
    <x v="0"/>
    <n v="3043"/>
    <s v="IL SOLE 24 ORE S.P.A.                   "/>
    <s v="L           "/>
    <s v="DG M&amp;B - DG SYSTEM 24"/>
    <s v="L04 "/>
    <x v="44"/>
    <s v="611310      "/>
    <s v="611310   PIANIF. E IMPAGINAZ. QUOTIDIANO"/>
    <s v="STRADA                          "/>
    <s v="ELISA             "/>
    <s v="STRLSE75S69E063P"/>
    <x v="0"/>
    <s v="34"/>
    <x v="0"/>
    <s v="23/05/2022"/>
    <s v="MILANO                 "/>
    <s v="21"/>
    <x v="0"/>
    <s v="I"/>
    <x v="0"/>
    <s v="B2 "/>
    <s v="B2 LIV. IMPIEGATO             "/>
    <s v="23/05/2022"/>
    <s v="23/05/2022"/>
    <s v="29/11/1975"/>
    <s v="A"/>
    <s v="A.IN FORZA"/>
    <s v="1  -ASSUNZIONE                1"/>
    <s v=""/>
    <s v=" "/>
    <s v=""/>
    <s v=""/>
    <n v="3043"/>
    <s v="00"/>
    <n v="100"/>
    <s v="FULL TIME      100000000FF100-FULL TIME"/>
    <s v="23/05/2022"/>
    <s v=""/>
    <s v="  "/>
    <s v=""/>
    <s v="EN  "/>
    <s v="    "/>
    <s v=""/>
    <s v="U.I.L.             U.I.L"/>
    <s v="elisa.strada@ilsole24ore.com                      "/>
    <s v="F"/>
    <s v="F-FIRMA"/>
    <s v="1 "/>
    <s v="1=5 X 8"/>
    <s v="01/07/2025"/>
    <s v="TEMPO DETERMINATO"/>
    <s v="31/05/2027"/>
    <s v="0015001586                    "/>
    <s v="BRAMBILLA ALESSANDRA MARIA"/>
    <n v="50"/>
  </r>
  <r>
    <x v="0"/>
    <n v="1586"/>
    <s v="IL SOLE 24 ORE S.P.A.                   "/>
    <s v="L           "/>
    <s v="DG M&amp;B - DG SYSTEM 24"/>
    <s v="L04 "/>
    <x v="44"/>
    <s v="61131010    "/>
    <s v="61131010 OPERATIONS EDITORIALE ADVERTISI"/>
    <s v="BRAMBILLA                       "/>
    <s v="ALESSANDRA MARIA  "/>
    <s v="BRMLSN68E52F205G"/>
    <x v="0"/>
    <s v="34"/>
    <x v="0"/>
    <s v="01/04/2021"/>
    <s v="MILANO                 "/>
    <s v="21"/>
    <x v="0"/>
    <s v="F"/>
    <x v="2"/>
    <s v="Q  "/>
    <s v="Q LIV. QUADRI                 "/>
    <s v="03/07/2000"/>
    <s v="03/07/2000"/>
    <s v="12/05/1968"/>
    <s v="A"/>
    <s v="A.IN FORZA"/>
    <s v="1  -ASSUNZIONE                1"/>
    <s v=""/>
    <s v=" "/>
    <s v=""/>
    <s v=""/>
    <n v="1256"/>
    <s v="00"/>
    <n v="100"/>
    <s v="FULL TIME      100000000FF100-FULL TIME"/>
    <s v="03/07/2000"/>
    <s v=""/>
    <s v="  "/>
    <s v=""/>
    <s v="EV  "/>
    <s v="    "/>
    <s v=""/>
    <s v=""/>
    <s v="alessandra.brambilla@ilsole24ore.com              "/>
    <s v="F"/>
    <s v="F-FIRMA"/>
    <s v="1 "/>
    <s v="1=5 X 8"/>
    <s v="11/10/2025"/>
    <s v="TEMPO DETERMINATO"/>
    <s v="31/05/2027"/>
    <s v="0015002964                    "/>
    <s v="FERRARIO ANTONIO DANILO"/>
    <n v="57"/>
  </r>
  <r>
    <x v="0"/>
    <n v="1963"/>
    <s v="IL SOLE 24 ORE S.P.A.                   "/>
    <s v="L           "/>
    <s v="DG M&amp;B - DG SYSTEM 24"/>
    <s v="L04 "/>
    <x v="44"/>
    <s v="611320      "/>
    <s v="611320   PIANIF. E IMPAG. PERIOD E RADIO"/>
    <s v="CORDIOLI                        "/>
    <s v="LAURA MARIA       "/>
    <s v="CRDLMR67B41F205U"/>
    <x v="0"/>
    <s v="34"/>
    <x v="0"/>
    <s v="01/04/2021"/>
    <s v="MILANO                 "/>
    <s v="21"/>
    <x v="0"/>
    <s v="I"/>
    <x v="0"/>
    <s v="B1 "/>
    <s v="B1 LIV. IMPIEGATO             "/>
    <s v="01/07/2003"/>
    <s v="01/07/2003"/>
    <s v="01/02/1967"/>
    <s v="A"/>
    <s v="A.IN FORZA"/>
    <s v="1  -ASSUNZIONE                1"/>
    <s v=""/>
    <s v=" "/>
    <s v=""/>
    <s v=""/>
    <n v="1530"/>
    <s v="00"/>
    <n v="100"/>
    <s v="FULL TIME      100000000FF100-FULL TIME"/>
    <s v="01/07/2003"/>
    <s v=""/>
    <s v="  "/>
    <s v=""/>
    <s v="EV  "/>
    <s v="    "/>
    <s v=""/>
    <s v="U.I.L.             U.I.L"/>
    <s v="laura.cordioli@ilsole24ore.com                    "/>
    <s v="F"/>
    <s v="F-FIRMA"/>
    <s v="1 "/>
    <s v="1=5 X 8"/>
    <s v="01/07/2025"/>
    <s v="TEMPO DETERMINATO"/>
    <s v="31/05/2027"/>
    <s v="0015001586                    "/>
    <s v="BRAMBILLA ALESSANDRA MARIA"/>
    <n v="58"/>
  </r>
  <r>
    <x v="0"/>
    <n v="321"/>
    <s v="IL SOLE 24 ORE S.P.A.                   "/>
    <s v="L           "/>
    <s v="DG M&amp;B - DG SYSTEM 24"/>
    <s v="L04 "/>
    <x v="44"/>
    <s v="611320      "/>
    <s v="611320   PIANIF. E IMPAG. PERIOD E RADIO"/>
    <s v="FUSARI                          "/>
    <s v="GIULIANA          "/>
    <s v="FSRGLN67B46F205W"/>
    <x v="0"/>
    <s v="34"/>
    <x v="0"/>
    <s v="01/04/2021"/>
    <s v="MILANO                 "/>
    <s v="21"/>
    <x v="0"/>
    <s v="I"/>
    <x v="0"/>
    <s v="B1 "/>
    <s v="B1 LIV. IMPIEGATO             "/>
    <s v="22/02/1988"/>
    <s v="22/02/1988"/>
    <s v="06/02/1967"/>
    <s v="A"/>
    <s v="A.IN FORZA"/>
    <s v="1  -ASSUNZIONE                1"/>
    <s v=""/>
    <s v=" "/>
    <s v=""/>
    <s v=""/>
    <n v="227"/>
    <s v="00"/>
    <n v="100"/>
    <s v="FULL TIME      100000000FF100-FULL TIME"/>
    <s v="22/02/1988"/>
    <s v=""/>
    <s v="  "/>
    <s v=""/>
    <s v="EV  "/>
    <s v="    "/>
    <s v=""/>
    <s v=""/>
    <s v="giuliana.fusari@ilsole24ore.com                   "/>
    <s v="F"/>
    <s v="F-FIRMA"/>
    <s v="1 "/>
    <s v="1=5 X 8"/>
    <s v="01/07/2025"/>
    <s v="TEMPO DETERMINATO"/>
    <s v="31/05/2027"/>
    <s v="0015001586                    "/>
    <s v="BRAMBILLA ALESSANDRA MARIA"/>
    <n v="58"/>
  </r>
  <r>
    <x v="0"/>
    <n v="752"/>
    <s v="IL SOLE 24 ORE S.P.A.                   "/>
    <s v="L           "/>
    <s v="DG M&amp;B - DG SYSTEM 24"/>
    <s v="L04 "/>
    <x v="44"/>
    <s v="611320      "/>
    <s v="611320   PIANIF. E IMPAG. PERIOD E RADIO"/>
    <s v="MARANGIO                        "/>
    <s v="FLAVIA            "/>
    <s v="MRNFLV67C50Z110P"/>
    <x v="0"/>
    <s v="34"/>
    <x v="0"/>
    <s v="01/04/2021"/>
    <s v="MILANO                 "/>
    <s v="21"/>
    <x v="0"/>
    <s v="I"/>
    <x v="0"/>
    <s v="B1 "/>
    <s v="B1 LIV. IMPIEGATO             "/>
    <s v="16/03/1994"/>
    <s v="16/03/1994"/>
    <s v="10/03/1967"/>
    <s v="A"/>
    <s v="A.IN FORZA"/>
    <s v="1  -ASSUNZIONE                1"/>
    <s v=""/>
    <s v=" "/>
    <s v=""/>
    <s v=""/>
    <n v="563"/>
    <s v="00"/>
    <n v="100"/>
    <s v="FULL TIME      100000000FF100-FULL TIME"/>
    <s v="16/03/1994"/>
    <s v=""/>
    <s v="  "/>
    <s v=""/>
    <s v="EV  "/>
    <s v="    "/>
    <s v=""/>
    <s v="NON ISCRITTO       NON ISCRITTO"/>
    <s v="flavia.marangio@ilsole24ore.com                   "/>
    <s v="T"/>
    <s v="T-TIMBRA"/>
    <s v="1 "/>
    <s v="1=5 X 8"/>
    <s v="01/07/2025"/>
    <s v="TEMPO DETERMINATO"/>
    <s v="31/05/2027"/>
    <s v="0015001586                    "/>
    <s v="BRAMBILLA ALESSANDRA MARIA"/>
    <n v="58"/>
  </r>
  <r>
    <x v="0"/>
    <n v="549"/>
    <s v="IL SOLE 24 ORE S.P.A.                   "/>
    <s v="L           "/>
    <s v="DG M&amp;B - DG SYSTEM 24"/>
    <s v="L05 "/>
    <x v="44"/>
    <s v="612100      "/>
    <s v="612100   VENDITE ADVT TIPOLOGIA DI SERV."/>
    <s v="BEZZE                           "/>
    <s v="NADIA             "/>
    <s v="BZZNDA68R55A010Q"/>
    <x v="0"/>
    <s v="34"/>
    <x v="0"/>
    <s v="01/04/2021"/>
    <s v="MILANO                 "/>
    <s v="21"/>
    <x v="0"/>
    <s v="I"/>
    <x v="0"/>
    <s v="B1 "/>
    <s v="B1 LIV. IMPIEGATO             "/>
    <s v="02/09/1991"/>
    <s v="02/09/1991"/>
    <s v="15/10/1968"/>
    <s v="A"/>
    <s v="A.IN FORZA"/>
    <s v="1  -ASSUNZIONE                1"/>
    <s v=""/>
    <s v=" "/>
    <s v=""/>
    <s v=""/>
    <n v="385"/>
    <s v="00"/>
    <n v="100"/>
    <s v="FULL TIME      100000000FF100-FULL TIME"/>
    <s v="02/09/1991"/>
    <s v=""/>
    <s v="  "/>
    <s v=""/>
    <s v="EV  "/>
    <s v="    "/>
    <s v=""/>
    <s v=""/>
    <s v="nadia.bezze@ilsole24ore.com                       "/>
    <s v="T"/>
    <s v="T-TIMBRA"/>
    <s v="1 "/>
    <s v="1=5 X 8"/>
    <s v="01/07/2025"/>
    <s v="TEMPO DETERMINATO"/>
    <s v="31/05/2027"/>
    <s v="0015002964                    "/>
    <s v="FERRARIO ANTONIO DANILO"/>
    <n v="57"/>
  </r>
  <r>
    <x v="0"/>
    <n v="2036"/>
    <s v="IL SOLE 24 ORE S.P.A.                   "/>
    <s v="L           "/>
    <s v="DG M&amp;B - DG SYSTEM 24"/>
    <s v="L05 "/>
    <x v="44"/>
    <s v="612100      "/>
    <s v="612100   VENDITE ADVT TIPOLOGIA DI SERV."/>
    <s v="FOSSATI                         "/>
    <s v="LAURA MANUELA     "/>
    <s v="FSSLMN76D69F205J"/>
    <x v="0"/>
    <s v="34"/>
    <x v="0"/>
    <s v="01/04/2021"/>
    <s v="MILANO                 "/>
    <s v="21"/>
    <x v="0"/>
    <s v="F"/>
    <x v="2"/>
    <s v="Q  "/>
    <s v="Q LIV. QUADRI                 "/>
    <s v="13/12/2004"/>
    <s v="13/12/2004"/>
    <s v="29/04/1976"/>
    <s v="A"/>
    <s v="A.IN FORZA"/>
    <s v="1  -ASSUNZIONE                1"/>
    <s v=""/>
    <s v=" "/>
    <s v=""/>
    <s v=""/>
    <n v="1557"/>
    <s v="00"/>
    <n v="100"/>
    <s v="FULL TIME      100000000FF100-FULL TIME"/>
    <s v="13/12/2004"/>
    <s v=""/>
    <s v="  "/>
    <s v=""/>
    <s v="EV  "/>
    <s v="    "/>
    <s v=""/>
    <s v=""/>
    <s v="laura.fossati@ilsole24ore.com                     "/>
    <s v="F"/>
    <s v="F-FIRMA"/>
    <s v="1 "/>
    <s v="1=5 X 8"/>
    <s v="01/07/2025"/>
    <s v="TEMPO DETERMINATO"/>
    <s v="31/05/2027"/>
    <s v="0015002964                    "/>
    <s v="FERRARIO ANTONIO DANILO"/>
    <n v="49"/>
  </r>
  <r>
    <x v="0"/>
    <n v="2964"/>
    <s v="IL SOLE 24 ORE S.P.A.                   "/>
    <s v="L           "/>
    <s v="DG M&amp;B - DG SYSTEM 24"/>
    <s v="L05 "/>
    <x v="44"/>
    <s v="616000      "/>
    <s v="616000   ADVERTISING STAMPA"/>
    <s v="FERRARIO                        "/>
    <s v="ANTONIO DANILO    "/>
    <s v="FRRNND65B19I690T"/>
    <x v="1"/>
    <s v="34"/>
    <x v="0"/>
    <s v="01/04/2021"/>
    <s v="MILANO                 "/>
    <s v="90"/>
    <x v="1"/>
    <s v="D"/>
    <x v="1"/>
    <s v="D  "/>
    <s v="DIRIGENTE INDUSTRIA           "/>
    <s v="01/12/2018"/>
    <s v="01/12/2018"/>
    <s v="19/02/1965"/>
    <s v="A"/>
    <s v="A.IN FORZA"/>
    <s v="1  -ASSUNZIONE                1"/>
    <s v=""/>
    <s v=" "/>
    <s v=""/>
    <s v=""/>
    <n v="2964"/>
    <s v="00"/>
    <n v="100"/>
    <s v="FULL TIME      100000000FF100-FULL TIME"/>
    <s v="01/12/2018"/>
    <s v=""/>
    <s v="  "/>
    <s v=""/>
    <s v="DD  "/>
    <s v="    "/>
    <s v=""/>
    <s v=""/>
    <s v="danilo.ferrario@ilsole24ore.com                   "/>
    <s v="F"/>
    <s v="F-FIRMA"/>
    <s v="1 "/>
    <s v="1=5 X 8"/>
    <s v=""/>
    <s v=""/>
    <s v=""/>
    <s v="0015002960                    "/>
    <s v="SILVESTRI FEDERICO"/>
    <n v="60"/>
  </r>
  <r>
    <x v="0"/>
    <n v="3140"/>
    <s v="IL SOLE 24 ORE S.P.A.                   "/>
    <s v="L           "/>
    <s v="DG M&amp;B - DG SYSTEM 24"/>
    <s v="L05 "/>
    <x v="44"/>
    <s v="616000      "/>
    <s v="616000   ADVERTISING STAMPA"/>
    <s v="MAGRI                           "/>
    <s v="CANDIDA           "/>
    <s v="MGRCDD85P42G842K"/>
    <x v="0"/>
    <s v="34"/>
    <x v="0"/>
    <s v="04/11/2024"/>
    <s v="MILANO                 "/>
    <s v="21"/>
    <x v="0"/>
    <s v="I"/>
    <x v="0"/>
    <s v="AS "/>
    <s v="AS LIV. IMPIEGATO             "/>
    <s v="04/11/2024"/>
    <s v="04/11/2024"/>
    <s v="02/09/1985"/>
    <s v="A"/>
    <s v="A.IN FORZA"/>
    <s v="1  -ASSUNZIONE                1"/>
    <s v=""/>
    <s v=" "/>
    <s v=""/>
    <s v=""/>
    <n v="3140"/>
    <s v="00"/>
    <n v="100"/>
    <s v="FULL TIME      100000000FF100-FULL TIME"/>
    <s v="04/11/2024"/>
    <s v=""/>
    <s v="  "/>
    <s v=""/>
    <s v="EN  "/>
    <s v="    "/>
    <s v=""/>
    <s v=""/>
    <s v="candida.magri@ilsole24ore.com                     "/>
    <s v="F"/>
    <s v="F-FIRMA"/>
    <s v="1 "/>
    <s v="1=5 X 8"/>
    <s v="01/07/2025"/>
    <s v="TEMPO DETERMINATO"/>
    <s v="31/05/2027"/>
    <s v="0015002964                    "/>
    <s v="FERRARIO ANTONIO DANILO"/>
    <n v="40"/>
  </r>
  <r>
    <x v="0"/>
    <n v="1833"/>
    <s v="IL SOLE 24 ORE S.P.A.                   "/>
    <s v="L           "/>
    <s v="DG M&amp;B - DG SYSTEM 24"/>
    <s v="L05 "/>
    <x v="44"/>
    <s v="61800010    "/>
    <s v="61800010 EDITORI ESTERI"/>
    <s v="FALCIONI                        "/>
    <s v="STEPHANIE         "/>
    <s v="FLCSPH74D50Z110O"/>
    <x v="0"/>
    <s v="34"/>
    <x v="0"/>
    <s v="01/04/2021"/>
    <s v="MILANO                 "/>
    <s v="21"/>
    <x v="0"/>
    <s v="I"/>
    <x v="0"/>
    <s v="AS "/>
    <s v="AS LIV. IMPIEGATO             "/>
    <s v="01/02/2001"/>
    <s v="01/06/2000"/>
    <s v="10/04/1974"/>
    <s v="A"/>
    <s v="A.IN FORZA"/>
    <s v="2  -VARIAZIONE SOCIETARIA     2"/>
    <s v=""/>
    <s v=" "/>
    <s v=""/>
    <s v=""/>
    <n v="1453"/>
    <s v="00"/>
    <n v="100"/>
    <s v="FULL TIME      100000000FF100-FULL TIME"/>
    <s v="01/09/2013"/>
    <s v=""/>
    <s v="  "/>
    <s v=""/>
    <s v="EV  "/>
    <s v="    "/>
    <s v=""/>
    <s v=""/>
    <s v="stephanie.falcioni@ilsole24ore.com                "/>
    <s v="F"/>
    <s v="F-FIRMA"/>
    <s v="1 "/>
    <s v="1=5 X 8"/>
    <s v="01/07/2025"/>
    <s v="TEMPO DETERMINATO"/>
    <s v="31/05/2027"/>
    <s v="0015002964                    "/>
    <s v="FERRARIO ANTONIO DANILO"/>
    <n v="51"/>
  </r>
  <r>
    <x v="0"/>
    <n v="3137"/>
    <s v="IL SOLE 24 ORE S.P.A.                   "/>
    <s v="L           "/>
    <s v="DG M&amp;B - DG SYSTEM 24"/>
    <s v="L06 "/>
    <x v="45"/>
    <s v="613950      "/>
    <s v="613950   VENDITE ADV CENTRI MEDIA E AGEN"/>
    <s v="BERTINO                         "/>
    <s v="CATERINA          "/>
    <s v="BRTCRN70B60Z133J"/>
    <x v="0"/>
    <s v="34"/>
    <x v="0"/>
    <s v="01/10/2024"/>
    <s v="MILANO                 "/>
    <s v="21"/>
    <x v="0"/>
    <s v="F"/>
    <x v="2"/>
    <s v="Q  "/>
    <s v="Q LIV. QUADRI                 "/>
    <s v="01/10/2024"/>
    <s v="01/10/2024"/>
    <s v="20/02/1970"/>
    <s v="A"/>
    <s v="A.IN FORZA"/>
    <s v="1  -ASSUNZIONE                1"/>
    <s v=""/>
    <s v=" "/>
    <s v=""/>
    <s v=""/>
    <n v="3137"/>
    <s v="00"/>
    <n v="100"/>
    <s v="FULL TIME      100000000FF100-FULL TIME"/>
    <s v="01/10/2024"/>
    <s v=""/>
    <s v="  "/>
    <s v=""/>
    <s v="EN  "/>
    <s v="    "/>
    <s v=""/>
    <s v=""/>
    <s v="caterina.bertino@ilsole24ore.com                  "/>
    <s v="F"/>
    <s v="F-FIRMA"/>
    <s v="1 "/>
    <s v="1=5 X 8"/>
    <s v="01/07/2025"/>
    <s v="TEMPO DETERMINATO"/>
    <s v="31/05/2027"/>
    <s v="0015003047                    "/>
    <s v="VITALE MARCO"/>
    <n v="55"/>
  </r>
  <r>
    <x v="0"/>
    <n v="3047"/>
    <s v="IL SOLE 24 ORE S.P.A.                   "/>
    <s v="L           "/>
    <s v="DG M&amp;B - DG SYSTEM 24"/>
    <s v="L06 "/>
    <x v="45"/>
    <s v="613950      "/>
    <s v="613950   VENDITE ADV CENTRI MEDIA E AGEN"/>
    <s v="VITALE                          "/>
    <s v="MARCO             "/>
    <s v="VTLMRC84P11F205B"/>
    <x v="1"/>
    <s v="34"/>
    <x v="0"/>
    <s v="01/07/2022"/>
    <s v="MILANO                 "/>
    <s v="90"/>
    <x v="1"/>
    <s v="D"/>
    <x v="1"/>
    <s v="D  "/>
    <s v="DIRIGENTE INDUSTRIA           "/>
    <s v="01/07/2022"/>
    <s v="01/07/2022"/>
    <s v="11/09/1984"/>
    <s v="A"/>
    <s v="A.IN FORZA"/>
    <s v="1  -ASSUNZIONE                1"/>
    <s v=""/>
    <s v=" "/>
    <s v=""/>
    <s v=""/>
    <n v="3047"/>
    <s v="00"/>
    <n v="100"/>
    <s v="FULL TIME      100000000FF100-FULL TIME"/>
    <s v="01/07/2022"/>
    <s v=""/>
    <s v="  "/>
    <s v=""/>
    <s v="DD  "/>
    <s v="    "/>
    <s v=""/>
    <s v=""/>
    <s v="marco.vitale@ilsole24ore.com                      "/>
    <s v=" "/>
    <s v=""/>
    <s v="  "/>
    <s v=""/>
    <s v="01/07/2025"/>
    <s v="TEMPO DETERMINATO"/>
    <s v="31/05/2026"/>
    <s v="0015002960                    "/>
    <s v="SILVESTRI FEDERICO"/>
    <n v="41"/>
  </r>
  <r>
    <x v="0"/>
    <n v="3004"/>
    <s v="IL SOLE 24 ORE S.P.A.                   "/>
    <s v="L           "/>
    <s v="DG M&amp;B - DG SYSTEM 24"/>
    <s v="L07 "/>
    <x v="45"/>
    <s v="615000      "/>
    <s v="615000   PIANIFICAZIONE WEB"/>
    <s v="BELLANOVA                       "/>
    <s v="GIANLUCA          "/>
    <s v="BLLGLC80P05I690R"/>
    <x v="1"/>
    <s v="34"/>
    <x v="0"/>
    <s v="01/04/2021"/>
    <s v="MILANO                 "/>
    <s v="21"/>
    <x v="0"/>
    <s v="I"/>
    <x v="0"/>
    <s v="A  "/>
    <s v="A LIV. IMPIEGATO              "/>
    <s v="07/09/2020"/>
    <s v="07/09/2020"/>
    <s v="05/09/1980"/>
    <s v="A"/>
    <s v="A.IN FORZA"/>
    <s v="1  -ASSUNZIONE                1"/>
    <s v=""/>
    <s v=" "/>
    <s v=""/>
    <s v=""/>
    <n v="3004"/>
    <s v="00"/>
    <n v="100"/>
    <s v="FULL TIME      100000000FF100-FULL TIME"/>
    <s v="07/09/2020"/>
    <s v=""/>
    <s v="  "/>
    <s v=""/>
    <s v="EV  "/>
    <s v="    "/>
    <s v=""/>
    <s v=""/>
    <s v="gianluca.bellanova@ilsole24ore.com                "/>
    <s v="F"/>
    <s v="F-FIRMA"/>
    <s v="1 "/>
    <s v="1=5 X 8"/>
    <s v="01/09/2025"/>
    <s v="TEMPO DETERMINATO"/>
    <s v="31/05/2027"/>
    <s v="0015002869                    "/>
    <s v="GALIANO VINCENZO"/>
    <n v="45"/>
  </r>
  <r>
    <x v="0"/>
    <n v="2869"/>
    <s v="IL SOLE 24 ORE S.P.A.                   "/>
    <s v="L           "/>
    <s v="DG M&amp;B - DG SYSTEM 24"/>
    <s v="L07 "/>
    <x v="45"/>
    <s v="615000      "/>
    <s v="615000   PIANIFICAZIONE WEB"/>
    <s v="GALIANO                         "/>
    <s v="VINCENZO          "/>
    <s v="GLNVCN87S08C514L"/>
    <x v="1"/>
    <s v="34"/>
    <x v="0"/>
    <s v="01/04/2021"/>
    <s v="MILANO                 "/>
    <s v="21"/>
    <x v="0"/>
    <s v="I"/>
    <x v="0"/>
    <s v="AS "/>
    <s v="AS LIV. IMPIEGATO             "/>
    <s v="01/01/2016"/>
    <s v="04/05/2015"/>
    <s v="08/11/1987"/>
    <s v="A"/>
    <s v="A.IN FORZA"/>
    <s v="1  -ASSUNZIONE                1"/>
    <s v=""/>
    <s v=" "/>
    <s v=""/>
    <s v=""/>
    <n v="2869"/>
    <s v="00"/>
    <n v="100"/>
    <s v="FULL TIME      100000000FF100-FULL TIME"/>
    <s v="04/05/2015"/>
    <s v=""/>
    <s v="  "/>
    <s v=""/>
    <s v="EV  "/>
    <s v="    "/>
    <s v=""/>
    <s v=""/>
    <s v="vincenzo.galiano@ilsole24ore.com                  "/>
    <s v="F"/>
    <s v="F-FIRMA"/>
    <s v="1 "/>
    <s v="1=5 X 8"/>
    <s v="01/07/2025"/>
    <s v="TEMPO DETERMINATO"/>
    <s v="31/05/2027"/>
    <s v="0015003047                    "/>
    <s v="VITALE MARCO"/>
    <n v="38"/>
  </r>
  <r>
    <x v="0"/>
    <n v="2298"/>
    <s v="IL SOLE 24 ORE S.P.A.                   "/>
    <s v="L           "/>
    <s v="DG M&amp;B - DG SYSTEM 24"/>
    <s v="L07 "/>
    <x v="45"/>
    <s v="615000      "/>
    <s v="615000   PIANIFICAZIONE WEB"/>
    <s v="RASPA                           "/>
    <s v="DAVID GIUSEPPE    "/>
    <s v="RSPDDG78M07F205Y"/>
    <x v="1"/>
    <s v="34"/>
    <x v="0"/>
    <s v="01/04/2021"/>
    <s v="MILANO                 "/>
    <s v="21"/>
    <x v="0"/>
    <s v="I"/>
    <x v="0"/>
    <s v="B1 "/>
    <s v="B1 LIV. IMPIEGATO             "/>
    <s v="19/05/2008"/>
    <s v="19/05/2008"/>
    <s v="07/08/1978"/>
    <s v="A"/>
    <s v="A.IN FORZA"/>
    <s v="1  -ASSUNZIONE                1"/>
    <s v=""/>
    <s v=" "/>
    <s v=""/>
    <s v=""/>
    <n v="1720"/>
    <s v="00"/>
    <n v="100"/>
    <s v="FULL TIME      100000000FF100-FULL TIME"/>
    <s v="19/05/2008"/>
    <s v=""/>
    <s v="  "/>
    <s v=""/>
    <s v="EV  "/>
    <s v="    "/>
    <s v=""/>
    <s v="U.I.L.             U.I.L"/>
    <s v="david.raspa@ilsole24ore.com                       "/>
    <s v="F"/>
    <s v="F-FIRMA"/>
    <s v="1 "/>
    <s v="1=5 X 8"/>
    <s v="01/07/2025"/>
    <s v="TEMPO DETERMINATO"/>
    <s v="31/05/2027"/>
    <s v="0015002869                    "/>
    <s v="GALIANO VINCENZO"/>
    <n v="47"/>
  </r>
  <r>
    <x v="0"/>
    <n v="3095"/>
    <s v="IL SOLE 24 ORE S.P.A.                   "/>
    <s v="L           "/>
    <s v="DG M&amp;B - DG SYSTEM 24"/>
    <s v="L07 "/>
    <x v="45"/>
    <s v="615000      "/>
    <s v="615000   PIANIFICAZIONE WEB"/>
    <s v="SPEZZI                          "/>
    <s v="FLAMINIA          "/>
    <s v="SPZFMN91A51H501E"/>
    <x v="0"/>
    <s v="34"/>
    <x v="0"/>
    <s v="02/10/2023"/>
    <s v="MILANO                 "/>
    <s v="21"/>
    <x v="0"/>
    <s v="I"/>
    <x v="0"/>
    <s v="B1 "/>
    <s v="B1 LIV. IMPIEGATO             "/>
    <s v="02/10/2023"/>
    <s v="02/10/2023"/>
    <s v="11/01/1991"/>
    <s v="A"/>
    <s v="A.IN FORZA"/>
    <s v="1  -ASSUNZIONE                1"/>
    <s v=""/>
    <s v=" "/>
    <s v=""/>
    <s v=""/>
    <n v="3095"/>
    <s v="00"/>
    <n v="100"/>
    <s v="FULL TIME      100000000FF100-FULL TIME"/>
    <s v="02/10/2023"/>
    <s v=""/>
    <s v="  "/>
    <s v=""/>
    <s v="EN  "/>
    <s v="    "/>
    <s v=""/>
    <s v=""/>
    <s v="flaminia.spezzi@ilsole24ore.com                   "/>
    <s v="F"/>
    <s v="F-FIRMA"/>
    <s v="1 "/>
    <s v="1=5 X 8"/>
    <s v="01/07/2025"/>
    <s v="TEMPO DETERMINATO"/>
    <s v="31/05/2027"/>
    <s v="0015002869                    "/>
    <s v="GALIANO VINCENZO"/>
    <n v="35"/>
  </r>
  <r>
    <x v="0"/>
    <n v="1430"/>
    <s v="IL SOLE 24 ORE S.P.A.                   "/>
    <s v="L           "/>
    <s v="DG M&amp;B - DG SYSTEM 24"/>
    <s v="L07 "/>
    <x v="45"/>
    <s v="61500010    "/>
    <s v="61500010 PROGRAMMATIC"/>
    <s v="NIVINI                          "/>
    <s v="MICHELE           "/>
    <s v="NVNMHL71H17F205V"/>
    <x v="1"/>
    <s v="34"/>
    <x v="0"/>
    <s v="01/04/2021"/>
    <s v="MILANO                 "/>
    <s v="21"/>
    <x v="0"/>
    <s v="I"/>
    <x v="0"/>
    <s v="A  "/>
    <s v="A LIV. IMPIEGATO              "/>
    <s v="06/12/1999"/>
    <s v="06/12/1999"/>
    <s v="17/06/1971"/>
    <s v="A"/>
    <s v="A.IN FORZA"/>
    <s v="1  -ASSUNZIONE                1"/>
    <s v=""/>
    <s v=" "/>
    <s v=""/>
    <s v=""/>
    <n v="1132"/>
    <s v="00"/>
    <n v="100"/>
    <s v="FULL TIME      100000000FF100-FULL TIME"/>
    <s v="06/12/1999"/>
    <s v=""/>
    <s v="  "/>
    <s v=""/>
    <s v="EV  "/>
    <s v="    "/>
    <s v=""/>
    <s v=""/>
    <s v="michele.nivini@ilsole24ore.com                    "/>
    <s v="F"/>
    <s v="F-FIRMA"/>
    <s v="1 "/>
    <s v="1=5 X 8"/>
    <s v="01/07/2025"/>
    <s v="TEMPO DETERMINATO"/>
    <s v="31/05/2027"/>
    <s v="0015002869                    "/>
    <s v="GALIANO VINCENZO"/>
    <n v="54"/>
  </r>
  <r>
    <x v="0"/>
    <n v="3152"/>
    <s v="IL SOLE 24 ORE S.P.A.                   "/>
    <s v="L           "/>
    <s v="DG M&amp;B - DG SYSTEM 24"/>
    <s v="L09 "/>
    <x v="11"/>
    <s v="61207010    "/>
    <s v="61207010 DIGITAL MARKETING ADVERTISING"/>
    <s v="CELLAMARE                       "/>
    <s v="GIOVANNA          "/>
    <s v="CLLGNN86B42F205M"/>
    <x v="0"/>
    <s v="34"/>
    <x v="0"/>
    <s v="13/03/2025"/>
    <s v="MILANO                 "/>
    <s v="21"/>
    <x v="0"/>
    <s v="I"/>
    <x v="0"/>
    <s v="B1 "/>
    <s v="B1 LIV. IMPIEGATO             "/>
    <s v="13/03/2025"/>
    <s v="13/03/2025"/>
    <s v="02/02/1986"/>
    <s v="A"/>
    <s v="A.IN FORZA"/>
    <s v="1C-ASSUNZIONE CONTR. A TERMINE1"/>
    <s v=""/>
    <s v="D"/>
    <s v="12/03/2026"/>
    <s v=""/>
    <n v="3152"/>
    <s v="00"/>
    <n v="100"/>
    <s v="FULL TIME      100000000FF100-FULL TIME"/>
    <s v="13/03/2025"/>
    <s v=""/>
    <s v="  "/>
    <s v=""/>
    <s v="EN  "/>
    <s v="    "/>
    <s v=""/>
    <s v=""/>
    <s v="giovanna.cellamare@ilsole24ore.com                "/>
    <s v="F"/>
    <s v="F-FIRMA"/>
    <s v="1 "/>
    <s v="1=5 X 8"/>
    <s v="01/07/2025"/>
    <s v="TEMPO DETERMINATO"/>
    <s v="31/05/2027"/>
    <s v="0015002647                    "/>
    <s v="DI GIORGI RAFFAELLA"/>
    <n v="39"/>
  </r>
  <r>
    <x v="0"/>
    <n v="2642"/>
    <s v="IL SOLE 24 ORE S.P.A.                   "/>
    <s v="L           "/>
    <s v="DG M&amp;B - DG SYSTEM 24"/>
    <s v="L09 "/>
    <x v="11"/>
    <s v="61207010    "/>
    <s v="61207010 DIGITAL MARKETING ADVERTISING"/>
    <s v="DE ROSE                         "/>
    <s v="ANTONIO           "/>
    <s v="DRSNTN83A10D086Y"/>
    <x v="1"/>
    <s v="34"/>
    <x v="0"/>
    <s v="01/04/2021"/>
    <s v="MILANO                 "/>
    <s v="21"/>
    <x v="0"/>
    <s v="I"/>
    <x v="0"/>
    <s v="A  "/>
    <s v="A LIV. IMPIEGATO              "/>
    <s v="07/01/2013"/>
    <s v="07/01/2013"/>
    <s v="10/01/1983"/>
    <s v="A"/>
    <s v="A.IN FORZA"/>
    <s v="1  -ASSUNZIONE                1"/>
    <s v=""/>
    <s v=" "/>
    <s v=""/>
    <s v=""/>
    <n v="2642"/>
    <s v="00"/>
    <n v="100"/>
    <s v="FULL TIME      100000000FF100-FULL TIME"/>
    <s v="07/01/2013"/>
    <s v=""/>
    <s v="  "/>
    <s v=""/>
    <s v="EV  "/>
    <s v="    "/>
    <s v=""/>
    <s v=""/>
    <s v="antonio.derose@ilsole24ore.com                    "/>
    <s v="F"/>
    <s v="F-FIRMA"/>
    <s v="1 "/>
    <s v="1=5 X 8"/>
    <s v="01/07/2025"/>
    <s v="TEMPO DETERMINATO"/>
    <s v="31/05/2027"/>
    <s v="0015002647                    "/>
    <s v="DI GIORGI RAFFAELLA"/>
    <n v="43"/>
  </r>
  <r>
    <x v="0"/>
    <n v="2647"/>
    <s v="IL SOLE 24 ORE S.P.A.                   "/>
    <s v="L           "/>
    <s v="DG M&amp;B - DG SYSTEM 24"/>
    <s v="L09 "/>
    <x v="11"/>
    <s v="61207010    "/>
    <s v="61207010 DIGITAL MARKETING ADVERTISING"/>
    <s v="DI GIORGI                       "/>
    <s v="RAFFAELLA         "/>
    <s v="DGRRFL76P45G273A"/>
    <x v="0"/>
    <s v="34"/>
    <x v="0"/>
    <s v="01/04/2021"/>
    <s v="MILANO                 "/>
    <s v="21"/>
    <x v="0"/>
    <s v="F"/>
    <x v="2"/>
    <s v="Q  "/>
    <s v="Q LIV. QUADRI                 "/>
    <s v="01/02/2013"/>
    <s v="16/12/2011"/>
    <s v="05/09/1976"/>
    <s v="A"/>
    <s v="A.IN FORZA"/>
    <s v="2  -VARIAZIONE SOCIETARIA     2"/>
    <s v=""/>
    <s v=" "/>
    <s v=""/>
    <s v=""/>
    <n v="2647"/>
    <s v="00"/>
    <n v="100"/>
    <s v="FULL TIME      100000000FF100-FULL TIME"/>
    <s v="16/12/2011"/>
    <s v=""/>
    <s v="  "/>
    <s v=""/>
    <s v="EV  "/>
    <s v="    "/>
    <s v=""/>
    <s v=""/>
    <s v="raffaella.digiorgi@ilsole24ore.com                "/>
    <s v="F"/>
    <s v="F-FIRMA"/>
    <s v="1 "/>
    <s v="1=5 X 8"/>
    <s v="01/07/2025"/>
    <s v="TEMPO DETERMINATO"/>
    <s v="31/05/2027"/>
    <s v="0015002960                    "/>
    <s v="SILVESTRI FEDERICO"/>
    <n v="49"/>
  </r>
  <r>
    <x v="0"/>
    <n v="2882"/>
    <s v="IL SOLE 24 ORE S.P.A.                   "/>
    <s v="L           "/>
    <s v="DG M&amp;B - DG SYSTEM 24"/>
    <s v="L09 "/>
    <x v="11"/>
    <s v="61207010    "/>
    <s v="61207010 DIGITAL MARKETING ADVERTISING"/>
    <s v="DI PRIMA                        "/>
    <s v="ERICA             "/>
    <s v="DPRRCE84L64A940U"/>
    <x v="0"/>
    <s v="34"/>
    <x v="0"/>
    <s v="01/04/2021"/>
    <s v="MILANO                 "/>
    <s v="21"/>
    <x v="0"/>
    <s v="I"/>
    <x v="0"/>
    <s v="A  "/>
    <s v="A LIV. IMPIEGATO              "/>
    <s v="04/04/2016"/>
    <s v="04/04/2016"/>
    <s v="24/07/1984"/>
    <s v="A"/>
    <s v="A.IN FORZA"/>
    <s v="1  -ASSUNZIONE                1"/>
    <s v=""/>
    <s v=" "/>
    <s v=""/>
    <s v=""/>
    <n v="2882"/>
    <s v="00"/>
    <n v="100"/>
    <s v="FULL TIME      100000000FF100-FULL TIME"/>
    <s v="04/04/2016"/>
    <s v=""/>
    <s v="  "/>
    <s v=""/>
    <s v="EV  "/>
    <s v="    "/>
    <s v=""/>
    <s v=""/>
    <s v="erica.diprima@ilsole24ore.com                     "/>
    <s v="F"/>
    <s v="F-FIRMA"/>
    <s v="1 "/>
    <s v="1=5 X 8"/>
    <s v="01/07/2025"/>
    <s v="TEMPO DETERMINATO"/>
    <s v="31/05/2027"/>
    <s v="0015002647                    "/>
    <s v="DI GIORGI RAFFAELLA"/>
    <n v="41"/>
  </r>
  <r>
    <x v="0"/>
    <n v="2166"/>
    <s v="IL SOLE 24 ORE S.P.A.                   "/>
    <s v="L           "/>
    <s v="DG M&amp;B - DG SYSTEM 24"/>
    <s v="L09 "/>
    <x v="11"/>
    <s v="61207010    "/>
    <s v="61207010 DIGITAL MARKETING ADVERTISING"/>
    <s v="MURGIA                          "/>
    <s v="MARCO             "/>
    <s v="MRGMRC80A06B354Z"/>
    <x v="1"/>
    <s v="34"/>
    <x v="0"/>
    <s v="01/04/2021"/>
    <s v="MILANO                 "/>
    <s v="21"/>
    <x v="0"/>
    <s v="I"/>
    <x v="0"/>
    <s v="AS "/>
    <s v="AS LIV. IMPIEGATO             "/>
    <s v="05/02/2007"/>
    <s v="05/02/2007"/>
    <s v="06/01/1980"/>
    <s v="A"/>
    <s v="A.IN FORZA"/>
    <s v="1  -ASSUNZIONE                1"/>
    <s v=""/>
    <s v=" "/>
    <s v=""/>
    <s v=""/>
    <n v="1633"/>
    <s v="00"/>
    <n v="100"/>
    <s v="FULL TIME      100000000FF100-FULL TIME"/>
    <s v="05/02/2007"/>
    <s v=""/>
    <s v="  "/>
    <s v=""/>
    <s v="EV  "/>
    <s v="    "/>
    <s v=""/>
    <s v=""/>
    <s v="marco.murgia@ilsole24ore.com                      "/>
    <s v="F"/>
    <s v="F-FIRMA"/>
    <s v="1 "/>
    <s v="1=5 X 8"/>
    <s v="01/07/2025"/>
    <s v="TEMPO DETERMINATO"/>
    <s v="31/05/2027"/>
    <s v="0015002647                    "/>
    <s v="DI GIORGI RAFFAELLA"/>
    <n v="46"/>
  </r>
  <r>
    <x v="0"/>
    <n v="3085"/>
    <s v="IL SOLE 24 ORE S.P.A.                   "/>
    <s v="L           "/>
    <s v="DG M&amp;B - DG SYSTEM 24"/>
    <s v="L09 "/>
    <x v="11"/>
    <s v="61207010    "/>
    <s v="61207010 DIGITAL MARKETING ADVERTISING"/>
    <s v="PIAZZOLLA                       "/>
    <s v="IRENE             "/>
    <s v="PZZRNI99T51C665Z"/>
    <x v="0"/>
    <s v="34"/>
    <x v="0"/>
    <s v="01/09/2023"/>
    <s v="MILANO                 "/>
    <s v="21"/>
    <x v="0"/>
    <s v="I"/>
    <x v="0"/>
    <s v="B2 "/>
    <s v="B2 LIV. IMPIEGATO             "/>
    <s v="01/09/2023"/>
    <s v="01/09/2023"/>
    <s v="11/12/1999"/>
    <s v="A"/>
    <s v="A.IN FORZA"/>
    <s v="1  -ASSUNZIONE                1"/>
    <s v=""/>
    <s v=" "/>
    <s v=""/>
    <s v=""/>
    <n v="3085"/>
    <s v="00"/>
    <n v="100"/>
    <s v="FULL TIME      100000000FF100-FULL TIME"/>
    <s v="01/09/2023"/>
    <s v=""/>
    <s v="  "/>
    <s v=""/>
    <s v="EN  "/>
    <s v="    "/>
    <s v=""/>
    <s v=""/>
    <s v="irene.piazzolla@ilsole24ore.com                   "/>
    <s v="F"/>
    <s v="F-FIRMA"/>
    <s v="1 "/>
    <s v="1=5 X 8"/>
    <s v="01/07/2025"/>
    <s v="TEMPO DETERMINATO"/>
    <s v="31/05/2027"/>
    <s v="0015002647                    "/>
    <s v="DI GIORGI RAFFAELLA"/>
    <n v="26"/>
  </r>
  <r>
    <x v="0"/>
    <n v="2119"/>
    <s v="IL SOLE 24 ORE S.P.A.                   "/>
    <s v="Q           "/>
    <s v="COMUNICAZIONE E RELAZIONI ESTERNE"/>
    <s v="Q01 "/>
    <x v="46"/>
    <s v="B14000      "/>
    <s v="B14000   COMUNICAZIONE E REL. ESTERNE"/>
    <s v="CHIODA                          "/>
    <s v="MARIA LUISA       "/>
    <s v="CHDMLS64E57G388N"/>
    <x v="0"/>
    <s v="34"/>
    <x v="0"/>
    <s v="01/04/2021"/>
    <s v="MILANO                 "/>
    <s v="21"/>
    <x v="0"/>
    <s v="I"/>
    <x v="0"/>
    <s v="AS "/>
    <s v="AS LIV. IMPIEGATO             "/>
    <s v="01/08/2006"/>
    <s v="01/08/2006"/>
    <s v="17/05/1964"/>
    <s v="A"/>
    <s v="A.IN FORZA"/>
    <s v="1  -ASSUNZIONE                1"/>
    <s v=""/>
    <s v=" "/>
    <s v=""/>
    <s v=""/>
    <n v="1604"/>
    <s v="00"/>
    <n v="100"/>
    <s v="FULL TIME      100000000FF100-FULL TIME"/>
    <s v="01/08/2006"/>
    <s v=""/>
    <s v="  "/>
    <s v=""/>
    <s v="EV  "/>
    <s v="    "/>
    <s v=""/>
    <s v="FIGEC CISAL        FIGEC CISAL"/>
    <s v="marialuisa.chioda@ilsole24ore.com                 "/>
    <s v="F"/>
    <s v="F-FIRMA"/>
    <s v="1 "/>
    <s v="1=5 X 8"/>
    <s v="01/07/2025"/>
    <s v="TEMPO DETERMINATO"/>
    <s v="31/05/2027"/>
    <s v="0015001693                    "/>
    <s v="COZZI GINEVRA"/>
    <n v="61"/>
  </r>
  <r>
    <x v="0"/>
    <n v="1693"/>
    <s v="IL SOLE 24 ORE S.P.A.                   "/>
    <s v="Q           "/>
    <s v="COMUNICAZIONE E RELAZIONI ESTERNE"/>
    <s v="Q01 "/>
    <x v="46"/>
    <s v="B14000      "/>
    <s v="B14000   COMUNICAZIONE E REL. ESTERNE"/>
    <s v="COZZI                           "/>
    <s v="GINEVRA           "/>
    <s v="CZZGVR71S58F205H"/>
    <x v="0"/>
    <s v="34"/>
    <x v="0"/>
    <s v="01/04/2021"/>
    <s v="MILANO                 "/>
    <s v="21"/>
    <x v="0"/>
    <s v="F"/>
    <x v="2"/>
    <s v="Q  "/>
    <s v="Q LIV. QUADRI                 "/>
    <s v="15/12/2000"/>
    <s v="15/12/2000"/>
    <s v="18/11/1971"/>
    <s v="A"/>
    <s v="A.IN FORZA"/>
    <s v="1  -ASSUNZIONE                1"/>
    <s v=""/>
    <s v=" "/>
    <s v=""/>
    <s v=""/>
    <n v="1349"/>
    <s v="00"/>
    <n v="100"/>
    <s v="FULL TIME      100000000FF100-FULL TIME"/>
    <s v="15/12/2000"/>
    <s v=""/>
    <s v="  "/>
    <s v=""/>
    <s v="EV  "/>
    <s v="    "/>
    <s v=""/>
    <s v=""/>
    <s v="ginevra.cozzi@ilsole24ore.com                     "/>
    <s v="F"/>
    <s v="F-FIRMA"/>
    <s v="1 "/>
    <s v="1=5 X 8"/>
    <s v="01/07/2025"/>
    <s v="TEMPO DETERMINATO"/>
    <s v="31/05/2027"/>
    <s v="0015002960                    "/>
    <s v="SILVESTRI FEDERICO"/>
    <n v="54"/>
  </r>
  <r>
    <x v="0"/>
    <n v="2194"/>
    <s v="IL SOLE 24 ORE S.P.A.                   "/>
    <s v="Q           "/>
    <s v="COMUNICAZIONE E RELAZIONI ESTERNE"/>
    <s v="Q01 "/>
    <x v="46"/>
    <s v="B14000      "/>
    <s v="B14000   COMUNICAZIONE E REL. ESTERNE"/>
    <s v="OCCHINI                         "/>
    <s v="FULVIA            "/>
    <s v="CCHFLV75B57F537G"/>
    <x v="0"/>
    <s v="34"/>
    <x v="0"/>
    <s v="01/04/2021"/>
    <s v="MILANO                 "/>
    <s v="21"/>
    <x v="0"/>
    <s v="I"/>
    <x v="0"/>
    <s v="AS "/>
    <s v="AS LIV. IMPIEGATO             "/>
    <s v="01/06/2007"/>
    <s v="01/06/2007"/>
    <s v="17/02/1975"/>
    <s v="A"/>
    <s v="A.IN FORZA"/>
    <s v="1  -ASSUNZIONE                1"/>
    <s v=""/>
    <s v=" "/>
    <s v=""/>
    <s v=""/>
    <n v="1650"/>
    <s v="00"/>
    <n v="100"/>
    <s v="FULL TIME      100000000FF100-FULL TIME"/>
    <s v="01/06/2007"/>
    <s v=""/>
    <s v="  "/>
    <s v=""/>
    <s v="EV  "/>
    <s v="    "/>
    <s v=""/>
    <s v=""/>
    <s v="elettra.occhini@ilsole24ore.com                   "/>
    <s v="F"/>
    <s v="F-FIRMA"/>
    <s v="1 "/>
    <s v="1=5 X 8"/>
    <s v="01/07/2025"/>
    <s v="TEMPO DETERMINATO"/>
    <s v="31/05/2027"/>
    <s v="0015001693                    "/>
    <s v="COZZI GINEVRA"/>
    <n v="50"/>
  </r>
  <r>
    <x v="0"/>
    <n v="1813"/>
    <s v="IL SOLE 24 ORE S.P.A.                   "/>
    <s v="Q           "/>
    <s v="COMUNICAZIONE E RELAZIONI ESTERNE"/>
    <s v="Q01 "/>
    <x v="46"/>
    <s v="B14000      "/>
    <s v="B14000   COMUNICAZIONE E REL. ESTERNE"/>
    <s v="PIOVANI                         "/>
    <s v="FRANCA            "/>
    <s v="PVNFNC66L71D150I"/>
    <x v="0"/>
    <s v="34"/>
    <x v="0"/>
    <s v="01/04/2021"/>
    <s v="MILANO                 "/>
    <s v="21"/>
    <x v="0"/>
    <s v="F"/>
    <x v="2"/>
    <s v="Q  "/>
    <s v="Q LIV. QUADRI                 "/>
    <s v="17/05/2000"/>
    <s v="17/05/2000"/>
    <s v="31/07/1966"/>
    <s v="A"/>
    <s v="A.IN FORZA"/>
    <s v="1  -ASSUNZIONE                1"/>
    <s v=""/>
    <s v=" "/>
    <s v=""/>
    <s v=""/>
    <n v="1433"/>
    <s v="00"/>
    <n v="100"/>
    <s v="FULL TIME      100000000FF100-FULL TIME"/>
    <s v="17/05/2000"/>
    <s v=""/>
    <s v="  "/>
    <s v=""/>
    <s v="EV  "/>
    <s v="    "/>
    <s v=""/>
    <s v=""/>
    <s v="franca.piovani@ilsole24ore.com                    "/>
    <s v="F"/>
    <s v="F-FIRMA"/>
    <s v="1 "/>
    <s v="1=5 X 8"/>
    <s v="01/07/2025"/>
    <s v="TEMPO DETERMINATO"/>
    <s v="31/05/2027"/>
    <s v="0015001693                    "/>
    <s v="COZZI GINEVRA"/>
    <n v="59"/>
  </r>
  <r>
    <x v="0"/>
    <n v="2992"/>
    <s v="IL SOLE 24 ORE S.P.A.                   "/>
    <s v="Q           "/>
    <s v="COMUNICAZIONE E RELAZIONI ESTERNE"/>
    <s v="Q01 "/>
    <x v="46"/>
    <s v="B14000      "/>
    <s v="B14000   COMUNICAZIONE E REL. ESTERNE"/>
    <s v="RIEFOLO                         "/>
    <s v="VERONICA          "/>
    <s v="RFLVNC87C42F839S"/>
    <x v="0"/>
    <s v="31"/>
    <x v="1"/>
    <s v="01/02/2024"/>
    <s v="ROMA                   "/>
    <s v="21"/>
    <x v="0"/>
    <s v="I"/>
    <x v="0"/>
    <s v="B1 "/>
    <s v="B1 LIV. IMPIEGATO             "/>
    <s v="02/01/2020"/>
    <s v="02/01/2020"/>
    <s v="02/03/1987"/>
    <s v="A"/>
    <s v="A.IN FORZA"/>
    <s v="1  -ASSUNZIONE                1"/>
    <s v=""/>
    <s v=" "/>
    <s v=""/>
    <s v=""/>
    <n v="2992"/>
    <s v="00"/>
    <n v="100"/>
    <s v="FULL TIME      100000000FF100-FULL TIME"/>
    <s v="01/02/2021"/>
    <s v=""/>
    <s v="  "/>
    <s v=""/>
    <s v="EN  "/>
    <s v="    "/>
    <s v=""/>
    <s v=""/>
    <s v="veronica.riefolo@ilsole24ore.com                  "/>
    <s v="T"/>
    <s v="T-TIMBRA"/>
    <s v="1 "/>
    <s v="1=5 X 8"/>
    <s v="12/01/2026"/>
    <s v="TEMPO DETERMINATO"/>
    <s v="06/02/2026"/>
    <s v="0015001693                    "/>
    <s v="COZZI GINEVRA"/>
    <n v="38"/>
  </r>
  <r>
    <x v="0"/>
    <n v="3151"/>
    <s v="IL SOLE 24 ORE S.P.A.                   "/>
    <s v="Q           "/>
    <s v="COMUNICAZIONE E RELAZIONI ESTERNE"/>
    <s v="Q01 "/>
    <x v="46"/>
    <s v="B14000      "/>
    <s v="B14000   COMUNICAZIONE E REL. ESTERNE"/>
    <s v="VIELMI                          "/>
    <s v="GIULIA            "/>
    <s v="VLMGLI91R69E704O"/>
    <x v="0"/>
    <s v="34"/>
    <x v="0"/>
    <s v="03/03/2025"/>
    <s v="MILANO                 "/>
    <s v="21"/>
    <x v="0"/>
    <s v="I"/>
    <x v="0"/>
    <s v="B1 "/>
    <s v="B1 LIV. IMPIEGATO             "/>
    <s v="03/03/2025"/>
    <s v="03/07/2023"/>
    <s v="29/10/1991"/>
    <s v="A"/>
    <s v="A.IN FORZA"/>
    <s v="1  -ASSUNZIONE                1"/>
    <s v=""/>
    <s v=" "/>
    <s v=""/>
    <s v=""/>
    <n v="3151"/>
    <s v="00"/>
    <n v="100"/>
    <s v="FULL TIME      100000000FF100-FULL TIME"/>
    <s v="03/03/2025"/>
    <s v=""/>
    <s v="  "/>
    <s v=""/>
    <s v="EN  "/>
    <s v="    "/>
    <s v=""/>
    <s v=""/>
    <s v="giulia.vielmi@ilsole24ore.com                     "/>
    <s v="F"/>
    <s v="F-FIRMA"/>
    <s v="1 "/>
    <s v="1=5 X 8"/>
    <s v="01/07/2025"/>
    <s v="TEMPO DETERMINATO"/>
    <s v="31/05/2027"/>
    <s v="0015001693                    "/>
    <s v="COZZI GINEVRA"/>
    <n v="34"/>
  </r>
  <r>
    <x v="0"/>
    <n v="1684"/>
    <s v="IL SOLE 24 ORE S.P.A.                   "/>
    <s v="R           "/>
    <s v="DG M&amp;B - BUSINESS DEVELOPMENT - RADIOCOR"/>
    <s v="R01 "/>
    <x v="47"/>
    <s v="G1240010    "/>
    <s v="G1240010 PIATTAFORME INFORMATIVE BUS.DEV"/>
    <s v="MERLI                           "/>
    <s v="IVO               "/>
    <s v="MRLVIO67C31H264U"/>
    <x v="1"/>
    <s v="34"/>
    <x v="0"/>
    <s v="01/04/2021"/>
    <s v="MILANO                 "/>
    <s v="21"/>
    <x v="0"/>
    <s v="I"/>
    <x v="0"/>
    <s v="AS "/>
    <s v="AS LIV. IMPIEGATO             "/>
    <s v="01/12/2000"/>
    <s v="22/11/1999"/>
    <s v="31/03/1967"/>
    <s v="A"/>
    <s v="A.IN FORZA"/>
    <s v="1  -ASSUNZIONE                1"/>
    <s v=""/>
    <s v=" "/>
    <s v=""/>
    <s v=""/>
    <n v="1341"/>
    <s v="00"/>
    <n v="100"/>
    <s v="FULL TIME      100000000FF100-FULL TIME"/>
    <s v="01/12/2000"/>
    <s v=""/>
    <s v="  "/>
    <s v=""/>
    <s v="EV  "/>
    <s v="    "/>
    <s v=""/>
    <s v=""/>
    <s v="ivo.merli@ilsole24ore.com                         "/>
    <s v="F"/>
    <s v="F-FIRMA"/>
    <s v="1 "/>
    <s v="1=5 X 8"/>
    <s v="01/07/2025"/>
    <s v="TEMPO DETERMINATO"/>
    <s v="31/05/2027"/>
    <s v="0015003047                    "/>
    <s v="VITALE MARCO"/>
    <n v="58"/>
  </r>
  <r>
    <x v="0"/>
    <n v="669"/>
    <s v="IL SOLE 24 ORE S.P.A.                   "/>
    <s v="R           "/>
    <s v="DG M&amp;B - BUSINESS DEVELOPMENT - RADIOCOR"/>
    <s v="R01 "/>
    <x v="47"/>
    <s v="G1240020    "/>
    <s v="G1240020 SOLUZIONI RADIOCOR"/>
    <s v="DE FAZIO                        "/>
    <s v="PAOLA             "/>
    <s v="DFZPLA67L58C352T"/>
    <x v="0"/>
    <s v="31"/>
    <x v="1"/>
    <s v="01/12/2017"/>
    <s v="ROMA                   "/>
    <s v="21"/>
    <x v="0"/>
    <s v="I"/>
    <x v="0"/>
    <s v="A  "/>
    <s v="A LIV. IMPIEGATO              "/>
    <s v="01/03/1993"/>
    <s v="01/03/1993"/>
    <s v="18/07/1967"/>
    <s v="A"/>
    <s v="A.IN FORZA"/>
    <s v="1  -ASSUNZIONE                1"/>
    <s v=""/>
    <s v=" "/>
    <s v=""/>
    <s v=""/>
    <n v="489"/>
    <s v="00"/>
    <n v="100"/>
    <s v="FULL TIME      100000000FF100-FULL TIME"/>
    <s v="01/03/1993"/>
    <s v=""/>
    <s v="  "/>
    <s v=""/>
    <s v="EV  "/>
    <s v="    "/>
    <s v=""/>
    <s v="C.G.I.L.           C.G.I.L"/>
    <s v="paola.defazio@ilsole24ore.com                     "/>
    <s v="F"/>
    <s v="F-FIRMA"/>
    <s v="1 "/>
    <s v="1=5 X 8"/>
    <s v="01/07/2025"/>
    <s v="TEMPO DETERMINATO"/>
    <s v="31/05/2027"/>
    <s v="0015003047                    "/>
    <s v="VITALE MARCO"/>
    <n v="58"/>
  </r>
  <r>
    <x v="0"/>
    <n v="3136"/>
    <s v="IL SOLE 24 ORE S.P.A.                   "/>
    <s v="R           "/>
    <s v="DG M&amp;B - BUSINESS DEVELOPMENT - RADIOCOR"/>
    <s v="R01 "/>
    <x v="47"/>
    <s v="G1240020    "/>
    <s v="G1240020 SOLUZIONI RADIOCOR"/>
    <s v="IASENZA                         "/>
    <s v="GIULIA            "/>
    <s v="SNZGLI96P50D286D"/>
    <x v="0"/>
    <s v="34"/>
    <x v="0"/>
    <s v="01/10/2024"/>
    <s v="MILANO                 "/>
    <s v="21"/>
    <x v="0"/>
    <s v="I"/>
    <x v="0"/>
    <s v="B3 "/>
    <s v="B3 LIV. IMPIEGATO             "/>
    <s v="01/10/2024"/>
    <s v="01/10/2024"/>
    <s v="10/09/1996"/>
    <s v="A"/>
    <s v="A.IN FORZA"/>
    <s v="1  -ASSUNZIONE                1"/>
    <s v=""/>
    <s v=" "/>
    <s v=""/>
    <s v=""/>
    <n v="3136"/>
    <s v="00"/>
    <n v="100"/>
    <s v="FULL TIME      100000000FF100-FULL TIME"/>
    <s v="01/10/2024"/>
    <s v=""/>
    <s v="  "/>
    <s v=""/>
    <s v="EN  "/>
    <s v="    "/>
    <s v=""/>
    <s v=""/>
    <s v="giulia.iasenza@ilsole24ore.com                    "/>
    <s v="F"/>
    <s v="F-FIRMA"/>
    <s v="1 "/>
    <s v="1=5 X 8"/>
    <s v="01/07/2025"/>
    <s v="TEMPO DETERMINATO"/>
    <s v="31/05/2027"/>
    <s v="0015003047                    "/>
    <s v="VITALE MARCO"/>
    <n v="29"/>
  </r>
  <r>
    <x v="0"/>
    <n v="1847"/>
    <s v="IL SOLE 24 ORE S.P.A.                   "/>
    <s v="R           "/>
    <s v="DG M&amp;B - BUSINESS DEVELOPMENT - RADIOCOR"/>
    <s v="R01 "/>
    <x v="47"/>
    <s v="G1240030    "/>
    <s v="G1240030 PRODOTTI PERSONALIZZATI"/>
    <s v="RENZI                           "/>
    <s v="LISETTA           "/>
    <s v="RNZLTT66M57A944B"/>
    <x v="0"/>
    <s v="31"/>
    <x v="1"/>
    <s v="18/05/2009"/>
    <s v="ROMA                   "/>
    <s v="21"/>
    <x v="0"/>
    <s v="I"/>
    <x v="0"/>
    <s v="AS "/>
    <s v="AS LIV. IMPIEGATO             "/>
    <s v="01/02/2001"/>
    <s v="19/06/2000"/>
    <s v="17/08/1966"/>
    <s v="A"/>
    <s v="A.IN FORZA"/>
    <s v="2  -VARIAZIONE SOCIETARIA     2"/>
    <s v=""/>
    <s v=" "/>
    <s v=""/>
    <s v=""/>
    <n v="1467"/>
    <s v="00"/>
    <n v="100"/>
    <s v="FULL TIME      100000000FF100-FULL TIME"/>
    <s v="01/02/2001"/>
    <s v=""/>
    <s v="  "/>
    <s v=""/>
    <s v="EV  "/>
    <s v="    "/>
    <s v=""/>
    <s v="C.G.I.L.           C.G.I.L"/>
    <s v="lisetta.renzi@ilsole24ore.com                     "/>
    <s v="F"/>
    <s v="F-FIRMA"/>
    <s v="1 "/>
    <s v="1=5 X 8"/>
    <s v="01/07/2025"/>
    <s v="TEMPO DETERMINATO"/>
    <s v="31/05/2027"/>
    <s v="0015003047                    "/>
    <s v="VITALE MARCO"/>
    <n v="59"/>
  </r>
  <r>
    <x v="0"/>
    <n v="3073"/>
    <s v="IL SOLE 24 ORE S.P.A.                   "/>
    <s v="S           "/>
    <s v="AFFARI LEGALI E SOCIETARI"/>
    <s v="A04 "/>
    <x v="1"/>
    <s v="016100      "/>
    <s v="016100   INTERNAL AUDITING"/>
    <s v="EVOLO                           "/>
    <s v="FRANCESCO         "/>
    <s v="VLEFNC96H12F537P"/>
    <x v="1"/>
    <s v="34"/>
    <x v="0"/>
    <s v="11/04/2023"/>
    <s v="MILANO                 "/>
    <s v="21"/>
    <x v="0"/>
    <s v="I"/>
    <x v="0"/>
    <s v="B1 "/>
    <s v="B1 LIV. IMPIEGATO             "/>
    <s v="11/04/2023"/>
    <s v="11/04/2023"/>
    <s v="12/06/1996"/>
    <s v="A"/>
    <s v="A.IN FORZA"/>
    <s v="1  -ASSUNZIONE                1"/>
    <s v=""/>
    <s v=" "/>
    <s v=""/>
    <s v=""/>
    <n v="3073"/>
    <s v="00"/>
    <n v="100"/>
    <s v="FULL TIME      100000000FF100-FULL TIME"/>
    <s v="11/04/2023"/>
    <s v=""/>
    <s v="  "/>
    <s v=""/>
    <s v="EN  "/>
    <s v="    "/>
    <s v=""/>
    <s v=""/>
    <s v="francesco.evolo@ilsole24ore.com                   "/>
    <s v="T"/>
    <s v="T-TIMBRA"/>
    <s v="1 "/>
    <s v="1=5 X 8"/>
    <s v="01/07/2025"/>
    <s v="TEMPO DETERMINATO"/>
    <s v="31/05/2027"/>
    <s v="0015003114                    "/>
    <s v="ALTEI ALESSANDRO"/>
    <n v="29"/>
  </r>
  <r>
    <x v="0"/>
    <n v="828"/>
    <s v="IL SOLE 24 ORE S.P.A.                   "/>
    <s v="T           "/>
    <s v="DIREZIONE PROCUREMENT E PROCESSI DI ACQU"/>
    <s v="T01 "/>
    <x v="48"/>
    <s v="413000      "/>
    <s v="413000   PROCUREMENT"/>
    <s v="CACCIA                          "/>
    <s v="RAFFAELLA         "/>
    <s v="CCCRFL69M52F205Y"/>
    <x v="0"/>
    <s v="34"/>
    <x v="0"/>
    <s v="01/04/2021"/>
    <s v="MILANO                 "/>
    <s v="21"/>
    <x v="0"/>
    <s v="I"/>
    <x v="0"/>
    <s v="B2 "/>
    <s v="B2 LIV. IMPIEGATO             "/>
    <s v="01/02/1995"/>
    <s v="01/01/1996"/>
    <s v="12/08/1969"/>
    <s v="A"/>
    <s v="A.IN FORZA"/>
    <s v="1  -ASSUNZIONE                1"/>
    <s v=""/>
    <s v=" "/>
    <s v=""/>
    <s v=""/>
    <n v="628"/>
    <s v="01"/>
    <n v="50"/>
    <s v="20 H O GRA/COMM050000000PP20.0/40- PT 50.00-P"/>
    <s v="01/02/2024"/>
    <s v="31/01/2026"/>
    <s v="  "/>
    <s v=""/>
    <s v="EV  "/>
    <s v="    "/>
    <s v=""/>
    <s v="C.I.S.L.           C.I.S.L"/>
    <s v="raffaella.caccia@ilsole24ore.com                  "/>
    <s v="T"/>
    <s v="T-TIMBRA"/>
    <s v="1 "/>
    <s v="1=5 X 8"/>
    <s v="01/07/2025"/>
    <s v="TEMPO DETERMINATO"/>
    <s v="31/05/2027"/>
    <s v="0015002930                    "/>
    <s v="LO CAMPO ALESSANDRO"/>
    <n v="56"/>
  </r>
  <r>
    <x v="0"/>
    <n v="1636"/>
    <s v="IL SOLE 24 ORE S.P.A.                   "/>
    <s v="T           "/>
    <s v="DIREZIONE PROCUREMENT E PROCESSI DI ACQU"/>
    <s v="T01 "/>
    <x v="48"/>
    <s v="413000      "/>
    <s v="413000   PROCUREMENT"/>
    <s v="GRANDE                          "/>
    <s v="IVANA             "/>
    <s v="GRNVNI74E70G388X"/>
    <x v="0"/>
    <s v="34"/>
    <x v="0"/>
    <s v="01/04/2021"/>
    <s v="MILANO                 "/>
    <s v="21"/>
    <x v="0"/>
    <s v="I"/>
    <x v="0"/>
    <s v="B1 "/>
    <s v="B1 LIV. IMPIEGATO             "/>
    <s v="01/11/2000"/>
    <s v="01/11/2000"/>
    <s v="30/05/1974"/>
    <s v="A"/>
    <s v="A.IN FORZA"/>
    <s v="1  -ASSUNZIONE                1"/>
    <s v=""/>
    <s v=" "/>
    <s v=""/>
    <s v=""/>
    <n v="1297"/>
    <s v="00"/>
    <n v="100"/>
    <s v="FULL TIME      100000000FF100-FULL TIME"/>
    <s v="01/01/2023"/>
    <s v=""/>
    <s v="  "/>
    <s v=""/>
    <s v="EV  "/>
    <s v="    "/>
    <s v=""/>
    <s v=""/>
    <s v="ivana.grande@ilsole24ore.com                      "/>
    <s v="F"/>
    <s v="F-FIRMA"/>
    <s v="1 "/>
    <s v="1=5 X 8"/>
    <s v="01/07/2025"/>
    <s v="TEMPO DETERMINATO"/>
    <s v="31/05/2027"/>
    <s v="0015002930                    "/>
    <s v="LO CAMPO ALESSANDRO"/>
    <n v="51"/>
  </r>
  <r>
    <x v="0"/>
    <n v="2930"/>
    <s v="IL SOLE 24 ORE S.P.A.                   "/>
    <s v="T           "/>
    <s v="DIREZIONE PROCUREMENT E PROCESSI DI ACQU"/>
    <s v="T01 "/>
    <x v="48"/>
    <s v="413000      "/>
    <s v="413000   PROCUREMENT"/>
    <s v="LO CAMPO                        "/>
    <s v="ALESSANDRO        "/>
    <s v="LCMLSN74P22I158T"/>
    <x v="1"/>
    <s v="34"/>
    <x v="0"/>
    <s v="01/04/2021"/>
    <s v="MILANO                 "/>
    <s v="90"/>
    <x v="1"/>
    <s v="D"/>
    <x v="1"/>
    <s v="D  "/>
    <s v="DIRIGENTE INDUSTRIA           "/>
    <s v="06/11/2017"/>
    <s v="06/11/2017"/>
    <s v="22/09/1974"/>
    <s v="A"/>
    <s v="A.IN FORZA"/>
    <s v="1  -ASSUNZIONE                1"/>
    <s v=""/>
    <s v=" "/>
    <s v=""/>
    <s v=""/>
    <n v="2930"/>
    <s v="00"/>
    <n v="100"/>
    <s v="FULL TIME      100000000FF100-FULL TIME"/>
    <s v="06/11/2017"/>
    <s v=""/>
    <s v="  "/>
    <s v=""/>
    <s v="DD  "/>
    <s v="    "/>
    <s v=""/>
    <s v=""/>
    <s v="alessandro.locampo@ilsole24ore.com                "/>
    <s v="E"/>
    <s v="E-ESENTE"/>
    <s v="1 "/>
    <s v="1=5 X 8"/>
    <s v="01/07/2025"/>
    <s v="TEMPO DETERMINATO"/>
    <s v="31/05/2026"/>
    <s v="0015002960                    "/>
    <s v="SILVESTRI FEDERICO"/>
    <n v="51"/>
  </r>
  <r>
    <x v="0"/>
    <n v="1336"/>
    <s v="IL SOLE 24 ORE S.P.A.                   "/>
    <s v="T           "/>
    <s v="DIREZIONE PROCUREMENT E PROCESSI DI ACQU"/>
    <s v="T01 "/>
    <x v="48"/>
    <s v="413000      "/>
    <s v="413000   PROCUREMENT"/>
    <s v="MALANCA                         "/>
    <s v="LAURA             "/>
    <s v="MLNLRA72B63I441R"/>
    <x v="0"/>
    <s v="34"/>
    <x v="0"/>
    <s v="01/04/2021"/>
    <s v="MILANO                 "/>
    <s v="21"/>
    <x v="0"/>
    <s v="I"/>
    <x v="0"/>
    <s v="AS "/>
    <s v="AS LIV. IMPIEGATO             "/>
    <s v="16/11/1999"/>
    <s v="16/11/1999"/>
    <s v="23/02/1972"/>
    <s v="A"/>
    <s v="A.IN FORZA"/>
    <s v="1  -ASSUNZIONE                1"/>
    <s v=""/>
    <s v=" "/>
    <s v=""/>
    <s v=""/>
    <n v="1059"/>
    <s v="00"/>
    <n v="100"/>
    <s v="FULL TIME      100000000FF100-FULL TIME"/>
    <s v="01/09/2015"/>
    <s v=""/>
    <s v="05"/>
    <s v="INVALIDI CIVILI"/>
    <s v="EV  "/>
    <s v="    "/>
    <s v=""/>
    <s v=""/>
    <s v="laura.malanca@ilsole24ore.com                     "/>
    <s v="F"/>
    <s v="F-FIRMA"/>
    <s v="1 "/>
    <s v="1=5 X 8"/>
    <s v="01/07/2025"/>
    <s v="TEMPO DETERMINATO"/>
    <s v="31/05/2027"/>
    <s v="0015002930                    "/>
    <s v="LO CAMPO ALESSANDRO"/>
    <n v="53"/>
  </r>
  <r>
    <x v="0"/>
    <n v="3002"/>
    <s v="IL SOLE 24 ORE S.P.A.                   "/>
    <s v="T           "/>
    <s v="DIREZIONE PROCUREMENT E PROCESSI DI ACQU"/>
    <s v="T01 "/>
    <x v="48"/>
    <s v="413000      "/>
    <s v="413000   PROCUREMENT"/>
    <s v="MARINO                          "/>
    <s v="SANDRO            "/>
    <s v="MRNSDR71T04F205F"/>
    <x v="1"/>
    <s v="34"/>
    <x v="0"/>
    <s v="01/04/2021"/>
    <s v="MILANO                 "/>
    <s v="21"/>
    <x v="0"/>
    <s v="I"/>
    <x v="0"/>
    <s v="AS "/>
    <s v="AS LIV. IMPIEGATO             "/>
    <s v="01/09/2020"/>
    <s v="01/09/2020"/>
    <s v="04/12/1971"/>
    <s v="A"/>
    <s v="A.IN FORZA"/>
    <s v="1  -ASSUNZIONE                1"/>
    <s v=""/>
    <s v=" "/>
    <s v=""/>
    <s v=""/>
    <n v="3002"/>
    <s v="00"/>
    <n v="100"/>
    <s v="FULL TIME      100000000FF100-FULL TIME"/>
    <s v="01/09/2020"/>
    <s v=""/>
    <s v="05"/>
    <s v="INVALIDI CIVILI"/>
    <s v="EV  "/>
    <s v="    "/>
    <s v=""/>
    <s v=""/>
    <s v="sandro.marino@ilsole24ore.com                     "/>
    <s v="F"/>
    <s v="F-FIRMA"/>
    <s v="1 "/>
    <s v="1=5 X 8"/>
    <s v="01/07/2025"/>
    <s v="TEMPO DETERMINATO"/>
    <s v="31/05/2027"/>
    <s v="0015002930                    "/>
    <s v="LO CAMPO ALESSANDRO"/>
    <n v="54"/>
  </r>
  <r>
    <x v="0"/>
    <n v="1556"/>
    <s v="IL SOLE 24 ORE S.P.A.                   "/>
    <s v="T           "/>
    <s v="DIREZIONE PROCUREMENT E PROCESSI DI ACQU"/>
    <s v="T01 "/>
    <x v="48"/>
    <s v="413000      "/>
    <s v="413000   PROCUREMENT"/>
    <s v="RIGAMONTI                       "/>
    <s v="ERIKA             "/>
    <s v="RGMRKE71H49G337S"/>
    <x v="0"/>
    <s v="34"/>
    <x v="0"/>
    <s v="01/04/2021"/>
    <s v="MILANO                 "/>
    <s v="21"/>
    <x v="0"/>
    <s v="I"/>
    <x v="0"/>
    <s v="AS "/>
    <s v="AS LIV. IMPIEGATO             "/>
    <s v="17/05/2000"/>
    <s v="17/05/2000"/>
    <s v="09/06/1971"/>
    <s v="A"/>
    <s v="A.IN FORZA"/>
    <s v="1  -ASSUNZIONE                1"/>
    <s v=""/>
    <s v=" "/>
    <s v=""/>
    <s v=""/>
    <n v="1227"/>
    <s v="00"/>
    <n v="100"/>
    <s v="FULL TIME      100000000FF100-FULL TIME"/>
    <s v="17/05/2000"/>
    <s v=""/>
    <s v="  "/>
    <s v=""/>
    <s v="EV  "/>
    <s v="    "/>
    <s v=""/>
    <s v=""/>
    <s v="erika.rigamonti@ilsole24ore.com                   "/>
    <s v="F"/>
    <s v="F-FIRMA"/>
    <s v="1 "/>
    <s v="1=5 X 8"/>
    <s v="01/07/2025"/>
    <s v="TEMPO DETERMINATO"/>
    <s v="31/05/2027"/>
    <s v="0015002930                    "/>
    <s v="LO CAMPO ALESSANDRO"/>
    <n v="54"/>
  </r>
  <r>
    <x v="0"/>
    <n v="3096"/>
    <s v="IL SOLE 24 ORE S.P.A.                   "/>
    <s v="T           "/>
    <s v="DIREZIONE PROCUREMENT E PROCESSI DI ACQU"/>
    <s v="T01 "/>
    <x v="48"/>
    <s v="413000      "/>
    <s v="413000   PROCUREMENT"/>
    <s v="SANTORO                         "/>
    <s v="DOMENICO          "/>
    <s v="SNTDNC87S23D643K"/>
    <x v="1"/>
    <s v="34"/>
    <x v="0"/>
    <s v="02/10/2023"/>
    <s v="MILANO                 "/>
    <s v="21"/>
    <x v="0"/>
    <s v="I"/>
    <x v="0"/>
    <s v="A  "/>
    <s v="A LIV. IMPIEGATO              "/>
    <s v="02/10/2023"/>
    <s v="02/10/2023"/>
    <s v="23/11/1987"/>
    <s v="A"/>
    <s v="A.IN FORZA"/>
    <s v="1  -ASSUNZIONE                1"/>
    <s v=""/>
    <s v=" "/>
    <s v=""/>
    <s v=""/>
    <n v="3096"/>
    <s v="00"/>
    <n v="100"/>
    <s v="FULL TIME      100000000FF100-FULL TIME"/>
    <s v="02/10/2023"/>
    <s v=""/>
    <s v="05"/>
    <s v="INVALIDI CIVILI"/>
    <s v="EN  "/>
    <s v="    "/>
    <s v=""/>
    <s v=""/>
    <s v="domenico.santoro@ilsole24ore.com                  "/>
    <s v="F"/>
    <s v="F-FIRMA"/>
    <s v="1 "/>
    <s v="1=5 X 8"/>
    <s v="01/07/2025"/>
    <s v="TEMPO DETERMINATO"/>
    <s v="31/05/2027"/>
    <s v="0015002930                    "/>
    <s v="LO CAMPO ALESSANDRO"/>
    <n v="38"/>
  </r>
  <r>
    <x v="0"/>
    <n v="1687"/>
    <s v="IL SOLE 24 ORE S.P.A.                   "/>
    <s v="T           "/>
    <s v="DIREZIONE PROCUREMENT E PROCESSI DI ACQU"/>
    <s v="T01 "/>
    <x v="48"/>
    <s v="G12600      "/>
    <s v="G12600 ANALISI &amp; REPORTING OPERATIVO"/>
    <s v="LONGHI                          "/>
    <s v="IVAN CARLO        "/>
    <s v="LNGVCR71L08F965F"/>
    <x v="1"/>
    <s v="34"/>
    <x v="0"/>
    <s v="01/04/2021"/>
    <s v="MILANO                 "/>
    <s v="21"/>
    <x v="0"/>
    <s v="F"/>
    <x v="2"/>
    <s v="Q  "/>
    <s v="Q LIV. QUADRI                 "/>
    <s v="04/12/2000"/>
    <s v="04/12/2000"/>
    <s v="08/07/1971"/>
    <s v="A"/>
    <s v="A.IN FORZA"/>
    <s v="1  -ASSUNZIONE                1"/>
    <s v=""/>
    <s v=" "/>
    <s v=""/>
    <s v=""/>
    <n v="1344"/>
    <s v="00"/>
    <n v="100"/>
    <s v="FULL TIME      100000000FF100-FULL TIME"/>
    <s v="04/12/2000"/>
    <s v=""/>
    <s v="05"/>
    <s v="INVALIDI CIVILI"/>
    <s v="EV  "/>
    <s v="    "/>
    <s v=""/>
    <s v=""/>
    <s v="ivan.longhi@ilsole24ore.com                       "/>
    <s v="F"/>
    <s v="F-FIRMA"/>
    <s v="1 "/>
    <s v="1=5 X 8"/>
    <s v="01/07/2025"/>
    <s v="TEMPO DETERMINATO"/>
    <s v="31/05/2027"/>
    <s v="0015002930                    "/>
    <s v="LO CAMPO ALESSANDRO"/>
    <n v="54"/>
  </r>
  <r>
    <x v="0"/>
    <n v="1836"/>
    <s v="IL SOLE 24 ORE S.P.A.                   "/>
    <s v="T           "/>
    <s v="DIREZIONE PROCUREMENT E PROCESSI DI ACQU"/>
    <s v="T01 "/>
    <x v="48"/>
    <s v="R14300      "/>
    <s v="R14300   BANDI E GARE D'APPALTO"/>
    <s v="GUGLIELMI                       "/>
    <s v="ALBERTO           "/>
    <s v="GGLLRT69E31H501P"/>
    <x v="1"/>
    <s v="31"/>
    <x v="1"/>
    <s v="18/05/2009"/>
    <s v="ROMA                   "/>
    <s v="21"/>
    <x v="0"/>
    <s v="F"/>
    <x v="2"/>
    <s v="Q  "/>
    <s v="Q LIV. QUADRI                 "/>
    <s v="01/02/2001"/>
    <s v="01/09/1997"/>
    <s v="31/05/1969"/>
    <s v="A"/>
    <s v="A.IN FORZA"/>
    <s v="2  -VARIAZIONE SOCIETARIA     2"/>
    <s v=""/>
    <s v=" "/>
    <s v=""/>
    <s v=""/>
    <n v="1456"/>
    <s v="00"/>
    <n v="100"/>
    <s v="FULL TIME      100000000FF100-FULL TIME"/>
    <s v="01/02/2001"/>
    <s v=""/>
    <s v="  "/>
    <s v=""/>
    <s v="EV  "/>
    <s v="    "/>
    <s v=""/>
    <s v=""/>
    <s v="alberto.guglielmi@ilsole24ore.com                 "/>
    <s v="F"/>
    <s v="F-FIRMA"/>
    <s v="1 "/>
    <s v="1=5 X 8"/>
    <s v="01/07/2025"/>
    <s v="TEMPO DETERMINATO"/>
    <s v="31/05/2027"/>
    <s v="0015002930                    "/>
    <s v="LO CAMPO ALESSANDRO"/>
    <n v="56"/>
  </r>
  <r>
    <x v="0"/>
    <n v="573"/>
    <s v="IL SOLE 24 ORE S.P.A.                   "/>
    <s v="T           "/>
    <s v="DIREZIONE PROCUREMENT E PROCESSI DI ACQU"/>
    <s v="T01 "/>
    <x v="48"/>
    <s v="R14300      "/>
    <s v="R14300   BANDI E GARE D'APPALTO"/>
    <s v="ZAMBARBIERI                     "/>
    <s v="NADIA             "/>
    <s v="ZMBNDA66M53F205Z"/>
    <x v="0"/>
    <s v="34"/>
    <x v="0"/>
    <s v="01/04/2021"/>
    <s v="MILANO                 "/>
    <s v="21"/>
    <x v="0"/>
    <s v="I"/>
    <x v="0"/>
    <s v="A  "/>
    <s v="A LIV. IMPIEGATO              "/>
    <s v="01/10/1991"/>
    <s v="01/10/1991"/>
    <s v="13/08/1966"/>
    <s v="A"/>
    <s v="A.IN FORZA"/>
    <s v="1  -ASSUNZIONE                1"/>
    <s v=""/>
    <s v=" "/>
    <s v=""/>
    <s v=""/>
    <n v="408"/>
    <s v="00"/>
    <n v="100"/>
    <s v="FULL TIME      100000000FF100-FULL TIME"/>
    <s v="01/10/1991"/>
    <s v=""/>
    <s v="  "/>
    <s v=""/>
    <s v="EP  "/>
    <s v="    "/>
    <s v=""/>
    <s v=""/>
    <s v="nadia.zambarbieri@ilsole24ore.com                 "/>
    <s v="F"/>
    <s v="F-FIRMA"/>
    <s v="1 "/>
    <s v="1=5 X 8"/>
    <s v="01/07/2025"/>
    <s v="TEMPO DETERMINATO"/>
    <s v="31/05/2027"/>
    <s v="0015002930                    "/>
    <s v="LO CAMPO ALESSANDRO"/>
    <n v="59"/>
  </r>
  <r>
    <x v="1"/>
    <n v="64"/>
    <s v="24 ORE CULTURA S.R.L.                   "/>
    <s v="W           "/>
    <s v="24 ORE CULTURA"/>
    <s v="W01 "/>
    <x v="49"/>
    <s v="W19050      "/>
    <s v="W19050   MUDEC E TICKETING"/>
    <s v="LECCIOLI                        "/>
    <s v="MARIA CINZIA      "/>
    <s v="LCCMCN67A64F205Y"/>
    <x v="0"/>
    <s v="19"/>
    <x v="9"/>
    <s v="01/01/2019"/>
    <s v="MILANO                 "/>
    <s v="21"/>
    <x v="0"/>
    <s v="I"/>
    <x v="0"/>
    <s v="B2 "/>
    <s v="B2 LIV. IMPIEGATO             "/>
    <s v="01/01/2019"/>
    <s v="09/02/2015"/>
    <s v="24/01/1967"/>
    <s v="A"/>
    <s v="A.IN FORZA"/>
    <s v="2T-TRASFERIMENTO AZIENDA/RAMO 2T"/>
    <s v=""/>
    <s v=" "/>
    <s v=""/>
    <s v=""/>
    <n v="64"/>
    <s v="00"/>
    <n v="100"/>
    <s v="FULL TIME      100000000FF100-FULL TIME"/>
    <s v="09/02/2015"/>
    <s v=""/>
    <s v="  "/>
    <s v=""/>
    <s v="EO  "/>
    <s v="    "/>
    <s v=""/>
    <s v=""/>
    <s v="cinzia.leccioli@24orecultura.com                  "/>
    <s v="F"/>
    <s v="F-FIRMA"/>
    <s v="1 "/>
    <s v="1=5 X 8"/>
    <s v="01/07/2025"/>
    <s v="TEMPO DETERMINATO"/>
    <s v="31/05/2027"/>
    <s v="0028000051                    "/>
    <s v="SERINI SIMONA"/>
    <n v="59"/>
  </r>
  <r>
    <x v="1"/>
    <n v="96"/>
    <s v="24 ORE CULTURA S.R.L.                   "/>
    <s v="W           "/>
    <s v="24 ORE CULTURA"/>
    <s v="W01 "/>
    <x v="49"/>
    <s v="W19050      "/>
    <s v="W19050   MUDEC E TICKETING"/>
    <s v="SCANDROGLIO                     "/>
    <s v="ANNALISA          "/>
    <s v="SCNNLS85T51B300R"/>
    <x v="0"/>
    <s v="19"/>
    <x v="9"/>
    <s v="02/09/2024"/>
    <s v="MILANO                 "/>
    <s v="21"/>
    <x v="0"/>
    <s v="I"/>
    <x v="0"/>
    <s v="B2 "/>
    <s v="B2 LIV. IMPIEGATO             "/>
    <s v="02/09/2024"/>
    <s v="02/09/2024"/>
    <s v="11/12/1985"/>
    <s v="A"/>
    <s v="A.IN FORZA"/>
    <s v="1S-ASSUNZIONE STABILIZZAZIONE 1S"/>
    <s v=""/>
    <s v=" "/>
    <s v=""/>
    <s v=""/>
    <n v="96"/>
    <s v="00"/>
    <n v="100"/>
    <s v="FULL TIME      100000000FF100-FULL TIME"/>
    <s v="02/09/2024"/>
    <s v=""/>
    <s v="  "/>
    <s v=""/>
    <s v="EO  "/>
    <s v="    "/>
    <s v=""/>
    <s v=""/>
    <s v="annalisa.scandroglio@24orecultura.com             "/>
    <s v="F"/>
    <s v="F-FIRMA"/>
    <s v="1 "/>
    <s v="1=5 X 8"/>
    <s v="01/07/2025"/>
    <s v="TEMPO DETERMINATO"/>
    <s v="31/05/2027"/>
    <s v="0028000051                    "/>
    <s v="SERINI SIMONA"/>
    <n v="40"/>
  </r>
  <r>
    <x v="1"/>
    <n v="51"/>
    <s v="24 ORE CULTURA S.R.L.                   "/>
    <s v="W           "/>
    <s v="24 ORE CULTURA"/>
    <s v="W01 "/>
    <x v="49"/>
    <s v="W19050      "/>
    <s v="W19050   MUDEC E TICKETING"/>
    <s v="SERINI                          "/>
    <s v="SIMONA            "/>
    <s v="SRNSMN79P59A662X"/>
    <x v="0"/>
    <s v="34"/>
    <x v="0"/>
    <s v="01/04/2021"/>
    <s v="MILANO                 "/>
    <s v="21"/>
    <x v="0"/>
    <s v="F"/>
    <x v="2"/>
    <s v="Q  "/>
    <s v="Q LIV. QUADRI                 "/>
    <s v="04/05/2015"/>
    <s v="04/05/2015"/>
    <s v="19/09/1979"/>
    <s v="A"/>
    <s v="A.IN FORZA"/>
    <s v="1  -ASSUNZIONE                1"/>
    <s v=""/>
    <s v=" "/>
    <s v=""/>
    <s v=""/>
    <n v="51"/>
    <s v="00"/>
    <n v="100"/>
    <s v="FULL TIME      100000000FF100-FULL TIME"/>
    <s v="04/05/2015"/>
    <s v=""/>
    <s v="  "/>
    <s v=""/>
    <s v="EA  "/>
    <s v="    "/>
    <s v=""/>
    <s v=""/>
    <s v="simona.serini@24orecultura.com                    "/>
    <s v="F"/>
    <s v="F-FIRMA"/>
    <s v="1 "/>
    <s v="1=5 X 8"/>
    <s v="01/07/2025"/>
    <s v="TEMPO DETERMINATO"/>
    <s v="31/05/2027"/>
    <s v="0015002960                    "/>
    <s v="SILVESTRI FEDERICO"/>
    <n v="46"/>
  </r>
  <r>
    <x v="1"/>
    <n v="12"/>
    <s v="24 ORE CULTURA S.R.L.                   "/>
    <s v="W           "/>
    <s v="24 ORE CULTURA"/>
    <s v="W01 "/>
    <x v="49"/>
    <s v="W1910010    "/>
    <s v="W1910010 OPERATIONS MOSTRE 24 ORE CULTUR"/>
    <s v="COLOMBO                         "/>
    <s v="ELISABETTA        "/>
    <s v="CLMLBT65C57F205E"/>
    <x v="0"/>
    <s v="34"/>
    <x v="0"/>
    <s v="01/04/2021"/>
    <s v="MILANO                 "/>
    <s v="21"/>
    <x v="0"/>
    <s v="I"/>
    <x v="0"/>
    <s v="B1 "/>
    <s v="B1 LIV. IMPIEGATO             "/>
    <s v="07/02/2005"/>
    <s v="07/02/2005"/>
    <s v="17/03/1965"/>
    <s v="A"/>
    <s v="A.IN FORZA"/>
    <s v="1  -ASSUNZIONE                1"/>
    <s v=""/>
    <s v=" "/>
    <s v=""/>
    <s v=""/>
    <n v="11"/>
    <s v="00"/>
    <n v="100"/>
    <s v="FULL TIME      100000000FF100-FULL TIME"/>
    <s v="07/02/2005"/>
    <s v=""/>
    <s v="  "/>
    <s v=""/>
    <s v="EA  "/>
    <s v="    "/>
    <s v=""/>
    <s v="C.G.I.L.           C.G.I.L"/>
    <s v="elisabetta.colombo@24orecultura.com               "/>
    <s v="F"/>
    <s v="F-FIRMA"/>
    <s v="1 "/>
    <s v="1=5 X 8"/>
    <s v="01/07/2025"/>
    <s v="TEMPO DETERMINATO"/>
    <s v="31/05/2027"/>
    <s v="0028000056                    "/>
    <s v="CAPPITELLI PAOLA MONICA"/>
    <n v="60"/>
  </r>
  <r>
    <x v="1"/>
    <n v="19"/>
    <s v="24 ORE CULTURA S.R.L.                   "/>
    <s v="W           "/>
    <s v="24 ORE CULTURA"/>
    <s v="W01 "/>
    <x v="49"/>
    <s v="W1910020    "/>
    <s v="W1910020 OPERATIONS MUDEC 24 ORE CULTURA"/>
    <s v="MONTAGNA                        "/>
    <s v="GIORGIA           "/>
    <s v="MNTGRG77T56F205Q"/>
    <x v="0"/>
    <s v="34"/>
    <x v="0"/>
    <s v="01/04/2021"/>
    <s v="MILANO                 "/>
    <s v="21"/>
    <x v="0"/>
    <s v="I"/>
    <x v="0"/>
    <s v="B2 "/>
    <s v="B2 LIV. IMPIEGATO             "/>
    <s v="02/05/2006"/>
    <s v="02/05/2006"/>
    <s v="16/12/1977"/>
    <s v="A"/>
    <s v="A.IN FORZA"/>
    <s v="1  -ASSUNZIONE                1"/>
    <s v=""/>
    <s v=" "/>
    <s v=""/>
    <s v=""/>
    <n v="27"/>
    <s v="00"/>
    <n v="100"/>
    <s v="FULL TIME      100000000FF100-FULL TIME"/>
    <s v="02/05/2006"/>
    <s v=""/>
    <s v="  "/>
    <s v=""/>
    <s v="EA  "/>
    <s v="    "/>
    <s v=""/>
    <s v=""/>
    <s v="giorgia.montagna@24orecultura.com                 "/>
    <s v="F"/>
    <s v="F-FIRMA"/>
    <s v="1 "/>
    <s v="1=5 X 8"/>
    <s v="01/07/2025"/>
    <s v="TEMPO DETERMINATO"/>
    <s v="31/05/2027"/>
    <s v="0028000051                    "/>
    <s v="SERINI SIMONA"/>
    <n v="48"/>
  </r>
  <r>
    <x v="1"/>
    <n v="76"/>
    <s v="24 ORE CULTURA S.R.L.                   "/>
    <s v="W           "/>
    <s v="24 ORE CULTURA"/>
    <s v="W01 "/>
    <x v="49"/>
    <s v="W19510      "/>
    <s v="W19510   EDITORIA &amp; BOOKSHOP"/>
    <s v="IANNAZZO                        "/>
    <s v="VERDIANA          "/>
    <s v="NNZVDN87P49M208F"/>
    <x v="0"/>
    <s v="34"/>
    <x v="0"/>
    <s v="01/04/2021"/>
    <s v="MILANO                 "/>
    <s v="21"/>
    <x v="0"/>
    <s v="I"/>
    <x v="0"/>
    <s v="B3 "/>
    <s v="B3 LIV. IMPIEGATO             "/>
    <s v="02/03/2020"/>
    <s v="02/03/2020"/>
    <s v="09/09/1987"/>
    <s v="A"/>
    <s v="A.IN FORZA"/>
    <s v="1S-ASSUNZIONE STABILIZZAZIONE 1S"/>
    <s v=""/>
    <s v=" "/>
    <s v=""/>
    <s v=""/>
    <n v="76"/>
    <s v="00"/>
    <n v="100"/>
    <s v="FULL TIME      100000000FF100-FULL TIME"/>
    <s v="02/03/2020"/>
    <s v=""/>
    <s v="  "/>
    <s v=""/>
    <s v="EO  "/>
    <s v="    "/>
    <s v=""/>
    <s v=""/>
    <s v="verdiana.iannazzo@24orecultura.com                "/>
    <s v="F"/>
    <s v="F-FIRMA"/>
    <s v="1 "/>
    <s v="1=5 X 8"/>
    <s v="01/07/2025"/>
    <s v="TEMPO DETERMINATO"/>
    <s v="31/05/2027"/>
    <s v="0028000042                    "/>
    <s v="SAVINO MARIA CHIARA"/>
    <n v="38"/>
  </r>
  <r>
    <x v="1"/>
    <n v="95"/>
    <s v="24 ORE CULTURA S.R.L.                   "/>
    <s v="W           "/>
    <s v="24 ORE CULTURA"/>
    <s v="W01 "/>
    <x v="49"/>
    <s v="W19510      "/>
    <s v="W19510   EDITORIA &amp; BOOKSHOP"/>
    <s v="MILINCIC                        "/>
    <s v="GORANA            "/>
    <s v="MLNGRN84B61Z153M"/>
    <x v="0"/>
    <s v="34"/>
    <x v="0"/>
    <s v="15/05/2024"/>
    <s v="MILANO                 "/>
    <s v="21"/>
    <x v="0"/>
    <s v="I"/>
    <x v="0"/>
    <s v="B2 "/>
    <s v="B2 LIV. IMPIEGATO             "/>
    <s v="15/05/2024"/>
    <s v="15/05/2024"/>
    <s v="21/02/1984"/>
    <s v="A"/>
    <s v="A.IN FORZA"/>
    <s v="1  -ASSUNZIONE                1"/>
    <s v=""/>
    <s v=" "/>
    <s v=""/>
    <s v=""/>
    <n v="95"/>
    <s v="00"/>
    <n v="100"/>
    <s v="FULL TIME      100000000FF100-FULL TIME"/>
    <s v="15/05/2024"/>
    <s v=""/>
    <s v="  "/>
    <s v=""/>
    <s v="EO  "/>
    <s v="    "/>
    <s v=""/>
    <s v=""/>
    <s v="gorana.milincic@24orecultura.com                  "/>
    <s v="F"/>
    <s v="F-FIRMA"/>
    <s v="1 "/>
    <s v="1=5 X 8"/>
    <s v="01/07/2025"/>
    <s v="TEMPO DETERMINATO"/>
    <s v="31/05/2027"/>
    <s v="0028000042                    "/>
    <s v="SAVINO MARIA CHIARA"/>
    <n v="41"/>
  </r>
  <r>
    <x v="1"/>
    <n v="80"/>
    <s v="24 ORE CULTURA S.R.L.                   "/>
    <s v="W           "/>
    <s v="24 ORE CULTURA"/>
    <s v="W01 "/>
    <x v="49"/>
    <s v="W19510      "/>
    <s v="W19510   EDITORIA &amp; BOOKSHOP"/>
    <s v="PANCIERA                        "/>
    <s v="MONICA            "/>
    <s v="PNCMNC72M63I690I"/>
    <x v="0"/>
    <s v="34"/>
    <x v="0"/>
    <s v="03/05/2021"/>
    <s v="MILANO                 "/>
    <s v="21"/>
    <x v="0"/>
    <s v="I"/>
    <x v="0"/>
    <s v="B1 "/>
    <s v="B1 LIV. IMPIEGATO             "/>
    <s v="03/05/2021"/>
    <s v="03/05/2021"/>
    <s v="23/08/1972"/>
    <s v="A"/>
    <s v="A.IN FORZA"/>
    <s v="1  -ASSUNZIONE                1"/>
    <s v=""/>
    <s v=" "/>
    <s v=""/>
    <s v=""/>
    <n v="80"/>
    <s v="00"/>
    <n v="100"/>
    <s v="FULL TIME      100000000FF100-FULL TIME"/>
    <s v="03/05/2021"/>
    <s v=""/>
    <s v="  "/>
    <s v=""/>
    <s v="EO  "/>
    <s v="    "/>
    <s v=""/>
    <s v="C.G.I.L.           C.G.I.L"/>
    <s v="monica.panciera@24orecultura.com                  "/>
    <s v="F"/>
    <s v="F-FIRMA"/>
    <s v="1 "/>
    <s v="1=5 X 8"/>
    <s v="01/07/2025"/>
    <s v="TEMPO DETERMINATO"/>
    <s v="31/05/2027"/>
    <s v="0028000042                    "/>
    <s v="SAVINO MARIA CHIARA"/>
    <n v="53"/>
  </r>
  <r>
    <x v="1"/>
    <n v="86"/>
    <s v="24 ORE CULTURA S.R.L.                   "/>
    <s v="W           "/>
    <s v="24 ORE CULTURA"/>
    <s v="W01 "/>
    <x v="49"/>
    <s v="W19510      "/>
    <s v="W19510   EDITORIA &amp; BOOKSHOP"/>
    <s v="RICCA                           "/>
    <s v="MONICA            "/>
    <s v="RCCMNC88B68A940X"/>
    <x v="0"/>
    <s v="34"/>
    <x v="0"/>
    <s v="18/11/2021"/>
    <s v="MILANO                 "/>
    <s v="21"/>
    <x v="0"/>
    <s v="I"/>
    <x v="0"/>
    <s v="C1 "/>
    <s v="C1 LIV. IMPIEGATO             "/>
    <s v="18/11/2021"/>
    <s v="18/11/2021"/>
    <s v="28/02/1988"/>
    <s v="A"/>
    <s v="A.IN FORZA"/>
    <s v="1  -ASSUNZIONE                1"/>
    <s v=""/>
    <s v=" "/>
    <s v=""/>
    <s v=""/>
    <n v="86"/>
    <s v="00"/>
    <n v="100"/>
    <s v="FULL TIME      100000000FF100-FULL TIME"/>
    <s v="18/11/2021"/>
    <s v=""/>
    <s v="05"/>
    <s v="INVALIDI CIVILI"/>
    <s v="EO  "/>
    <s v="    "/>
    <s v=""/>
    <s v=""/>
    <s v="monica.ricca@24orecultura.com                     "/>
    <s v="F"/>
    <s v="F-FIRMA"/>
    <s v="1 "/>
    <s v="1=5 X 8"/>
    <s v="01/07/2025"/>
    <s v="TEMPO DETERMINATO"/>
    <s v="31/05/2027"/>
    <s v="0028000042                    "/>
    <s v="SAVINO MARIA CHIARA"/>
    <n v="37"/>
  </r>
  <r>
    <x v="1"/>
    <n v="42"/>
    <s v="24 ORE CULTURA S.R.L.                   "/>
    <s v="W           "/>
    <s v="24 ORE CULTURA"/>
    <s v="W01 "/>
    <x v="49"/>
    <s v="W19510      "/>
    <s v="W19510   EDITORIA &amp; BOOKSHOP"/>
    <s v="SAVINO                          "/>
    <s v="MARIA CHIARA      "/>
    <s v="SVNMCH74E61B300S"/>
    <x v="0"/>
    <s v="34"/>
    <x v="0"/>
    <s v="01/04/2021"/>
    <s v="MILANO                 "/>
    <s v="21"/>
    <x v="0"/>
    <s v="F"/>
    <x v="2"/>
    <s v="Q  "/>
    <s v="Q LIV. QUADRI                 "/>
    <s v="25/03/2013"/>
    <s v="25/03/2013"/>
    <s v="21/05/1974"/>
    <s v="A"/>
    <s v="A.IN FORZA"/>
    <s v="1  -ASSUNZIONE                1"/>
    <s v=""/>
    <s v=" "/>
    <s v=""/>
    <s v=""/>
    <n v="42"/>
    <s v="00"/>
    <n v="100"/>
    <s v="FULL TIME      100000000FF100-FULL TIME"/>
    <s v="25/03/2013"/>
    <s v=""/>
    <s v="  "/>
    <s v=""/>
    <s v="EA  "/>
    <s v="    "/>
    <s v=""/>
    <s v=""/>
    <s v="chiara.savino@24orecultura.com                    "/>
    <s v="F"/>
    <s v="F-FIRMA"/>
    <s v="1 "/>
    <s v="1=5 X 8"/>
    <s v="01/07/2025"/>
    <s v="TEMPO DETERMINATO"/>
    <s v="31/05/2027"/>
    <s v="0015002960                    "/>
    <s v="SILVESTRI FEDERICO"/>
    <n v="51"/>
  </r>
  <r>
    <x v="1"/>
    <n v="15"/>
    <s v="24 ORE CULTURA S.R.L.                   "/>
    <s v="W           "/>
    <s v="24 ORE CULTURA"/>
    <s v="W01 "/>
    <x v="49"/>
    <s v="W19510      "/>
    <s v="W19510   EDITORIA &amp; BOOKSHOP"/>
    <s v="SIVIERI                         "/>
    <s v="GIANMARCO         "/>
    <s v="SVRGMR69R20F205K"/>
    <x v="1"/>
    <s v="34"/>
    <x v="0"/>
    <s v="01/04/2021"/>
    <s v="MILANO                 "/>
    <s v="21"/>
    <x v="0"/>
    <s v="I"/>
    <x v="0"/>
    <s v="A  "/>
    <s v="A LIV. IMPIEGATO              "/>
    <s v="01/01/2006"/>
    <s v="01/01/2006"/>
    <s v="20/10/1969"/>
    <s v="A"/>
    <s v="A.IN FORZA"/>
    <s v="1  -ASSUNZIONE                1"/>
    <s v=""/>
    <s v=" "/>
    <s v=""/>
    <s v=""/>
    <n v="14"/>
    <s v="00"/>
    <n v="100"/>
    <s v="FULL TIME      100000000FF100-FULL TIME"/>
    <s v="01/01/2006"/>
    <s v=""/>
    <s v="  "/>
    <s v=""/>
    <s v="EA  "/>
    <s v="    "/>
    <s v=""/>
    <s v="C.G.I.L.           C.G.I.L"/>
    <s v="gianmarco.sivieri@24orecultura.com                "/>
    <s v="F"/>
    <s v="F-FIRMA"/>
    <s v="1 "/>
    <s v="1=5 X 8"/>
    <s v="01/07/2025"/>
    <s v="TEMPO DETERMINATO"/>
    <s v="31/05/2027"/>
    <s v="0028000042                    "/>
    <s v="SAVINO MARIA CHIARA"/>
    <n v="56"/>
  </r>
  <r>
    <x v="1"/>
    <n v="11"/>
    <s v="24 ORE CULTURA S.R.L.                   "/>
    <s v="W           "/>
    <s v="24 ORE CULTURA"/>
    <s v="W01 "/>
    <x v="49"/>
    <s v="W19510      "/>
    <s v="W19510   EDITORIA &amp; BOOKSHOP"/>
    <s v="VADRUCCI                        "/>
    <s v="STEFANIA          "/>
    <s v="VDRSFN74H45F205N"/>
    <x v="0"/>
    <s v="34"/>
    <x v="0"/>
    <s v="01/04/2021"/>
    <s v="MILANO                 "/>
    <s v="21"/>
    <x v="0"/>
    <s v="I"/>
    <x v="0"/>
    <s v="A  "/>
    <s v="A LIV. IMPIEGATO              "/>
    <s v="01/01/2005"/>
    <s v="01/01/2005"/>
    <s v="05/06/1974"/>
    <s v="A"/>
    <s v="A.IN FORZA"/>
    <s v="1  -ASSUNZIONE                1"/>
    <s v=""/>
    <s v=" "/>
    <s v=""/>
    <s v=""/>
    <n v="10"/>
    <s v="00"/>
    <n v="100"/>
    <s v="FULL TIME      100000000FF100-FULL TIME"/>
    <s v="01/09/2014"/>
    <s v=""/>
    <s v="  "/>
    <s v=""/>
    <s v="EA  "/>
    <s v="    "/>
    <s v=""/>
    <s v="C.G.I.L.           C.G.I.L"/>
    <s v="stefania.vadrucci@24orecultura.com                "/>
    <s v="F"/>
    <s v="F-FIRMA"/>
    <s v="1 "/>
    <s v="1=5 X 8"/>
    <s v="01/07/2025"/>
    <s v="TEMPO DETERMINATO"/>
    <s v="31/05/2027"/>
    <s v="0028000042                    "/>
    <s v="SAVINO MARIA CHIARA"/>
    <n v="51"/>
  </r>
  <r>
    <x v="1"/>
    <n v="83"/>
    <s v="24 ORE CULTURA S.R.L.                   "/>
    <s v="W           "/>
    <s v="24 ORE CULTURA"/>
    <s v="W01 "/>
    <x v="49"/>
    <s v="W19510      "/>
    <s v="W19510   EDITORIA &amp; BOOKSHOP"/>
    <s v="VALBUZZI                        "/>
    <s v="MARIKA            "/>
    <s v="VLBMRK79M53L175I"/>
    <x v="0"/>
    <s v="34"/>
    <x v="0"/>
    <s v="01/09/2021"/>
    <s v="MILANO                 "/>
    <s v="21"/>
    <x v="0"/>
    <s v="I"/>
    <x v="0"/>
    <s v="B2 "/>
    <s v="B2 LIV. IMPIEGATO             "/>
    <s v="01/09/2021"/>
    <s v="01/09/2021"/>
    <s v="13/08/1979"/>
    <s v="A"/>
    <s v="A.IN FORZA"/>
    <s v="1S-ASSUNZIONE STABILIZZAZIONE 1S"/>
    <s v=""/>
    <s v=" "/>
    <s v=""/>
    <s v=""/>
    <n v="83"/>
    <s v="00"/>
    <n v="100"/>
    <s v="FULL TIME      100000000FF100-FULL TIME"/>
    <s v="01/09/2021"/>
    <s v=""/>
    <s v="  "/>
    <s v=""/>
    <s v="EO  "/>
    <s v="    "/>
    <s v=""/>
    <s v=""/>
    <s v="marika.valbuzzi@24orecultura.com                  "/>
    <s v="F"/>
    <s v="F-FIRMA"/>
    <s v="1 "/>
    <s v="1=5 X 8"/>
    <s v="01/07/2025"/>
    <s v="TEMPO DETERMINATO"/>
    <s v="31/05/2027"/>
    <s v="0028000042                    "/>
    <s v="SAVINO MARIA CHIARA"/>
    <n v="46"/>
  </r>
  <r>
    <x v="1"/>
    <n v="56"/>
    <s v="24 ORE CULTURA S.R.L.                   "/>
    <s v="W           "/>
    <s v="24 ORE CULTURA"/>
    <s v="W01 "/>
    <x v="49"/>
    <s v="W19520      "/>
    <s v="W19520   SVILUPPO COMMERCIALE &amp; MOSTRE"/>
    <s v="CAPPITELLI                      "/>
    <s v="PAOLA MONICA      "/>
    <s v="CPPPMN69C60F205Y"/>
    <x v="0"/>
    <s v="34"/>
    <x v="0"/>
    <s v="01/04/2021"/>
    <s v="MILANO                 "/>
    <s v="21"/>
    <x v="0"/>
    <s v="F"/>
    <x v="2"/>
    <s v="Q  "/>
    <s v="Q LIV. QUADRI                 "/>
    <s v="12/04/2017"/>
    <s v="12/04/2017"/>
    <s v="20/03/1969"/>
    <s v="A"/>
    <s v="A.IN FORZA"/>
    <s v="1  -ASSUNZIONE                1"/>
    <s v=""/>
    <s v=" "/>
    <s v=""/>
    <s v=""/>
    <n v="56"/>
    <s v="00"/>
    <n v="100"/>
    <s v="FULL TIME      100000000FF100-FULL TIME"/>
    <s v="12/04/2017"/>
    <s v=""/>
    <s v="  "/>
    <s v=""/>
    <s v="EA  "/>
    <s v="    "/>
    <s v=""/>
    <s v=""/>
    <s v="paola.cappitelli@24orecultura.com                 "/>
    <s v="F"/>
    <s v="F-FIRMA"/>
    <s v="1 "/>
    <s v="1=5 X 8"/>
    <s v="01/07/2025"/>
    <s v="TEMPO DETERMINATO"/>
    <s v="31/05/2027"/>
    <s v="0015002960                    "/>
    <s v="SILVESTRI FEDERICO"/>
    <n v="56"/>
  </r>
  <r>
    <x v="1"/>
    <n v="90"/>
    <s v="24 ORE CULTURA S.R.L.                   "/>
    <s v="W           "/>
    <s v="24 ORE CULTURA"/>
    <s v="W01 "/>
    <x v="49"/>
    <s v="W1952010    "/>
    <s v="W1952010 MOSTRE"/>
    <s v="CALASSO                         "/>
    <s v="ELENA             "/>
    <s v="CLSLNE84A51F205L"/>
    <x v="0"/>
    <s v="34"/>
    <x v="0"/>
    <s v="16/01/2023"/>
    <s v="MILANO                 "/>
    <s v="21"/>
    <x v="0"/>
    <s v="I"/>
    <x v="0"/>
    <s v="B2 "/>
    <s v="B2 LIV. IMPIEGATO             "/>
    <s v="16/01/2023"/>
    <s v="16/01/2023"/>
    <s v="11/01/1984"/>
    <s v="A"/>
    <s v="A.IN FORZA"/>
    <s v="1  -ASSUNZIONE                1"/>
    <s v=""/>
    <s v=" "/>
    <s v=""/>
    <s v=""/>
    <n v="90"/>
    <s v="00"/>
    <n v="100"/>
    <s v="FULL TIME      100000000FF100-FULL TIME"/>
    <s v="16/01/2023"/>
    <s v=""/>
    <s v="  "/>
    <s v=""/>
    <s v="EO  "/>
    <s v="    "/>
    <s v=""/>
    <s v=""/>
    <s v="elena.calasso@24orecultura.com                    "/>
    <s v="F"/>
    <s v="F-FIRMA"/>
    <s v="1 "/>
    <s v="1=5 X 8"/>
    <s v="01/07/2025"/>
    <s v="TEMPO DETERMINATO"/>
    <s v="31/05/2027"/>
    <s v="0028000056                    "/>
    <s v="CAPPITELLI PAOLA MONICA"/>
    <n v="42"/>
  </r>
  <r>
    <x v="1"/>
    <n v="72"/>
    <s v="24 ORE CULTURA S.R.L.                   "/>
    <s v="W           "/>
    <s v="24 ORE CULTURA"/>
    <s v="W01 "/>
    <x v="49"/>
    <s v="W1952010    "/>
    <s v="W1952010 MOSTRE"/>
    <s v="CAVOLA                          "/>
    <s v="FRANCESCA         "/>
    <s v="CVLFNC92M44H501B"/>
    <x v="0"/>
    <s v="34"/>
    <x v="0"/>
    <s v="01/04/2021"/>
    <s v="MILANO                 "/>
    <s v="21"/>
    <x v="0"/>
    <s v="I"/>
    <x v="0"/>
    <s v="B1S"/>
    <s v="B1S LIV. IMPIEGATO            "/>
    <s v="10/02/2020"/>
    <s v="10/02/2020"/>
    <s v="04/08/1992"/>
    <s v="A"/>
    <s v="A.IN FORZA"/>
    <s v="1  -ASSUNZIONE                1"/>
    <s v=""/>
    <s v=" "/>
    <s v=""/>
    <s v=""/>
    <n v="72"/>
    <s v="00"/>
    <n v="100"/>
    <s v="FULL TIME      100000000FF100-FULL TIME"/>
    <s v="10/02/2020"/>
    <s v=""/>
    <s v="  "/>
    <s v=""/>
    <s v="EO  "/>
    <s v="    "/>
    <s v=""/>
    <s v=""/>
    <s v="francesca.cavola@24orecultura.com                 "/>
    <s v="F"/>
    <s v="F-FIRMA"/>
    <s v="1 "/>
    <s v="1=5 X 8"/>
    <s v="01/07/2025"/>
    <s v="TEMPO DETERMINATO"/>
    <s v="31/05/2027"/>
    <s v="0028000056                    "/>
    <s v="CAPPITELLI PAOLA MONICA"/>
    <n v="33"/>
  </r>
  <r>
    <x v="1"/>
    <n v="88"/>
    <s v="24 ORE CULTURA S.R.L.                   "/>
    <s v="W           "/>
    <s v="24 ORE CULTURA"/>
    <s v="W01 "/>
    <x v="49"/>
    <s v="W1952010    "/>
    <s v="W1952010 MOSTRE"/>
    <s v="FERRARO                         "/>
    <s v="RAFFAELLA         "/>
    <s v="FRRRFL91H66L845E"/>
    <x v="0"/>
    <s v="34"/>
    <x v="0"/>
    <s v="20/04/2022"/>
    <s v="MILANO                 "/>
    <s v="21"/>
    <x v="0"/>
    <s v="I"/>
    <x v="0"/>
    <s v="B2 "/>
    <s v="B2 LIV. IMPIEGATO             "/>
    <s v="20/04/2022"/>
    <s v="20/04/2022"/>
    <s v="26/06/1991"/>
    <s v="A"/>
    <s v="A.IN FORZA"/>
    <s v="1S-ASSUNZIONE STABILIZZAZIONE 1S"/>
    <s v=""/>
    <s v=" "/>
    <s v=""/>
    <s v=""/>
    <n v="88"/>
    <s v="00"/>
    <n v="100"/>
    <s v="FULL TIME      100000000FF100-FULL TIME"/>
    <s v="20/04/2022"/>
    <s v=""/>
    <s v="  "/>
    <s v=""/>
    <s v="EO  "/>
    <s v="    "/>
    <s v=""/>
    <s v=""/>
    <s v="raffaella.ferraro@24orecultura.com                "/>
    <s v="F"/>
    <s v="F-FIRMA"/>
    <s v="1 "/>
    <s v="1=5 X 8"/>
    <s v="01/07/2025"/>
    <s v="TEMPO DETERMINATO"/>
    <s v="31/05/2027"/>
    <s v="0028000056                    "/>
    <s v="CAPPITELLI PAOLA MONICA"/>
    <n v="34"/>
  </r>
  <r>
    <x v="1"/>
    <n v="78"/>
    <s v="24 ORE CULTURA S.R.L.                   "/>
    <s v="W           "/>
    <s v="24 ORE CULTURA"/>
    <s v="W01 "/>
    <x v="49"/>
    <s v="W1952010    "/>
    <s v="W1952010 MOSTRE"/>
    <s v="FRASSONI                        "/>
    <s v="LUCIA             "/>
    <s v="FRSLCU84D45D969U"/>
    <x v="0"/>
    <s v="34"/>
    <x v="0"/>
    <s v="01/04/2021"/>
    <s v="MILANO                 "/>
    <s v="21"/>
    <x v="0"/>
    <s v="I"/>
    <x v="0"/>
    <s v="B2 "/>
    <s v="B2 LIV. IMPIEGATO             "/>
    <s v="20/01/2021"/>
    <s v="20/01/2021"/>
    <s v="05/04/1984"/>
    <s v="A"/>
    <s v="A.IN FORZA"/>
    <s v="1  -ASSUNZIONE                1"/>
    <s v=""/>
    <s v=" "/>
    <s v=""/>
    <s v=""/>
    <n v="78"/>
    <s v="00"/>
    <n v="100"/>
    <s v="FULL TIME      100000000FF100-FULL TIME"/>
    <s v="20/01/2021"/>
    <s v=""/>
    <s v="  "/>
    <s v=""/>
    <s v="EO  "/>
    <s v="    "/>
    <s v=""/>
    <s v="C.G.I.L.           C.G.I.L"/>
    <s v="lucia.frassoni@24orecultura.com                   "/>
    <s v="F"/>
    <s v="F-FIRMA"/>
    <s v="1 "/>
    <s v="1=5 X 8"/>
    <s v="23/09/2025"/>
    <s v="TEMPO DETERMINATO"/>
    <s v="31/05/2027"/>
    <s v="0028000056                    "/>
    <s v="CAPPITELLI PAOLA MONICA"/>
    <n v="41"/>
  </r>
  <r>
    <x v="1"/>
    <n v="2"/>
    <s v="24 ORE CULTURA S.R.L.                   "/>
    <s v="W           "/>
    <s v="24 ORE CULTURA"/>
    <s v="W01 "/>
    <x v="49"/>
    <s v="W1953010    "/>
    <s v="W1953010 COMUNICAZIONE DI PRODOTTO"/>
    <s v="BARTOMIOLI                      "/>
    <s v="MAURIZIO          "/>
    <s v="BRTMRZ78A25F205K"/>
    <x v="1"/>
    <s v="34"/>
    <x v="0"/>
    <s v="01/04/2021"/>
    <s v="MILANO                 "/>
    <s v="21"/>
    <x v="0"/>
    <s v="I"/>
    <x v="0"/>
    <s v="A  "/>
    <s v="A LIV. IMPIEGATO              "/>
    <s v="17/07/2000"/>
    <s v="17/07/2000"/>
    <s v="25/01/1978"/>
    <s v="A"/>
    <s v="A.IN FORZA"/>
    <s v="1  -ASSUNZIONE                1"/>
    <s v=""/>
    <s v=" "/>
    <s v=""/>
    <s v=""/>
    <n v="2"/>
    <s v="00"/>
    <n v="100"/>
    <s v="FULL TIME      100000000FF100-FULL TIME"/>
    <s v="17/07/2000"/>
    <s v=""/>
    <s v="  "/>
    <s v=""/>
    <s v="EA  "/>
    <s v="    "/>
    <s v=""/>
    <s v=""/>
    <s v="maurizio.bartomioli@24orecultura.com              "/>
    <s v="F"/>
    <s v="F-FIRMA"/>
    <s v="1 "/>
    <s v="1=5 X 8"/>
    <s v="01/07/2025"/>
    <s v="TEMPO DETERMINATO"/>
    <s v="31/05/2027"/>
    <s v="0028000051                    "/>
    <s v="SERINI SIMONA"/>
    <n v="48"/>
  </r>
  <r>
    <x v="1"/>
    <n v="92"/>
    <s v="24 ORE CULTURA S.R.L.                   "/>
    <s v="W           "/>
    <s v="24 ORE CULTURA"/>
    <s v="W01 "/>
    <x v="49"/>
    <s v="W1953010    "/>
    <s v="W1953010 COMUNICAZIONE DI PRODOTTO"/>
    <s v="FABBRI                          "/>
    <s v="REBECCA           "/>
    <s v="FBBRCC94L43F241O"/>
    <x v="0"/>
    <s v="34"/>
    <x v="0"/>
    <s v="21/08/2023"/>
    <s v="MILANO                 "/>
    <s v="21"/>
    <x v="0"/>
    <s v="I"/>
    <x v="0"/>
    <s v="B2 "/>
    <s v="B2 LIV. IMPIEGATO             "/>
    <s v="21/08/2023"/>
    <s v="21/08/2023"/>
    <s v="03/07/1994"/>
    <s v="A"/>
    <s v="A.IN FORZA"/>
    <s v="1  -ASSUNZIONE                1"/>
    <s v=""/>
    <s v=" "/>
    <s v=""/>
    <s v=""/>
    <n v="92"/>
    <s v="00"/>
    <n v="100"/>
    <s v="FULL TIME      100000000FF100-FULL TIME"/>
    <s v="21/08/2023"/>
    <s v=""/>
    <s v="  "/>
    <s v=""/>
    <s v="EO  "/>
    <s v="    "/>
    <s v=""/>
    <s v=""/>
    <s v="rebecca.fabbri@24orecultura.com                   "/>
    <s v="F"/>
    <s v="F-FIRMA"/>
    <s v="1 "/>
    <s v="1=5 X 8"/>
    <s v="01/07/2025"/>
    <s v="TEMPO DETERMINATO"/>
    <s v="31/05/2027"/>
    <s v="0028000051                    "/>
    <s v="SERINI SIMONA"/>
    <n v="31"/>
  </r>
  <r>
    <x v="1"/>
    <n v="70"/>
    <s v="24 ORE CULTURA S.R.L.                   "/>
    <s v="W           "/>
    <s v="24 ORE CULTURA"/>
    <s v="W01 "/>
    <x v="49"/>
    <s v="W1953020    "/>
    <s v="W1953020 COMMERCIALE MOSTRE"/>
    <s v="CASSINARI                       "/>
    <s v="FRANCESCO         "/>
    <s v="CSSFNC91C21G535W"/>
    <x v="1"/>
    <s v="34"/>
    <x v="0"/>
    <s v="01/04/2021"/>
    <s v="MILANO                 "/>
    <s v="21"/>
    <x v="0"/>
    <s v="I"/>
    <x v="0"/>
    <s v="B2 "/>
    <s v="B2 LIV. IMPIEGATO             "/>
    <s v="02/12/2019"/>
    <s v="02/12/2019"/>
    <s v="21/03/1991"/>
    <s v="A"/>
    <s v="A.IN FORZA"/>
    <s v="1S-ASSUNZIONE STABILIZZAZIONE 1S"/>
    <s v=""/>
    <s v=" "/>
    <s v=""/>
    <s v=""/>
    <n v="70"/>
    <s v="00"/>
    <n v="100"/>
    <s v="FULL TIME      100000000FF100-FULL TIME"/>
    <s v="02/12/2019"/>
    <s v=""/>
    <s v="  "/>
    <s v=""/>
    <s v="EO  "/>
    <s v="    "/>
    <s v=""/>
    <s v=""/>
    <s v="francesco.cassinari@24orecultura.com              "/>
    <s v="F"/>
    <s v="F-FIRMA"/>
    <s v="1 "/>
    <s v="1=5 X 8"/>
    <s v="01/07/2025"/>
    <s v="TEMPO DETERMINATO"/>
    <s v="31/05/2027"/>
    <s v="0028000056                    "/>
    <s v="CAPPITELLI PAOLA MONICA"/>
    <n v="34"/>
  </r>
  <r>
    <x v="1"/>
    <n v="71"/>
    <s v="24 ORE CULTURA S.R.L.                   "/>
    <s v="W           "/>
    <s v="24 ORE CULTURA"/>
    <s v="W01 "/>
    <x v="49"/>
    <s v="W1953020    "/>
    <s v="W1953020 COMMERCIALE MOSTRE"/>
    <s v="KASPAR                          "/>
    <s v="VICTORIA SARA     "/>
    <s v="KSPVTR94M60F205S"/>
    <x v="0"/>
    <s v="34"/>
    <x v="0"/>
    <s v="01/04/2021"/>
    <s v="MILANO                 "/>
    <s v="21"/>
    <x v="0"/>
    <s v="I"/>
    <x v="0"/>
    <s v="B3 "/>
    <s v="B3 LIV. IMPIEGATO             "/>
    <s v="20/01/2020"/>
    <s v="20/01/2020"/>
    <s v="20/08/1994"/>
    <s v="A"/>
    <s v="A.IN FORZA"/>
    <s v="1S-ASSUNZIONE STABILIZZAZIONE 1S"/>
    <s v=""/>
    <s v=" "/>
    <s v=""/>
    <s v=""/>
    <n v="71"/>
    <s v="00"/>
    <n v="100"/>
    <s v="FULL TIME      100000000FF100-FULL TIME"/>
    <s v="20/01/2020"/>
    <s v=""/>
    <s v="  "/>
    <s v=""/>
    <s v="EO  "/>
    <s v="    "/>
    <s v=""/>
    <s v=""/>
    <s v="victoria.kaspar@24orecultura.com                  "/>
    <s v="F"/>
    <s v="F-FIRMA"/>
    <s v="1 "/>
    <s v="1=5 X 8"/>
    <s v="01/07/2025"/>
    <s v="TEMPO DETERMINATO"/>
    <s v="31/05/2027"/>
    <s v="0028000056                    "/>
    <s v="CAPPITELLI PAOLA MONICA"/>
    <n v="31"/>
  </r>
  <r>
    <x v="1"/>
    <n v="68"/>
    <s v="24 ORE CULTURA S.R.L.                   "/>
    <s v="W           "/>
    <s v="24 ORE CULTURA"/>
    <s v="W01 "/>
    <x v="49"/>
    <s v="W1953020    "/>
    <s v="W1953020 COMMERCIALE MOSTRE"/>
    <s v="PIUZZI                          "/>
    <s v="DANIELA           "/>
    <s v="PZZDNL65C48H501X"/>
    <x v="0"/>
    <s v="34"/>
    <x v="0"/>
    <s v="01/04/2021"/>
    <s v="MILANO                 "/>
    <s v="21"/>
    <x v="0"/>
    <s v="I"/>
    <x v="0"/>
    <s v="AS "/>
    <s v="AS LIV. IMPIEGATO             "/>
    <s v="02/09/2019"/>
    <s v="02/09/2019"/>
    <s v="08/03/1965"/>
    <s v="A"/>
    <s v="A.IN FORZA"/>
    <s v="1  -ASSUNZIONE                1"/>
    <s v=""/>
    <s v=" "/>
    <s v=""/>
    <s v=""/>
    <n v="68"/>
    <s v="00"/>
    <n v="100"/>
    <s v="FULL TIME      100000000FF100-FULL TIME"/>
    <s v="02/09/2019"/>
    <s v=""/>
    <s v="  "/>
    <s v=""/>
    <s v="EO  "/>
    <s v="    "/>
    <s v=""/>
    <s v=""/>
    <s v="daniela.piuzzi@24orecultura.com                   "/>
    <s v="F"/>
    <s v="F-FIRMA"/>
    <s v="1 "/>
    <s v="1=5 X 8"/>
    <s v="01/07/2025"/>
    <s v="TEMPO DETERMINATO"/>
    <s v="31/05/2027"/>
    <s v="0028000056                    "/>
    <s v="CAPPITELLI PAOLA MONICA"/>
    <n v="60"/>
  </r>
  <r>
    <x v="2"/>
    <n v="18"/>
    <s v="IL SOLE 24 ORE EVENTI S.R.L.            "/>
    <s v="U           "/>
    <s v="24 ORE EVENTI SRL"/>
    <s v="U01 "/>
    <x v="50"/>
    <s v="L19050      "/>
    <s v="L19050 MARKETING E COMUNICAZIONE"/>
    <s v="ARCHIVIO                        "/>
    <s v="STEFANIA          "/>
    <s v="RCHSFN90S59L049L"/>
    <x v="0"/>
    <s v="34"/>
    <x v="0"/>
    <s v="09/01/2023"/>
    <s v="MILANO                 "/>
    <s v="21"/>
    <x v="0"/>
    <s v="I"/>
    <x v="0"/>
    <s v="B1 "/>
    <s v="B1 LIV. IMPIEGATO             "/>
    <s v="09/01/2023"/>
    <s v="09/01/2023"/>
    <s v="19/11/1990"/>
    <s v="A"/>
    <s v="A.IN FORZA"/>
    <s v="1  -ASSUNZIONE                1"/>
    <s v=""/>
    <s v=" "/>
    <s v=""/>
    <s v=""/>
    <n v="18"/>
    <s v="00"/>
    <n v="100"/>
    <s v="FULL TIME      100000000FF100-FULL TIME"/>
    <s v="09/01/2023"/>
    <s v=""/>
    <s v="  "/>
    <s v=""/>
    <s v="EO  "/>
    <s v="    "/>
    <s v=""/>
    <s v=""/>
    <s v="stefania.archivio@ilsole24ore.com                 "/>
    <s v="F"/>
    <s v="F-FIRMA"/>
    <s v="1 "/>
    <s v="1=5 X 8"/>
    <s v="01/07/2025"/>
    <s v="TEMPO DETERMINATO"/>
    <s v="31/05/2027"/>
    <s v="0035000010                    "/>
    <s v="TREBBI ROBERTA"/>
    <n v="35"/>
  </r>
  <r>
    <x v="2"/>
    <n v="22"/>
    <s v="IL SOLE 24 ORE EVENTI S.R.L.            "/>
    <s v="U           "/>
    <s v="24 ORE EVENTI SRL"/>
    <s v="U01 "/>
    <x v="50"/>
    <s v="L19050      "/>
    <s v="L19050 MARKETING E COMUNICAZIONE"/>
    <s v="ARIOLI                          "/>
    <s v="SIMONA            "/>
    <s v="RLASMN81D69F205Q"/>
    <x v="0"/>
    <s v="34"/>
    <x v="0"/>
    <s v="21/02/2024"/>
    <s v="MILANO                 "/>
    <s v="21"/>
    <x v="0"/>
    <s v="I"/>
    <x v="0"/>
    <s v="A  "/>
    <s v="A LIV. IMPIEGATO              "/>
    <s v="21/02/2024"/>
    <s v="21/02/2024"/>
    <s v="29/04/1981"/>
    <s v="A"/>
    <s v="A.IN FORZA"/>
    <s v="1  -ASSUNZIONE                1"/>
    <s v=""/>
    <s v=" "/>
    <s v=""/>
    <s v=""/>
    <n v="22"/>
    <s v="00"/>
    <n v="100"/>
    <s v="FULL TIME      100000000FF100-FULL TIME"/>
    <s v="21/02/2024"/>
    <s v=""/>
    <s v="  "/>
    <s v=""/>
    <s v="EO  "/>
    <s v="    "/>
    <s v=""/>
    <s v=""/>
    <s v="simona.arioli@ilsole24ore.com                     "/>
    <s v="F"/>
    <s v="F-FIRMA"/>
    <s v="1 "/>
    <s v="1=5 X 8"/>
    <s v="01/07/2025"/>
    <s v="TEMPO DETERMINATO"/>
    <s v="31/05/2027"/>
    <s v="0035000010                    "/>
    <s v="TREBBI ROBERTA"/>
    <n v="44"/>
  </r>
  <r>
    <x v="2"/>
    <n v="16"/>
    <s v="IL SOLE 24 ORE EVENTI S.R.L.            "/>
    <s v="U           "/>
    <s v="24 ORE EVENTI SRL"/>
    <s v="U01 "/>
    <x v="50"/>
    <s v="L19050      "/>
    <s v="L19050 MARKETING E COMUNICAZIONE"/>
    <s v="CATANIA                         "/>
    <s v="GIULIA            "/>
    <s v="CTNGLI88H53H501I"/>
    <x v="0"/>
    <s v="34"/>
    <x v="0"/>
    <s v="02/11/2022"/>
    <s v="MILANO                 "/>
    <s v="21"/>
    <x v="0"/>
    <s v="I"/>
    <x v="0"/>
    <s v="A  "/>
    <s v="A LIV. IMPIEGATO              "/>
    <s v="02/11/2022"/>
    <s v="02/11/2022"/>
    <s v="13/06/1988"/>
    <s v="A"/>
    <s v="A.IN FORZA"/>
    <s v="1  -ASSUNZIONE                1"/>
    <s v=""/>
    <s v=" "/>
    <s v=""/>
    <s v=""/>
    <n v="16"/>
    <s v="00"/>
    <n v="100"/>
    <s v="FULL TIME      100000000FF100-FULL TIME"/>
    <s v="02/11/2022"/>
    <s v=""/>
    <s v="  "/>
    <s v=""/>
    <s v="EO  "/>
    <s v="    "/>
    <s v=""/>
    <s v="C.I.S.L.           C.I.S.L"/>
    <s v="giulia.catania@ilsole24ore.com                    "/>
    <s v="F"/>
    <s v="F-FIRMA"/>
    <s v="1 "/>
    <s v="1=5 X 8"/>
    <s v="01/07/2025"/>
    <s v="TEMPO DETERMINATO"/>
    <s v="31/05/2027"/>
    <s v="0035000010                    "/>
    <s v="TREBBI ROBERTA"/>
    <n v="37"/>
  </r>
  <r>
    <x v="2"/>
    <n v="11"/>
    <s v="IL SOLE 24 ORE EVENTI S.R.L.            "/>
    <s v="U           "/>
    <s v="24 ORE EVENTI SRL"/>
    <s v="U01 "/>
    <x v="50"/>
    <s v="L19050      "/>
    <s v="L19050 MARKETING E COMUNICAZIONE"/>
    <s v="D'ADDA                          "/>
    <s v="PAOLA             "/>
    <s v="DDDPLA89B58F205H"/>
    <x v="0"/>
    <s v="34"/>
    <x v="0"/>
    <s v="23/08/2021"/>
    <s v="MILANO                 "/>
    <s v="21"/>
    <x v="0"/>
    <s v="I"/>
    <x v="0"/>
    <s v="A  "/>
    <s v="A LIV. IMPIEGATO              "/>
    <s v="23/08/2021"/>
    <s v="23/08/2021"/>
    <s v="18/02/1989"/>
    <s v="A"/>
    <s v="A.IN FORZA"/>
    <s v="1  -ASSUNZIONE                1"/>
    <s v=""/>
    <s v=" "/>
    <s v=""/>
    <s v=""/>
    <n v="11"/>
    <s v="00"/>
    <n v="100"/>
    <s v="FULL TIME      100000000FF100-FULL TIME"/>
    <s v="23/08/2021"/>
    <s v=""/>
    <s v="  "/>
    <s v=""/>
    <s v="EO  "/>
    <s v="    "/>
    <s v=""/>
    <s v=""/>
    <s v="paola.dadda@ilsole24ore.com                       "/>
    <s v="F"/>
    <s v="F-FIRMA"/>
    <s v="1 "/>
    <s v="1=5 X 8"/>
    <s v="01/07/2025"/>
    <s v="TEMPO DETERMINATO"/>
    <s v="31/05/2027"/>
    <s v="0035000010                    "/>
    <s v="TREBBI ROBERTA"/>
    <n v="36"/>
  </r>
  <r>
    <x v="2"/>
    <n v="23"/>
    <s v="IL SOLE 24 ORE EVENTI S.R.L.            "/>
    <s v="U           "/>
    <s v="24 ORE EVENTI SRL"/>
    <s v="U01 "/>
    <x v="50"/>
    <s v="L19050      "/>
    <s v="L19050 MARKETING E COMUNICAZIONE"/>
    <s v="D'ORSI                          "/>
    <s v="ALESSIA           "/>
    <s v="DRSLSS92L42H501D"/>
    <x v="0"/>
    <s v="34"/>
    <x v="0"/>
    <s v="04/03/2024"/>
    <s v="MILANO                 "/>
    <s v="21"/>
    <x v="0"/>
    <s v="I"/>
    <x v="0"/>
    <s v="A  "/>
    <s v="A LIV. IMPIEGATO              "/>
    <s v="04/03/2024"/>
    <s v="04/03/2024"/>
    <s v="02/07/1992"/>
    <s v="A"/>
    <s v="A.IN FORZA"/>
    <s v="1  -ASSUNZIONE                1"/>
    <s v=""/>
    <s v=" "/>
    <s v=""/>
    <s v=""/>
    <n v="23"/>
    <s v="00"/>
    <n v="100"/>
    <s v="FULL TIME      100000000FF100-FULL TIME"/>
    <s v="04/03/2024"/>
    <s v=""/>
    <s v="  "/>
    <s v=""/>
    <s v="EO  "/>
    <s v="    "/>
    <s v=""/>
    <s v=""/>
    <s v="alessia.dorsi@ilsole24ore.com                     "/>
    <s v="F"/>
    <s v="F-FIRMA"/>
    <s v="1 "/>
    <s v="1=5 X 8"/>
    <s v="01/07/2025"/>
    <s v="TEMPO DETERMINATO"/>
    <s v="31/05/2027"/>
    <s v="0035000010                    "/>
    <s v="TREBBI ROBERTA"/>
    <n v="33"/>
  </r>
  <r>
    <x v="2"/>
    <n v="24"/>
    <s v="IL SOLE 24 ORE EVENTI S.R.L.            "/>
    <s v="U           "/>
    <s v="24 ORE EVENTI SRL"/>
    <s v="U01 "/>
    <x v="50"/>
    <s v="L19050      "/>
    <s v="L19050 MARKETING E COMUNICAZIONE"/>
    <s v="DE CUPPIS                       "/>
    <s v="SARA              "/>
    <s v="DCPSRA82D69A794Y"/>
    <x v="0"/>
    <s v="34"/>
    <x v="0"/>
    <s v="19/01/2026"/>
    <s v="MILANO                 "/>
    <s v="21"/>
    <x v="0"/>
    <s v="I"/>
    <x v="0"/>
    <s v="AS "/>
    <s v="AS LIV. IMPIEGATO             "/>
    <s v="19/01/2026"/>
    <s v="19/01/2026"/>
    <s v="29/04/1982"/>
    <s v="A"/>
    <s v="A.IN FORZA"/>
    <s v="1  -ASSUNZIONE                1"/>
    <s v=""/>
    <s v=" "/>
    <s v=""/>
    <s v=""/>
    <n v="24"/>
    <s v="00"/>
    <n v="100"/>
    <s v="FULL TIME      100000000FF100-FULL TIME"/>
    <s v="19/01/2026"/>
    <s v=""/>
    <s v="  "/>
    <s v=""/>
    <s v="EO  "/>
    <s v="    "/>
    <s v=""/>
    <s v=""/>
    <s v="sara.decuppis@ilsole24ore.com                     "/>
    <s v="F"/>
    <s v="F-FIRMA"/>
    <s v="1 "/>
    <s v="1=5 X 8"/>
    <s v=""/>
    <s v=""/>
    <s v=""/>
    <s v="0035000010                    "/>
    <s v="TREBBI ROBERTA"/>
    <n v="43"/>
  </r>
  <r>
    <x v="2"/>
    <n v="19"/>
    <s v="IL SOLE 24 ORE EVENTI S.R.L.            "/>
    <s v="U           "/>
    <s v="24 ORE EVENTI SRL"/>
    <s v="U01 "/>
    <x v="50"/>
    <s v="L19050      "/>
    <s v="L19050 MARKETING E COMUNICAZIONE"/>
    <s v="DEVINCENZO                      "/>
    <s v="GIULIA            "/>
    <s v="DVNGLI92M57F205W"/>
    <x v="0"/>
    <s v="34"/>
    <x v="0"/>
    <s v="06/06/2023"/>
    <s v="MILANO                 "/>
    <s v="21"/>
    <x v="0"/>
    <s v="I"/>
    <x v="0"/>
    <s v="B1 "/>
    <s v="B1 LIV. IMPIEGATO             "/>
    <s v="06/06/2023"/>
    <s v="06/06/2023"/>
    <s v="17/08/1992"/>
    <s v="A"/>
    <s v="A.IN FORZA"/>
    <s v="1  -ASSUNZIONE                1"/>
    <s v=""/>
    <s v=" "/>
    <s v=""/>
    <s v=""/>
    <n v="19"/>
    <s v="00"/>
    <n v="100"/>
    <s v="FULL TIME      100000000FF100-FULL TIME"/>
    <s v="06/06/2023"/>
    <s v=""/>
    <s v="05"/>
    <s v="INVALIDI CIVILI"/>
    <s v="EO  "/>
    <s v="    "/>
    <s v=""/>
    <s v=""/>
    <s v="giulia.devincenzo@ilsole24ore.com                 "/>
    <s v="F"/>
    <s v="F-FIRMA"/>
    <s v="1 "/>
    <s v="1=5 X 8"/>
    <s v="01/07/2025"/>
    <s v="TEMPO DETERMINATO"/>
    <s v="31/05/2027"/>
    <s v="0035000010                    "/>
    <s v="TREBBI ROBERTA"/>
    <n v="33"/>
  </r>
  <r>
    <x v="2"/>
    <n v="20"/>
    <s v="IL SOLE 24 ORE EVENTI S.R.L.            "/>
    <s v="U           "/>
    <s v="24 ORE EVENTI SRL"/>
    <s v="U01 "/>
    <x v="50"/>
    <s v="L19050      "/>
    <s v="L19050 MARKETING E COMUNICAZIONE"/>
    <s v="ESPOSITO                        "/>
    <s v="ALICE             "/>
    <s v="SPSLCA96S48F704S"/>
    <x v="0"/>
    <s v="34"/>
    <x v="0"/>
    <s v="19/06/2023"/>
    <s v="MILANO                 "/>
    <s v="21"/>
    <x v="0"/>
    <s v="I"/>
    <x v="0"/>
    <s v="B1 "/>
    <s v="B1 LIV. IMPIEGATO             "/>
    <s v="19/06/2023"/>
    <s v="19/06/2023"/>
    <s v="08/11/1996"/>
    <s v="A"/>
    <s v="A.IN FORZA"/>
    <s v="1  -ASSUNZIONE                1"/>
    <s v=""/>
    <s v=" "/>
    <s v=""/>
    <s v=""/>
    <n v="20"/>
    <s v="00"/>
    <n v="100"/>
    <s v="FULL TIME      100000000FF100-FULL TIME"/>
    <s v="19/06/2023"/>
    <s v=""/>
    <s v="  "/>
    <s v=""/>
    <s v="EO  "/>
    <s v="    "/>
    <s v=""/>
    <s v=""/>
    <s v="alice.esposito@ilsole24ore.com                    "/>
    <s v="F"/>
    <s v="F-FIRMA"/>
    <s v="1 "/>
    <s v="1=5 X 8"/>
    <s v="01/07/2025"/>
    <s v="TEMPO DETERMINATO"/>
    <s v="31/05/2027"/>
    <s v="0035000010                    "/>
    <s v="TREBBI ROBERTA"/>
    <n v="29"/>
  </r>
  <r>
    <x v="2"/>
    <n v="14"/>
    <s v="IL SOLE 24 ORE EVENTI S.R.L.            "/>
    <s v="U           "/>
    <s v="24 ORE EVENTI SRL"/>
    <s v="U01 "/>
    <x v="50"/>
    <s v="L19050      "/>
    <s v="L19050 MARKETING E COMUNICAZIONE"/>
    <s v="LANZANI                         "/>
    <s v="MARIACRISTINA     "/>
    <s v="LNZMCR75A41I625J"/>
    <x v="0"/>
    <s v="34"/>
    <x v="0"/>
    <s v="01/10/2021"/>
    <s v="MILANO                 "/>
    <s v="21"/>
    <x v="0"/>
    <s v="I"/>
    <x v="0"/>
    <s v="A  "/>
    <s v="A LIV. IMPIEGATO              "/>
    <s v="01/10/2021"/>
    <s v="01/04/2009"/>
    <s v="01/01/1975"/>
    <s v="A"/>
    <s v="A.IN FORZA"/>
    <s v="2T-TRASFERIMENTO AZIENDA/RAMO 2T"/>
    <s v=""/>
    <s v=" "/>
    <s v=""/>
    <s v=""/>
    <n v="14"/>
    <s v="00"/>
    <n v="100"/>
    <s v="FULL TIME      100000000FF100-FULL TIME"/>
    <s v="01/10/2021"/>
    <s v=""/>
    <s v="  "/>
    <s v=""/>
    <s v="EO  "/>
    <s v="    "/>
    <s v=""/>
    <s v=""/>
    <s v="cristina.lanzani@ilsole24ore.com                  "/>
    <s v="F"/>
    <s v="F-FIRMA"/>
    <s v="1 "/>
    <s v="1=5 X 8"/>
    <s v="01/07/2025"/>
    <s v="TEMPO DETERMINATO"/>
    <s v="31/05/2027"/>
    <s v="0035000010                    "/>
    <s v="TREBBI ROBERTA"/>
    <n v="51"/>
  </r>
  <r>
    <x v="2"/>
    <n v="2"/>
    <s v="IL SOLE 24 ORE EVENTI S.R.L.            "/>
    <s v="U           "/>
    <s v="24 ORE EVENTI SRL"/>
    <s v="U01 "/>
    <x v="50"/>
    <s v="L19050      "/>
    <s v="L19050 MARKETING E COMUNICAZIONE"/>
    <s v="MARTIN PICCINI                  "/>
    <s v="TATIANA           "/>
    <s v="MRTTTN74L65Z131L"/>
    <x v="0"/>
    <s v="34"/>
    <x v="0"/>
    <s v="01/04/2021"/>
    <s v="MILANO                 "/>
    <s v="21"/>
    <x v="0"/>
    <s v="F"/>
    <x v="2"/>
    <s v="Q  "/>
    <s v="Q LIV. QUADRI                 "/>
    <s v="10/12/2019"/>
    <s v="25/02/2013"/>
    <s v="25/07/1974"/>
    <s v="A"/>
    <s v="A.IN FORZA"/>
    <s v="2T-TRASFERIMENTO AZIENDA/RAMO 2T"/>
    <s v=""/>
    <s v=" "/>
    <s v=""/>
    <s v=""/>
    <n v="2"/>
    <s v="00"/>
    <n v="100"/>
    <s v="FULL TIME      100000000FF100-FULL TIME"/>
    <s v="25/02/2013"/>
    <s v=""/>
    <s v="  "/>
    <s v=""/>
    <s v="EA  "/>
    <s v="    "/>
    <s v=""/>
    <s v=""/>
    <s v="tatiana.martin@ilsole24ore.com                    "/>
    <s v="F"/>
    <s v="F-FIRMA"/>
    <s v="1 "/>
    <s v="1=5 X 8"/>
    <s v="01/07/2025"/>
    <s v="TEMPO DETERMINATO"/>
    <s v="31/05/2027"/>
    <s v="0035000010                    "/>
    <s v="TREBBI ROBERTA"/>
    <n v="51"/>
  </r>
  <r>
    <x v="2"/>
    <n v="17"/>
    <s v="IL SOLE 24 ORE EVENTI S.R.L.            "/>
    <s v="U           "/>
    <s v="24 ORE EVENTI SRL"/>
    <s v="U01 "/>
    <x v="50"/>
    <s v="L19050      "/>
    <s v="L19050 MARKETING E COMUNICAZIONE"/>
    <s v="MISCEO                          "/>
    <s v="ANNALISA          "/>
    <s v="MSCNLS75H54A662Z"/>
    <x v="0"/>
    <s v="34"/>
    <x v="0"/>
    <s v="07/11/2022"/>
    <s v="MILANO                 "/>
    <s v="21"/>
    <x v="0"/>
    <s v="I"/>
    <x v="0"/>
    <s v="A  "/>
    <s v="A LIV. IMPIEGATO              "/>
    <s v="07/11/2022"/>
    <s v="07/11/2022"/>
    <s v="14/06/1975"/>
    <s v="A"/>
    <s v="A.IN FORZA"/>
    <s v="1  -ASSUNZIONE                1"/>
    <s v=""/>
    <s v=" "/>
    <s v=""/>
    <s v=""/>
    <n v="17"/>
    <s v="00"/>
    <n v="100"/>
    <s v="FULL TIME      100000000FF100-FULL TIME"/>
    <s v="07/11/2022"/>
    <s v=""/>
    <s v="  "/>
    <s v=""/>
    <s v="EO  "/>
    <s v="    "/>
    <s v=""/>
    <s v=""/>
    <s v="annalisa.misceo@ilsole24ore.com                   "/>
    <s v="F"/>
    <s v="F-FIRMA"/>
    <s v="1 "/>
    <s v="1=5 X 8"/>
    <s v="01/07/2025"/>
    <s v="TEMPO DETERMINATO"/>
    <s v="31/05/2027"/>
    <s v="0035000010                    "/>
    <s v="TREBBI ROBERTA"/>
    <n v="50"/>
  </r>
  <r>
    <x v="2"/>
    <n v="21"/>
    <s v="IL SOLE 24 ORE EVENTI S.R.L.            "/>
    <s v="U           "/>
    <s v="24 ORE EVENTI SRL"/>
    <s v="U01 "/>
    <x v="50"/>
    <s v="L19050      "/>
    <s v="L19050 MARKETING E COMUNICAZIONE"/>
    <s v="PANNI                           "/>
    <s v="LUCIA             "/>
    <s v="PNNLCU94R50I608X"/>
    <x v="0"/>
    <s v="34"/>
    <x v="0"/>
    <s v="12/02/2024"/>
    <s v="MILANO                 "/>
    <s v="21"/>
    <x v="0"/>
    <s v="I"/>
    <x v="0"/>
    <s v="B2 "/>
    <s v="B2 LIV. IMPIEGATO             "/>
    <s v="12/02/2024"/>
    <s v="12/02/2024"/>
    <s v="10/10/1994"/>
    <s v="A"/>
    <s v="A.IN FORZA"/>
    <s v="1S-ASSUNZIONE STABILIZZAZIONE 1S"/>
    <s v=""/>
    <s v=" "/>
    <s v=""/>
    <s v=""/>
    <n v="21"/>
    <s v="00"/>
    <n v="100"/>
    <s v="FULL TIME      100000000FF100-FULL TIME"/>
    <s v="12/02/2024"/>
    <s v=""/>
    <s v="  "/>
    <s v=""/>
    <s v="EO  "/>
    <s v="    "/>
    <s v=""/>
    <s v=""/>
    <s v="lucia.panni@ilsole24ore.com                       "/>
    <s v="F"/>
    <s v="F-FIRMA"/>
    <s v="1 "/>
    <s v="1=5 X 8"/>
    <s v="01/07/2025"/>
    <s v="TEMPO DETERMINATO"/>
    <s v="31/05/2027"/>
    <s v="0035000010                    "/>
    <s v="TREBBI ROBERTA"/>
    <n v="31"/>
  </r>
  <r>
    <x v="2"/>
    <n v="5"/>
    <s v="IL SOLE 24 ORE EVENTI S.R.L.            "/>
    <s v="U           "/>
    <s v="24 ORE EVENTI SRL"/>
    <s v="U01 "/>
    <x v="50"/>
    <s v="L19050      "/>
    <s v="L19050 MARKETING E COMUNICAZIONE"/>
    <s v="RAMELLA                         "/>
    <s v="NICOL             "/>
    <s v="RMLNCL78D42F205N"/>
    <x v="0"/>
    <s v="34"/>
    <x v="0"/>
    <s v="01/04/2021"/>
    <s v="MILANO                 "/>
    <s v="21"/>
    <x v="0"/>
    <s v="I"/>
    <x v="0"/>
    <s v="AS "/>
    <s v="AS LIV. IMPIEGATO             "/>
    <s v="31/12/2019"/>
    <s v="21/11/2007"/>
    <s v="02/04/1978"/>
    <s v="A"/>
    <s v="A.IN FORZA"/>
    <s v="2T-TRASFERIMENTO AZIENDA/RAMO 2T"/>
    <s v=""/>
    <s v=" "/>
    <s v=""/>
    <s v=""/>
    <n v="5"/>
    <s v="00"/>
    <n v="100"/>
    <s v="FULL TIME      100000000FF100-FULL TIME"/>
    <s v="21/11/2007"/>
    <s v=""/>
    <s v="  "/>
    <s v=""/>
    <s v="EA  "/>
    <s v="    "/>
    <s v=""/>
    <s v=""/>
    <s v="nicol.ramella@ilsole24ore.com                     "/>
    <s v="F"/>
    <s v="F-FIRMA"/>
    <s v="1 "/>
    <s v="1=5 X 8"/>
    <s v="01/07/2025"/>
    <s v="TEMPO DETERMINATO"/>
    <s v="31/05/2027"/>
    <s v="0035000010                    "/>
    <s v="TREBBI ROBERTA"/>
    <n v="47"/>
  </r>
  <r>
    <x v="2"/>
    <n v="13"/>
    <s v="IL SOLE 24 ORE EVENTI S.R.L.            "/>
    <s v="U           "/>
    <s v="24 ORE EVENTI SRL"/>
    <s v="U01 "/>
    <x v="50"/>
    <s v="L19050      "/>
    <s v="L19050 MARKETING E COMUNICAZIONE"/>
    <s v="RONCHETTO                       "/>
    <s v="MARCO GIOVANNI    "/>
    <s v="RNCMCG71C10D208X"/>
    <x v="1"/>
    <s v="34"/>
    <x v="0"/>
    <s v="01/09/2021"/>
    <s v="MILANO                 "/>
    <s v="21"/>
    <x v="0"/>
    <s v="I"/>
    <x v="0"/>
    <s v="AS "/>
    <s v="AS LIV. IMPIEGATO             "/>
    <s v="01/09/2021"/>
    <s v="01/09/2021"/>
    <s v="10/03/1971"/>
    <s v="A"/>
    <s v="A.IN FORZA"/>
    <s v="1  -ASSUNZIONE                1"/>
    <s v=""/>
    <s v=" "/>
    <s v=""/>
    <s v=""/>
    <n v="13"/>
    <s v="00"/>
    <n v="100"/>
    <s v="FULL TIME      100000000FF100-FULL TIME"/>
    <s v="01/09/2021"/>
    <s v=""/>
    <s v="  "/>
    <s v=""/>
    <s v="EO  "/>
    <s v="    "/>
    <s v=""/>
    <s v=""/>
    <s v="marco.ronchetto@ilsole24ore.com                   "/>
    <s v="F"/>
    <s v="F-FIRMA"/>
    <s v="1 "/>
    <s v="1=5 X 8"/>
    <s v="01/07/2025"/>
    <s v="TEMPO DETERMINATO"/>
    <s v="31/05/2027"/>
    <s v="0035000010                    "/>
    <s v="TREBBI ROBERTA"/>
    <n v="54"/>
  </r>
  <r>
    <x v="2"/>
    <n v="6"/>
    <s v="IL SOLE 24 ORE EVENTI S.R.L.            "/>
    <s v="U           "/>
    <s v="24 ORE EVENTI SRL"/>
    <s v="U01 "/>
    <x v="50"/>
    <s v="L19050      "/>
    <s v="L19050 MARKETING E COMUNICAZIONE"/>
    <s v="SOLAZZO                         "/>
    <s v="VALERIA           "/>
    <s v="SLZVLR75E70A662X"/>
    <x v="0"/>
    <s v="34"/>
    <x v="0"/>
    <s v="01/04/2021"/>
    <s v="MILANO                 "/>
    <s v="21"/>
    <x v="0"/>
    <s v="F"/>
    <x v="2"/>
    <s v="Q  "/>
    <s v="Q LIV. QUADRI                 "/>
    <s v="31/12/2019"/>
    <s v="20/12/1999"/>
    <s v="30/05/1975"/>
    <s v="A"/>
    <s v="A.IN FORZA"/>
    <s v="2T-TRASFERIMENTO AZIENDA/RAMO 2T"/>
    <s v=""/>
    <s v=" "/>
    <s v=""/>
    <s v=""/>
    <n v="6"/>
    <s v="00"/>
    <n v="100"/>
    <s v="FULL TIME      100000000FF100-FULL TIME"/>
    <s v="20/12/1999"/>
    <s v=""/>
    <s v="  "/>
    <s v=""/>
    <s v="EA  "/>
    <s v="    "/>
    <s v=""/>
    <s v=""/>
    <s v="valeria.solazzo@ilsole24ore.com                   "/>
    <s v="F"/>
    <s v="F-FIRMA"/>
    <s v="1 "/>
    <s v="1=5 X 8"/>
    <s v="01/07/2025"/>
    <s v="TEMPO DETERMINATO"/>
    <s v="31/05/2027"/>
    <s v="0035000010                    "/>
    <s v="TREBBI ROBERTA"/>
    <n v="50"/>
  </r>
  <r>
    <x v="2"/>
    <n v="10"/>
    <s v="IL SOLE 24 ORE EVENTI S.R.L.            "/>
    <s v="U           "/>
    <s v="24 ORE EVENTI SRL"/>
    <s v="U01 "/>
    <x v="50"/>
    <s v="L19050      "/>
    <s v="L19050 MARKETING E COMUNICAZIONE"/>
    <s v="TREBBI                          "/>
    <s v="ROBERTA           "/>
    <s v="TRBRRT70R66I459I"/>
    <x v="0"/>
    <s v="34"/>
    <x v="0"/>
    <s v="01/04/2021"/>
    <s v="MILANO                 "/>
    <s v="90"/>
    <x v="1"/>
    <s v="D"/>
    <x v="1"/>
    <s v="D  "/>
    <s v="DIRIGENTE INDUSTRIA           "/>
    <s v="01/02/2020"/>
    <s v="01/02/2000"/>
    <s v="26/10/1970"/>
    <s v="A"/>
    <s v="A.IN FORZA"/>
    <s v="9  -ALTRE MOTIVAZIONI         9"/>
    <s v=""/>
    <s v=" "/>
    <s v=""/>
    <s v=""/>
    <n v="10"/>
    <s v="00"/>
    <n v="100"/>
    <s v="FULL TIME      100000000FF100-FULL TIME"/>
    <s v="01/02/2001"/>
    <s v=""/>
    <s v="  "/>
    <s v=""/>
    <s v="DD  "/>
    <s v="    "/>
    <s v=""/>
    <s v=""/>
    <s v="roberta.trebbi@ilsole24ore.com                    "/>
    <s v="F"/>
    <s v="F-FIRMA"/>
    <s v="1 "/>
    <s v="1=5 X 8"/>
    <s v="01/07/2025"/>
    <s v="TEMPO DETERMINATO"/>
    <s v="31/05/2026"/>
    <s v="0015002960                    "/>
    <s v="SILVESTRI FEDERICO"/>
    <n v="55"/>
  </r>
  <r>
    <x v="2"/>
    <n v="7"/>
    <s v="IL SOLE 24 ORE EVENTI S.R.L.            "/>
    <s v="U           "/>
    <s v="24 ORE EVENTI SRL"/>
    <s v="U01 "/>
    <x v="50"/>
    <s v="L19050      "/>
    <s v="L19050 MARKETING E COMUNICAZIONE"/>
    <s v="TRUNGADI                        "/>
    <s v="ELISA             "/>
    <s v="TRNLSE63C48E479J"/>
    <x v="0"/>
    <s v="34"/>
    <x v="0"/>
    <s v="01/04/2021"/>
    <s v="MILANO                 "/>
    <s v="21"/>
    <x v="0"/>
    <s v="I"/>
    <x v="0"/>
    <s v="A  "/>
    <s v="A LIV. IMPIEGATO              "/>
    <s v="31/12/2019"/>
    <s v="02/09/1999"/>
    <s v="08/03/1963"/>
    <s v="A"/>
    <s v="A.IN FORZA"/>
    <s v="2T-TRASFERIMENTO AZIENDA/RAMO 2T"/>
    <s v=""/>
    <s v=" "/>
    <s v=""/>
    <s v=""/>
    <n v="7"/>
    <s v="00"/>
    <n v="100"/>
    <s v="FULL TIME      100000000FF100-FULL TIME"/>
    <s v="02/09/1999"/>
    <s v=""/>
    <s v="  "/>
    <s v=""/>
    <s v="EA  "/>
    <s v="    "/>
    <s v=""/>
    <s v=""/>
    <s v="elisa.trungadi@ilsole24ore.com                    "/>
    <s v="F"/>
    <s v="F-FIRMA"/>
    <s v="1 "/>
    <s v="1=5 X 8"/>
    <s v="04/12/2025"/>
    <s v="TEMPO DETERMINATO"/>
    <s v="31/05/2027"/>
    <s v="0035000010                    "/>
    <s v="TREBBI ROBERTA"/>
    <n v="62"/>
  </r>
  <r>
    <x v="2"/>
    <n v="9"/>
    <s v="IL SOLE 24 ORE EVENTI S.R.L.            "/>
    <s v="U           "/>
    <s v="24 ORE EVENTI SRL"/>
    <s v="U01 "/>
    <x v="50"/>
    <s v="L19060      "/>
    <s v="L19060 SALES"/>
    <s v="GAIA                            "/>
    <s v="FEDERICA          "/>
    <s v="GAIFRC71D62G388V"/>
    <x v="0"/>
    <s v="34"/>
    <x v="0"/>
    <s v="01/04/2021"/>
    <s v="MILANO                 "/>
    <s v="21"/>
    <x v="0"/>
    <s v="F"/>
    <x v="2"/>
    <s v="Q  "/>
    <s v="Q LIV. QUADRI                 "/>
    <s v="02/01/2020"/>
    <s v="02/01/2020"/>
    <s v="22/04/1971"/>
    <s v="A"/>
    <s v="A.IN FORZA"/>
    <s v="1  -ASSUNZIONE                1"/>
    <s v=""/>
    <s v=" "/>
    <s v=""/>
    <s v=""/>
    <n v="9"/>
    <s v="00"/>
    <n v="100"/>
    <s v="FULL TIME      100000000FF100-FULL TIME"/>
    <s v="02/01/2020"/>
    <s v=""/>
    <s v="  "/>
    <s v=""/>
    <s v="EA  "/>
    <s v="    "/>
    <s v=""/>
    <s v=""/>
    <s v="federica.gaia@ilsole24ore.com                     "/>
    <s v="F"/>
    <s v="F-FIRMA"/>
    <s v="1 "/>
    <s v="1=5 X 8"/>
    <s v="01/07/2025"/>
    <s v="TEMPO DETERMINATO"/>
    <s v="31/05/2027"/>
    <s v="0015002960                    "/>
    <s v="SILVESTRI FEDERICO"/>
    <n v="54"/>
  </r>
  <r>
    <x v="2"/>
    <n v="1"/>
    <s v="IL SOLE 24 ORE EVENTI S.R.L.            "/>
    <s v="U           "/>
    <s v="24 ORE EVENTI SRL"/>
    <s v="U01 "/>
    <x v="50"/>
    <s v="L19060      "/>
    <s v="L19060 SALES"/>
    <s v="GOTTINI                         "/>
    <s v="MIRELLA           "/>
    <s v="GTTMLL66P48L388L"/>
    <x v="0"/>
    <s v="34"/>
    <x v="0"/>
    <s v="01/04/2021"/>
    <s v="MILANO                 "/>
    <s v="21"/>
    <x v="0"/>
    <s v="F"/>
    <x v="2"/>
    <s v="Q  "/>
    <s v="Q LIV. QUADRI                 "/>
    <s v="10/12/2019"/>
    <s v="01/10/1999"/>
    <s v="08/09/1966"/>
    <s v="A"/>
    <s v="A.IN FORZA"/>
    <s v="2T-TRASFERIMENTO AZIENDA/RAMO 2T"/>
    <s v=""/>
    <s v=" "/>
    <s v=""/>
    <s v=""/>
    <n v="1"/>
    <s v="00"/>
    <n v="100"/>
    <s v="FULL TIME      100000000FF100-FULL TIME"/>
    <s v="01/10/1999"/>
    <s v=""/>
    <s v="  "/>
    <s v=""/>
    <s v="EA  "/>
    <s v="    "/>
    <s v=""/>
    <s v="C.I.S.L.           C.I.S.L"/>
    <s v="mirella.gottini@ilsole24ore.com                   "/>
    <s v="F"/>
    <s v="F-FIRMA"/>
    <s v="1 "/>
    <s v="1=5 X 8"/>
    <s v="01/07/2025"/>
    <s v="TEMPO DETERMINATO"/>
    <s v="31/05/2027"/>
    <s v="0035000010                    "/>
    <s v="TREBBI ROBERTA"/>
    <n v="59"/>
  </r>
  <r>
    <x v="2"/>
    <n v="8"/>
    <s v="IL SOLE 24 ORE EVENTI S.R.L.            "/>
    <s v="U           "/>
    <s v="24 ORE EVENTI SRL"/>
    <s v="U01 "/>
    <x v="50"/>
    <s v="L19060      "/>
    <s v="L19060 SALES"/>
    <s v="MATALETTI                       "/>
    <s v="DANIELE           "/>
    <s v="MTLDNL61R30H501T"/>
    <x v="1"/>
    <s v="31"/>
    <x v="1"/>
    <s v="18/05/2009"/>
    <s v="ROMA                   "/>
    <s v="21"/>
    <x v="0"/>
    <s v="F"/>
    <x v="2"/>
    <s v="Q  "/>
    <s v="Q LIV. QUADRI                 "/>
    <s v="31/12/2019"/>
    <s v="01/02/2000"/>
    <s v="30/10/1961"/>
    <s v="A"/>
    <s v="A.IN FORZA"/>
    <s v="2T-TRASFERIMENTO AZIENDA/RAMO 2T"/>
    <s v=""/>
    <s v=" "/>
    <s v=""/>
    <s v=""/>
    <n v="8"/>
    <s v="00"/>
    <n v="100"/>
    <s v="FULL TIME      100000000FF100-FULL TIME"/>
    <s v="01/02/2000"/>
    <s v=""/>
    <s v="  "/>
    <s v=""/>
    <s v="EA  "/>
    <s v="    "/>
    <s v=""/>
    <s v=""/>
    <s v="daniele.mataletti@ilsole24ore.com                 "/>
    <s v="F"/>
    <s v="F-FIRMA"/>
    <s v="1 "/>
    <s v="1=5 X 8"/>
    <s v="01/07/2025"/>
    <s v="TEMPO DETERMINATO"/>
    <s v="31/05/2027"/>
    <s v="0035000010                    "/>
    <s v="TREBBI ROBERTA"/>
    <n v="64"/>
  </r>
  <r>
    <x v="3"/>
    <n v="579"/>
    <s v="STAGE SOLE                              "/>
    <s v="B           "/>
    <s v="DG M&amp;B - DG RADIO 24"/>
    <s v="    "/>
    <x v="51"/>
    <s v="Q18000      "/>
    <s v="Q18000   TECNICI DI REGIA"/>
    <s v="GARRAMONE                       "/>
    <s v="MARTIN            "/>
    <s v="GRRMTN00L29Z601R"/>
    <x v="1"/>
    <s v="34"/>
    <x v="0"/>
    <s v="20/10/2025"/>
    <s v="MILANO                 "/>
    <s v="81"/>
    <x v="5"/>
    <s v="B"/>
    <x v="5"/>
    <s v="02 "/>
    <s v="STAGE                         "/>
    <s v="20/10/2025"/>
    <s v="20/10/2025"/>
    <s v="29/07/2000"/>
    <s v="A"/>
    <s v="A.IN FORZA"/>
    <s v="1  -ASSUNZIONE                1"/>
    <s v=""/>
    <s v="D"/>
    <s v="19/04/2026"/>
    <s v=""/>
    <n v="0"/>
    <s v="00"/>
    <n v="100"/>
    <s v="FULL TIME      100000000FF100-FULL TIME"/>
    <s v="20/10/2025"/>
    <s v=""/>
    <s v="  "/>
    <s v=""/>
    <s v="    "/>
    <s v="    "/>
    <s v=""/>
    <s v=""/>
    <s v="ext.martin.garramone@radio24.it                   "/>
    <s v=" "/>
    <s v=""/>
    <s v="  "/>
    <s v=""/>
    <s v=""/>
    <s v=""/>
    <s v=""/>
    <s v="0015002756                    "/>
    <s v="PREVIATO MICHELE"/>
    <n v="25"/>
  </r>
  <r>
    <x v="3"/>
    <n v="580"/>
    <s v="STAGE SOLE                              "/>
    <s v="B           "/>
    <s v="DG M&amp;B - DG RADIO 24"/>
    <s v="B03 "/>
    <x v="4"/>
    <s v="Q16000      "/>
    <s v="Q16000   PRODUZIONE PROGRAMMI RADIO"/>
    <s v="LUNGHI                          "/>
    <s v="CRISTINA          "/>
    <s v="LNGCST98M46E202P"/>
    <x v="0"/>
    <s v="34"/>
    <x v="0"/>
    <s v="19/11/2025"/>
    <s v="MILANO                 "/>
    <s v="81"/>
    <x v="5"/>
    <s v="B"/>
    <x v="5"/>
    <s v="02 "/>
    <s v="STAGE                         "/>
    <s v="19/11/2025"/>
    <s v="19/11/2025"/>
    <s v="06/08/1998"/>
    <s v="A"/>
    <s v="A.IN FORZA"/>
    <s v="1  -ASSUNZIONE                1"/>
    <s v=""/>
    <s v="D"/>
    <s v="18/05/2026"/>
    <s v=""/>
    <n v="0"/>
    <s v="00"/>
    <n v="100"/>
    <s v="FULL TIME      100000000FF100-FULL TIME"/>
    <s v="19/11/2025"/>
    <s v=""/>
    <s v="  "/>
    <s v=""/>
    <s v="    "/>
    <s v="    "/>
    <s v=""/>
    <s v=""/>
    <s v="ext.cristina.lunghi@radio24.it                    "/>
    <s v=" "/>
    <s v=""/>
    <s v="  "/>
    <s v=""/>
    <s v=""/>
    <s v=""/>
    <s v=""/>
    <s v="0015002764                    "/>
    <s v="SCOTTI GUIDO"/>
    <n v="27"/>
  </r>
  <r>
    <x v="3"/>
    <n v="581"/>
    <s v="STAGE SOLE                              "/>
    <s v="B           "/>
    <s v="DG M&amp;B - DG RADIO 24"/>
    <s v="B03 "/>
    <x v="4"/>
    <s v="Q16000      "/>
    <s v="Q16000   PRODUZIONE PROGRAMMI RADIO"/>
    <s v="VALENTINO                       "/>
    <s v="PAOLO             "/>
    <s v="VLNPLA01L28G482L"/>
    <x v="1"/>
    <s v="34"/>
    <x v="0"/>
    <s v="07/01/2026"/>
    <s v="MILANO                 "/>
    <s v="81"/>
    <x v="5"/>
    <s v="B"/>
    <x v="5"/>
    <s v="02 "/>
    <s v="STAGE                         "/>
    <s v="07/01/2026"/>
    <s v="07/01/2026"/>
    <s v="28/07/2001"/>
    <s v="A"/>
    <s v="A.IN FORZA"/>
    <s v="1  -ASSUNZIONE                1"/>
    <s v=""/>
    <s v="D"/>
    <s v="06/07/2026"/>
    <s v=""/>
    <n v="581"/>
    <s v="00"/>
    <n v="100"/>
    <s v="FULL TIME      100000000FF100-FULL TIME"/>
    <s v="07/01/2026"/>
    <s v=""/>
    <s v="  "/>
    <s v=""/>
    <s v="0   "/>
    <s v="    "/>
    <s v=""/>
    <s v=""/>
    <s v="ext.paolo.valentino@radio24.it                    "/>
    <s v=" "/>
    <s v=""/>
    <s v="  "/>
    <s v=""/>
    <s v=""/>
    <s v=""/>
    <s v=""/>
    <s v="0015002764                    "/>
    <s v="SCOTTI GUIDO"/>
    <n v="24"/>
  </r>
  <r>
    <x v="3"/>
    <n v="582"/>
    <s v="STAGE SOLE                              "/>
    <s v="E           "/>
    <s v="DIREZIONE GENERALE CORPORATE E CFO"/>
    <s v="E07 "/>
    <x v="16"/>
    <s v="C11000      "/>
    <s v="C11000   AMMINISTRAZIONE VENDITE CENTRAL"/>
    <s v="ROBOTTI                         "/>
    <s v="VIVIAN VANESSA    "/>
    <s v="RBTVNV00B41Z604J"/>
    <x v="0"/>
    <s v="34"/>
    <x v="0"/>
    <s v="12/01/2026"/>
    <s v="MILANO                 "/>
    <s v="81"/>
    <x v="5"/>
    <s v="B"/>
    <x v="5"/>
    <s v="02 "/>
    <s v="STAGE                         "/>
    <s v="12/01/2026"/>
    <s v="12/01/2026"/>
    <s v="01/02/2000"/>
    <s v="A"/>
    <s v="A.IN FORZA"/>
    <s v="1  -ASSUNZIONE                1"/>
    <s v=""/>
    <s v="D"/>
    <s v="10/07/2026"/>
    <s v=""/>
    <n v="582"/>
    <s v="00"/>
    <n v="100"/>
    <s v="FULL TIME      100000000FF100-FULL TIME"/>
    <s v="12/01/2026"/>
    <s v=""/>
    <s v="  "/>
    <s v=""/>
    <s v="    "/>
    <s v="    "/>
    <s v=""/>
    <s v=""/>
    <s v="ext.vivianvanessa.robotti@ilsole24ore.com         "/>
    <s v=" "/>
    <s v=""/>
    <s v="  "/>
    <s v=""/>
    <s v=""/>
    <s v=""/>
    <s v=""/>
    <s v="0015002848                    "/>
    <s v="DELLAVEDOVA SARA"/>
    <n v="25"/>
  </r>
  <r>
    <x v="4"/>
    <n v="444"/>
    <s v="IL SOLE 24 ORE SPA                      "/>
    <s v="A           "/>
    <s v="CORPORATE"/>
    <s v="A01 "/>
    <x v="0"/>
    <s v="011000      "/>
    <s v="011000   CORPORATE"/>
    <s v="SILVESTRI                       "/>
    <s v="FEDERICO          "/>
    <s v="SLVFRC71A14F205W"/>
    <x v="1"/>
    <s v="34"/>
    <x v="0"/>
    <s v="30/04/2025"/>
    <s v="MILANO                 "/>
    <s v="83"/>
    <x v="6"/>
    <s v="C"/>
    <x v="6"/>
    <s v="01 "/>
    <s v="COLLABORATORE                 "/>
    <s v="30/04/2025"/>
    <s v="30/04/2025"/>
    <s v="14/01/1971"/>
    <s v="A"/>
    <s v="A.IN FORZA"/>
    <s v="9  -ALTRE MOTIVAZIONI         9"/>
    <s v=""/>
    <s v=" "/>
    <s v=""/>
    <s v=""/>
    <n v="444"/>
    <s v="00"/>
    <n v="100"/>
    <s v="FULL TIME      100000000FF100-FULL TIME"/>
    <s v="30/04/2025"/>
    <s v=""/>
    <s v="  "/>
    <s v=""/>
    <s v="DD  "/>
    <s v="    "/>
    <s v=""/>
    <s v=""/>
    <s v="                                                  "/>
    <s v="E"/>
    <s v="E-ESENTE"/>
    <s v="  "/>
    <s v=""/>
    <s v=""/>
    <s v=""/>
    <s v=""/>
    <s v="                              "/>
    <s v=""/>
    <n v="55"/>
  </r>
  <r>
    <x v="4"/>
    <n v="457"/>
    <s v="IL SOLE 24 ORE SPA                      "/>
    <s v="B           "/>
    <s v="DG M&amp;B - DG RADIO 24"/>
    <s v="K04 "/>
    <x v="37"/>
    <s v="015000      "/>
    <s v="015000 DG SERVIZI PROFESSIONALI E FORMAZ"/>
    <s v="CERATI                          "/>
    <s v="FRANCESCA         "/>
    <s v="CRTFNC62B54E507Y"/>
    <x v="0"/>
    <s v="66"/>
    <x v="10"/>
    <s v="01/01/2026"/>
    <s v="                       "/>
    <s v="83"/>
    <x v="6"/>
    <s v="C"/>
    <x v="6"/>
    <s v="01 "/>
    <s v="COLLABORATORE                 "/>
    <s v="01/01/2026"/>
    <s v="01/01/2026"/>
    <s v="14/02/1962"/>
    <s v="A"/>
    <s v="A.IN FORZA"/>
    <s v="9  -ALTRE MOTIVAZIONI         9"/>
    <s v="31/12/2027"/>
    <s v=" "/>
    <s v=""/>
    <s v=""/>
    <n v="0"/>
    <s v="00"/>
    <n v="100"/>
    <s v="FULL TIME      100000000FF100-FULL TIME"/>
    <s v="01/01/2026"/>
    <s v=""/>
    <s v="  "/>
    <s v=""/>
    <s v="0   "/>
    <s v="    "/>
    <s v=""/>
    <s v=""/>
    <s v="                                                  "/>
    <s v="E"/>
    <s v="E-ESENTE"/>
    <s v="  "/>
    <s v=""/>
    <s v=""/>
    <s v=""/>
    <s v=""/>
    <s v="                              "/>
    <s v=""/>
    <n v="63"/>
  </r>
  <r>
    <x v="4"/>
    <n v="370"/>
    <s v="IL SOLE 24 ORE SPA                      "/>
    <s v="H           "/>
    <s v="DG SERVIZI PROFESSIONALI E FORMAZIONE"/>
    <s v="H01 "/>
    <x v="27"/>
    <s v="015000      "/>
    <s v="015000 DG SERVIZI PROFESSIONALI E FORMAZ"/>
    <s v="BAGNASCO                        "/>
    <s v="GIACOMO           "/>
    <s v="BGNGCM57P06D969I"/>
    <x v="1"/>
    <s v="66"/>
    <x v="10"/>
    <s v="20/01/2020"/>
    <s v="                       "/>
    <s v="83"/>
    <x v="6"/>
    <s v="C"/>
    <x v="6"/>
    <s v="01 "/>
    <s v="COLLABORATORE                 "/>
    <s v="20/01/2020"/>
    <s v="01/10/2017"/>
    <s v="06/09/1957"/>
    <s v="A"/>
    <s v="A.IN FORZA"/>
    <s v="9  -ALTRE MOTIVAZIONI         9"/>
    <s v="31/08/2026"/>
    <s v=" "/>
    <s v=""/>
    <s v=""/>
    <n v="422"/>
    <s v="00"/>
    <n v="100"/>
    <s v="FULL TIME      100000000FF100-FULL TIME"/>
    <s v=""/>
    <s v=""/>
    <s v="  "/>
    <s v=""/>
    <s v="0   "/>
    <s v="    "/>
    <s v=""/>
    <s v=""/>
    <s v="giacomobagnasco57@gmail.com                       "/>
    <s v="E"/>
    <s v="E-ESENTE"/>
    <s v="  "/>
    <s v=""/>
    <s v=""/>
    <s v=""/>
    <s v=""/>
    <s v="                              "/>
    <s v=""/>
    <n v="68"/>
  </r>
  <r>
    <x v="4"/>
    <n v="456"/>
    <s v="IL SOLE 24 ORE SPA                      "/>
    <s v="H           "/>
    <s v="DG SERVIZI PROFESSIONALI E FORMAZIONE"/>
    <s v="H01 "/>
    <x v="27"/>
    <s v="015000      "/>
    <s v="015000 DG SERVIZI PROFESSIONALI E FORMAZ"/>
    <s v="BARLAAM                         "/>
    <s v="RICCARDO          "/>
    <s v="BRLRCR65E03G438D"/>
    <x v="1"/>
    <s v="66"/>
    <x v="10"/>
    <s v="01/01/2026"/>
    <s v="                       "/>
    <s v="83"/>
    <x v="6"/>
    <s v="C"/>
    <x v="6"/>
    <s v="01 "/>
    <s v="COLLABORATORE                 "/>
    <s v="01/01/2026"/>
    <s v="01/01/2026"/>
    <s v="03/05/1965"/>
    <s v="A"/>
    <s v="A.IN FORZA"/>
    <s v="9  -ALTRE MOTIVAZIONI         9"/>
    <s v="31/12/2027"/>
    <s v=" "/>
    <s v=""/>
    <s v=""/>
    <n v="0"/>
    <s v="00"/>
    <n v="100"/>
    <s v="FULL TIME      100000000FF100-FULL TIME"/>
    <s v="01/01/2026"/>
    <s v=""/>
    <s v="  "/>
    <s v=""/>
    <s v="0   "/>
    <s v="    "/>
    <s v=""/>
    <s v=""/>
    <s v="                                                  "/>
    <s v="E"/>
    <s v="E-ESENTE"/>
    <s v="  "/>
    <s v=""/>
    <s v=""/>
    <s v=""/>
    <s v=""/>
    <s v="                              "/>
    <s v=""/>
    <n v="60"/>
  </r>
  <r>
    <x v="4"/>
    <n v="441"/>
    <s v="IL SOLE 24 ORE SPA                      "/>
    <s v="H           "/>
    <s v="DG SERVIZI PROFESSIONALI E FORMAZIONE"/>
    <s v="H01 "/>
    <x v="27"/>
    <s v="015000      "/>
    <s v="015000 DG SERVIZI PROFESSIONALI E FORMAZ"/>
    <s v="DEL FREO                        "/>
    <s v="ANNA              "/>
    <s v="DLFNNA62L66B832E"/>
    <x v="0"/>
    <s v="66"/>
    <x v="10"/>
    <s v="01/11/2024"/>
    <s v="                       "/>
    <s v="83"/>
    <x v="6"/>
    <s v="C"/>
    <x v="6"/>
    <s v="01 "/>
    <s v="COLLABORATORE                 "/>
    <s v="01/11/2024"/>
    <s v="01/11/2024"/>
    <s v="26/07/1962"/>
    <s v="A"/>
    <s v="A.IN FORZA"/>
    <s v="9  -ALTRE MOTIVAZIONI         9"/>
    <s v=""/>
    <s v=" "/>
    <s v=""/>
    <s v=""/>
    <n v="492"/>
    <s v="00"/>
    <n v="100"/>
    <s v="FULL TIME      100000000FF100-FULL TIME"/>
    <s v="01/11/2024"/>
    <s v=""/>
    <s v="  "/>
    <s v=""/>
    <s v="GSS "/>
    <s v="    "/>
    <s v=""/>
    <s v="NON ISCRITTO       NON ISCRITTO"/>
    <s v="ext.anna.delfreo@ilsole24ore.com                  "/>
    <s v="E"/>
    <s v="E-ESENTE"/>
    <s v="  "/>
    <s v=""/>
    <s v="01/12/2024"/>
    <s v=""/>
    <s v=""/>
    <s v="                              "/>
    <s v=""/>
    <n v="63"/>
  </r>
  <r>
    <x v="4"/>
    <n v="365"/>
    <s v="IL SOLE 24 ORE SPA                      "/>
    <s v="H           "/>
    <s v="DG SERVIZI PROFESSIONALI E FORMAZIONE"/>
    <s v="H01 "/>
    <x v="27"/>
    <s v="015000      "/>
    <s v="015000 DG SERVIZI PROFESSIONALI E FORMAZ"/>
    <s v="PADULA                          "/>
    <s v="SALVATORE         "/>
    <s v="PDLSVT58L17D416Y"/>
    <x v="1"/>
    <s v="34"/>
    <x v="0"/>
    <s v="01/07/2017"/>
    <s v="MILANO                 "/>
    <s v="83"/>
    <x v="6"/>
    <s v="C"/>
    <x v="6"/>
    <s v="01 "/>
    <s v="COLLABORATORE                 "/>
    <s v="17/05/2021"/>
    <s v="01/07/2017"/>
    <s v="17/07/1958"/>
    <s v="Q"/>
    <s v="Q.ULTIMO CEDOLINO"/>
    <s v="9  -ALTRE MOTIVAZIONI         9"/>
    <s v="31/01/2026"/>
    <s v=" "/>
    <s v=""/>
    <s v="31/01/2026"/>
    <n v="417"/>
    <s v="00"/>
    <n v="100"/>
    <s v="FULL TIME      100000000FF100-FULL TIME"/>
    <s v=""/>
    <s v=""/>
    <s v="  "/>
    <s v=""/>
    <s v="0   "/>
    <s v="    "/>
    <s v=""/>
    <s v=""/>
    <s v="ext.salvatore.padula@ilsole24ore.com              "/>
    <s v="E"/>
    <s v="E-ESENTE"/>
    <s v="  "/>
    <s v=""/>
    <s v=""/>
    <s v=""/>
    <s v=""/>
    <s v="                              "/>
    <s v=""/>
    <n v="67"/>
  </r>
  <r>
    <x v="4"/>
    <n v="395"/>
    <s v="IL SOLE 24 ORE SPA                      "/>
    <s v="H           "/>
    <s v="DG SERVIZI PROFESSIONALI E FORMAZIONE"/>
    <s v="H01 "/>
    <x v="27"/>
    <s v="816000      "/>
    <s v="816000   SOFTWARE GESTIONALI"/>
    <s v="BONELLI                         "/>
    <s v="FRANCESCO         "/>
    <s v="BNLFNC49M12B201O"/>
    <x v="1"/>
    <s v="34"/>
    <x v="0"/>
    <s v="01/04/2021"/>
    <s v="MILANO                 "/>
    <s v="83"/>
    <x v="6"/>
    <s v="C"/>
    <x v="6"/>
    <s v="01 "/>
    <s v="COLLABORATORE                 "/>
    <s v="02/01/2022"/>
    <s v="01/04/2019"/>
    <s v="12/08/1949"/>
    <s v="A"/>
    <s v="A.IN FORZA"/>
    <s v="9  -ALTRE MOTIVAZIONI         9"/>
    <s v="31/12/2022"/>
    <s v=" "/>
    <s v=""/>
    <s v=""/>
    <n v="447"/>
    <s v="00"/>
    <n v="100"/>
    <s v="FULL TIME      100000000FF100-FULL TIME"/>
    <s v=""/>
    <s v=""/>
    <s v="  "/>
    <s v=""/>
    <s v="0   "/>
    <s v="    "/>
    <s v=""/>
    <s v=""/>
    <s v="ext.francesco.bonelli@ilsole24ore.com             "/>
    <s v=" "/>
    <s v=""/>
    <s v="  "/>
    <s v=""/>
    <s v=""/>
    <s v=""/>
    <s v=""/>
    <s v="                              "/>
    <s v=""/>
    <n v="76"/>
  </r>
  <r>
    <x v="4"/>
    <n v="420"/>
    <s v="IL SOLE 24 ORE SPA                      "/>
    <s v="H           "/>
    <s v="DG SERVIZI PROFESSIONALI E FORMAZIONE"/>
    <s v="H04 "/>
    <x v="30"/>
    <s v="815115      "/>
    <s v="815115   AREA FISCO LAVORO"/>
    <s v="MUTTI                           "/>
    <s v="MASSIMO           "/>
    <s v="MTTMSM60S03L304S"/>
    <x v="1"/>
    <s v="34"/>
    <x v="0"/>
    <s v="01/07/2022"/>
    <s v="MILANO                 "/>
    <s v="83"/>
    <x v="6"/>
    <s v="C"/>
    <x v="6"/>
    <s v="01 "/>
    <s v="COLLABORATORE                 "/>
    <s v="01/07/2022"/>
    <s v="01/07/2022"/>
    <s v="03/11/1960"/>
    <s v="A"/>
    <s v="A.IN FORZA"/>
    <s v="9  -ALTRE MOTIVAZIONI         9"/>
    <s v=""/>
    <s v=" "/>
    <s v=""/>
    <s v=""/>
    <n v="472"/>
    <s v="00"/>
    <n v="100"/>
    <s v="FULL TIME      100000000FF100-FULL TIME"/>
    <s v="01/07/2022"/>
    <s v=""/>
    <s v="  "/>
    <s v=""/>
    <s v="    "/>
    <s v="    "/>
    <s v=""/>
    <s v=""/>
    <s v="ext.massimo.mutti@ilsole24ore.com                 "/>
    <s v=" "/>
    <s v=""/>
    <s v="  "/>
    <s v=""/>
    <s v=""/>
    <s v=""/>
    <s v=""/>
    <s v="                              "/>
    <s v=""/>
    <n v="65"/>
  </r>
  <r>
    <x v="4"/>
    <n v="407"/>
    <s v="IL SOLE 24 ORE SPA                      "/>
    <s v="H           "/>
    <s v="DG SERVIZI PROFESSIONALI E FORMAZIONE"/>
    <s v="H06 "/>
    <x v="32"/>
    <s v="81800010    "/>
    <s v="81800010 AREA PARTNER 24 ORE E COMM.DEVE"/>
    <s v="VILLANI                         "/>
    <s v="PAOLA MARIA NOVELL"/>
    <s v="VLLPMR61R60L219O"/>
    <x v="0"/>
    <s v="34"/>
    <x v="0"/>
    <s v="01/04/2021"/>
    <s v="MILANO                 "/>
    <s v="83"/>
    <x v="6"/>
    <s v="C"/>
    <x v="6"/>
    <s v="01 "/>
    <s v="COLLABORATORE                 "/>
    <s v="02/01/2021"/>
    <s v="27/08/2020"/>
    <s v="20/10/1961"/>
    <s v="A"/>
    <s v="A.IN FORZA"/>
    <s v="9  -ALTRE MOTIVAZIONI         9"/>
    <s v=""/>
    <s v=" "/>
    <s v=""/>
    <s v=""/>
    <n v="459"/>
    <s v="00"/>
    <n v="100"/>
    <s v="FULL TIME      100000000FF100-FULL TIME"/>
    <s v=""/>
    <s v=""/>
    <s v="  "/>
    <s v=""/>
    <s v="    "/>
    <s v="    "/>
    <s v=""/>
    <s v=""/>
    <s v="ext.paolamaria.villani@ilsole24ore.com            "/>
    <s v=" "/>
    <s v=""/>
    <s v="  "/>
    <s v=""/>
    <s v=""/>
    <s v=""/>
    <s v=""/>
    <s v="                              "/>
    <s v=""/>
    <n v="64"/>
  </r>
  <r>
    <x v="4"/>
    <n v="439"/>
    <s v="IL SOLE 24 ORE SPA                      "/>
    <s v="K           "/>
    <s v="REDAZIONI GIORNALISTICHE"/>
    <s v="K03 "/>
    <x v="36"/>
    <s v="514300      "/>
    <s v="514300   REDAZIONE MILANO"/>
    <s v="BUFACCHI                        "/>
    <s v="ISABELLA          "/>
    <s v="BFCSLL61S57H501J"/>
    <x v="0"/>
    <s v="66"/>
    <x v="10"/>
    <s v="10/09/2024"/>
    <s v="                       "/>
    <s v="83"/>
    <x v="6"/>
    <s v="C"/>
    <x v="6"/>
    <s v="01 "/>
    <s v="COLLABORATORE                 "/>
    <s v="10/09/2024"/>
    <s v="10/09/2024"/>
    <s v="17/11/1961"/>
    <s v="A"/>
    <s v="A.IN FORZA"/>
    <s v="1  -ASSUNZIONE                1"/>
    <s v=""/>
    <s v=" "/>
    <s v=""/>
    <s v=""/>
    <n v="490"/>
    <s v="00"/>
    <n v="100"/>
    <s v="FULL TIME      100000000FF100-FULL TIME"/>
    <s v="01/11/1990"/>
    <s v=""/>
    <s v="  "/>
    <s v=""/>
    <s v="GSS "/>
    <s v="    "/>
    <s v=""/>
    <s v="NON ISCRITTO       NON ISCRITTO"/>
    <s v="ext.isabella.bufacchi@ilsole24ore.com             "/>
    <s v="E"/>
    <s v="E-ESENTE"/>
    <s v="  "/>
    <s v=""/>
    <s v=""/>
    <s v=""/>
    <s v=""/>
    <s v="                              "/>
    <s v=""/>
    <n v="64"/>
  </r>
  <r>
    <x v="4"/>
    <n v="249"/>
    <s v="IL SOLE 24 ORE SPA                      "/>
    <s v="K           "/>
    <s v="REDAZIONI GIORNALISTICHE"/>
    <s v="K03 "/>
    <x v="36"/>
    <s v="514300      "/>
    <s v="514300   REDAZIONE MILANO"/>
    <s v="CERRETELLI                      "/>
    <s v="ADRIANA           "/>
    <s v="CRRDRN48E67F205W"/>
    <x v="0"/>
    <s v="34"/>
    <x v="0"/>
    <s v="01/04/2021"/>
    <s v="MILANO                 "/>
    <s v="83"/>
    <x v="6"/>
    <s v="C"/>
    <x v="6"/>
    <s v="01 "/>
    <s v="COLLABORATORE                 "/>
    <s v="01/02/2020"/>
    <s v="01/10/2011"/>
    <s v="27/05/1948"/>
    <s v="A"/>
    <s v="A.IN FORZA"/>
    <s v="9  -ALTRE MOTIVAZIONI         9"/>
    <s v=""/>
    <s v=" "/>
    <s v=""/>
    <s v=""/>
    <n v="302"/>
    <s v="00"/>
    <n v="100"/>
    <s v="FULL TIME      100000000FF100-FULL TIME"/>
    <s v=""/>
    <s v=""/>
    <s v="  "/>
    <s v=""/>
    <s v="0   "/>
    <s v="    "/>
    <s v=""/>
    <s v=""/>
    <s v="ext.adriana.cerretelli@ilsole24ore.com            "/>
    <s v="E"/>
    <s v="E-ESENTE"/>
    <s v="  "/>
    <s v=""/>
    <s v=""/>
    <s v=""/>
    <s v=""/>
    <s v="                              "/>
    <s v=""/>
    <n v="77"/>
  </r>
  <r>
    <x v="4"/>
    <n v="318"/>
    <s v="IL SOLE 24 ORE SPA                      "/>
    <s v="K           "/>
    <s v="REDAZIONI GIORNALISTICHE"/>
    <s v="K03 "/>
    <x v="36"/>
    <s v="514300      "/>
    <s v="514300   REDAZIONE MILANO"/>
    <s v="DEGLI INNOCENTI                 "/>
    <s v="NICOLETTA         "/>
    <s v="DGLNLT62C57B157Q"/>
    <x v="0"/>
    <s v="66"/>
    <x v="10"/>
    <s v="09/02/2015"/>
    <s v="                       "/>
    <s v="83"/>
    <x v="6"/>
    <s v="C"/>
    <x v="6"/>
    <s v="01 "/>
    <s v="COLLABORATORE                 "/>
    <s v="01/08/2018"/>
    <s v="01/08/2018"/>
    <s v="17/03/1962"/>
    <s v="A"/>
    <s v="A.IN FORZA"/>
    <s v="9  -ALTRE MOTIVAZIONI         9"/>
    <s v=""/>
    <s v=" "/>
    <s v=""/>
    <s v=""/>
    <n v="371"/>
    <s v="00"/>
    <n v="100"/>
    <s v="FULL TIME      100000000FF100-FULL TIME"/>
    <s v=""/>
    <s v=""/>
    <s v="  "/>
    <s v=""/>
    <s v="0   "/>
    <s v="    "/>
    <s v=""/>
    <s v=""/>
    <s v="nicoldynes@aol.com                                "/>
    <s v="E"/>
    <s v="E-ESENTE"/>
    <s v="  "/>
    <s v=""/>
    <s v=""/>
    <s v=""/>
    <s v=""/>
    <s v="                              "/>
    <s v=""/>
    <n v="63"/>
  </r>
  <r>
    <x v="4"/>
    <n v="440"/>
    <s v="IL SOLE 24 ORE SPA                      "/>
    <s v="K           "/>
    <s v="REDAZIONI GIORNALISTICHE"/>
    <s v="K03 "/>
    <x v="36"/>
    <s v="514300      "/>
    <s v="514300   REDAZIONE MILANO"/>
    <s v="FATIGUSO                        "/>
    <s v="RITA FRANCESCA    "/>
    <s v="FTGRFR62R62A662A"/>
    <x v="0"/>
    <s v="66"/>
    <x v="10"/>
    <s v="01/10/2024"/>
    <s v="                       "/>
    <s v="83"/>
    <x v="6"/>
    <s v="C"/>
    <x v="6"/>
    <s v="01 "/>
    <s v="COLLABORATORE                 "/>
    <s v="02/01/2025"/>
    <s v="01/10/2024"/>
    <s v="22/10/1962"/>
    <s v="A"/>
    <s v="A.IN FORZA"/>
    <s v="1  -ASSUNZIONE                1"/>
    <s v=""/>
    <s v=" "/>
    <s v=""/>
    <s v=""/>
    <n v="491"/>
    <s v="00"/>
    <n v="100"/>
    <s v="FULL TIME      100000000FF100-FULL TIME"/>
    <s v=""/>
    <s v=""/>
    <s v="  "/>
    <s v=""/>
    <s v="GSS "/>
    <s v="    "/>
    <s v=""/>
    <s v="NON ISCRITTO       NON ISCRITTO"/>
    <s v="ext.rita.fatiguso@ilsole24ore.com                 "/>
    <s v="E"/>
    <s v="E-ESENTE"/>
    <s v="  "/>
    <s v=""/>
    <s v="01/10/2024"/>
    <s v=""/>
    <s v=""/>
    <s v="                              "/>
    <s v=""/>
    <n v="63"/>
  </r>
  <r>
    <x v="4"/>
    <n v="454"/>
    <s v="IL SOLE 24 ORE SPA                      "/>
    <s v="K           "/>
    <s v="REDAZIONI GIORNALISTICHE"/>
    <s v="K03 "/>
    <x v="36"/>
    <s v="514300      "/>
    <s v="514300   REDAZIONE MILANO"/>
    <s v="MARCHESINI                      "/>
    <s v="EVELINA           "/>
    <s v="MRCVLN64R63Z611D"/>
    <x v="0"/>
    <s v="66"/>
    <x v="10"/>
    <s v="01/11/2025"/>
    <s v="                       "/>
    <s v="83"/>
    <x v="6"/>
    <s v="C"/>
    <x v="6"/>
    <s v="01 "/>
    <s v="COLLABORATORE                 "/>
    <s v="01/11/2025"/>
    <s v="01/11/2025"/>
    <s v="23/10/1964"/>
    <s v="A"/>
    <s v="A.IN FORZA"/>
    <s v="1  -ASSUNZIONE                1"/>
    <s v=""/>
    <s v=" "/>
    <s v=""/>
    <s v=""/>
    <n v="0"/>
    <s v="00"/>
    <n v="100"/>
    <s v="FULL TIME      100000000FF100-FULL TIME"/>
    <s v="01/11/2025"/>
    <s v=""/>
    <s v="  "/>
    <s v=""/>
    <s v="GSS "/>
    <s v="    "/>
    <s v=""/>
    <s v="NON ISCRITTO       NON ISCRITTO"/>
    <s v="evelina.marchesini@gmail.com                      "/>
    <s v="E"/>
    <s v="E-ESENTE"/>
    <s v="  "/>
    <s v=""/>
    <s v=""/>
    <s v=""/>
    <s v=""/>
    <s v="                              "/>
    <s v=""/>
    <n v="61"/>
  </r>
  <r>
    <x v="4"/>
    <n v="445"/>
    <s v="IL SOLE 24 ORE SPA                      "/>
    <s v="K           "/>
    <s v="REDAZIONI GIORNALISTICHE"/>
    <s v="K03 "/>
    <x v="36"/>
    <s v="514300      "/>
    <s v="514300   REDAZIONE MILANO"/>
    <s v="MEAZZA                          "/>
    <s v="MAURO             "/>
    <s v="MZZMRA62S13F205Q"/>
    <x v="1"/>
    <s v="66"/>
    <x v="10"/>
    <s v="03/06/2025"/>
    <s v="                       "/>
    <s v="83"/>
    <x v="6"/>
    <s v="C"/>
    <x v="6"/>
    <s v="01 "/>
    <s v="COLLABORATORE                 "/>
    <s v="03/06/2025"/>
    <s v="03/06/2025"/>
    <s v="13/11/1962"/>
    <s v="A"/>
    <s v="A.IN FORZA"/>
    <s v="9  -ALTRE MOTIVAZIONI         9"/>
    <s v="31/05/2028"/>
    <s v=" "/>
    <s v=""/>
    <s v=""/>
    <n v="445"/>
    <s v="00"/>
    <n v="100"/>
    <s v="FULL TIME      100000000FF100-FULL TIME"/>
    <s v="03/06/2025"/>
    <s v=""/>
    <s v="  "/>
    <s v=""/>
    <s v="GSS "/>
    <s v="    "/>
    <s v=""/>
    <s v=""/>
    <s v="ext.mauro.meazza@ilsole24ore.com                  "/>
    <s v="E"/>
    <s v="E-ESENTE"/>
    <s v="2 "/>
    <s v="2=6 X 6"/>
    <s v=""/>
    <s v=""/>
    <s v=""/>
    <s v="                              "/>
    <s v=""/>
    <n v="63"/>
  </r>
  <r>
    <x v="4"/>
    <n v="299"/>
    <s v="IL SOLE 24 ORE SPA                      "/>
    <s v="K           "/>
    <s v="REDAZIONI GIORNALISTICHE"/>
    <s v="K03 "/>
    <x v="36"/>
    <s v="514300      "/>
    <s v="514300   REDAZIONE MILANO"/>
    <s v="PIERACCINI                      "/>
    <s v="SILVIA            "/>
    <s v="PRCSLV67P44G999H"/>
    <x v="0"/>
    <s v="34"/>
    <x v="0"/>
    <s v="01/04/2021"/>
    <s v="MILANO                 "/>
    <s v="83"/>
    <x v="6"/>
    <s v="C"/>
    <x v="6"/>
    <s v="01 "/>
    <s v="COLLABORATORE                 "/>
    <s v="01/03/2014"/>
    <s v="01/03/2014"/>
    <s v="04/09/1967"/>
    <s v="A"/>
    <s v="A.IN FORZA"/>
    <s v="9  -ALTRE MOTIVAZIONI         9"/>
    <s v="28/02/2026"/>
    <s v=" "/>
    <s v=""/>
    <s v=""/>
    <n v="352"/>
    <s v="00"/>
    <n v="100"/>
    <s v="FULL TIME      100000000FF100-FULL TIME"/>
    <s v="01/03/2014"/>
    <s v=""/>
    <s v="  "/>
    <s v=""/>
    <s v="0   "/>
    <s v="    "/>
    <s v=""/>
    <s v=""/>
    <s v="ext.silvia.pieraccini@ilsole24ore.com             "/>
    <s v="E"/>
    <s v="E-ESENTE"/>
    <s v="  "/>
    <s v=""/>
    <s v=""/>
    <s v=""/>
    <s v=""/>
    <s v="                              "/>
    <s v=""/>
    <n v="58"/>
  </r>
  <r>
    <x v="4"/>
    <n v="417"/>
    <s v="IL SOLE 24 ORE SPA                      "/>
    <s v="K           "/>
    <s v="REDAZIONI GIORNALISTICHE"/>
    <s v="K03 "/>
    <x v="36"/>
    <s v="514300      "/>
    <s v="514300   REDAZIONE MILANO"/>
    <s v="SCOTT                           "/>
    <s v="ANTONELLA         "/>
    <s v="SCTNNL62A64F205Y"/>
    <x v="0"/>
    <s v="34"/>
    <x v="0"/>
    <s v="09/05/2022"/>
    <s v="MILANO                 "/>
    <s v="83"/>
    <x v="6"/>
    <s v="C"/>
    <x v="6"/>
    <s v="01 "/>
    <s v="COLLABORATORE                 "/>
    <s v="09/05/2022"/>
    <s v="09/05/2022"/>
    <s v="24/01/1962"/>
    <s v="A"/>
    <s v="A.IN FORZA"/>
    <s v="9  -ALTRE MOTIVAZIONI         9"/>
    <s v="31/05/2026"/>
    <s v=" "/>
    <s v=""/>
    <s v=""/>
    <n v="469"/>
    <s v="00"/>
    <n v="100"/>
    <s v="FULL TIME      100000000FF100-FULL TIME"/>
    <s v="09/05/2022"/>
    <s v=""/>
    <s v="  "/>
    <s v=""/>
    <s v="0   "/>
    <s v="    "/>
    <s v=""/>
    <s v=""/>
    <s v="ext.antonella.scott@ilsole24ore.com               "/>
    <s v="E"/>
    <s v="E-ESENTE"/>
    <s v="  "/>
    <s v=""/>
    <s v=""/>
    <s v=""/>
    <s v=""/>
    <s v="                              "/>
    <s v=""/>
    <n v="64"/>
  </r>
  <r>
    <x v="4"/>
    <n v="320"/>
    <s v="IL SOLE 24 ORE SPA                      "/>
    <s v="K           "/>
    <s v="REDAZIONI GIORNALISTICHE"/>
    <s v="K03 "/>
    <x v="36"/>
    <s v="514300      "/>
    <s v="514300   REDAZIONE MILANO"/>
    <s v="TORNO                           "/>
    <s v="ARMANDO           "/>
    <s v="TRNRND53R22F205P"/>
    <x v="1"/>
    <s v="34"/>
    <x v="0"/>
    <s v="01/04/2021"/>
    <s v="MILANO                 "/>
    <s v="83"/>
    <x v="6"/>
    <s v="C"/>
    <x v="6"/>
    <s v="01 "/>
    <s v="COLLABORATORE                 "/>
    <s v="05/05/2015"/>
    <s v="05/05/2015"/>
    <s v="22/10/1953"/>
    <s v="A"/>
    <s v="A.IN FORZA"/>
    <s v="9  -ALTRE MOTIVAZIONI         9"/>
    <s v=""/>
    <s v=" "/>
    <s v=""/>
    <s v=""/>
    <n v="373"/>
    <s v="00"/>
    <n v="100"/>
    <s v="FULL TIME      100000000FF100-FULL TIME"/>
    <s v=""/>
    <s v=""/>
    <s v="  "/>
    <s v=""/>
    <s v="0   "/>
    <s v="    "/>
    <s v=""/>
    <s v=""/>
    <s v="ext.armando.torno@ilsole24ore.com                 "/>
    <s v="E"/>
    <s v="E-ESENTE"/>
    <s v="  "/>
    <s v=""/>
    <s v=""/>
    <s v=""/>
    <s v=""/>
    <s v="                              "/>
    <s v=""/>
    <n v="72"/>
  </r>
  <r>
    <x v="4"/>
    <n v="314"/>
    <s v="IL SOLE 24 ORE SPA                      "/>
    <s v="K           "/>
    <s v="REDAZIONI GIORNALISTICHE"/>
    <s v="K03 "/>
    <x v="36"/>
    <s v="514700      "/>
    <s v="514700   REDAZIONE ROMA"/>
    <s v="PESOLE                          "/>
    <s v="AGOSTINO          "/>
    <s v="PSLGTN51L28H501N"/>
    <x v="1"/>
    <s v="31"/>
    <x v="1"/>
    <s v="01/11/2014"/>
    <s v="ROMA                   "/>
    <s v="83"/>
    <x v="6"/>
    <s v="C"/>
    <x v="6"/>
    <s v="01 "/>
    <s v="COLLABORATORE                 "/>
    <s v="01/11/2014"/>
    <s v="01/11/2014"/>
    <s v="28/07/1951"/>
    <s v="A"/>
    <s v="A.IN FORZA"/>
    <s v="9  -ALTRE MOTIVAZIONI         9"/>
    <s v=""/>
    <s v=" "/>
    <s v=""/>
    <s v=""/>
    <n v="367"/>
    <s v="00"/>
    <n v="100"/>
    <s v="FULL TIME      100000000FF100-FULL TIME"/>
    <s v="01/11/2014"/>
    <s v=""/>
    <s v="  "/>
    <s v=""/>
    <s v="0   "/>
    <s v="    "/>
    <s v=""/>
    <s v=""/>
    <s v="dino.pesole@ilsole24ore.com                       "/>
    <s v="E"/>
    <s v="E-ESENTE"/>
    <s v="  "/>
    <s v=""/>
    <s v=""/>
    <s v=""/>
    <s v=""/>
    <s v="                              "/>
    <s v=""/>
    <n v="74"/>
  </r>
  <r>
    <x v="4"/>
    <n v="418"/>
    <s v="IL SOLE 24 ORE SPA                      "/>
    <s v="K           "/>
    <s v="REDAZIONI GIORNALISTICHE"/>
    <s v="K03 "/>
    <x v="36"/>
    <s v="514700      "/>
    <s v="514700   REDAZIONE ROMA"/>
    <s v="PICCHIO                         "/>
    <s v="NICOLETTA         "/>
    <s v="PCCNLT58R61G478S"/>
    <x v="0"/>
    <s v="31"/>
    <x v="1"/>
    <s v="20/06/2022"/>
    <s v="ROMA                   "/>
    <s v="83"/>
    <x v="6"/>
    <s v="C"/>
    <x v="6"/>
    <s v="01 "/>
    <s v="COLLABORATORE                 "/>
    <s v="20/06/2022"/>
    <s v="20/06/2022"/>
    <s v="21/10/1958"/>
    <s v="A"/>
    <s v="A.IN FORZA"/>
    <s v="9  -ALTRE MOTIVAZIONI         9"/>
    <s v="31/05/2026"/>
    <s v=" "/>
    <s v=""/>
    <s v=""/>
    <n v="470"/>
    <s v="00"/>
    <n v="100"/>
    <s v="FULL TIME      100000000FF100-FULL TIME"/>
    <s v="20/06/2022"/>
    <s v=""/>
    <s v="  "/>
    <s v=""/>
    <s v="0   "/>
    <s v="    "/>
    <s v=""/>
    <s v=""/>
    <s v="np@nicolettapicchio.com                           "/>
    <s v="E"/>
    <s v="E-ESENTE"/>
    <s v="  "/>
    <s v=""/>
    <s v=""/>
    <s v=""/>
    <s v=""/>
    <s v="                              "/>
    <s v=""/>
    <n v="67"/>
  </r>
  <r>
    <x v="4"/>
    <n v="374"/>
    <s v="IL SOLE 24 ORE SPA                      "/>
    <s v="K           "/>
    <s v="REDAZIONI GIORNALISTICHE"/>
    <s v="K04 "/>
    <x v="37"/>
    <s v="Q17000      "/>
    <s v="Q17000   REDAZIONE GIORNALISTICA PROGRAM"/>
    <s v="BUSSOLA                         "/>
    <s v="MATTEO            "/>
    <s v="BSSMTT71S14F861P"/>
    <x v="1"/>
    <s v="34"/>
    <x v="0"/>
    <s v="01/04/2021"/>
    <s v="MILANO                 "/>
    <s v="83"/>
    <x v="6"/>
    <s v="S"/>
    <x v="7"/>
    <s v="01 "/>
    <s v="AUTONOMO                      "/>
    <s v="08/09/2019"/>
    <s v="03/11/2017"/>
    <s v="14/11/1971"/>
    <s v="A"/>
    <s v="A.IN FORZA"/>
    <s v="9  -ALTRE MOTIVAZIONI         9"/>
    <s v="26/07/2026"/>
    <s v=" "/>
    <s v=""/>
    <s v=""/>
    <n v="426"/>
    <s v="00"/>
    <n v="100"/>
    <s v="FULL TIME      100000000FF100-FULL TIME"/>
    <s v=""/>
    <s v=""/>
    <s v="  "/>
    <s v=""/>
    <s v="0   "/>
    <s v="    "/>
    <s v=""/>
    <s v=""/>
    <s v="ext.matteo.bussola@radio24.it                     "/>
    <s v="E"/>
    <s v="E-ESENTE"/>
    <s v="  "/>
    <s v=""/>
    <s v=""/>
    <s v=""/>
    <s v=""/>
    <s v="                              "/>
    <s v=""/>
    <n v="54"/>
  </r>
  <r>
    <x v="4"/>
    <n v="286"/>
    <s v="IL SOLE 24 ORE SPA                      "/>
    <s v="K           "/>
    <s v="REDAZIONI GIORNALISTICHE"/>
    <s v="K04 "/>
    <x v="37"/>
    <s v="Q17000      "/>
    <s v="Q17000   REDAZIONE GIORNALISTICA PROGRAM"/>
    <s v="CARBONE                         "/>
    <s v="NICOLETTA         "/>
    <s v="CRBNLT60H57L219U"/>
    <x v="0"/>
    <s v="34"/>
    <x v="0"/>
    <s v="01/04/2021"/>
    <s v="MILANO                 "/>
    <s v="83"/>
    <x v="6"/>
    <s v="C"/>
    <x v="6"/>
    <s v="01 "/>
    <s v="COLLABORATORE                 "/>
    <s v="01/01/2014"/>
    <s v="01/08/2006"/>
    <s v="17/06/1960"/>
    <s v="A"/>
    <s v="A.IN FORZA"/>
    <s v="9  -ALTRE MOTIVAZIONI         9"/>
    <s v="26/07/2026"/>
    <s v=" "/>
    <s v=""/>
    <s v=""/>
    <n v="339"/>
    <s v="00"/>
    <n v="100"/>
    <s v="FULL TIME      100000000FF100-FULL TIME"/>
    <s v=""/>
    <s v=""/>
    <s v="  "/>
    <s v=""/>
    <s v="0   "/>
    <s v="    "/>
    <s v=""/>
    <s v=""/>
    <s v="ext.nicoletta.carbone@radio24.it                  "/>
    <s v="E"/>
    <s v="E-ESENTE"/>
    <s v="  "/>
    <s v=""/>
    <s v=""/>
    <s v=""/>
    <s v=""/>
    <s v="                              "/>
    <s v=""/>
    <n v="65"/>
  </r>
  <r>
    <x v="4"/>
    <n v="228"/>
    <s v="IL SOLE 24 ORE SPA                      "/>
    <s v="K           "/>
    <s v="REDAZIONI GIORNALISTICHE"/>
    <s v="K04 "/>
    <x v="37"/>
    <s v="Q17000      "/>
    <s v="Q17000   REDAZIONE GIORNALISTICA PROGRAM"/>
    <s v="CARRUBBA                        "/>
    <s v="SALVATORE         "/>
    <s v="CRRSVT51E19C351G"/>
    <x v="1"/>
    <s v="66"/>
    <x v="10"/>
    <s v="01/01/2025"/>
    <s v="                       "/>
    <s v="83"/>
    <x v="6"/>
    <s v="C"/>
    <x v="6"/>
    <s v="01 "/>
    <s v="COLLABORATORE                 "/>
    <s v="01/01/2025"/>
    <s v="11/10/2010"/>
    <s v="19/05/1951"/>
    <s v="A"/>
    <s v="A.IN FORZA"/>
    <s v="9  -ALTRE MOTIVAZIONI         9"/>
    <s v="31/08/2026"/>
    <s v=" "/>
    <s v=""/>
    <s v=""/>
    <n v="281"/>
    <s v="00"/>
    <n v="100"/>
    <s v="FULL TIME      100000000FF100-FULL TIME"/>
    <s v="11/10/2010"/>
    <s v=""/>
    <s v="  "/>
    <s v=""/>
    <s v="0   "/>
    <s v="    "/>
    <s v=""/>
    <s v=""/>
    <s v="ext.salvatore.carrubba@ilsole24ore.com            "/>
    <s v="E"/>
    <s v="E-ESENTE"/>
    <s v="  "/>
    <s v=""/>
    <s v=""/>
    <s v=""/>
    <s v=""/>
    <s v="                              "/>
    <s v=""/>
    <n v="74"/>
  </r>
  <r>
    <x v="4"/>
    <n v="288"/>
    <s v="IL SOLE 24 ORE SPA                      "/>
    <s v="K           "/>
    <s v="REDAZIONI GIORNALISTICHE"/>
    <s v="K04 "/>
    <x v="37"/>
    <s v="Q17000      "/>
    <s v="Q17000   REDAZIONE GIORNALISTICA PROGRAM"/>
    <s v="NICOLETTI                       "/>
    <s v="GIANLUCA          "/>
    <s v="NCLGLC54M17G478C"/>
    <x v="1"/>
    <s v="31"/>
    <x v="1"/>
    <s v="01/06/2009"/>
    <s v="ROMA                   "/>
    <s v="83"/>
    <x v="6"/>
    <s v="C"/>
    <x v="6"/>
    <s v="01 "/>
    <s v="COLLABORATORE                 "/>
    <s v="01/01/2014"/>
    <s v="01/01/2006"/>
    <s v="17/08/1954"/>
    <s v="A"/>
    <s v="A.IN FORZA"/>
    <s v="1  -ASSUNZIONE                1"/>
    <s v="31/07/2026"/>
    <s v=" "/>
    <s v=""/>
    <s v=""/>
    <n v="341"/>
    <s v="00"/>
    <n v="100"/>
    <s v="FULL TIME      100000000FF100-FULL TIME"/>
    <s v="01/01/2006"/>
    <s v=""/>
    <s v="  "/>
    <s v=""/>
    <s v="0   "/>
    <s v="    "/>
    <s v=""/>
    <s v=""/>
    <s v="gianluca.nicoletti@radio24.it                     "/>
    <s v="E"/>
    <s v="E-ESENTE"/>
    <s v="  "/>
    <s v=""/>
    <s v=""/>
    <s v=""/>
    <s v=""/>
    <s v="                              "/>
    <s v=""/>
    <n v="71"/>
  </r>
  <r>
    <x v="4"/>
    <n v="443"/>
    <s v="IL SOLE 24 ORE SPA                      "/>
    <s v="K           "/>
    <s v="REDAZIONI GIORNALISTICHE"/>
    <s v="K04 "/>
    <x v="37"/>
    <s v="Q17000      "/>
    <s v="Q17000   REDAZIONE GIORNALISTICA PROGRAM"/>
    <s v="PELLEGATTI                      "/>
    <s v="CARLO             "/>
    <s v="PLLCRL50D11F205F"/>
    <x v="1"/>
    <s v="66"/>
    <x v="10"/>
    <s v="05/02/2025"/>
    <s v="                       "/>
    <s v="83"/>
    <x v="6"/>
    <s v="C"/>
    <x v="6"/>
    <s v="01 "/>
    <s v="COLLABORATORE                 "/>
    <s v="05/02/2025"/>
    <s v="05/02/2025"/>
    <s v="11/04/1950"/>
    <s v="A"/>
    <s v="A.IN FORZA"/>
    <s v="9  -ALTRE MOTIVAZIONI         9"/>
    <s v="26/07/2026"/>
    <s v=" "/>
    <s v=""/>
    <s v=""/>
    <n v="494"/>
    <s v="00"/>
    <n v="100"/>
    <s v="FULL TIME      100000000FF100-FULL TIME"/>
    <s v="05/02/2025"/>
    <s v=""/>
    <s v="  "/>
    <s v=""/>
    <s v="0   "/>
    <s v="    "/>
    <s v=""/>
    <s v=""/>
    <s v="ext.carlo.pellegatti@radio24.it                   "/>
    <s v="E"/>
    <s v="E-ESENTE"/>
    <s v="  "/>
    <s v=""/>
    <s v=""/>
    <s v=""/>
    <s v=""/>
    <s v="                              "/>
    <s v=""/>
    <n v="75"/>
  </r>
  <r>
    <x v="4"/>
    <n v="311"/>
    <s v="IL SOLE 24 ORE SPA                      "/>
    <s v="K           "/>
    <s v="REDAZIONI GIORNALISTICHE"/>
    <s v="K07 "/>
    <x v="52"/>
    <s v="518200      "/>
    <s v="518200   HOW TO SPEND IT"/>
    <s v="FERRARI                         "/>
    <s v="NICOLETTA         "/>
    <s v="FRRNLT61B66F205E"/>
    <x v="0"/>
    <s v="34"/>
    <x v="0"/>
    <s v="01/04/2021"/>
    <s v="MILANO                 "/>
    <s v="83"/>
    <x v="6"/>
    <s v="C"/>
    <x v="6"/>
    <s v="01 "/>
    <s v="COLLABORATORE                 "/>
    <s v="03/01/2022"/>
    <s v="19/08/2014"/>
    <s v="26/02/1961"/>
    <s v="A"/>
    <s v="A.IN FORZA"/>
    <s v="9  -ALTRE MOTIVAZIONI         9"/>
    <s v="31/12/2026"/>
    <s v=" "/>
    <s v=""/>
    <s v=""/>
    <n v="364"/>
    <s v="00"/>
    <n v="100"/>
    <s v="FULL TIME      100000000FF100-FULL TIME"/>
    <s v=""/>
    <s v=""/>
    <s v="  "/>
    <s v=""/>
    <s v="0   "/>
    <s v="    "/>
    <s v=""/>
    <s v=""/>
    <s v="ext.nicoletta.ferrari@ilsole24ore.com             "/>
    <s v="E"/>
    <s v="E-ESENTE"/>
    <s v="  "/>
    <s v=""/>
    <s v=""/>
    <s v=""/>
    <s v=""/>
    <s v="                              "/>
    <s v=""/>
    <n v="64"/>
  </r>
  <r>
    <x v="4"/>
    <n v="371"/>
    <s v="IL SOLE 24 ORE SPA                      "/>
    <s v="K           "/>
    <s v="REDAZIONI GIORNALISTICHE"/>
    <s v="K09 "/>
    <x v="39"/>
    <s v="515010      "/>
    <s v="515010   RCO+ FINANZA E MERCATI MI"/>
    <s v="LICINI                          "/>
    <s v="GIULIANA          "/>
    <s v="LCNGLN57D41D530W"/>
    <x v="0"/>
    <s v="34"/>
    <x v="0"/>
    <s v="01/04/2021"/>
    <s v="MILANO                 "/>
    <s v="83"/>
    <x v="6"/>
    <s v="C"/>
    <x v="6"/>
    <s v="01 "/>
    <s v="COLLABORATORE                 "/>
    <s v="09/10/2017"/>
    <s v="09/10/2017"/>
    <s v="01/04/1957"/>
    <s v="A"/>
    <s v="A.IN FORZA"/>
    <s v="9  -ALTRE MOTIVAZIONI         9"/>
    <s v=""/>
    <s v=" "/>
    <s v=""/>
    <s v=""/>
    <n v="423"/>
    <s v="00"/>
    <n v="100"/>
    <s v="FULL TIME      100000000FF100-FULL TIME"/>
    <s v="09/10/2017"/>
    <s v=""/>
    <s v="  "/>
    <s v=""/>
    <s v="0   "/>
    <s v="    "/>
    <s v=""/>
    <s v=""/>
    <s v="ext.giuliana.licini@ilsole24ore.com               "/>
    <s v="E"/>
    <s v="E-ESENTE"/>
    <s v="  "/>
    <s v=""/>
    <s v=""/>
    <s v=""/>
    <s v=""/>
    <s v="                              "/>
    <s v=""/>
    <n v="68"/>
  </r>
  <r>
    <x v="4"/>
    <n v="426"/>
    <s v="IL SOLE 24 ORE SPA                      "/>
    <s v="K           "/>
    <s v="REDAZIONI GIORNALISTICHE"/>
    <s v="K09 "/>
    <x v="39"/>
    <s v="515010      "/>
    <s v="515010   RCO+ FINANZA E MERCATI MI"/>
    <s v="MADEDDU                         "/>
    <s v="DAVIDE            "/>
    <s v="MDDDVD71S07E281E"/>
    <x v="1"/>
    <s v="66"/>
    <x v="10"/>
    <s v="01/11/2022"/>
    <s v="                       "/>
    <s v="83"/>
    <x v="6"/>
    <s v="C"/>
    <x v="6"/>
    <s v="01 "/>
    <s v="COLLABORATORE                 "/>
    <s v="01/11/2022"/>
    <s v="01/11/2022"/>
    <s v="07/11/1971"/>
    <s v="A"/>
    <s v="A.IN FORZA"/>
    <s v="9  -ALTRE MOTIVAZIONI         9"/>
    <s v=""/>
    <s v=" "/>
    <s v=""/>
    <s v=""/>
    <n v="478"/>
    <s v="00"/>
    <n v="100"/>
    <s v="FULL TIME      100000000FF100-FULL TIME"/>
    <s v="01/11/2022"/>
    <s v=""/>
    <s v="  "/>
    <s v=""/>
    <s v="0   "/>
    <s v="    "/>
    <s v=""/>
    <s v=""/>
    <s v="ext.davide.madeddu@ilsole24ore.com                "/>
    <s v="E"/>
    <s v="E-ESENTE"/>
    <s v="  "/>
    <s v=""/>
    <s v=""/>
    <s v=""/>
    <s v=""/>
    <s v="                              "/>
    <s v=""/>
    <n v="54"/>
  </r>
  <r>
    <x v="5"/>
    <n v="16"/>
    <s v="COLLABORATORI 24ORE CULTURA             "/>
    <s v="W           "/>
    <s v="24 ORE CULTURA"/>
    <s v="W01 "/>
    <x v="49"/>
    <s v="W1952010    "/>
    <s v="W1952010 MOSTRE"/>
    <s v="SERAFINI                        "/>
    <s v="SANDRA            "/>
    <s v="SRFSDR79B65C745J"/>
    <x v="0"/>
    <s v="66"/>
    <x v="11"/>
    <s v="02/01/2023"/>
    <s v="                       "/>
    <s v="83"/>
    <x v="6"/>
    <s v="C"/>
    <x v="6"/>
    <s v="01 "/>
    <s v="COLLABORATORE                 "/>
    <s v="02/01/2023"/>
    <s v="02/01/2023"/>
    <s v="25/02/1979"/>
    <s v="A"/>
    <s v="A.IN FORZA"/>
    <s v="9  -ALTRE MOTIVAZIONI         9"/>
    <s v=""/>
    <s v=" "/>
    <s v=""/>
    <s v=""/>
    <n v="16"/>
    <s v="00"/>
    <n v="100"/>
    <s v="FULL TIME      100000000FF100-FULL TIME"/>
    <s v="02/01/2023"/>
    <s v=""/>
    <s v="  "/>
    <s v=""/>
    <s v="    "/>
    <s v="    "/>
    <s v=""/>
    <s v=""/>
    <s v="ext.sandra.serafini@24orecultura.com              "/>
    <s v=" "/>
    <s v=""/>
    <s v="  "/>
    <s v=""/>
    <s v=""/>
    <s v=""/>
    <s v=""/>
    <s v="                              "/>
    <s v=""/>
    <n v="46"/>
  </r>
  <r>
    <x v="6"/>
    <n v="82"/>
    <s v="IL SOLE 24 ORE SPA                      "/>
    <s v="B           "/>
    <s v="DG M&amp;B - DG RADIO 24"/>
    <s v="B05 "/>
    <x v="4"/>
    <s v="Q14000      "/>
    <s v="Q14000   SERVIZI RADIOFONICI"/>
    <s v="LONGOBARDO                      "/>
    <s v="ROSA              "/>
    <s v="LNGRSO80E55F205O"/>
    <x v="0"/>
    <s v="34"/>
    <x v="0"/>
    <s v="01/04/2021"/>
    <s v="MILANO                 "/>
    <s v="82"/>
    <x v="7"/>
    <s v="Z"/>
    <x v="8"/>
    <s v="INT"/>
    <s v="INTERINALE                    "/>
    <s v="01/10/2019"/>
    <s v="01/01/2019"/>
    <s v="15/05/1980"/>
    <s v="A"/>
    <s v="A.IN FORZA"/>
    <s v="1  -ASSUNZIONE                1"/>
    <s v=""/>
    <s v=" "/>
    <s v=""/>
    <s v=""/>
    <n v="82"/>
    <s v="00"/>
    <n v="100"/>
    <s v="FULL TIME      100000000FF100-FULL TIME"/>
    <s v=""/>
    <s v=""/>
    <s v="  "/>
    <s v=""/>
    <s v="0   "/>
    <s v="    "/>
    <s v=""/>
    <s v=""/>
    <s v="                                                  "/>
    <s v="E"/>
    <s v="E-ESENTE"/>
    <s v="  "/>
    <s v=""/>
    <s v=""/>
    <s v=""/>
    <s v=""/>
    <s v="                              "/>
    <s v=""/>
    <n v="45"/>
  </r>
  <r>
    <x v="6"/>
    <n v="94"/>
    <s v="IL SOLE 24 ORE SPA                      "/>
    <s v="B           "/>
    <s v="DG M&amp;B - DG RADIO 24"/>
    <s v="B05 "/>
    <x v="4"/>
    <s v="Q14000      "/>
    <s v="Q14000   SERVIZI RADIOFONICI"/>
    <s v="MOROSATO                        "/>
    <s v="SAMANTHA          "/>
    <s v="MRSSNT81R58F205X"/>
    <x v="0"/>
    <s v="34"/>
    <x v="0"/>
    <s v="20/09/2021"/>
    <s v="MILANO                 "/>
    <s v="82"/>
    <x v="7"/>
    <s v="Z"/>
    <x v="8"/>
    <s v="INT"/>
    <s v="INTERINALE                    "/>
    <s v="20/09/2021"/>
    <s v="20/09/2021"/>
    <s v="18/10/1981"/>
    <s v="A"/>
    <s v="A.IN FORZA"/>
    <s v="1  -ASSUNZIONE                1"/>
    <s v=""/>
    <s v=" "/>
    <s v=""/>
    <s v=""/>
    <n v="94"/>
    <s v="00"/>
    <n v="100"/>
    <s v="FULL TIME      100000000FF100-FULL TIME"/>
    <s v="20/09/2021"/>
    <s v=""/>
    <s v="  "/>
    <s v=""/>
    <s v="    "/>
    <s v="    "/>
    <s v=""/>
    <s v=""/>
    <s v="ext.samantha.morosato@radio24.it                  "/>
    <s v=" "/>
    <s v=""/>
    <s v="  "/>
    <s v=""/>
    <s v=""/>
    <s v=""/>
    <s v=""/>
    <s v="                              "/>
    <s v=""/>
    <n v="44"/>
  </r>
  <r>
    <x v="6"/>
    <n v="83"/>
    <s v="IL SOLE 24 ORE SPA                      "/>
    <s v="B           "/>
    <s v="DG M&amp;B - DG RADIO 24"/>
    <s v="B05 "/>
    <x v="4"/>
    <s v="Q14000      "/>
    <s v="Q14000   SERVIZI RADIOFONICI"/>
    <s v="SANTINI                         "/>
    <s v="MICOL             "/>
    <s v="SNTMCL82M42D548Y"/>
    <x v="0"/>
    <s v="34"/>
    <x v="0"/>
    <s v="01/04/2021"/>
    <s v="MILANO                 "/>
    <s v="82"/>
    <x v="7"/>
    <s v="Z"/>
    <x v="8"/>
    <s v="INT"/>
    <s v="INTERINALE                    "/>
    <s v="01/10/2019"/>
    <s v="01/01/2019"/>
    <s v="02/08/1982"/>
    <s v="A"/>
    <s v="A.IN FORZA"/>
    <s v="1  -ASSUNZIONE                1"/>
    <s v=""/>
    <s v=" "/>
    <s v=""/>
    <s v=""/>
    <n v="83"/>
    <s v="00"/>
    <n v="100"/>
    <s v="FULL TIME      100000000FF100-FULL TIME"/>
    <s v=""/>
    <s v=""/>
    <s v="  "/>
    <s v=""/>
    <s v="0   "/>
    <s v="    "/>
    <s v=""/>
    <s v=""/>
    <s v="ext.micol.santini@radio24.it                      "/>
    <s v="E"/>
    <s v="E-ESENTE"/>
    <s v="  "/>
    <s v=""/>
    <s v=""/>
    <s v=""/>
    <s v=""/>
    <s v="                              "/>
    <s v=""/>
    <n v="43"/>
  </r>
  <r>
    <x v="6"/>
    <n v="103"/>
    <s v="IL SOLE 24 ORE SPA                      "/>
    <s v="F           "/>
    <s v="DIR CENTRALE PERSONALE, ORGANIZZA E SOST"/>
    <s v="F11 "/>
    <x v="21"/>
    <s v="514800      "/>
    <s v="514800   STRUTTURA MEDIA FACTORY ENEL"/>
    <s v="DI BONA                         "/>
    <s v="CRISTINA          "/>
    <s v="DBNCST88L46A486N"/>
    <x v="0"/>
    <s v="36"/>
    <x v="2"/>
    <s v="07/04/2025"/>
    <s v="ROMA                   "/>
    <s v="82"/>
    <x v="7"/>
    <s v="Z"/>
    <x v="8"/>
    <s v="INT"/>
    <s v="INTERINALE                    "/>
    <s v="07/04/2025"/>
    <s v="07/04/2025"/>
    <s v="06/07/1988"/>
    <s v="A"/>
    <s v="A.IN FORZA"/>
    <s v="1C-ASSUNZIONE CONTR. A TERMINE1"/>
    <s v=""/>
    <s v=" "/>
    <s v=""/>
    <s v=""/>
    <n v="103"/>
    <s v="00"/>
    <n v="100"/>
    <s v="FULL TIME      100000000FF100-FULL TIME"/>
    <s v="07/04/2025"/>
    <s v=""/>
    <s v="  "/>
    <s v=""/>
    <s v="0   "/>
    <s v="    "/>
    <s v=""/>
    <s v=""/>
    <s v="                                                  "/>
    <s v=" "/>
    <s v=""/>
    <s v="  "/>
    <s v=""/>
    <s v=""/>
    <s v=""/>
    <s v=""/>
    <s v="                              "/>
    <s v=""/>
    <n v="37"/>
  </r>
  <r>
    <x v="6"/>
    <n v="86"/>
    <s v="IL SOLE 24 ORE SPA                      "/>
    <s v="F           "/>
    <s v="DIR CENTRALE PERSONALE, ORGANIZZA E SOST"/>
    <s v="F11 "/>
    <x v="21"/>
    <s v="514800      "/>
    <s v="514800   STRUTTURA MEDIA FACTORY ENEL"/>
    <s v="FIORITO                         "/>
    <s v="ALESSIO           "/>
    <s v="FRTLSS88H14F205G"/>
    <x v="1"/>
    <s v="36"/>
    <x v="2"/>
    <s v="09/12/2024"/>
    <s v="ROMA                   "/>
    <s v="82"/>
    <x v="7"/>
    <s v="Z"/>
    <x v="8"/>
    <s v="INT"/>
    <s v="INTERINALE                    "/>
    <s v="26/07/2019"/>
    <s v="26/07/2019"/>
    <s v="14/06/1988"/>
    <s v="A"/>
    <s v="A.IN FORZA"/>
    <s v="1  -ASSUNZIONE                1"/>
    <s v=""/>
    <s v=" "/>
    <s v=""/>
    <s v=""/>
    <n v="86"/>
    <s v="00"/>
    <n v="100"/>
    <s v="FULL TIME      100000000FF100-FULL TIME"/>
    <s v=""/>
    <s v=""/>
    <s v="  "/>
    <s v=""/>
    <s v="0   "/>
    <s v="    "/>
    <s v=""/>
    <s v=""/>
    <s v="                                                  "/>
    <s v="E"/>
    <s v="E-ESENTE"/>
    <s v="  "/>
    <s v=""/>
    <s v=""/>
    <s v=""/>
    <s v=""/>
    <s v="                              "/>
    <s v=""/>
    <n v="37"/>
  </r>
  <r>
    <x v="6"/>
    <n v="106"/>
    <s v="IL SOLE 24 ORE SPA                      "/>
    <s v="F           "/>
    <s v="DIR CENTRALE PERSONALE, ORGANIZZA E SOST"/>
    <s v="F11 "/>
    <x v="21"/>
    <s v="514800      "/>
    <s v="514800   STRUTTURA MEDIA FACTORY ENEL"/>
    <s v="GRAZIANI                        "/>
    <s v="MARIA RITA        "/>
    <s v="GRZMRT84C55A345I"/>
    <x v="0"/>
    <s v="36"/>
    <x v="2"/>
    <s v="01/11/2025"/>
    <s v="ROMA                   "/>
    <s v="82"/>
    <x v="7"/>
    <s v="Z"/>
    <x v="8"/>
    <s v="INT"/>
    <s v="INTERINALE                    "/>
    <s v="07/10/2025"/>
    <s v="07/10/2025"/>
    <s v="15/03/1984"/>
    <s v="A"/>
    <s v="A.IN FORZA"/>
    <s v="1C-ASSUNZIONE CONTR. A TERMINE1"/>
    <s v=""/>
    <s v=" "/>
    <s v=""/>
    <s v=""/>
    <n v="0"/>
    <s v="00"/>
    <n v="100"/>
    <s v="FULL TIME      100000000FF100-FULL TIME"/>
    <s v="01/11/2025"/>
    <s v=""/>
    <s v="  "/>
    <s v=""/>
    <s v="    "/>
    <s v="    "/>
    <s v=""/>
    <s v=""/>
    <s v="                                                  "/>
    <s v=" "/>
    <s v=""/>
    <s v="  "/>
    <s v=""/>
    <s v=""/>
    <s v=""/>
    <s v=""/>
    <s v="                              "/>
    <s v=""/>
    <n v="41"/>
  </r>
  <r>
    <x v="6"/>
    <n v="98"/>
    <s v="IL SOLE 24 ORE SPA                      "/>
    <s v="F           "/>
    <s v="DIR CENTRALE PERSONALE, ORGANIZZA E SOST"/>
    <s v="F11 "/>
    <x v="21"/>
    <s v="514800      "/>
    <s v="514800   STRUTTURA MEDIA FACTORY ENEL"/>
    <s v="LEONE                           "/>
    <s v="ALESSANDRO        "/>
    <s v="LNELSN93H01L113S"/>
    <x v="1"/>
    <s v="36"/>
    <x v="2"/>
    <s v="09/12/2024"/>
    <s v="ROMA                   "/>
    <s v="82"/>
    <x v="7"/>
    <s v="Z"/>
    <x v="8"/>
    <s v="INT"/>
    <s v="INTERINALE                    "/>
    <s v="01/03/2023"/>
    <s v="01/03/2023"/>
    <s v="01/06/1993"/>
    <s v="A"/>
    <s v="A.IN FORZA"/>
    <s v="1  -ASSUNZIONE                1"/>
    <s v=""/>
    <s v=" "/>
    <s v=""/>
    <s v=""/>
    <n v="98"/>
    <s v="00"/>
    <n v="100"/>
    <s v="FULL TIME      100000000FF100-FULL TIME"/>
    <s v="01/03/2023"/>
    <s v=""/>
    <s v="  "/>
    <s v=""/>
    <s v="    "/>
    <s v="    "/>
    <s v=""/>
    <s v=""/>
    <s v="                                                  "/>
    <s v=" "/>
    <s v=""/>
    <s v="  "/>
    <s v=""/>
    <s v=""/>
    <s v=""/>
    <s v=""/>
    <s v="                              "/>
    <s v=""/>
    <n v="32"/>
  </r>
  <r>
    <x v="6"/>
    <n v="96"/>
    <s v="IL SOLE 24 ORE SPA                      "/>
    <s v="F           "/>
    <s v="DIR CENTRALE PERSONALE, ORGANIZZA E SOST"/>
    <s v="F11 "/>
    <x v="21"/>
    <s v="514800      "/>
    <s v="514800   STRUTTURA MEDIA FACTORY ENEL"/>
    <s v="MALTAGLIATI                     "/>
    <s v="DIANA             "/>
    <s v="MLTDNI88E62E514S"/>
    <x v="0"/>
    <s v="36"/>
    <x v="2"/>
    <s v="09/12/2024"/>
    <s v="ROMA                   "/>
    <s v="82"/>
    <x v="7"/>
    <s v="Z"/>
    <x v="8"/>
    <s v="INT"/>
    <s v="INTERINALE                    "/>
    <s v="17/12/2022"/>
    <s v="17/12/2022"/>
    <s v="22/05/1988"/>
    <s v="A"/>
    <s v="A.IN FORZA"/>
    <s v="1  -ASSUNZIONE                1"/>
    <s v=""/>
    <s v=" "/>
    <s v=""/>
    <s v=""/>
    <n v="96"/>
    <s v="00"/>
    <n v="100"/>
    <s v="FULL TIME      100000000FF100-FULL TIME"/>
    <s v="17/12/2022"/>
    <s v=""/>
    <s v="  "/>
    <s v=""/>
    <s v="    "/>
    <s v="    "/>
    <s v=""/>
    <s v=""/>
    <s v="                                                  "/>
    <s v=" "/>
    <s v=""/>
    <s v="  "/>
    <s v=""/>
    <s v=""/>
    <s v=""/>
    <s v=""/>
    <s v="                              "/>
    <s v=""/>
    <n v="37"/>
  </r>
  <r>
    <x v="6"/>
    <n v="105"/>
    <s v="IL SOLE 24 ORE SPA                      "/>
    <s v="F           "/>
    <s v="DIR CENTRALE PERSONALE, ORGANIZZA E SOST"/>
    <s v="F11 "/>
    <x v="21"/>
    <s v="514800      "/>
    <s v="514800   STRUTTURA MEDIA FACTORY ENEL"/>
    <s v="NATALI                          "/>
    <s v="ELISA NANCY       "/>
    <s v="NTLLNN81S55Z700Y"/>
    <x v="0"/>
    <s v="36"/>
    <x v="2"/>
    <s v="01/11/2025"/>
    <s v="ROMA                   "/>
    <s v="82"/>
    <x v="7"/>
    <s v="Z"/>
    <x v="8"/>
    <s v="INT"/>
    <s v="INTERINALE                    "/>
    <s v="26/06/2025"/>
    <s v="26/06/2025"/>
    <s v="15/11/1981"/>
    <s v="A"/>
    <s v="A.IN FORZA"/>
    <s v="1C-ASSUNZIONE CONTR. A TERMINE1"/>
    <s v=""/>
    <s v=" "/>
    <s v=""/>
    <s v=""/>
    <n v="105"/>
    <s v="00"/>
    <n v="100"/>
    <s v="FULL TIME      100000000FF100-FULL TIME"/>
    <s v="26/06/2025"/>
    <s v=""/>
    <s v="  "/>
    <s v=""/>
    <s v="0   "/>
    <s v="    "/>
    <s v=""/>
    <s v=""/>
    <s v="                                                  "/>
    <s v=" "/>
    <s v=""/>
    <s v="  "/>
    <s v=""/>
    <s v=""/>
    <s v=""/>
    <s v=""/>
    <s v="                              "/>
    <s v=""/>
    <n v="44"/>
  </r>
  <r>
    <x v="6"/>
    <n v="95"/>
    <s v="IL SOLE 24 ORE SPA                      "/>
    <s v="F           "/>
    <s v="DIR CENTRALE PERSONALE, ORGANIZZA E SOST"/>
    <s v="F11 "/>
    <x v="21"/>
    <s v="514800      "/>
    <s v="514800   STRUTTURA MEDIA FACTORY ENEL"/>
    <s v="ORSINI                          "/>
    <s v="CAMILLA           "/>
    <s v="RSNCLL91S55D786C"/>
    <x v="0"/>
    <s v="36"/>
    <x v="2"/>
    <s v="09/12/2024"/>
    <s v="ROMA                   "/>
    <s v="82"/>
    <x v="7"/>
    <s v="Z"/>
    <x v="8"/>
    <s v="INT"/>
    <s v="INTERINALE                    "/>
    <s v="07/03/2022"/>
    <s v="07/03/2022"/>
    <s v="15/11/1991"/>
    <s v="A"/>
    <s v="A.IN FORZA"/>
    <s v="1  -ASSUNZIONE                1"/>
    <s v=""/>
    <s v=" "/>
    <s v=""/>
    <s v=""/>
    <n v="95"/>
    <s v="00"/>
    <n v="100"/>
    <s v="FULL TIME      100000000FF100-FULL TIME"/>
    <s v="07/03/2022"/>
    <s v=""/>
    <s v="  "/>
    <s v=""/>
    <s v="    "/>
    <s v="    "/>
    <s v=""/>
    <s v=""/>
    <s v="                                                  "/>
    <s v=" "/>
    <s v=""/>
    <s v="  "/>
    <s v=""/>
    <s v=""/>
    <s v=""/>
    <s v=""/>
    <s v="                              "/>
    <s v=""/>
    <n v="34"/>
  </r>
  <r>
    <x v="6"/>
    <n v="104"/>
    <s v="IL SOLE 24 ORE SPA                      "/>
    <s v="F           "/>
    <s v="DIR CENTRALE PERSONALE, ORGANIZZA E SOST"/>
    <s v="F11 "/>
    <x v="21"/>
    <s v="514800      "/>
    <s v="514800   STRUTTURA MEDIA FACTORY ENEL"/>
    <s v="PISELLI                         "/>
    <s v="CHIARA            "/>
    <s v="PSLCHR87A66D761F"/>
    <x v="0"/>
    <s v="36"/>
    <x v="2"/>
    <s v="02/01/2025"/>
    <s v="ROMA                   "/>
    <s v="82"/>
    <x v="7"/>
    <s v="Z"/>
    <x v="8"/>
    <s v="INT"/>
    <s v="INTERINALE                    "/>
    <s v="02/01/2025"/>
    <s v="02/01/2025"/>
    <s v="26/01/1987"/>
    <s v="A"/>
    <s v="A.IN FORZA"/>
    <s v="1C-ASSUNZIONE CONTR. A TERMINE1"/>
    <s v=""/>
    <s v=" "/>
    <s v=""/>
    <s v=""/>
    <n v="104"/>
    <s v="00"/>
    <n v="100"/>
    <s v="FULL TIME      100000000FF100-FULL TIME"/>
    <s v="02/01/2025"/>
    <s v=""/>
    <s v="  "/>
    <s v=""/>
    <s v="0   "/>
    <s v="    "/>
    <s v=""/>
    <s v=""/>
    <s v="                                                  "/>
    <s v=" "/>
    <s v=""/>
    <s v="  "/>
    <s v=""/>
    <s v=""/>
    <s v=""/>
    <s v=""/>
    <s v="                              "/>
    <s v=""/>
    <n v="39"/>
  </r>
  <r>
    <x v="7"/>
    <m/>
    <m/>
    <m/>
    <m/>
    <m/>
    <x v="53"/>
    <m/>
    <m/>
    <m/>
    <m/>
    <m/>
    <x v="2"/>
    <m/>
    <x v="12"/>
    <m/>
    <m/>
    <m/>
    <x v="8"/>
    <m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53"/>
    <m/>
    <m/>
    <m/>
    <m/>
    <m/>
    <x v="2"/>
    <m/>
    <x v="12"/>
    <m/>
    <m/>
    <m/>
    <x v="8"/>
    <m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53"/>
    <m/>
    <m/>
    <m/>
    <m/>
    <m/>
    <x v="2"/>
    <m/>
    <x v="12"/>
    <m/>
    <m/>
    <m/>
    <x v="8"/>
    <m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874F2C-F07E-4DDB-B1EA-350673CDE021}" name="Tabella_pivot17" cacheId="0" dataOnRows="1" applyNumberFormats="0" applyBorderFormats="0" applyFontFormats="0" applyPatternFormats="0" applyAlignmentFormats="0" applyWidthHeightFormats="1" dataCaption="Dati" updatedVersion="8" minRefreshableVersion="3" showMemberPropertyTips="0" useAutoFormatting="1" itemPrintTitles="1" createdVersion="8" indent="0" compact="0" compactData="0" gridDropZones="1">
  <location ref="A5:M30" firstHeaderRow="1" firstDataRow="2" firstDataCol="1" rowPageCount="3" colPageCount="1"/>
  <pivotFields count="57">
    <pivotField axis="axisPage" compact="0" numFmtId="166" outline="0" subtotalTop="0" multipleItemSelectionAllowed="1" showAll="0" includeNewItemsInFilter="1">
      <items count="9">
        <item x="0"/>
        <item x="1"/>
        <item h="1" x="4"/>
        <item x="2"/>
        <item h="1" x="3"/>
        <item h="1" x="5"/>
        <item h="1" x="6"/>
        <item h="1" x="7"/>
        <item t="default"/>
      </items>
    </pivotField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59">
        <item h="1" x="0"/>
        <item h="1" x="1"/>
        <item h="1" x="2"/>
        <item h="1" x="6"/>
        <item h="1" x="13"/>
        <item h="1" x="14"/>
        <item h="1" x="17"/>
        <item h="1" x="18"/>
        <item h="1" x="20"/>
        <item h="1" x="21"/>
        <item h="1" x="22"/>
        <item h="1" x="23"/>
        <item h="1" x="25"/>
        <item h="1" x="26"/>
        <item h="1" x="28"/>
        <item h="1" x="29"/>
        <item h="1" x="30"/>
        <item h="1" x="31"/>
        <item h="1" x="32"/>
        <item h="1" x="33"/>
        <item x="37"/>
        <item h="1" x="38"/>
        <item h="1" x="39"/>
        <item h="1" x="40"/>
        <item h="1" x="42"/>
        <item h="1" x="44"/>
        <item h="1" x="45"/>
        <item h="1" x="46"/>
        <item h="1" x="49"/>
        <item h="1" x="50"/>
        <item h="1" x="53"/>
        <item h="1" x="51"/>
        <item h="1" x="7"/>
        <item h="1" x="16"/>
        <item h="1" x="47"/>
        <item h="1" x="3"/>
        <item h="1" x="4"/>
        <item h="1" x="24"/>
        <item h="1" x="36"/>
        <item h="1" x="34"/>
        <item h="1" x="56"/>
        <item h="1" x="15"/>
        <item h="1" x="19"/>
        <item h="1" x="5"/>
        <item h="1" x="8"/>
        <item h="1" x="9"/>
        <item h="1" x="10"/>
        <item h="1" x="11"/>
        <item h="1" x="35"/>
        <item h="1" x="43"/>
        <item h="1" x="48"/>
        <item h="1" x="41"/>
        <item h="1" x="54"/>
        <item h="1" x="55"/>
        <item h="1" x="57"/>
        <item h="1" x="12"/>
        <item h="1" x="27"/>
        <item h="1" x="5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axis="axisPage" compact="0" outline="0" subtotalTop="0" showAll="0" includeNewItemsInFilter="1">
      <items count="10">
        <item h="1" x="2"/>
        <item h="1" x="8"/>
        <item x="0"/>
        <item x="1"/>
        <item x="3"/>
        <item x="4"/>
        <item x="5"/>
        <item x="6"/>
        <item x="7"/>
        <item t="default"/>
      </items>
    </pivotField>
    <pivotField compact="0" outline="0" subtotalTop="0" showAll="0" includeNewItemsInFilter="1"/>
    <pivotField compact="0" outline="0" subtotalTop="0" showAll="0" defaultSubtotal="0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7">
        <item x="6"/>
        <item x="5"/>
        <item x="3"/>
        <item x="4"/>
        <item x="2"/>
        <item x="12"/>
        <item x="13"/>
        <item x="14"/>
        <item x="20"/>
        <item x="0"/>
        <item x="7"/>
        <item x="19"/>
        <item x="10"/>
        <item x="11"/>
        <item x="17"/>
        <item x="9"/>
        <item x="30"/>
        <item x="32"/>
        <item x="24"/>
        <item x="23"/>
        <item x="18"/>
        <item x="22"/>
        <item x="1"/>
        <item x="8"/>
        <item x="25"/>
        <item x="21"/>
        <item x="26"/>
        <item x="33"/>
        <item x="31"/>
        <item x="34"/>
        <item x="27"/>
        <item x="15"/>
        <item x="16"/>
        <item x="35"/>
        <item x="28"/>
        <item x="29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5">
        <item x="6"/>
        <item x="8"/>
        <item x="17"/>
        <item x="20"/>
        <item x="19"/>
        <item x="2"/>
        <item x="10"/>
        <item x="15"/>
        <item x="5"/>
        <item x="7"/>
        <item x="11"/>
        <item x="12"/>
        <item x="18"/>
        <item x="14"/>
        <item x="21"/>
        <item x="22"/>
        <item x="16"/>
        <item x="13"/>
        <item x="9"/>
        <item x="4"/>
        <item x="3"/>
        <item x="1"/>
        <item x="23"/>
        <item x="0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43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3"/>
    </i>
    <i t="grand">
      <x/>
    </i>
  </rowItems>
  <colFields count="1">
    <field x="22"/>
  </colFields>
  <colItems count="12">
    <i>
      <x v="8"/>
    </i>
    <i>
      <x v="11"/>
    </i>
    <i>
      <x v="18"/>
    </i>
    <i>
      <x v="19"/>
    </i>
    <i>
      <x v="20"/>
    </i>
    <i>
      <x v="21"/>
    </i>
    <i>
      <x v="24"/>
    </i>
    <i>
      <x v="25"/>
    </i>
    <i>
      <x v="26"/>
    </i>
    <i>
      <x v="30"/>
    </i>
    <i>
      <x v="34"/>
    </i>
    <i t="grand">
      <x/>
    </i>
  </colItems>
  <pageFields count="3">
    <pageField fld="0" hier="0"/>
    <pageField fld="17" hier="0"/>
    <pageField fld="5" item="20" hier="0"/>
  </pageFields>
  <dataFields count="1">
    <dataField name="Conteggio di Codice Fiscale" fld="11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A9C00-2916-4BD3-BFD9-A23507C7B96F}" name="Tabella_pivot1" cacheId="0" dataOnRows="1" applyNumberFormats="0" applyBorderFormats="0" applyFontFormats="0" applyPatternFormats="0" applyAlignmentFormats="0" applyWidthHeightFormats="1" dataCaption="Dati" updatedVersion="8" showMemberPropertyTips="0" useAutoFormatting="1" itemPrintTitles="1" createdVersion="1" indent="0" compact="0" compactData="0" gridDropZones="1">
  <location ref="A4:G15" firstHeaderRow="1" firstDataRow="2" firstDataCol="1" rowPageCount="2" colPageCount="1"/>
  <pivotFields count="57">
    <pivotField name="Il Sole 24 Ore S.p.A." axis="axisPage" compact="0" numFmtId="166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numFmtId="166" outline="0" subtotalTop="0" showAll="0" includeNewItemsInFilter="1"/>
    <pivotField axis="axisPage" compact="0" outline="0" subtotalTop="0" showAll="0" includeNewItemsInFilter="1">
      <items count="8">
        <item x="0"/>
        <item h="1" x="1"/>
        <item h="1" x="2"/>
        <item h="1" x="3"/>
        <item h="1" x="4"/>
        <item h="1" x="5"/>
        <item h="1" x="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14">
        <item x="1"/>
        <item x="4"/>
        <item x="3"/>
        <item x="5"/>
        <item x="0"/>
        <item x="8"/>
        <item x="7"/>
        <item x="2"/>
        <item x="6"/>
        <item x="9"/>
        <item x="10"/>
        <item x="11"/>
        <item x="12"/>
        <item t="default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11">
        <item x="1"/>
        <item x="3"/>
        <item x="0"/>
        <item x="2"/>
        <item h="1" x="5"/>
        <item h="1" x="6"/>
        <item h="1" x="7"/>
        <item h="1" x="8"/>
        <item h="1" x="9"/>
        <item x="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numFmtId="166" outline="0" subtotalTop="0" showAll="0" includeNewItemsInFilter="1" defaultSubtotal="0"/>
    <pivotField compact="0" outline="0" subtotalTop="0" showAll="0" includeNewItemsInFilter="1" defaultSubtotal="0"/>
    <pivotField compact="0" numFmtId="4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numFmtId="4" outline="0" subtotalTop="0" showAll="0" includeNewItemsInFilter="1" defaultSubtotal="0"/>
    <pivotField compact="0" outline="0" subtotalTop="0" showAll="0" includeNewItemsInFilter="1" defaultSubtotal="0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0"/>
  </colFields>
  <colItems count="6">
    <i>
      <x/>
    </i>
    <i>
      <x v="1"/>
    </i>
    <i>
      <x v="2"/>
    </i>
    <i>
      <x v="3"/>
    </i>
    <i>
      <x v="9"/>
    </i>
    <i t="grand">
      <x/>
    </i>
  </colItems>
  <pageFields count="2">
    <pageField fld="0" hier="0"/>
    <pageField fld="2" hier="0"/>
  </pageFields>
  <dataFields count="1">
    <dataField name="Conteggio di Codice Fiscale" fld="11" subtotal="count" baseField="0" baseItem="0"/>
  </dataFields>
  <formats count="12">
    <format dxfId="12">
      <pivotArea type="all" dataOnly="0" outline="0" fieldPosition="0"/>
    </format>
    <format dxfId="11">
      <pivotArea outline="0" fieldPosition="0"/>
    </format>
    <format dxfId="10">
      <pivotArea dataOnly="0" labelOnly="1" outline="0" fieldPosition="0">
        <references count="1">
          <reference field="14" count="4">
            <x v="0"/>
            <x v="1"/>
            <x v="2"/>
            <x v="3"/>
          </reference>
        </references>
      </pivotArea>
    </format>
    <format dxfId="9">
      <pivotArea dataOnly="0" labelOnly="1" outline="0" fieldPosition="0">
        <references count="1">
          <reference field="14" count="4" defaultSubtotal="1">
            <x v="0"/>
            <x v="1"/>
            <x v="2"/>
            <x v="3"/>
          </reference>
        </references>
      </pivotArea>
    </format>
    <format dxfId="8">
      <pivotArea dataOnly="0" labelOnly="1" grandRow="1" outline="0" fieldPosition="0"/>
    </format>
    <format dxfId="7">
      <pivotArea dataOnly="0" labelOnly="1" outline="0" fieldPosition="0">
        <references count="1">
          <reference field="20" count="4">
            <x v="0"/>
            <x v="1"/>
            <x v="2"/>
            <x v="3"/>
          </reference>
        </references>
      </pivotArea>
    </format>
    <format dxfId="6">
      <pivotArea dataOnly="0" labelOnly="1" grandCol="1" outline="0" fieldPosition="0"/>
    </format>
    <format dxfId="5">
      <pivotArea field="0" type="button" dataOnly="0" labelOnly="1" outline="0" axis="axisPage" fieldPosition="0"/>
    </format>
    <format dxfId="4">
      <pivotArea dataOnly="0" labelOnly="1" outline="0" fieldPosition="0">
        <references count="1">
          <reference field="20" count="4">
            <x v="0"/>
            <x v="1"/>
            <x v="2"/>
            <x v="3"/>
          </reference>
        </references>
      </pivotArea>
    </format>
    <format dxfId="3">
      <pivotArea dataOnly="0" labelOnly="1" grandCol="1" outline="0" fieldPosition="0"/>
    </format>
    <format dxfId="2">
      <pivotArea dataOnly="0" labelOnly="1" outline="0" fieldPosition="0">
        <references count="1">
          <reference field="20" count="4">
            <x v="0"/>
            <x v="1"/>
            <x v="2"/>
            <x v="3"/>
          </reference>
        </references>
      </pivotArea>
    </format>
    <format dxfId="1">
      <pivotArea dataOnly="0" labelOnly="1" grandCol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8E5F97-D82E-421C-BCFF-7A91FE085F79}" name="Tabella_pivot5" cacheId="1" dataOnRows="1" applyNumberFormats="0" applyBorderFormats="0" applyFontFormats="0" applyPatternFormats="0" applyAlignmentFormats="0" applyWidthHeightFormats="1" dataCaption="Dati" updatedVersion="8" minRefreshableVersion="3" showMemberPropertyTips="0" useAutoFormatting="1" itemPrintTitles="1" createdVersion="8" indent="0" compact="0" compactData="0" gridDropZones="1">
  <location ref="A42:E46" firstHeaderRow="1" firstDataRow="2" firstDataCol="1" rowPageCount="1" colPageCount="1"/>
  <pivotFields count="56">
    <pivotField name="Il Sole 24 Ore Eventi srl" axis="axisPage" compact="0" numFmtId="166" outline="0" subtotalTop="0" showAll="0" includeNewItemsInFilter="1">
      <items count="10">
        <item h="1" x="0"/>
        <item h="1" x="1"/>
        <item h="1" x="3"/>
        <item h="1" x="4"/>
        <item h="1" x="6"/>
        <item h="1" x="5"/>
        <item x="2"/>
        <item h="1" x="7"/>
        <item m="1" x="8"/>
        <item t="default"/>
      </items>
    </pivotField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15">
        <item x="10"/>
        <item x="1"/>
        <item x="4"/>
        <item x="3"/>
        <item x="5"/>
        <item m="1" x="13"/>
        <item x="0"/>
        <item x="9"/>
        <item x="8"/>
        <item x="11"/>
        <item x="7"/>
        <item x="12"/>
        <item x="2"/>
        <item x="6"/>
        <item t="default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defaultSubtotal="0"/>
    <pivotField axis="axisCol" compact="0" outline="0" subtotalTop="0" showAll="0" includeNewItemsInFilter="1">
      <items count="11">
        <item h="1" x="5"/>
        <item h="1" x="6"/>
        <item x="1"/>
        <item x="3"/>
        <item x="0"/>
        <item x="2"/>
        <item h="1" x="8"/>
        <item h="1" x="7"/>
        <item h="1" x="9"/>
        <item x="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14"/>
  </rowFields>
  <rowItems count="3">
    <i>
      <x v="1"/>
    </i>
    <i>
      <x v="6"/>
    </i>
    <i t="grand">
      <x/>
    </i>
  </rowItems>
  <colFields count="1">
    <field x="20"/>
  </colFields>
  <colItems count="4">
    <i>
      <x v="2"/>
    </i>
    <i>
      <x v="4"/>
    </i>
    <i>
      <x v="5"/>
    </i>
    <i t="grand">
      <x/>
    </i>
  </colItems>
  <pageFields count="1">
    <pageField fld="0" hier="0"/>
  </pageFields>
  <dataFields count="1">
    <dataField name="Conteggio di Codice Fiscale" fld="11" subtotal="count" baseField="0" baseItem="0"/>
  </dataFields>
  <formats count="9">
    <format dxfId="21">
      <pivotArea type="all" dataOnly="0" outline="0" fieldPosition="0"/>
    </format>
    <format dxfId="20">
      <pivotArea outline="0" fieldPosition="0"/>
    </format>
    <format dxfId="19">
      <pivotArea dataOnly="0" labelOnly="1" outline="0" fieldPosition="0">
        <references count="1">
          <reference field="14" count="4">
            <x v="1"/>
            <x v="2"/>
            <x v="3"/>
            <x v="4"/>
          </reference>
        </references>
      </pivotArea>
    </format>
    <format dxfId="18">
      <pivotArea dataOnly="0" labelOnly="1" outline="0" fieldPosition="0">
        <references count="1">
          <reference field="14" count="4" defaultSubtotal="1">
            <x v="1"/>
            <x v="2"/>
            <x v="3"/>
            <x v="4"/>
          </reference>
        </references>
      </pivotArea>
    </format>
    <format dxfId="17">
      <pivotArea dataOnly="0" labelOnly="1" grandRow="1" outline="0" fieldPosition="0"/>
    </format>
    <format dxfId="16">
      <pivotArea dataOnly="0" labelOnly="1" outline="0" fieldPosition="0">
        <references count="1">
          <reference field="20" count="4">
            <x v="2"/>
            <x v="3"/>
            <x v="4"/>
            <x v="5"/>
          </reference>
        </references>
      </pivotArea>
    </format>
    <format dxfId="15">
      <pivotArea dataOnly="0" labelOnly="1" grandCol="1" outline="0" fieldPosition="0"/>
    </format>
    <format dxfId="14">
      <pivotArea field="0" type="button" dataOnly="0" labelOnly="1" outline="0" axis="axisPage" fieldPosition="0"/>
    </format>
    <format dxfId="13">
      <pivotArea field="0" type="button" dataOnly="0" labelOnly="1" outline="0" axis="axisPage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4CFC8-DDDE-4E0F-8B5C-318D3FF61709}" name="Tabella_pivot2" cacheId="1" dataOnRows="1" applyNumberFormats="0" applyBorderFormats="0" applyFontFormats="0" applyPatternFormats="0" applyAlignmentFormats="0" applyWidthHeightFormats="1" dataCaption="Dati" updatedVersion="8" minRefreshableVersion="3" showMemberPropertyTips="0" useAutoFormatting="1" itemPrintTitles="1" createdVersion="8" indent="0" compact="0" compactData="0" gridDropZones="1">
  <location ref="A24:D28" firstHeaderRow="1" firstDataRow="2" firstDataCol="1" rowPageCount="1" colPageCount="1"/>
  <pivotFields count="56">
    <pivotField name="24 Ore Cultura srl" axis="axisPage" compact="0" numFmtId="166" outline="0" subtotalTop="0" showAll="0" includeNewItemsInFilter="1">
      <items count="10">
        <item h="1" x="0"/>
        <item x="1"/>
        <item h="1" x="2"/>
        <item h="1" x="3"/>
        <item h="1" x="4"/>
        <item h="1" x="5"/>
        <item h="1" x="6"/>
        <item h="1" x="7"/>
        <item m="1" x="8"/>
        <item t="default"/>
      </items>
    </pivotField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15">
        <item x="1"/>
        <item x="4"/>
        <item x="3"/>
        <item x="5"/>
        <item x="0"/>
        <item x="9"/>
        <item x="8"/>
        <item x="7"/>
        <item x="2"/>
        <item x="6"/>
        <item x="10"/>
        <item x="11"/>
        <item m="1" x="13"/>
        <item x="12"/>
        <item t="default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defaultSubtotal="0"/>
    <pivotField axis="axisCol" compact="0" outline="0" subtotalTop="0" showAll="0" includeNewItemsInFilter="1">
      <items count="11">
        <item x="1"/>
        <item x="3"/>
        <item x="0"/>
        <item x="2"/>
        <item h="1" x="5"/>
        <item h="1" x="6"/>
        <item h="1" x="7"/>
        <item h="1" x="8"/>
        <item x="9"/>
        <item x="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14"/>
  </rowFields>
  <rowItems count="3">
    <i>
      <x v="4"/>
    </i>
    <i>
      <x v="5"/>
    </i>
    <i t="grand">
      <x/>
    </i>
  </rowItems>
  <colFields count="1">
    <field x="20"/>
  </colFields>
  <colItems count="3">
    <i>
      <x v="2"/>
    </i>
    <i>
      <x v="3"/>
    </i>
    <i t="grand">
      <x/>
    </i>
  </colItems>
  <pageFields count="1">
    <pageField fld="0" hier="0"/>
  </pageFields>
  <dataFields count="1">
    <dataField name="Conteggio di Codice Fiscale" fld="11" subtotal="count" baseField="0" baseItem="0"/>
  </dataFields>
  <formats count="8">
    <format dxfId="29">
      <pivotArea type="all" dataOnly="0" outline="0" fieldPosition="0"/>
    </format>
    <format dxfId="28">
      <pivotArea outline="0" fieldPosition="0"/>
    </format>
    <format dxfId="27">
      <pivotArea dataOnly="0" labelOnly="1" outline="0" fieldPosition="0">
        <references count="1">
          <reference field="14" count="4">
            <x v="0"/>
            <x v="1"/>
            <x v="2"/>
            <x v="3"/>
          </reference>
        </references>
      </pivotArea>
    </format>
    <format dxfId="26">
      <pivotArea dataOnly="0" labelOnly="1" outline="0" fieldPosition="0">
        <references count="1">
          <reference field="14" count="4" defaultSubtotal="1">
            <x v="0"/>
            <x v="1"/>
            <x v="2"/>
            <x v="3"/>
          </reference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20" count="4">
            <x v="0"/>
            <x v="1"/>
            <x v="2"/>
            <x v="3"/>
          </reference>
        </references>
      </pivotArea>
    </format>
    <format dxfId="23">
      <pivotArea dataOnly="0" labelOnly="1" grandCol="1" outline="0" fieldPosition="0"/>
    </format>
    <format dxfId="22">
      <pivotArea field="0" type="button" dataOnly="0" labelOnly="1" outline="0" axis="axisPage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BF0BA-F923-4F57-A58A-6313A6E11DCF}" name="Tabella_pivot3" cacheId="1" applyNumberFormats="0" applyBorderFormats="0" applyFontFormats="0" applyPatternFormats="0" applyAlignmentFormats="0" applyWidthHeightFormats="1" dataCaption="Dati" updatedVersion="8" minRefreshableVersion="3" showMemberPropertyTips="0" useAutoFormatting="1" itemPrintTitles="1" createdVersion="8" indent="0" compact="0" compactData="0" gridDropZones="1">
  <location ref="A27:D31" firstHeaderRow="1" firstDataRow="2" firstDataCol="1" rowPageCount="2" colPageCount="1"/>
  <pivotFields count="56">
    <pivotField compact="0" numFmtId="166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56">
        <item h="1" x="49"/>
        <item h="1" x="35"/>
        <item h="1" x="52"/>
        <item h="1" x="16"/>
        <item h="1" x="46"/>
        <item h="1" x="0"/>
        <item h="1" x="41"/>
        <item h="1" x="19"/>
        <item h="1" x="17"/>
        <item h="1" x="38"/>
        <item h="1" x="1"/>
        <item h="1" x="21"/>
        <item h="1" x="36"/>
        <item h="1" x="37"/>
        <item x="39"/>
        <item h="1" x="20"/>
        <item h="1" x="23"/>
        <item h="1" x="25"/>
        <item h="1" x="13"/>
        <item h="1" x="50"/>
        <item h="1" x="30"/>
        <item h="1" x="7"/>
        <item h="1" x="15"/>
        <item h="1" x="28"/>
        <item h="1" x="27"/>
        <item h="1" x="22"/>
        <item h="1" x="12"/>
        <item h="1" x="14"/>
        <item h="1" x="48"/>
        <item h="1" x="18"/>
        <item h="1" x="2"/>
        <item h="1" x="3"/>
        <item h="1" x="4"/>
        <item h="1" x="5"/>
        <item h="1" x="6"/>
        <item h="1" x="8"/>
        <item h="1" x="9"/>
        <item h="1" x="26"/>
        <item h="1" x="10"/>
        <item h="1" x="29"/>
        <item h="1" x="31"/>
        <item h="1" x="32"/>
        <item h="1" x="33"/>
        <item h="1" x="34"/>
        <item h="1" x="43"/>
        <item h="1" x="11"/>
        <item h="1" x="47"/>
        <item h="1" x="24"/>
        <item h="1" x="42"/>
        <item h="1" x="44"/>
        <item h="1" x="45"/>
        <item h="1" m="1" x="54"/>
        <item h="1" x="40"/>
        <item h="1" x="51"/>
        <item h="1" x="5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Col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/>
    <pivotField axis="axisRow" compact="0" outline="0" subtotalTop="0" showAll="0" includeNewItemsInFilter="1">
      <items count="15">
        <item x="10"/>
        <item x="1"/>
        <item x="4"/>
        <item x="3"/>
        <item x="5"/>
        <item x="0"/>
        <item x="9"/>
        <item x="8"/>
        <item x="11"/>
        <item x="7"/>
        <item x="2"/>
        <item x="6"/>
        <item m="1" x="13"/>
        <item x="12"/>
        <item t="default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10">
        <item h="1" x="5"/>
        <item h="1" x="6"/>
        <item h="1" x="7"/>
        <item h="1" x="1"/>
        <item h="1" x="0"/>
        <item h="1" x="2"/>
        <item h="1" x="3"/>
        <item x="4"/>
        <item h="1" x="8"/>
        <item t="default"/>
      </items>
    </pivotField>
    <pivotField compact="0" outline="0" subtotalTop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14"/>
  </rowFields>
  <rowItems count="3">
    <i>
      <x v="1"/>
    </i>
    <i>
      <x v="5"/>
    </i>
    <i t="grand">
      <x/>
    </i>
  </rowItems>
  <colFields count="1">
    <field x="12"/>
  </colFields>
  <colItems count="3">
    <i>
      <x/>
    </i>
    <i>
      <x v="1"/>
    </i>
    <i t="grand">
      <x/>
    </i>
  </colItems>
  <pageFields count="2">
    <pageField fld="18" item="7" hier="0"/>
    <pageField fld="6" item="14" hier="0"/>
  </pageFields>
  <dataFields count="1">
    <dataField name="Conteggio di Codice Fiscale" fld="11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BC8CA-8D46-4E53-B49F-5AFEC4A02434}" name="Tabella_pivot2" cacheId="1" applyNumberFormats="0" applyBorderFormats="0" applyFontFormats="0" applyPatternFormats="0" applyAlignmentFormats="0" applyWidthHeightFormats="1" dataCaption="Dati" updatedVersion="8" minRefreshableVersion="3" showMemberPropertyTips="0" useAutoFormatting="1" itemPrintTitles="1" createdVersion="8" indent="0" compact="0" compactData="0" gridDropZones="1">
  <location ref="A19:C22" firstHeaderRow="1" firstDataRow="2" firstDataCol="1" rowPageCount="2" colPageCount="1"/>
  <pivotFields count="56">
    <pivotField compact="0" numFmtId="166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56">
        <item h="1" x="49"/>
        <item h="1" x="35"/>
        <item h="1" x="52"/>
        <item h="1" x="16"/>
        <item h="1" x="46"/>
        <item h="1" x="0"/>
        <item h="1" x="41"/>
        <item h="1" x="19"/>
        <item h="1" x="17"/>
        <item x="38"/>
        <item h="1" x="1"/>
        <item h="1" x="21"/>
        <item h="1" x="36"/>
        <item h="1" x="37"/>
        <item h="1" x="39"/>
        <item h="1" x="20"/>
        <item h="1" x="23"/>
        <item h="1" x="25"/>
        <item h="1" x="13"/>
        <item h="1" x="50"/>
        <item h="1" x="30"/>
        <item h="1" x="7"/>
        <item h="1" x="15"/>
        <item h="1" x="28"/>
        <item h="1" x="53"/>
        <item h="1" x="27"/>
        <item h="1" x="22"/>
        <item h="1" x="51"/>
        <item h="1" x="12"/>
        <item h="1" x="14"/>
        <item h="1" x="48"/>
        <item h="1" x="18"/>
        <item h="1" x="2"/>
        <item h="1" x="3"/>
        <item h="1" x="4"/>
        <item h="1" x="5"/>
        <item h="1" x="6"/>
        <item h="1" x="8"/>
        <item h="1" x="9"/>
        <item h="1" x="26"/>
        <item h="1" x="10"/>
        <item h="1" x="29"/>
        <item h="1" x="31"/>
        <item h="1" x="32"/>
        <item h="1" x="33"/>
        <item h="1" x="34"/>
        <item h="1" x="43"/>
        <item h="1" x="11"/>
        <item h="1" x="47"/>
        <item h="1" x="24"/>
        <item h="1" x="42"/>
        <item h="1" x="44"/>
        <item h="1" x="45"/>
        <item h="1" m="1" x="54"/>
        <item h="1" x="4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Col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/>
    <pivotField axis="axisRow" compact="0" outline="0" subtotalTop="0" showAll="0" includeNewItemsInFilter="1">
      <items count="15">
        <item x="10"/>
        <item x="1"/>
        <item x="4"/>
        <item x="3"/>
        <item x="5"/>
        <item m="1" x="13"/>
        <item x="0"/>
        <item x="9"/>
        <item x="8"/>
        <item x="12"/>
        <item x="11"/>
        <item x="7"/>
        <item x="2"/>
        <item x="6"/>
        <item t="default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10">
        <item h="1" x="6"/>
        <item h="1" x="7"/>
        <item h="1" x="1"/>
        <item h="1" x="0"/>
        <item h="1" x="2"/>
        <item h="1" x="3"/>
        <item x="4"/>
        <item h="1" x="8"/>
        <item h="1" x="5"/>
        <item t="default"/>
      </items>
    </pivotField>
    <pivotField compact="0" outline="0" subtotalTop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14"/>
  </rowFields>
  <rowItems count="2">
    <i>
      <x v="6"/>
    </i>
    <i t="grand">
      <x/>
    </i>
  </rowItems>
  <colFields count="1">
    <field x="12"/>
  </colFields>
  <colItems count="2">
    <i>
      <x/>
    </i>
    <i t="grand">
      <x/>
    </i>
  </colItems>
  <pageFields count="2">
    <pageField fld="18" item="6" hier="0"/>
    <pageField fld="6" item="9" hier="0"/>
  </pageFields>
  <dataFields count="1">
    <dataField name="Conteggio di Codice Fiscale" fld="11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123504-8E8C-4CE4-80A1-9F3D6E6E96A4}" name="Tabella_pivot18" cacheId="0" applyNumberFormats="0" applyBorderFormats="0" applyFontFormats="0" applyPatternFormats="0" applyAlignmentFormats="0" applyWidthHeightFormats="1" dataCaption="Dati" updatedVersion="8" showMemberPropertyTips="0" useAutoFormatting="1" itemPrintTitles="1" createdVersion="1" indent="0" compact="0" compactData="0" gridDropZones="1">
  <location ref="A4:D13" firstHeaderRow="1" firstDataRow="2" firstDataCol="1" rowPageCount="2" colPageCount="1"/>
  <pivotFields count="57">
    <pivotField compact="0" numFmtId="166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55">
        <item x="49"/>
        <item x="35"/>
        <item x="16"/>
        <item x="46"/>
        <item x="0"/>
        <item x="41"/>
        <item x="19"/>
        <item x="17"/>
        <item x="38"/>
        <item x="1"/>
        <item x="21"/>
        <item x="36"/>
        <item x="37"/>
        <item x="39"/>
        <item x="20"/>
        <item x="23"/>
        <item x="25"/>
        <item x="13"/>
        <item x="50"/>
        <item x="30"/>
        <item x="7"/>
        <item x="15"/>
        <item x="28"/>
        <item x="27"/>
        <item x="22"/>
        <item x="12"/>
        <item x="14"/>
        <item x="48"/>
        <item x="18"/>
        <item x="2"/>
        <item x="3"/>
        <item x="4"/>
        <item x="5"/>
        <item x="6"/>
        <item x="8"/>
        <item x="9"/>
        <item x="26"/>
        <item x="10"/>
        <item x="29"/>
        <item x="31"/>
        <item x="32"/>
        <item x="33"/>
        <item x="34"/>
        <item x="43"/>
        <item x="11"/>
        <item x="47"/>
        <item x="24"/>
        <item x="42"/>
        <item x="44"/>
        <item x="45"/>
        <item x="40"/>
        <item x="52"/>
        <item x="51"/>
        <item x="5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Col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/>
    <pivotField axis="axisRow" compact="0" outline="0" subtotalTop="0" showAll="0" includeNewItemsInFilter="1">
      <items count="14">
        <item x="1"/>
        <item x="4"/>
        <item x="3"/>
        <item x="5"/>
        <item x="0"/>
        <item x="9"/>
        <item x="8"/>
        <item x="7"/>
        <item x="2"/>
        <item x="6"/>
        <item x="10"/>
        <item x="11"/>
        <item x="12"/>
        <item t="default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10">
        <item x="1"/>
        <item x="0"/>
        <item x="2"/>
        <item x="3"/>
        <item x="4"/>
        <item x="5"/>
        <item x="6"/>
        <item x="7"/>
        <item x="8"/>
        <item t="default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14"/>
  </rowFields>
  <rowItems count="8">
    <i>
      <x/>
    </i>
    <i>
      <x v="1"/>
    </i>
    <i>
      <x v="3"/>
    </i>
    <i>
      <x v="4"/>
    </i>
    <i>
      <x v="6"/>
    </i>
    <i>
      <x v="7"/>
    </i>
    <i>
      <x v="9"/>
    </i>
    <i t="grand">
      <x/>
    </i>
  </rowItems>
  <colFields count="1">
    <field x="12"/>
  </colFields>
  <colItems count="3">
    <i>
      <x/>
    </i>
    <i>
      <x v="1"/>
    </i>
    <i t="grand">
      <x/>
    </i>
  </colItems>
  <pageFields count="2">
    <pageField fld="18" item="4" hier="0"/>
    <pageField fld="6" item="11" hier="0"/>
  </pageFields>
  <dataFields count="1">
    <dataField name="Conteggio di Codice Fiscale" fld="11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515965-BBCE-4D27-9B57-6D0A72F33920}" name="Tabella_pivot7" cacheId="1" applyNumberFormats="0" applyBorderFormats="0" applyFontFormats="0" applyPatternFormats="0" applyAlignmentFormats="0" applyWidthHeightFormats="1" dataCaption="Dati" updatedVersion="8" minRefreshableVersion="3" showMemberPropertyTips="0" useAutoFormatting="1" itemPrintTitles="1" createdVersion="8" indent="0" compact="0" compactData="0" gridDropZones="1">
  <location ref="A47:C50" firstHeaderRow="1" firstDataRow="2" firstDataCol="1" rowPageCount="2" colPageCount="1"/>
  <pivotFields count="56">
    <pivotField compact="0" numFmtId="166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56">
        <item h="1" x="49"/>
        <item h="1" x="35"/>
        <item h="1" x="52"/>
        <item h="1" x="16"/>
        <item h="1" x="46"/>
        <item h="1" x="0"/>
        <item h="1" x="41"/>
        <item h="1" x="19"/>
        <item h="1" x="17"/>
        <item h="1" x="38"/>
        <item h="1" x="1"/>
        <item x="21"/>
        <item h="1" x="36"/>
        <item h="1" x="37"/>
        <item h="1" x="39"/>
        <item h="1" x="20"/>
        <item h="1" x="23"/>
        <item h="1" x="25"/>
        <item h="1" x="13"/>
        <item h="1" x="50"/>
        <item h="1" x="30"/>
        <item h="1" x="7"/>
        <item h="1" x="15"/>
        <item h="1" x="28"/>
        <item h="1" x="27"/>
        <item h="1" x="22"/>
        <item h="1" x="12"/>
        <item h="1" x="14"/>
        <item h="1" x="48"/>
        <item h="1" x="18"/>
        <item h="1" x="2"/>
        <item h="1" x="3"/>
        <item h="1" x="4"/>
        <item h="1" x="5"/>
        <item h="1" x="6"/>
        <item h="1" x="8"/>
        <item h="1" x="9"/>
        <item h="1" x="26"/>
        <item h="1" x="10"/>
        <item h="1" x="29"/>
        <item h="1" x="31"/>
        <item h="1" x="32"/>
        <item h="1" x="33"/>
        <item h="1" x="34"/>
        <item h="1" x="43"/>
        <item h="1" x="24"/>
        <item h="1" x="40"/>
        <item h="1" x="42"/>
        <item h="1" x="44"/>
        <item h="1" x="45"/>
        <item h="1" x="11"/>
        <item h="1" x="47"/>
        <item h="1" m="1" x="54"/>
        <item h="1" x="51"/>
        <item h="1" x="5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Col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/>
    <pivotField axis="axisRow" compact="0" outline="0" subtotalTop="0" showAll="0" includeNewItemsInFilter="1">
      <items count="15">
        <item x="10"/>
        <item x="1"/>
        <item x="4"/>
        <item x="3"/>
        <item x="5"/>
        <item m="1" x="13"/>
        <item x="0"/>
        <item x="9"/>
        <item x="8"/>
        <item x="11"/>
        <item x="7"/>
        <item x="2"/>
        <item x="6"/>
        <item x="12"/>
        <item t="default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10">
        <item h="1" x="5"/>
        <item h="1" x="6"/>
        <item h="1" x="7"/>
        <item h="1" x="1"/>
        <item h="1" x="0"/>
        <item h="1" x="2"/>
        <item h="1" x="3"/>
        <item x="4"/>
        <item h="1" x="8"/>
        <item t="default"/>
      </items>
    </pivotField>
    <pivotField compact="0" outline="0" subtotalTop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14"/>
  </rowFields>
  <rowItems count="2">
    <i>
      <x v="11"/>
    </i>
    <i t="grand">
      <x/>
    </i>
  </rowItems>
  <colFields count="1">
    <field x="12"/>
  </colFields>
  <colItems count="2">
    <i>
      <x v="1"/>
    </i>
    <i t="grand">
      <x/>
    </i>
  </colItems>
  <pageFields count="2">
    <pageField fld="18" item="7" hier="0"/>
    <pageField fld="6" item="11" hier="0"/>
  </pageFields>
  <dataFields count="1">
    <dataField name="Conteggio di Codice Fiscale" fld="11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0A3102-5EA9-4F6E-99FB-AF83322ECBFD}" name="Tabella pivot1" cacheId="1" applyNumberFormats="0" applyBorderFormats="0" applyFontFormats="0" applyPatternFormats="0" applyAlignmentFormats="0" applyWidthHeightFormats="1" dataCaption="Dati" updatedVersion="8" minRefreshableVersion="3" showMemberPropertyTips="0" useAutoFormatting="1" itemPrintTitles="1" createdVersion="8" indent="0" compact="0" compactData="0" gridDropZones="1">
  <location ref="A56:C59" firstHeaderRow="1" firstDataRow="2" firstDataCol="1" rowPageCount="2" colPageCount="1"/>
  <pivotFields count="56">
    <pivotField compact="0" numFmtId="166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56">
        <item h="1" x="49"/>
        <item h="1" x="35"/>
        <item h="1" x="52"/>
        <item h="1" x="16"/>
        <item h="1" x="46"/>
        <item h="1" x="0"/>
        <item h="1" x="41"/>
        <item h="1" x="19"/>
        <item h="1" x="17"/>
        <item h="1" x="38"/>
        <item h="1" x="1"/>
        <item h="1" x="21"/>
        <item h="1" x="36"/>
        <item h="1" x="37"/>
        <item h="1" x="39"/>
        <item h="1" x="20"/>
        <item h="1" x="23"/>
        <item h="1" x="25"/>
        <item h="1" x="13"/>
        <item h="1" x="50"/>
        <item h="1" x="30"/>
        <item h="1" x="7"/>
        <item h="1" x="15"/>
        <item h="1" x="28"/>
        <item h="1" x="27"/>
        <item h="1" x="22"/>
        <item h="1" x="12"/>
        <item h="1" x="14"/>
        <item h="1" x="48"/>
        <item h="1" x="18"/>
        <item h="1" x="2"/>
        <item h="1" x="3"/>
        <item h="1" x="4"/>
        <item h="1" x="5"/>
        <item h="1" x="6"/>
        <item h="1" x="8"/>
        <item h="1" x="9"/>
        <item h="1" x="26"/>
        <item h="1" x="10"/>
        <item h="1" x="29"/>
        <item h="1" x="31"/>
        <item h="1" x="32"/>
        <item h="1" x="33"/>
        <item h="1" x="34"/>
        <item h="1" x="43"/>
        <item h="1" x="11"/>
        <item h="1" x="47"/>
        <item h="1" x="24"/>
        <item h="1" x="42"/>
        <item h="1" x="44"/>
        <item h="1" x="45"/>
        <item h="1" m="1" x="54"/>
        <item x="40"/>
        <item h="1" x="51"/>
        <item h="1" x="5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Col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/>
    <pivotField axis="axisRow" compact="0" outline="0" subtotalTop="0" showAll="0" includeNewItemsInFilter="1">
      <items count="15">
        <item x="10"/>
        <item x="1"/>
        <item x="4"/>
        <item x="3"/>
        <item x="5"/>
        <item m="1" x="13"/>
        <item x="0"/>
        <item x="9"/>
        <item x="8"/>
        <item x="11"/>
        <item x="7"/>
        <item x="2"/>
        <item x="6"/>
        <item x="12"/>
        <item t="default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10">
        <item h="1" x="6"/>
        <item h="1" x="7"/>
        <item h="1" x="1"/>
        <item h="1" x="0"/>
        <item h="1" x="2"/>
        <item h="1" x="3"/>
        <item x="4"/>
        <item h="1" x="5"/>
        <item h="1" x="8"/>
        <item t="default"/>
      </items>
    </pivotField>
    <pivotField compact="0" outline="0" subtotalTop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numFmtId="4" outline="0" subtotalTop="0" showAll="0" includeNewItemsInFilter="1" defaultSubtotal="0"/>
  </pivotFields>
  <rowFields count="1">
    <field x="14"/>
  </rowFields>
  <rowItems count="2">
    <i>
      <x v="6"/>
    </i>
    <i t="grand">
      <x/>
    </i>
  </rowItems>
  <colFields count="1">
    <field x="12"/>
  </colFields>
  <colItems count="2">
    <i>
      <x v="1"/>
    </i>
    <i t="grand">
      <x/>
    </i>
  </colItems>
  <pageFields count="2">
    <pageField fld="18" item="6" hier="0"/>
    <pageField fld="6" hier="0"/>
  </pageFields>
  <dataFields count="1">
    <dataField name="Conteggio di Codice Fiscale" fld="11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02FBD-5B4C-4E03-92BD-5A719279FE6F}" name="Tabella_pivot4" cacheId="1" applyNumberFormats="0" applyBorderFormats="0" applyFontFormats="0" applyPatternFormats="0" applyAlignmentFormats="0" applyWidthHeightFormats="1" dataCaption="Dati" updatedVersion="8" minRefreshableVersion="3" showMemberPropertyTips="0" useAutoFormatting="1" itemPrintTitles="1" createdVersion="8" indent="0" compact="0" compactData="0" gridDropZones="1">
  <location ref="A38:D42" firstHeaderRow="1" firstDataRow="2" firstDataCol="1" rowPageCount="2" colPageCount="1"/>
  <pivotFields count="56">
    <pivotField compact="0" numFmtId="166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56">
        <item h="1" x="49"/>
        <item h="1" x="35"/>
        <item h="1" x="52"/>
        <item h="1" x="16"/>
        <item h="1" x="46"/>
        <item h="1" x="0"/>
        <item h="1" x="41"/>
        <item h="1" x="19"/>
        <item h="1" x="17"/>
        <item h="1" x="38"/>
        <item h="1" x="1"/>
        <item h="1" x="21"/>
        <item h="1" x="36"/>
        <item x="37"/>
        <item h="1" x="39"/>
        <item h="1" x="20"/>
        <item h="1" x="23"/>
        <item h="1" x="25"/>
        <item h="1" x="13"/>
        <item h="1" x="50"/>
        <item h="1" x="30"/>
        <item h="1" x="7"/>
        <item h="1" x="15"/>
        <item h="1" x="28"/>
        <item h="1" x="27"/>
        <item h="1" x="22"/>
        <item h="1" x="12"/>
        <item h="1" x="14"/>
        <item h="1" x="48"/>
        <item h="1" x="18"/>
        <item h="1" x="2"/>
        <item h="1" x="3"/>
        <item h="1" x="4"/>
        <item h="1" x="5"/>
        <item h="1" x="6"/>
        <item h="1" x="8"/>
        <item h="1" x="9"/>
        <item h="1" x="26"/>
        <item h="1" x="10"/>
        <item h="1" x="29"/>
        <item h="1" x="31"/>
        <item h="1" x="32"/>
        <item h="1" x="33"/>
        <item h="1" x="34"/>
        <item h="1" x="43"/>
        <item h="1" x="24"/>
        <item h="1" x="40"/>
        <item h="1" x="42"/>
        <item h="1" x="44"/>
        <item h="1" x="45"/>
        <item h="1" x="11"/>
        <item h="1" x="47"/>
        <item h="1" m="1" x="54"/>
        <item h="1" x="51"/>
        <item h="1" x="5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Col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/>
    <pivotField axis="axisRow" compact="0" outline="0" subtotalTop="0" showAll="0" includeNewItemsInFilter="1">
      <items count="15">
        <item x="10"/>
        <item x="1"/>
        <item x="4"/>
        <item x="3"/>
        <item x="5"/>
        <item m="1" x="13"/>
        <item x="0"/>
        <item x="9"/>
        <item x="8"/>
        <item x="11"/>
        <item x="7"/>
        <item x="2"/>
        <item x="6"/>
        <item x="12"/>
        <item t="default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10">
        <item h="1" x="5"/>
        <item h="1" x="6"/>
        <item h="1" x="7"/>
        <item h="1" x="1"/>
        <item h="1" x="0"/>
        <item h="1" x="2"/>
        <item h="1" x="3"/>
        <item x="4"/>
        <item h="1" x="8"/>
        <item t="default"/>
      </items>
    </pivotField>
    <pivotField compact="0" outline="0" subtotalTop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14"/>
  </rowFields>
  <rowItems count="3">
    <i>
      <x v="1"/>
    </i>
    <i>
      <x v="6"/>
    </i>
    <i t="grand">
      <x/>
    </i>
  </rowItems>
  <colFields count="1">
    <field x="12"/>
  </colFields>
  <colItems count="3">
    <i>
      <x/>
    </i>
    <i>
      <x v="1"/>
    </i>
    <i t="grand">
      <x/>
    </i>
  </colItems>
  <pageFields count="2">
    <pageField fld="18" item="7" hier="0"/>
    <pageField fld="6" item="13" hier="0"/>
  </pageFields>
  <dataFields count="1">
    <dataField name="Conteggio di Codice Fiscale" fld="11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39F-5BD3-40EA-B843-241A8C35C369}">
  <dimension ref="A1:BF776"/>
  <sheetViews>
    <sheetView tabSelected="1" workbookViewId="0">
      <selection activeCell="A735" sqref="A735:A762"/>
    </sheetView>
  </sheetViews>
  <sheetFormatPr defaultRowHeight="12.75"/>
  <cols>
    <col min="1" max="56" width="16.85546875" customWidth="1"/>
    <col min="57" max="58" width="8.85546875" hidden="1" customWidth="1"/>
    <col min="256" max="312" width="16.85546875" customWidth="1"/>
    <col min="313" max="314" width="0" hidden="1" customWidth="1"/>
    <col min="512" max="568" width="16.85546875" customWidth="1"/>
    <col min="569" max="570" width="0" hidden="1" customWidth="1"/>
    <col min="768" max="824" width="16.85546875" customWidth="1"/>
    <col min="825" max="826" width="0" hidden="1" customWidth="1"/>
    <col min="1024" max="1080" width="16.85546875" customWidth="1"/>
    <col min="1081" max="1082" width="0" hidden="1" customWidth="1"/>
    <col min="1280" max="1336" width="16.85546875" customWidth="1"/>
    <col min="1337" max="1338" width="0" hidden="1" customWidth="1"/>
    <col min="1536" max="1592" width="16.85546875" customWidth="1"/>
    <col min="1593" max="1594" width="0" hidden="1" customWidth="1"/>
    <col min="1792" max="1848" width="16.85546875" customWidth="1"/>
    <col min="1849" max="1850" width="0" hidden="1" customWidth="1"/>
    <col min="2048" max="2104" width="16.85546875" customWidth="1"/>
    <col min="2105" max="2106" width="0" hidden="1" customWidth="1"/>
    <col min="2304" max="2360" width="16.85546875" customWidth="1"/>
    <col min="2361" max="2362" width="0" hidden="1" customWidth="1"/>
    <col min="2560" max="2616" width="16.85546875" customWidth="1"/>
    <col min="2617" max="2618" width="0" hidden="1" customWidth="1"/>
    <col min="2816" max="2872" width="16.85546875" customWidth="1"/>
    <col min="2873" max="2874" width="0" hidden="1" customWidth="1"/>
    <col min="3072" max="3128" width="16.85546875" customWidth="1"/>
    <col min="3129" max="3130" width="0" hidden="1" customWidth="1"/>
    <col min="3328" max="3384" width="16.85546875" customWidth="1"/>
    <col min="3385" max="3386" width="0" hidden="1" customWidth="1"/>
    <col min="3584" max="3640" width="16.85546875" customWidth="1"/>
    <col min="3641" max="3642" width="0" hidden="1" customWidth="1"/>
    <col min="3840" max="3896" width="16.85546875" customWidth="1"/>
    <col min="3897" max="3898" width="0" hidden="1" customWidth="1"/>
    <col min="4096" max="4152" width="16.85546875" customWidth="1"/>
    <col min="4153" max="4154" width="0" hidden="1" customWidth="1"/>
    <col min="4352" max="4408" width="16.85546875" customWidth="1"/>
    <col min="4409" max="4410" width="0" hidden="1" customWidth="1"/>
    <col min="4608" max="4664" width="16.85546875" customWidth="1"/>
    <col min="4665" max="4666" width="0" hidden="1" customWidth="1"/>
    <col min="4864" max="4920" width="16.85546875" customWidth="1"/>
    <col min="4921" max="4922" width="0" hidden="1" customWidth="1"/>
    <col min="5120" max="5176" width="16.85546875" customWidth="1"/>
    <col min="5177" max="5178" width="0" hidden="1" customWidth="1"/>
    <col min="5376" max="5432" width="16.85546875" customWidth="1"/>
    <col min="5433" max="5434" width="0" hidden="1" customWidth="1"/>
    <col min="5632" max="5688" width="16.85546875" customWidth="1"/>
    <col min="5689" max="5690" width="0" hidden="1" customWidth="1"/>
    <col min="5888" max="5944" width="16.85546875" customWidth="1"/>
    <col min="5945" max="5946" width="0" hidden="1" customWidth="1"/>
    <col min="6144" max="6200" width="16.85546875" customWidth="1"/>
    <col min="6201" max="6202" width="0" hidden="1" customWidth="1"/>
    <col min="6400" max="6456" width="16.85546875" customWidth="1"/>
    <col min="6457" max="6458" width="0" hidden="1" customWidth="1"/>
    <col min="6656" max="6712" width="16.85546875" customWidth="1"/>
    <col min="6713" max="6714" width="0" hidden="1" customWidth="1"/>
    <col min="6912" max="6968" width="16.85546875" customWidth="1"/>
    <col min="6969" max="6970" width="0" hidden="1" customWidth="1"/>
    <col min="7168" max="7224" width="16.85546875" customWidth="1"/>
    <col min="7225" max="7226" width="0" hidden="1" customWidth="1"/>
    <col min="7424" max="7480" width="16.85546875" customWidth="1"/>
    <col min="7481" max="7482" width="0" hidden="1" customWidth="1"/>
    <col min="7680" max="7736" width="16.85546875" customWidth="1"/>
    <col min="7737" max="7738" width="0" hidden="1" customWidth="1"/>
    <col min="7936" max="7992" width="16.85546875" customWidth="1"/>
    <col min="7993" max="7994" width="0" hidden="1" customWidth="1"/>
    <col min="8192" max="8248" width="16.85546875" customWidth="1"/>
    <col min="8249" max="8250" width="0" hidden="1" customWidth="1"/>
    <col min="8448" max="8504" width="16.85546875" customWidth="1"/>
    <col min="8505" max="8506" width="0" hidden="1" customWidth="1"/>
    <col min="8704" max="8760" width="16.85546875" customWidth="1"/>
    <col min="8761" max="8762" width="0" hidden="1" customWidth="1"/>
    <col min="8960" max="9016" width="16.85546875" customWidth="1"/>
    <col min="9017" max="9018" width="0" hidden="1" customWidth="1"/>
    <col min="9216" max="9272" width="16.85546875" customWidth="1"/>
    <col min="9273" max="9274" width="0" hidden="1" customWidth="1"/>
    <col min="9472" max="9528" width="16.85546875" customWidth="1"/>
    <col min="9529" max="9530" width="0" hidden="1" customWidth="1"/>
    <col min="9728" max="9784" width="16.85546875" customWidth="1"/>
    <col min="9785" max="9786" width="0" hidden="1" customWidth="1"/>
    <col min="9984" max="10040" width="16.85546875" customWidth="1"/>
    <col min="10041" max="10042" width="0" hidden="1" customWidth="1"/>
    <col min="10240" max="10296" width="16.85546875" customWidth="1"/>
    <col min="10297" max="10298" width="0" hidden="1" customWidth="1"/>
    <col min="10496" max="10552" width="16.85546875" customWidth="1"/>
    <col min="10553" max="10554" width="0" hidden="1" customWidth="1"/>
    <col min="10752" max="10808" width="16.85546875" customWidth="1"/>
    <col min="10809" max="10810" width="0" hidden="1" customWidth="1"/>
    <col min="11008" max="11064" width="16.85546875" customWidth="1"/>
    <col min="11065" max="11066" width="0" hidden="1" customWidth="1"/>
    <col min="11264" max="11320" width="16.85546875" customWidth="1"/>
    <col min="11321" max="11322" width="0" hidden="1" customWidth="1"/>
    <col min="11520" max="11576" width="16.85546875" customWidth="1"/>
    <col min="11577" max="11578" width="0" hidden="1" customWidth="1"/>
    <col min="11776" max="11832" width="16.85546875" customWidth="1"/>
    <col min="11833" max="11834" width="0" hidden="1" customWidth="1"/>
    <col min="12032" max="12088" width="16.85546875" customWidth="1"/>
    <col min="12089" max="12090" width="0" hidden="1" customWidth="1"/>
    <col min="12288" max="12344" width="16.85546875" customWidth="1"/>
    <col min="12345" max="12346" width="0" hidden="1" customWidth="1"/>
    <col min="12544" max="12600" width="16.85546875" customWidth="1"/>
    <col min="12601" max="12602" width="0" hidden="1" customWidth="1"/>
    <col min="12800" max="12856" width="16.85546875" customWidth="1"/>
    <col min="12857" max="12858" width="0" hidden="1" customWidth="1"/>
    <col min="13056" max="13112" width="16.85546875" customWidth="1"/>
    <col min="13113" max="13114" width="0" hidden="1" customWidth="1"/>
    <col min="13312" max="13368" width="16.85546875" customWidth="1"/>
    <col min="13369" max="13370" width="0" hidden="1" customWidth="1"/>
    <col min="13568" max="13624" width="16.85546875" customWidth="1"/>
    <col min="13625" max="13626" width="0" hidden="1" customWidth="1"/>
    <col min="13824" max="13880" width="16.85546875" customWidth="1"/>
    <col min="13881" max="13882" width="0" hidden="1" customWidth="1"/>
    <col min="14080" max="14136" width="16.85546875" customWidth="1"/>
    <col min="14137" max="14138" width="0" hidden="1" customWidth="1"/>
    <col min="14336" max="14392" width="16.85546875" customWidth="1"/>
    <col min="14393" max="14394" width="0" hidden="1" customWidth="1"/>
    <col min="14592" max="14648" width="16.85546875" customWidth="1"/>
    <col min="14649" max="14650" width="0" hidden="1" customWidth="1"/>
    <col min="14848" max="14904" width="16.85546875" customWidth="1"/>
    <col min="14905" max="14906" width="0" hidden="1" customWidth="1"/>
    <col min="15104" max="15160" width="16.85546875" customWidth="1"/>
    <col min="15161" max="15162" width="0" hidden="1" customWidth="1"/>
    <col min="15360" max="15416" width="16.85546875" customWidth="1"/>
    <col min="15417" max="15418" width="0" hidden="1" customWidth="1"/>
    <col min="15616" max="15672" width="16.85546875" customWidth="1"/>
    <col min="15673" max="15674" width="0" hidden="1" customWidth="1"/>
    <col min="15872" max="15928" width="16.85546875" customWidth="1"/>
    <col min="15929" max="15930" width="0" hidden="1" customWidth="1"/>
    <col min="16128" max="16184" width="16.85546875" customWidth="1"/>
    <col min="16185" max="16186" width="0" hidden="1" customWidth="1"/>
  </cols>
  <sheetData>
    <row r="1" spans="1:57" ht="20.100000000000001" customHeight="1">
      <c r="A1" s="122" t="s">
        <v>45</v>
      </c>
      <c r="B1" s="122" t="s">
        <v>124</v>
      </c>
      <c r="C1" s="122" t="s">
        <v>61</v>
      </c>
      <c r="D1" s="122" t="s">
        <v>125</v>
      </c>
      <c r="E1" s="122" t="s">
        <v>126</v>
      </c>
      <c r="F1" s="122" t="s">
        <v>63</v>
      </c>
      <c r="G1" s="122" t="s">
        <v>64</v>
      </c>
      <c r="H1" s="122" t="s">
        <v>127</v>
      </c>
      <c r="I1" s="122" t="s">
        <v>128</v>
      </c>
      <c r="J1" s="122" t="s">
        <v>129</v>
      </c>
      <c r="K1" s="122" t="s">
        <v>130</v>
      </c>
      <c r="L1" s="122" t="s">
        <v>131</v>
      </c>
      <c r="M1" s="122" t="s">
        <v>62</v>
      </c>
      <c r="N1" s="122" t="s">
        <v>132</v>
      </c>
      <c r="O1" s="122" t="s">
        <v>65</v>
      </c>
      <c r="P1" s="122" t="s">
        <v>2634</v>
      </c>
      <c r="Q1" s="122" t="s">
        <v>133</v>
      </c>
      <c r="R1" s="122" t="s">
        <v>66</v>
      </c>
      <c r="S1" s="122" t="s">
        <v>67</v>
      </c>
      <c r="T1" s="122" t="s">
        <v>46</v>
      </c>
      <c r="U1" s="122" t="s">
        <v>134</v>
      </c>
      <c r="V1" s="122" t="s">
        <v>47</v>
      </c>
      <c r="W1" s="122" t="s">
        <v>135</v>
      </c>
      <c r="X1" s="122" t="s">
        <v>136</v>
      </c>
      <c r="Y1" s="122" t="s">
        <v>137</v>
      </c>
      <c r="Z1" s="122" t="s">
        <v>138</v>
      </c>
      <c r="AA1" s="122" t="s">
        <v>139</v>
      </c>
      <c r="AB1" s="122" t="s">
        <v>140</v>
      </c>
      <c r="AC1" s="122" t="s">
        <v>141</v>
      </c>
      <c r="AD1" s="122" t="s">
        <v>142</v>
      </c>
      <c r="AE1" s="122" t="s">
        <v>143</v>
      </c>
      <c r="AF1" s="122" t="s">
        <v>144</v>
      </c>
      <c r="AG1" s="122" t="s">
        <v>145</v>
      </c>
      <c r="AH1" s="122" t="s">
        <v>146</v>
      </c>
      <c r="AI1" s="122" t="s">
        <v>147</v>
      </c>
      <c r="AJ1" s="122" t="s">
        <v>148</v>
      </c>
      <c r="AK1" s="122" t="s">
        <v>149</v>
      </c>
      <c r="AL1" s="122" t="s">
        <v>150</v>
      </c>
      <c r="AM1" s="122" t="s">
        <v>151</v>
      </c>
      <c r="AN1" s="122" t="s">
        <v>152</v>
      </c>
      <c r="AO1" s="122" t="s">
        <v>153</v>
      </c>
      <c r="AP1" s="122" t="s">
        <v>2590</v>
      </c>
      <c r="AQ1" s="122" t="s">
        <v>68</v>
      </c>
      <c r="AR1" s="122" t="s">
        <v>154</v>
      </c>
      <c r="AS1" s="122" t="s">
        <v>155</v>
      </c>
      <c r="AT1" s="122" t="s">
        <v>156</v>
      </c>
      <c r="AU1" s="122" t="s">
        <v>157</v>
      </c>
      <c r="AV1" s="122" t="s">
        <v>158</v>
      </c>
      <c r="AW1" s="122" t="s">
        <v>159</v>
      </c>
      <c r="AX1" s="122" t="s">
        <v>160</v>
      </c>
      <c r="AY1" s="122" t="s">
        <v>161</v>
      </c>
      <c r="AZ1" s="122" t="s">
        <v>162</v>
      </c>
      <c r="BA1" s="122" t="s">
        <v>163</v>
      </c>
      <c r="BB1" s="122" t="s">
        <v>164</v>
      </c>
      <c r="BC1" s="122" t="s">
        <v>3112</v>
      </c>
      <c r="BD1" s="122" t="s">
        <v>3133</v>
      </c>
      <c r="BE1" s="122" t="s">
        <v>3134</v>
      </c>
    </row>
    <row r="2" spans="1:57" ht="12.95" customHeight="1">
      <c r="A2" s="124">
        <v>15</v>
      </c>
      <c r="B2" s="124">
        <v>3161</v>
      </c>
      <c r="C2" s="99" t="s">
        <v>165</v>
      </c>
      <c r="D2" s="99" t="s">
        <v>166</v>
      </c>
      <c r="E2" s="99" t="s">
        <v>167</v>
      </c>
      <c r="F2" s="99" t="s">
        <v>2790</v>
      </c>
      <c r="G2" s="99" t="s">
        <v>167</v>
      </c>
      <c r="H2" s="99" t="s">
        <v>3406</v>
      </c>
      <c r="I2" s="99" t="s">
        <v>2791</v>
      </c>
      <c r="J2" s="99" t="s">
        <v>1723</v>
      </c>
      <c r="K2" s="99" t="s">
        <v>797</v>
      </c>
      <c r="L2" s="99" t="s">
        <v>3357</v>
      </c>
      <c r="M2" s="99" t="s">
        <v>1</v>
      </c>
      <c r="N2" s="99" t="s">
        <v>3407</v>
      </c>
      <c r="O2" s="99" t="s">
        <v>114</v>
      </c>
      <c r="P2" s="99" t="s">
        <v>3408</v>
      </c>
      <c r="Q2" s="99" t="s">
        <v>169</v>
      </c>
      <c r="R2" s="99" t="s">
        <v>3409</v>
      </c>
      <c r="S2" s="99" t="s">
        <v>2636</v>
      </c>
      <c r="T2" s="99" t="s">
        <v>48</v>
      </c>
      <c r="U2" s="99" t="s">
        <v>170</v>
      </c>
      <c r="V2" s="99" t="s">
        <v>171</v>
      </c>
      <c r="W2" s="99" t="s">
        <v>3408</v>
      </c>
      <c r="X2" s="99" t="s">
        <v>3408</v>
      </c>
      <c r="Y2" s="99" t="s">
        <v>3410</v>
      </c>
      <c r="Z2" s="99" t="s">
        <v>172</v>
      </c>
      <c r="AA2" s="99" t="s">
        <v>173</v>
      </c>
      <c r="AB2" s="99" t="s">
        <v>316</v>
      </c>
      <c r="AC2" s="99" t="s">
        <v>3411</v>
      </c>
      <c r="AD2" s="99" t="s">
        <v>175</v>
      </c>
      <c r="AE2" s="99" t="s">
        <v>3411</v>
      </c>
      <c r="AF2" s="99" t="s">
        <v>3411</v>
      </c>
      <c r="AG2" s="124">
        <v>3161</v>
      </c>
      <c r="AH2" s="99" t="s">
        <v>3413</v>
      </c>
      <c r="AI2" s="125">
        <v>100</v>
      </c>
      <c r="AJ2" s="99" t="s">
        <v>176</v>
      </c>
      <c r="AK2" s="99" t="s">
        <v>3408</v>
      </c>
      <c r="AL2" s="99" t="s">
        <v>3411</v>
      </c>
      <c r="AM2" s="99" t="s">
        <v>177</v>
      </c>
      <c r="AN2" s="99" t="s">
        <v>3411</v>
      </c>
      <c r="AO2" s="99" t="s">
        <v>412</v>
      </c>
      <c r="AP2" s="99" t="s">
        <v>2570</v>
      </c>
      <c r="AQ2" s="99" t="s">
        <v>3411</v>
      </c>
      <c r="AR2" s="99" t="s">
        <v>3411</v>
      </c>
      <c r="AS2" s="99" t="s">
        <v>3358</v>
      </c>
      <c r="AT2" s="99" t="s">
        <v>1</v>
      </c>
      <c r="AU2" s="99" t="s">
        <v>179</v>
      </c>
      <c r="AV2" s="99" t="s">
        <v>3414</v>
      </c>
      <c r="AW2" s="99" t="s">
        <v>180</v>
      </c>
      <c r="AX2" s="99" t="s">
        <v>3415</v>
      </c>
      <c r="AY2" s="99" t="s">
        <v>252</v>
      </c>
      <c r="AZ2" s="99" t="s">
        <v>3416</v>
      </c>
      <c r="BA2" s="99" t="s">
        <v>3417</v>
      </c>
      <c r="BB2" s="99" t="s">
        <v>3097</v>
      </c>
      <c r="BC2" s="125">
        <v>45</v>
      </c>
      <c r="BD2" s="99" t="s">
        <v>3135</v>
      </c>
      <c r="BE2" s="99" t="s">
        <v>3136</v>
      </c>
    </row>
    <row r="3" spans="1:57" ht="12.95" customHeight="1">
      <c r="A3" s="124">
        <v>15</v>
      </c>
      <c r="B3" s="124">
        <v>3100</v>
      </c>
      <c r="C3" s="99" t="s">
        <v>165</v>
      </c>
      <c r="D3" s="99" t="s">
        <v>166</v>
      </c>
      <c r="E3" s="99" t="s">
        <v>167</v>
      </c>
      <c r="F3" s="99" t="s">
        <v>2790</v>
      </c>
      <c r="G3" s="99" t="s">
        <v>167</v>
      </c>
      <c r="H3" s="99" t="s">
        <v>3406</v>
      </c>
      <c r="I3" s="99" t="s">
        <v>2791</v>
      </c>
      <c r="J3" s="99" t="s">
        <v>2995</v>
      </c>
      <c r="K3" s="99" t="s">
        <v>2996</v>
      </c>
      <c r="L3" s="99" t="s">
        <v>2997</v>
      </c>
      <c r="M3" s="99" t="s">
        <v>1</v>
      </c>
      <c r="N3" s="99" t="s">
        <v>3407</v>
      </c>
      <c r="O3" s="99" t="s">
        <v>114</v>
      </c>
      <c r="P3" s="99" t="s">
        <v>3418</v>
      </c>
      <c r="Q3" s="99" t="s">
        <v>169</v>
      </c>
      <c r="R3" s="99" t="s">
        <v>3409</v>
      </c>
      <c r="S3" s="99" t="s">
        <v>2636</v>
      </c>
      <c r="T3" s="99" t="s">
        <v>48</v>
      </c>
      <c r="U3" s="99" t="s">
        <v>170</v>
      </c>
      <c r="V3" s="99" t="s">
        <v>171</v>
      </c>
      <c r="W3" s="99" t="s">
        <v>3418</v>
      </c>
      <c r="X3" s="99" t="s">
        <v>3418</v>
      </c>
      <c r="Y3" s="99" t="s">
        <v>3419</v>
      </c>
      <c r="Z3" s="99" t="s">
        <v>172</v>
      </c>
      <c r="AA3" s="99" t="s">
        <v>173</v>
      </c>
      <c r="AB3" s="99" t="s">
        <v>174</v>
      </c>
      <c r="AC3" s="99" t="s">
        <v>3411</v>
      </c>
      <c r="AD3" s="99" t="s">
        <v>175</v>
      </c>
      <c r="AE3" s="99" t="s">
        <v>3411</v>
      </c>
      <c r="AF3" s="99" t="s">
        <v>3411</v>
      </c>
      <c r="AG3" s="124">
        <v>3100</v>
      </c>
      <c r="AH3" s="99" t="s">
        <v>3413</v>
      </c>
      <c r="AI3" s="125">
        <v>100</v>
      </c>
      <c r="AJ3" s="99" t="s">
        <v>176</v>
      </c>
      <c r="AK3" s="99" t="s">
        <v>3418</v>
      </c>
      <c r="AL3" s="99" t="s">
        <v>3411</v>
      </c>
      <c r="AM3" s="99" t="s">
        <v>177</v>
      </c>
      <c r="AN3" s="99" t="s">
        <v>3411</v>
      </c>
      <c r="AO3" s="99" t="s">
        <v>412</v>
      </c>
      <c r="AP3" s="99" t="s">
        <v>2570</v>
      </c>
      <c r="AQ3" s="99" t="s">
        <v>3411</v>
      </c>
      <c r="AR3" s="99" t="s">
        <v>3411</v>
      </c>
      <c r="AS3" s="99" t="s">
        <v>2998</v>
      </c>
      <c r="AT3" s="99" t="s">
        <v>1</v>
      </c>
      <c r="AU3" s="99" t="s">
        <v>179</v>
      </c>
      <c r="AV3" s="99" t="s">
        <v>3414</v>
      </c>
      <c r="AW3" s="99" t="s">
        <v>180</v>
      </c>
      <c r="AX3" s="99" t="s">
        <v>3420</v>
      </c>
      <c r="AY3" s="99" t="s">
        <v>252</v>
      </c>
      <c r="AZ3" s="99" t="s">
        <v>3416</v>
      </c>
      <c r="BA3" s="99" t="s">
        <v>3421</v>
      </c>
      <c r="BB3" s="99" t="s">
        <v>381</v>
      </c>
      <c r="BC3" s="125">
        <v>35</v>
      </c>
      <c r="BD3" s="99" t="s">
        <v>3135</v>
      </c>
      <c r="BE3" s="99" t="s">
        <v>3136</v>
      </c>
    </row>
    <row r="4" spans="1:57" ht="12.95" customHeight="1">
      <c r="A4" s="124">
        <v>15</v>
      </c>
      <c r="B4" s="124">
        <v>1663</v>
      </c>
      <c r="C4" s="99" t="s">
        <v>165</v>
      </c>
      <c r="D4" s="99" t="s">
        <v>166</v>
      </c>
      <c r="E4" s="99" t="s">
        <v>167</v>
      </c>
      <c r="F4" s="99" t="s">
        <v>2790</v>
      </c>
      <c r="G4" s="99" t="s">
        <v>167</v>
      </c>
      <c r="H4" s="99" t="s">
        <v>3406</v>
      </c>
      <c r="I4" s="99" t="s">
        <v>2791</v>
      </c>
      <c r="J4" s="99" t="s">
        <v>2792</v>
      </c>
      <c r="K4" s="99" t="s">
        <v>168</v>
      </c>
      <c r="L4" s="99" t="s">
        <v>2793</v>
      </c>
      <c r="M4" s="99" t="s">
        <v>1</v>
      </c>
      <c r="N4" s="99" t="s">
        <v>3407</v>
      </c>
      <c r="O4" s="99" t="s">
        <v>114</v>
      </c>
      <c r="P4" s="99" t="s">
        <v>3422</v>
      </c>
      <c r="Q4" s="99" t="s">
        <v>169</v>
      </c>
      <c r="R4" s="99" t="s">
        <v>3409</v>
      </c>
      <c r="S4" s="99" t="s">
        <v>2636</v>
      </c>
      <c r="T4" s="99" t="s">
        <v>48</v>
      </c>
      <c r="U4" s="99" t="s">
        <v>170</v>
      </c>
      <c r="V4" s="99" t="s">
        <v>171</v>
      </c>
      <c r="W4" s="99" t="s">
        <v>3423</v>
      </c>
      <c r="X4" s="99" t="s">
        <v>3423</v>
      </c>
      <c r="Y4" s="99" t="s">
        <v>3424</v>
      </c>
      <c r="Z4" s="99" t="s">
        <v>172</v>
      </c>
      <c r="AA4" s="99" t="s">
        <v>173</v>
      </c>
      <c r="AB4" s="99" t="s">
        <v>174</v>
      </c>
      <c r="AC4" s="99" t="s">
        <v>3411</v>
      </c>
      <c r="AD4" s="99" t="s">
        <v>175</v>
      </c>
      <c r="AE4" s="99" t="s">
        <v>3411</v>
      </c>
      <c r="AF4" s="99" t="s">
        <v>3411</v>
      </c>
      <c r="AG4" s="124">
        <v>1324</v>
      </c>
      <c r="AH4" s="99" t="s">
        <v>3413</v>
      </c>
      <c r="AI4" s="125">
        <v>100</v>
      </c>
      <c r="AJ4" s="99" t="s">
        <v>176</v>
      </c>
      <c r="AK4" s="99" t="s">
        <v>3423</v>
      </c>
      <c r="AL4" s="99" t="s">
        <v>3411</v>
      </c>
      <c r="AM4" s="99" t="s">
        <v>177</v>
      </c>
      <c r="AN4" s="99" t="s">
        <v>3411</v>
      </c>
      <c r="AO4" s="99" t="s">
        <v>178</v>
      </c>
      <c r="AP4" s="99" t="s">
        <v>2570</v>
      </c>
      <c r="AQ4" s="99" t="s">
        <v>3411</v>
      </c>
      <c r="AR4" s="99" t="s">
        <v>3411</v>
      </c>
      <c r="AS4" s="99" t="s">
        <v>2794</v>
      </c>
      <c r="AT4" s="99" t="s">
        <v>1</v>
      </c>
      <c r="AU4" s="99" t="s">
        <v>179</v>
      </c>
      <c r="AV4" s="99" t="s">
        <v>3414</v>
      </c>
      <c r="AW4" s="99" t="s">
        <v>180</v>
      </c>
      <c r="AX4" s="99" t="s">
        <v>3420</v>
      </c>
      <c r="AY4" s="99" t="s">
        <v>252</v>
      </c>
      <c r="AZ4" s="99" t="s">
        <v>3416</v>
      </c>
      <c r="BA4" s="99" t="s">
        <v>3421</v>
      </c>
      <c r="BB4" s="99" t="s">
        <v>381</v>
      </c>
      <c r="BC4" s="125">
        <v>58</v>
      </c>
      <c r="BD4" s="99" t="s">
        <v>3135</v>
      </c>
      <c r="BE4" s="99" t="s">
        <v>3136</v>
      </c>
    </row>
    <row r="5" spans="1:57" ht="12.95" customHeight="1">
      <c r="A5" s="124">
        <v>15</v>
      </c>
      <c r="B5" s="124">
        <v>3164</v>
      </c>
      <c r="C5" s="99" t="s">
        <v>165</v>
      </c>
      <c r="D5" s="99" t="s">
        <v>166</v>
      </c>
      <c r="E5" s="99" t="s">
        <v>167</v>
      </c>
      <c r="F5" s="99" t="s">
        <v>181</v>
      </c>
      <c r="G5" s="99" t="s">
        <v>182</v>
      </c>
      <c r="H5" s="99" t="s">
        <v>3425</v>
      </c>
      <c r="I5" s="99" t="s">
        <v>183</v>
      </c>
      <c r="J5" s="99" t="s">
        <v>1439</v>
      </c>
      <c r="K5" s="99" t="s">
        <v>2996</v>
      </c>
      <c r="L5" s="99" t="s">
        <v>3376</v>
      </c>
      <c r="M5" s="99" t="s">
        <v>1</v>
      </c>
      <c r="N5" s="99" t="s">
        <v>3407</v>
      </c>
      <c r="O5" s="99" t="s">
        <v>114</v>
      </c>
      <c r="P5" s="99" t="s">
        <v>3426</v>
      </c>
      <c r="Q5" s="99" t="s">
        <v>169</v>
      </c>
      <c r="R5" s="99" t="s">
        <v>3427</v>
      </c>
      <c r="S5" s="99" t="s">
        <v>2635</v>
      </c>
      <c r="T5" s="99" t="s">
        <v>58</v>
      </c>
      <c r="U5" s="99" t="s">
        <v>187</v>
      </c>
      <c r="V5" s="99" t="s">
        <v>188</v>
      </c>
      <c r="W5" s="99" t="s">
        <v>3426</v>
      </c>
      <c r="X5" s="99" t="s">
        <v>3426</v>
      </c>
      <c r="Y5" s="99" t="s">
        <v>3428</v>
      </c>
      <c r="Z5" s="99" t="s">
        <v>172</v>
      </c>
      <c r="AA5" s="99" t="s">
        <v>173</v>
      </c>
      <c r="AB5" s="99" t="s">
        <v>174</v>
      </c>
      <c r="AC5" s="99" t="s">
        <v>3411</v>
      </c>
      <c r="AD5" s="99" t="s">
        <v>175</v>
      </c>
      <c r="AE5" s="99" t="s">
        <v>3411</v>
      </c>
      <c r="AF5" s="99" t="s">
        <v>3411</v>
      </c>
      <c r="AG5" s="124">
        <v>3164</v>
      </c>
      <c r="AH5" s="99" t="s">
        <v>3413</v>
      </c>
      <c r="AI5" s="125">
        <v>100</v>
      </c>
      <c r="AJ5" s="99" t="s">
        <v>176</v>
      </c>
      <c r="AK5" s="99" t="s">
        <v>3426</v>
      </c>
      <c r="AL5" s="99" t="s">
        <v>3411</v>
      </c>
      <c r="AM5" s="99" t="s">
        <v>177</v>
      </c>
      <c r="AN5" s="99" t="s">
        <v>3411</v>
      </c>
      <c r="AO5" s="99" t="s">
        <v>189</v>
      </c>
      <c r="AP5" s="99" t="s">
        <v>2570</v>
      </c>
      <c r="AQ5" s="99" t="s">
        <v>3411</v>
      </c>
      <c r="AR5" s="99" t="s">
        <v>3411</v>
      </c>
      <c r="AS5" s="99" t="s">
        <v>3377</v>
      </c>
      <c r="AT5" s="99" t="s">
        <v>190</v>
      </c>
      <c r="AU5" s="99" t="s">
        <v>191</v>
      </c>
      <c r="AV5" s="99" t="s">
        <v>3414</v>
      </c>
      <c r="AW5" s="99" t="s">
        <v>180</v>
      </c>
      <c r="AX5" s="99" t="s">
        <v>3429</v>
      </c>
      <c r="AY5" s="99" t="s">
        <v>252</v>
      </c>
      <c r="AZ5" s="99" t="s">
        <v>3430</v>
      </c>
      <c r="BA5" s="99" t="s">
        <v>520</v>
      </c>
      <c r="BB5" s="99" t="s">
        <v>3411</v>
      </c>
      <c r="BC5" s="125">
        <v>43</v>
      </c>
      <c r="BD5" s="99" t="s">
        <v>3135</v>
      </c>
      <c r="BE5" s="99" t="s">
        <v>3136</v>
      </c>
    </row>
    <row r="6" spans="1:57" ht="12.95" customHeight="1">
      <c r="A6" s="124">
        <v>15</v>
      </c>
      <c r="B6" s="124">
        <v>2199</v>
      </c>
      <c r="C6" s="99" t="s">
        <v>165</v>
      </c>
      <c r="D6" s="99" t="s">
        <v>192</v>
      </c>
      <c r="E6" s="99" t="s">
        <v>2886</v>
      </c>
      <c r="F6" s="99" t="s">
        <v>379</v>
      </c>
      <c r="G6" s="99" t="s">
        <v>3169</v>
      </c>
      <c r="H6" s="99" t="s">
        <v>380</v>
      </c>
      <c r="I6" s="99" t="s">
        <v>3216</v>
      </c>
      <c r="J6" s="99" t="s">
        <v>382</v>
      </c>
      <c r="K6" s="99" t="s">
        <v>196</v>
      </c>
      <c r="L6" s="99" t="s">
        <v>383</v>
      </c>
      <c r="M6" s="99" t="s">
        <v>1</v>
      </c>
      <c r="N6" s="99" t="s">
        <v>3407</v>
      </c>
      <c r="O6" s="99" t="s">
        <v>114</v>
      </c>
      <c r="P6" s="99" t="s">
        <v>3422</v>
      </c>
      <c r="Q6" s="99" t="s">
        <v>169</v>
      </c>
      <c r="R6" s="99" t="s">
        <v>198</v>
      </c>
      <c r="S6" s="99" t="s">
        <v>2637</v>
      </c>
      <c r="T6" s="99" t="s">
        <v>52</v>
      </c>
      <c r="U6" s="99" t="s">
        <v>205</v>
      </c>
      <c r="V6" s="99" t="s">
        <v>206</v>
      </c>
      <c r="W6" s="99" t="s">
        <v>3432</v>
      </c>
      <c r="X6" s="99" t="s">
        <v>3432</v>
      </c>
      <c r="Y6" s="99" t="s">
        <v>3433</v>
      </c>
      <c r="Z6" s="99" t="s">
        <v>172</v>
      </c>
      <c r="AA6" s="99" t="s">
        <v>173</v>
      </c>
      <c r="AB6" s="99" t="s">
        <v>174</v>
      </c>
      <c r="AC6" s="99" t="s">
        <v>3411</v>
      </c>
      <c r="AD6" s="99" t="s">
        <v>175</v>
      </c>
      <c r="AE6" s="99" t="s">
        <v>3411</v>
      </c>
      <c r="AF6" s="99" t="s">
        <v>3411</v>
      </c>
      <c r="AG6" s="124">
        <v>1651</v>
      </c>
      <c r="AH6" s="99" t="s">
        <v>3413</v>
      </c>
      <c r="AI6" s="125">
        <v>100</v>
      </c>
      <c r="AJ6" s="99" t="s">
        <v>176</v>
      </c>
      <c r="AK6" s="99" t="s">
        <v>3432</v>
      </c>
      <c r="AL6" s="99" t="s">
        <v>3411</v>
      </c>
      <c r="AM6" s="99" t="s">
        <v>177</v>
      </c>
      <c r="AN6" s="99" t="s">
        <v>3411</v>
      </c>
      <c r="AO6" s="99" t="s">
        <v>200</v>
      </c>
      <c r="AP6" s="99" t="s">
        <v>2570</v>
      </c>
      <c r="AQ6" s="99" t="s">
        <v>3411</v>
      </c>
      <c r="AR6" s="99" t="s">
        <v>3411</v>
      </c>
      <c r="AS6" s="99" t="s">
        <v>384</v>
      </c>
      <c r="AT6" s="99" t="s">
        <v>1</v>
      </c>
      <c r="AU6" s="99" t="s">
        <v>179</v>
      </c>
      <c r="AV6" s="99" t="s">
        <v>3414</v>
      </c>
      <c r="AW6" s="99" t="s">
        <v>180</v>
      </c>
      <c r="AX6" s="99" t="s">
        <v>3420</v>
      </c>
      <c r="AY6" s="99" t="s">
        <v>252</v>
      </c>
      <c r="AZ6" s="99" t="s">
        <v>3416</v>
      </c>
      <c r="BA6" s="99" t="s">
        <v>3417</v>
      </c>
      <c r="BB6" s="99" t="s">
        <v>3097</v>
      </c>
      <c r="BC6" s="125">
        <v>52</v>
      </c>
      <c r="BD6" s="99" t="s">
        <v>3135</v>
      </c>
      <c r="BE6" s="99" t="s">
        <v>3136</v>
      </c>
    </row>
    <row r="7" spans="1:57" ht="12.95" customHeight="1">
      <c r="A7" s="124">
        <v>15</v>
      </c>
      <c r="B7" s="124">
        <v>2685</v>
      </c>
      <c r="C7" s="99" t="s">
        <v>165</v>
      </c>
      <c r="D7" s="99" t="s">
        <v>192</v>
      </c>
      <c r="E7" s="99" t="s">
        <v>2886</v>
      </c>
      <c r="F7" s="99" t="s">
        <v>2778</v>
      </c>
      <c r="G7" s="99" t="s">
        <v>3170</v>
      </c>
      <c r="H7" s="99" t="s">
        <v>193</v>
      </c>
      <c r="I7" s="99" t="s">
        <v>194</v>
      </c>
      <c r="J7" s="99" t="s">
        <v>195</v>
      </c>
      <c r="K7" s="99" t="s">
        <v>196</v>
      </c>
      <c r="L7" s="99" t="s">
        <v>197</v>
      </c>
      <c r="M7" s="99" t="s">
        <v>1</v>
      </c>
      <c r="N7" s="99" t="s">
        <v>3407</v>
      </c>
      <c r="O7" s="99" t="s">
        <v>114</v>
      </c>
      <c r="P7" s="99" t="s">
        <v>3422</v>
      </c>
      <c r="Q7" s="99" t="s">
        <v>169</v>
      </c>
      <c r="R7" s="99" t="s">
        <v>198</v>
      </c>
      <c r="S7" s="99" t="s">
        <v>2637</v>
      </c>
      <c r="T7" s="99" t="s">
        <v>48</v>
      </c>
      <c r="U7" s="99" t="s">
        <v>3434</v>
      </c>
      <c r="V7" s="99" t="s">
        <v>199</v>
      </c>
      <c r="W7" s="99" t="s">
        <v>3435</v>
      </c>
      <c r="X7" s="99" t="s">
        <v>3436</v>
      </c>
      <c r="Y7" s="99" t="s">
        <v>3437</v>
      </c>
      <c r="Z7" s="99" t="s">
        <v>172</v>
      </c>
      <c r="AA7" s="99" t="s">
        <v>173</v>
      </c>
      <c r="AB7" s="99" t="s">
        <v>174</v>
      </c>
      <c r="AC7" s="99" t="s">
        <v>3411</v>
      </c>
      <c r="AD7" s="99" t="s">
        <v>175</v>
      </c>
      <c r="AE7" s="99" t="s">
        <v>3411</v>
      </c>
      <c r="AF7" s="99" t="s">
        <v>3411</v>
      </c>
      <c r="AG7" s="124">
        <v>2685</v>
      </c>
      <c r="AH7" s="99" t="s">
        <v>3413</v>
      </c>
      <c r="AI7" s="125">
        <v>100</v>
      </c>
      <c r="AJ7" s="99" t="s">
        <v>176</v>
      </c>
      <c r="AK7" s="99" t="s">
        <v>3436</v>
      </c>
      <c r="AL7" s="99" t="s">
        <v>3411</v>
      </c>
      <c r="AM7" s="99" t="s">
        <v>177</v>
      </c>
      <c r="AN7" s="99" t="s">
        <v>3411</v>
      </c>
      <c r="AO7" s="99" t="s">
        <v>200</v>
      </c>
      <c r="AP7" s="99" t="s">
        <v>2570</v>
      </c>
      <c r="AQ7" s="99" t="s">
        <v>3411</v>
      </c>
      <c r="AR7" s="99" t="s">
        <v>3411</v>
      </c>
      <c r="AS7" s="99" t="s">
        <v>201</v>
      </c>
      <c r="AT7" s="99" t="s">
        <v>1</v>
      </c>
      <c r="AU7" s="99" t="s">
        <v>179</v>
      </c>
      <c r="AV7" s="99" t="s">
        <v>3414</v>
      </c>
      <c r="AW7" s="99" t="s">
        <v>180</v>
      </c>
      <c r="AX7" s="99" t="s">
        <v>3420</v>
      </c>
      <c r="AY7" s="99" t="s">
        <v>252</v>
      </c>
      <c r="AZ7" s="99" t="s">
        <v>3416</v>
      </c>
      <c r="BA7" s="99" t="s">
        <v>3421</v>
      </c>
      <c r="BB7" s="99" t="s">
        <v>381</v>
      </c>
      <c r="BC7" s="125">
        <v>48</v>
      </c>
      <c r="BD7" s="99" t="s">
        <v>3135</v>
      </c>
      <c r="BE7" s="99" t="s">
        <v>3136</v>
      </c>
    </row>
    <row r="8" spans="1:57" ht="12.95" customHeight="1">
      <c r="A8" s="124">
        <v>15</v>
      </c>
      <c r="B8" s="124">
        <v>2687</v>
      </c>
      <c r="C8" s="99" t="s">
        <v>165</v>
      </c>
      <c r="D8" s="99" t="s">
        <v>192</v>
      </c>
      <c r="E8" s="99" t="s">
        <v>2886</v>
      </c>
      <c r="F8" s="99" t="s">
        <v>2778</v>
      </c>
      <c r="G8" s="99" t="s">
        <v>3170</v>
      </c>
      <c r="H8" s="99" t="s">
        <v>193</v>
      </c>
      <c r="I8" s="99" t="s">
        <v>194</v>
      </c>
      <c r="J8" s="99" t="s">
        <v>202</v>
      </c>
      <c r="K8" s="99" t="s">
        <v>203</v>
      </c>
      <c r="L8" s="99" t="s">
        <v>204</v>
      </c>
      <c r="M8" s="99" t="s">
        <v>5</v>
      </c>
      <c r="N8" s="99" t="s">
        <v>3407</v>
      </c>
      <c r="O8" s="99" t="s">
        <v>114</v>
      </c>
      <c r="P8" s="99" t="s">
        <v>3422</v>
      </c>
      <c r="Q8" s="99" t="s">
        <v>169</v>
      </c>
      <c r="R8" s="99" t="s">
        <v>198</v>
      </c>
      <c r="S8" s="99" t="s">
        <v>2637</v>
      </c>
      <c r="T8" s="99" t="s">
        <v>52</v>
      </c>
      <c r="U8" s="99" t="s">
        <v>205</v>
      </c>
      <c r="V8" s="99" t="s">
        <v>206</v>
      </c>
      <c r="W8" s="99" t="s">
        <v>3435</v>
      </c>
      <c r="X8" s="99" t="s">
        <v>3438</v>
      </c>
      <c r="Y8" s="99" t="s">
        <v>3439</v>
      </c>
      <c r="Z8" s="99" t="s">
        <v>172</v>
      </c>
      <c r="AA8" s="99" t="s">
        <v>173</v>
      </c>
      <c r="AB8" s="99" t="s">
        <v>174</v>
      </c>
      <c r="AC8" s="99" t="s">
        <v>3411</v>
      </c>
      <c r="AD8" s="99" t="s">
        <v>175</v>
      </c>
      <c r="AE8" s="99" t="s">
        <v>3411</v>
      </c>
      <c r="AF8" s="99" t="s">
        <v>3411</v>
      </c>
      <c r="AG8" s="124">
        <v>2687</v>
      </c>
      <c r="AH8" s="99" t="s">
        <v>3413</v>
      </c>
      <c r="AI8" s="125">
        <v>100</v>
      </c>
      <c r="AJ8" s="99" t="s">
        <v>176</v>
      </c>
      <c r="AK8" s="99" t="s">
        <v>3411</v>
      </c>
      <c r="AL8" s="99" t="s">
        <v>3411</v>
      </c>
      <c r="AM8" s="99" t="s">
        <v>177</v>
      </c>
      <c r="AN8" s="99" t="s">
        <v>3411</v>
      </c>
      <c r="AO8" s="99" t="s">
        <v>200</v>
      </c>
      <c r="AP8" s="99" t="s">
        <v>2570</v>
      </c>
      <c r="AQ8" s="99" t="s">
        <v>3411</v>
      </c>
      <c r="AR8" s="99" t="s">
        <v>207</v>
      </c>
      <c r="AS8" s="99" t="s">
        <v>208</v>
      </c>
      <c r="AT8" s="99" t="s">
        <v>1</v>
      </c>
      <c r="AU8" s="99" t="s">
        <v>179</v>
      </c>
      <c r="AV8" s="99" t="s">
        <v>3414</v>
      </c>
      <c r="AW8" s="99" t="s">
        <v>180</v>
      </c>
      <c r="AX8" s="99" t="s">
        <v>3420</v>
      </c>
      <c r="AY8" s="99" t="s">
        <v>252</v>
      </c>
      <c r="AZ8" s="99" t="s">
        <v>3416</v>
      </c>
      <c r="BA8" s="99" t="s">
        <v>3421</v>
      </c>
      <c r="BB8" s="99" t="s">
        <v>381</v>
      </c>
      <c r="BC8" s="125">
        <v>64</v>
      </c>
      <c r="BD8" s="99" t="s">
        <v>3135</v>
      </c>
      <c r="BE8" s="99" t="s">
        <v>3136</v>
      </c>
    </row>
    <row r="9" spans="1:57" ht="12.95" customHeight="1">
      <c r="A9" s="124">
        <v>15</v>
      </c>
      <c r="B9" s="124">
        <v>687</v>
      </c>
      <c r="C9" s="99" t="s">
        <v>165</v>
      </c>
      <c r="D9" s="99" t="s">
        <v>192</v>
      </c>
      <c r="E9" s="99" t="s">
        <v>2886</v>
      </c>
      <c r="F9" s="99" t="s">
        <v>2778</v>
      </c>
      <c r="G9" s="99" t="s">
        <v>3170</v>
      </c>
      <c r="H9" s="99" t="s">
        <v>193</v>
      </c>
      <c r="I9" s="99" t="s">
        <v>194</v>
      </c>
      <c r="J9" s="99" t="s">
        <v>211</v>
      </c>
      <c r="K9" s="99" t="s">
        <v>212</v>
      </c>
      <c r="L9" s="99" t="s">
        <v>213</v>
      </c>
      <c r="M9" s="99" t="s">
        <v>1</v>
      </c>
      <c r="N9" s="99" t="s">
        <v>3407</v>
      </c>
      <c r="O9" s="99" t="s">
        <v>114</v>
      </c>
      <c r="P9" s="99" t="s">
        <v>3422</v>
      </c>
      <c r="Q9" s="99" t="s">
        <v>169</v>
      </c>
      <c r="R9" s="99" t="s">
        <v>198</v>
      </c>
      <c r="S9" s="99" t="s">
        <v>2637</v>
      </c>
      <c r="T9" s="99" t="s">
        <v>48</v>
      </c>
      <c r="U9" s="99" t="s">
        <v>3434</v>
      </c>
      <c r="V9" s="99" t="s">
        <v>199</v>
      </c>
      <c r="W9" s="99" t="s">
        <v>3440</v>
      </c>
      <c r="X9" s="99" t="s">
        <v>3441</v>
      </c>
      <c r="Y9" s="99" t="s">
        <v>3442</v>
      </c>
      <c r="Z9" s="99" t="s">
        <v>172</v>
      </c>
      <c r="AA9" s="99" t="s">
        <v>173</v>
      </c>
      <c r="AB9" s="99" t="s">
        <v>174</v>
      </c>
      <c r="AC9" s="99" t="s">
        <v>3411</v>
      </c>
      <c r="AD9" s="99" t="s">
        <v>175</v>
      </c>
      <c r="AE9" s="99" t="s">
        <v>3411</v>
      </c>
      <c r="AF9" s="99" t="s">
        <v>3411</v>
      </c>
      <c r="AG9" s="124">
        <v>505</v>
      </c>
      <c r="AH9" s="99" t="s">
        <v>3413</v>
      </c>
      <c r="AI9" s="125">
        <v>100</v>
      </c>
      <c r="AJ9" s="99" t="s">
        <v>176</v>
      </c>
      <c r="AK9" s="99" t="s">
        <v>3443</v>
      </c>
      <c r="AL9" s="99" t="s">
        <v>3411</v>
      </c>
      <c r="AM9" s="99" t="s">
        <v>177</v>
      </c>
      <c r="AN9" s="99" t="s">
        <v>3411</v>
      </c>
      <c r="AO9" s="99" t="s">
        <v>200</v>
      </c>
      <c r="AP9" s="99" t="s">
        <v>2570</v>
      </c>
      <c r="AQ9" s="99" t="s">
        <v>3411</v>
      </c>
      <c r="AR9" s="99" t="s">
        <v>3411</v>
      </c>
      <c r="AS9" s="99" t="s">
        <v>215</v>
      </c>
      <c r="AT9" s="99" t="s">
        <v>1</v>
      </c>
      <c r="AU9" s="99" t="s">
        <v>179</v>
      </c>
      <c r="AV9" s="99" t="s">
        <v>3414</v>
      </c>
      <c r="AW9" s="99" t="s">
        <v>180</v>
      </c>
      <c r="AX9" s="99" t="s">
        <v>3420</v>
      </c>
      <c r="AY9" s="99" t="s">
        <v>252</v>
      </c>
      <c r="AZ9" s="99" t="s">
        <v>3416</v>
      </c>
      <c r="BA9" s="99" t="s">
        <v>3421</v>
      </c>
      <c r="BB9" s="99" t="s">
        <v>381</v>
      </c>
      <c r="BC9" s="125">
        <v>57</v>
      </c>
      <c r="BD9" s="99" t="s">
        <v>3135</v>
      </c>
      <c r="BE9" s="99" t="s">
        <v>3136</v>
      </c>
    </row>
    <row r="10" spans="1:57" ht="12.95" customHeight="1">
      <c r="A10" s="124">
        <v>15</v>
      </c>
      <c r="B10" s="124">
        <v>2916</v>
      </c>
      <c r="C10" s="99" t="s">
        <v>165</v>
      </c>
      <c r="D10" s="99" t="s">
        <v>192</v>
      </c>
      <c r="E10" s="99" t="s">
        <v>2886</v>
      </c>
      <c r="F10" s="99" t="s">
        <v>2778</v>
      </c>
      <c r="G10" s="99" t="s">
        <v>3170</v>
      </c>
      <c r="H10" s="99" t="s">
        <v>216</v>
      </c>
      <c r="I10" s="99" t="s">
        <v>217</v>
      </c>
      <c r="J10" s="99" t="s">
        <v>218</v>
      </c>
      <c r="K10" s="99" t="s">
        <v>219</v>
      </c>
      <c r="L10" s="99" t="s">
        <v>220</v>
      </c>
      <c r="M10" s="99" t="s">
        <v>5</v>
      </c>
      <c r="N10" s="99" t="s">
        <v>3407</v>
      </c>
      <c r="O10" s="99" t="s">
        <v>114</v>
      </c>
      <c r="P10" s="99" t="s">
        <v>3422</v>
      </c>
      <c r="Q10" s="99" t="s">
        <v>169</v>
      </c>
      <c r="R10" s="99" t="s">
        <v>198</v>
      </c>
      <c r="S10" s="99" t="s">
        <v>2637</v>
      </c>
      <c r="T10" s="99" t="s">
        <v>48</v>
      </c>
      <c r="U10" s="99" t="s">
        <v>3444</v>
      </c>
      <c r="V10" s="99" t="s">
        <v>221</v>
      </c>
      <c r="W10" s="99" t="s">
        <v>3445</v>
      </c>
      <c r="X10" s="99" t="s">
        <v>3445</v>
      </c>
      <c r="Y10" s="99" t="s">
        <v>3446</v>
      </c>
      <c r="Z10" s="99" t="s">
        <v>172</v>
      </c>
      <c r="AA10" s="99" t="s">
        <v>173</v>
      </c>
      <c r="AB10" s="99" t="s">
        <v>174</v>
      </c>
      <c r="AC10" s="99" t="s">
        <v>3411</v>
      </c>
      <c r="AD10" s="99" t="s">
        <v>175</v>
      </c>
      <c r="AE10" s="99" t="s">
        <v>3411</v>
      </c>
      <c r="AF10" s="99" t="s">
        <v>3411</v>
      </c>
      <c r="AG10" s="124">
        <v>2916</v>
      </c>
      <c r="AH10" s="99" t="s">
        <v>3413</v>
      </c>
      <c r="AI10" s="125">
        <v>100</v>
      </c>
      <c r="AJ10" s="99" t="s">
        <v>176</v>
      </c>
      <c r="AK10" s="99" t="s">
        <v>3445</v>
      </c>
      <c r="AL10" s="99" t="s">
        <v>3411</v>
      </c>
      <c r="AM10" s="99" t="s">
        <v>177</v>
      </c>
      <c r="AN10" s="99" t="s">
        <v>3411</v>
      </c>
      <c r="AO10" s="99" t="s">
        <v>200</v>
      </c>
      <c r="AP10" s="99" t="s">
        <v>2570</v>
      </c>
      <c r="AQ10" s="99" t="s">
        <v>3411</v>
      </c>
      <c r="AR10" s="99" t="s">
        <v>3411</v>
      </c>
      <c r="AS10" s="99" t="s">
        <v>222</v>
      </c>
      <c r="AT10" s="99" t="s">
        <v>1</v>
      </c>
      <c r="AU10" s="99" t="s">
        <v>179</v>
      </c>
      <c r="AV10" s="99" t="s">
        <v>3414</v>
      </c>
      <c r="AW10" s="99" t="s">
        <v>180</v>
      </c>
      <c r="AX10" s="99" t="s">
        <v>3420</v>
      </c>
      <c r="AY10" s="99" t="s">
        <v>252</v>
      </c>
      <c r="AZ10" s="99" t="s">
        <v>3416</v>
      </c>
      <c r="BA10" s="99" t="s">
        <v>3421</v>
      </c>
      <c r="BB10" s="99" t="s">
        <v>381</v>
      </c>
      <c r="BC10" s="125">
        <v>60</v>
      </c>
      <c r="BD10" s="99" t="s">
        <v>3135</v>
      </c>
      <c r="BE10" s="99" t="s">
        <v>3136</v>
      </c>
    </row>
    <row r="11" spans="1:57" ht="12.95" customHeight="1">
      <c r="A11" s="124">
        <v>15</v>
      </c>
      <c r="B11" s="124">
        <v>2917</v>
      </c>
      <c r="C11" s="99" t="s">
        <v>165</v>
      </c>
      <c r="D11" s="99" t="s">
        <v>192</v>
      </c>
      <c r="E11" s="99" t="s">
        <v>2886</v>
      </c>
      <c r="F11" s="99" t="s">
        <v>2778</v>
      </c>
      <c r="G11" s="99" t="s">
        <v>3170</v>
      </c>
      <c r="H11" s="99" t="s">
        <v>216</v>
      </c>
      <c r="I11" s="99" t="s">
        <v>217</v>
      </c>
      <c r="J11" s="99" t="s">
        <v>223</v>
      </c>
      <c r="K11" s="99" t="s">
        <v>224</v>
      </c>
      <c r="L11" s="99" t="s">
        <v>225</v>
      </c>
      <c r="M11" s="99" t="s">
        <v>5</v>
      </c>
      <c r="N11" s="99" t="s">
        <v>3407</v>
      </c>
      <c r="O11" s="99" t="s">
        <v>114</v>
      </c>
      <c r="P11" s="99" t="s">
        <v>3422</v>
      </c>
      <c r="Q11" s="99" t="s">
        <v>169</v>
      </c>
      <c r="R11" s="99" t="s">
        <v>198</v>
      </c>
      <c r="S11" s="99" t="s">
        <v>2637</v>
      </c>
      <c r="T11" s="99" t="s">
        <v>48</v>
      </c>
      <c r="U11" s="99" t="s">
        <v>3444</v>
      </c>
      <c r="V11" s="99" t="s">
        <v>221</v>
      </c>
      <c r="W11" s="99" t="s">
        <v>3445</v>
      </c>
      <c r="X11" s="99" t="s">
        <v>3445</v>
      </c>
      <c r="Y11" s="99" t="s">
        <v>3447</v>
      </c>
      <c r="Z11" s="99" t="s">
        <v>172</v>
      </c>
      <c r="AA11" s="99" t="s">
        <v>173</v>
      </c>
      <c r="AB11" s="99" t="s">
        <v>174</v>
      </c>
      <c r="AC11" s="99" t="s">
        <v>3411</v>
      </c>
      <c r="AD11" s="99" t="s">
        <v>175</v>
      </c>
      <c r="AE11" s="99" t="s">
        <v>3411</v>
      </c>
      <c r="AF11" s="99" t="s">
        <v>3411</v>
      </c>
      <c r="AG11" s="124">
        <v>2917</v>
      </c>
      <c r="AH11" s="99" t="s">
        <v>3413</v>
      </c>
      <c r="AI11" s="125">
        <v>100</v>
      </c>
      <c r="AJ11" s="99" t="s">
        <v>176</v>
      </c>
      <c r="AK11" s="99" t="s">
        <v>3445</v>
      </c>
      <c r="AL11" s="99" t="s">
        <v>3411</v>
      </c>
      <c r="AM11" s="99" t="s">
        <v>177</v>
      </c>
      <c r="AN11" s="99" t="s">
        <v>3411</v>
      </c>
      <c r="AO11" s="99" t="s">
        <v>200</v>
      </c>
      <c r="AP11" s="99" t="s">
        <v>2570</v>
      </c>
      <c r="AQ11" s="99" t="s">
        <v>3411</v>
      </c>
      <c r="AR11" s="99" t="s">
        <v>3411</v>
      </c>
      <c r="AS11" s="99" t="s">
        <v>226</v>
      </c>
      <c r="AT11" s="99" t="s">
        <v>1</v>
      </c>
      <c r="AU11" s="99" t="s">
        <v>179</v>
      </c>
      <c r="AV11" s="99" t="s">
        <v>3414</v>
      </c>
      <c r="AW11" s="99" t="s">
        <v>180</v>
      </c>
      <c r="AX11" s="99" t="s">
        <v>3420</v>
      </c>
      <c r="AY11" s="99" t="s">
        <v>252</v>
      </c>
      <c r="AZ11" s="99" t="s">
        <v>3416</v>
      </c>
      <c r="BA11" s="99" t="s">
        <v>3421</v>
      </c>
      <c r="BB11" s="99" t="s">
        <v>381</v>
      </c>
      <c r="BC11" s="125">
        <v>59</v>
      </c>
      <c r="BD11" s="99" t="s">
        <v>3135</v>
      </c>
      <c r="BE11" s="99" t="s">
        <v>3136</v>
      </c>
    </row>
    <row r="12" spans="1:57" ht="12.95" customHeight="1">
      <c r="A12" s="124">
        <v>15</v>
      </c>
      <c r="B12" s="124">
        <v>2688</v>
      </c>
      <c r="C12" s="99" t="s">
        <v>165</v>
      </c>
      <c r="D12" s="99" t="s">
        <v>192</v>
      </c>
      <c r="E12" s="99" t="s">
        <v>2886</v>
      </c>
      <c r="F12" s="99" t="s">
        <v>2778</v>
      </c>
      <c r="G12" s="99" t="s">
        <v>3170</v>
      </c>
      <c r="H12" s="99" t="s">
        <v>333</v>
      </c>
      <c r="I12" s="99" t="s">
        <v>334</v>
      </c>
      <c r="J12" s="99" t="s">
        <v>335</v>
      </c>
      <c r="K12" s="99" t="s">
        <v>336</v>
      </c>
      <c r="L12" s="99" t="s">
        <v>337</v>
      </c>
      <c r="M12" s="99" t="s">
        <v>5</v>
      </c>
      <c r="N12" s="99" t="s">
        <v>3407</v>
      </c>
      <c r="O12" s="99" t="s">
        <v>114</v>
      </c>
      <c r="P12" s="99" t="s">
        <v>3422</v>
      </c>
      <c r="Q12" s="99" t="s">
        <v>169</v>
      </c>
      <c r="R12" s="99" t="s">
        <v>198</v>
      </c>
      <c r="S12" s="99" t="s">
        <v>2637</v>
      </c>
      <c r="T12" s="99" t="s">
        <v>48</v>
      </c>
      <c r="U12" s="99" t="s">
        <v>3434</v>
      </c>
      <c r="V12" s="99" t="s">
        <v>199</v>
      </c>
      <c r="W12" s="99" t="s">
        <v>3435</v>
      </c>
      <c r="X12" s="99" t="s">
        <v>3448</v>
      </c>
      <c r="Y12" s="99" t="s">
        <v>3449</v>
      </c>
      <c r="Z12" s="99" t="s">
        <v>172</v>
      </c>
      <c r="AA12" s="99" t="s">
        <v>173</v>
      </c>
      <c r="AB12" s="99" t="s">
        <v>174</v>
      </c>
      <c r="AC12" s="99" t="s">
        <v>3411</v>
      </c>
      <c r="AD12" s="99" t="s">
        <v>175</v>
      </c>
      <c r="AE12" s="99" t="s">
        <v>3411</v>
      </c>
      <c r="AF12" s="99" t="s">
        <v>3411</v>
      </c>
      <c r="AG12" s="124">
        <v>2688</v>
      </c>
      <c r="AH12" s="99" t="s">
        <v>3413</v>
      </c>
      <c r="AI12" s="125">
        <v>100</v>
      </c>
      <c r="AJ12" s="99" t="s">
        <v>176</v>
      </c>
      <c r="AK12" s="99" t="s">
        <v>3448</v>
      </c>
      <c r="AL12" s="99" t="s">
        <v>3411</v>
      </c>
      <c r="AM12" s="99" t="s">
        <v>177</v>
      </c>
      <c r="AN12" s="99" t="s">
        <v>3411</v>
      </c>
      <c r="AO12" s="99" t="s">
        <v>200</v>
      </c>
      <c r="AP12" s="99" t="s">
        <v>2570</v>
      </c>
      <c r="AQ12" s="99" t="s">
        <v>3411</v>
      </c>
      <c r="AR12" s="99" t="s">
        <v>3411</v>
      </c>
      <c r="AS12" s="99" t="s">
        <v>338</v>
      </c>
      <c r="AT12" s="99" t="s">
        <v>235</v>
      </c>
      <c r="AU12" s="99" t="s">
        <v>236</v>
      </c>
      <c r="AV12" s="99" t="s">
        <v>3414</v>
      </c>
      <c r="AW12" s="99" t="s">
        <v>180</v>
      </c>
      <c r="AX12" s="99" t="s">
        <v>3411</v>
      </c>
      <c r="AY12" s="99" t="s">
        <v>3411</v>
      </c>
      <c r="AZ12" s="99" t="s">
        <v>3411</v>
      </c>
      <c r="BA12" s="99" t="s">
        <v>3450</v>
      </c>
      <c r="BB12" s="99" t="s">
        <v>339</v>
      </c>
      <c r="BC12" s="125">
        <v>54</v>
      </c>
      <c r="BD12" s="99" t="s">
        <v>3135</v>
      </c>
      <c r="BE12" s="99" t="s">
        <v>3136</v>
      </c>
    </row>
    <row r="13" spans="1:57" ht="12.95" customHeight="1">
      <c r="A13" s="124">
        <v>15</v>
      </c>
      <c r="B13" s="124">
        <v>2690</v>
      </c>
      <c r="C13" s="99" t="s">
        <v>165</v>
      </c>
      <c r="D13" s="99" t="s">
        <v>192</v>
      </c>
      <c r="E13" s="99" t="s">
        <v>2886</v>
      </c>
      <c r="F13" s="99" t="s">
        <v>2778</v>
      </c>
      <c r="G13" s="99" t="s">
        <v>3170</v>
      </c>
      <c r="H13" s="99" t="s">
        <v>333</v>
      </c>
      <c r="I13" s="99" t="s">
        <v>334</v>
      </c>
      <c r="J13" s="99" t="s">
        <v>340</v>
      </c>
      <c r="K13" s="99" t="s">
        <v>341</v>
      </c>
      <c r="L13" s="99" t="s">
        <v>342</v>
      </c>
      <c r="M13" s="99" t="s">
        <v>1</v>
      </c>
      <c r="N13" s="99" t="s">
        <v>3407</v>
      </c>
      <c r="O13" s="99" t="s">
        <v>114</v>
      </c>
      <c r="P13" s="99" t="s">
        <v>3422</v>
      </c>
      <c r="Q13" s="99" t="s">
        <v>169</v>
      </c>
      <c r="R13" s="99" t="s">
        <v>198</v>
      </c>
      <c r="S13" s="99" t="s">
        <v>2637</v>
      </c>
      <c r="T13" s="99" t="s">
        <v>48</v>
      </c>
      <c r="U13" s="99" t="s">
        <v>3451</v>
      </c>
      <c r="V13" s="99" t="s">
        <v>241</v>
      </c>
      <c r="W13" s="99" t="s">
        <v>3435</v>
      </c>
      <c r="X13" s="99" t="s">
        <v>3452</v>
      </c>
      <c r="Y13" s="99" t="s">
        <v>3453</v>
      </c>
      <c r="Z13" s="99" t="s">
        <v>172</v>
      </c>
      <c r="AA13" s="99" t="s">
        <v>173</v>
      </c>
      <c r="AB13" s="99" t="s">
        <v>174</v>
      </c>
      <c r="AC13" s="99" t="s">
        <v>3411</v>
      </c>
      <c r="AD13" s="99" t="s">
        <v>175</v>
      </c>
      <c r="AE13" s="99" t="s">
        <v>3411</v>
      </c>
      <c r="AF13" s="99" t="s">
        <v>3411</v>
      </c>
      <c r="AG13" s="124">
        <v>2690</v>
      </c>
      <c r="AH13" s="99" t="s">
        <v>3413</v>
      </c>
      <c r="AI13" s="125">
        <v>100</v>
      </c>
      <c r="AJ13" s="99" t="s">
        <v>176</v>
      </c>
      <c r="AK13" s="99" t="s">
        <v>3452</v>
      </c>
      <c r="AL13" s="99" t="s">
        <v>3411</v>
      </c>
      <c r="AM13" s="99" t="s">
        <v>177</v>
      </c>
      <c r="AN13" s="99" t="s">
        <v>3411</v>
      </c>
      <c r="AO13" s="99" t="s">
        <v>200</v>
      </c>
      <c r="AP13" s="99" t="s">
        <v>2570</v>
      </c>
      <c r="AQ13" s="99" t="s">
        <v>3411</v>
      </c>
      <c r="AR13" s="99" t="s">
        <v>3411</v>
      </c>
      <c r="AS13" s="99" t="s">
        <v>343</v>
      </c>
      <c r="AT13" s="99" t="s">
        <v>235</v>
      </c>
      <c r="AU13" s="99" t="s">
        <v>236</v>
      </c>
      <c r="AV13" s="99" t="s">
        <v>3414</v>
      </c>
      <c r="AW13" s="99" t="s">
        <v>180</v>
      </c>
      <c r="AX13" s="99" t="s">
        <v>3411</v>
      </c>
      <c r="AY13" s="99" t="s">
        <v>3411</v>
      </c>
      <c r="AZ13" s="99" t="s">
        <v>3411</v>
      </c>
      <c r="BA13" s="99" t="s">
        <v>3450</v>
      </c>
      <c r="BB13" s="99" t="s">
        <v>339</v>
      </c>
      <c r="BC13" s="125">
        <v>49</v>
      </c>
      <c r="BD13" s="99" t="s">
        <v>3135</v>
      </c>
      <c r="BE13" s="99" t="s">
        <v>3136</v>
      </c>
    </row>
    <row r="14" spans="1:57" ht="12.95" customHeight="1">
      <c r="A14" s="124">
        <v>15</v>
      </c>
      <c r="B14" s="124">
        <v>2705</v>
      </c>
      <c r="C14" s="99" t="s">
        <v>165</v>
      </c>
      <c r="D14" s="99" t="s">
        <v>192</v>
      </c>
      <c r="E14" s="99" t="s">
        <v>2886</v>
      </c>
      <c r="F14" s="99" t="s">
        <v>2778</v>
      </c>
      <c r="G14" s="99" t="s">
        <v>3170</v>
      </c>
      <c r="H14" s="99" t="s">
        <v>333</v>
      </c>
      <c r="I14" s="99" t="s">
        <v>334</v>
      </c>
      <c r="J14" s="99" t="s">
        <v>344</v>
      </c>
      <c r="K14" s="99" t="s">
        <v>278</v>
      </c>
      <c r="L14" s="99" t="s">
        <v>345</v>
      </c>
      <c r="M14" s="99" t="s">
        <v>5</v>
      </c>
      <c r="N14" s="99" t="s">
        <v>3454</v>
      </c>
      <c r="O14" s="99" t="s">
        <v>70</v>
      </c>
      <c r="P14" s="99" t="s">
        <v>3455</v>
      </c>
      <c r="Q14" s="99" t="s">
        <v>247</v>
      </c>
      <c r="R14" s="99" t="s">
        <v>198</v>
      </c>
      <c r="S14" s="99" t="s">
        <v>2637</v>
      </c>
      <c r="T14" s="99" t="s">
        <v>48</v>
      </c>
      <c r="U14" s="99" t="s">
        <v>3451</v>
      </c>
      <c r="V14" s="99" t="s">
        <v>241</v>
      </c>
      <c r="W14" s="99" t="s">
        <v>3435</v>
      </c>
      <c r="X14" s="99" t="s">
        <v>3456</v>
      </c>
      <c r="Y14" s="99" t="s">
        <v>3457</v>
      </c>
      <c r="Z14" s="99" t="s">
        <v>172</v>
      </c>
      <c r="AA14" s="99" t="s">
        <v>173</v>
      </c>
      <c r="AB14" s="99" t="s">
        <v>174</v>
      </c>
      <c r="AC14" s="99" t="s">
        <v>3411</v>
      </c>
      <c r="AD14" s="99" t="s">
        <v>175</v>
      </c>
      <c r="AE14" s="99" t="s">
        <v>3411</v>
      </c>
      <c r="AF14" s="99" t="s">
        <v>3411</v>
      </c>
      <c r="AG14" s="124">
        <v>2705</v>
      </c>
      <c r="AH14" s="99" t="s">
        <v>3413</v>
      </c>
      <c r="AI14" s="125">
        <v>100</v>
      </c>
      <c r="AJ14" s="99" t="s">
        <v>176</v>
      </c>
      <c r="AK14" s="99" t="s">
        <v>3456</v>
      </c>
      <c r="AL14" s="99" t="s">
        <v>3411</v>
      </c>
      <c r="AM14" s="99" t="s">
        <v>177</v>
      </c>
      <c r="AN14" s="99" t="s">
        <v>3411</v>
      </c>
      <c r="AO14" s="99" t="s">
        <v>200</v>
      </c>
      <c r="AP14" s="99" t="s">
        <v>2570</v>
      </c>
      <c r="AQ14" s="99" t="s">
        <v>3411</v>
      </c>
      <c r="AR14" s="99" t="s">
        <v>3411</v>
      </c>
      <c r="AS14" s="99" t="s">
        <v>346</v>
      </c>
      <c r="AT14" s="99" t="s">
        <v>235</v>
      </c>
      <c r="AU14" s="99" t="s">
        <v>236</v>
      </c>
      <c r="AV14" s="99" t="s">
        <v>3414</v>
      </c>
      <c r="AW14" s="99" t="s">
        <v>180</v>
      </c>
      <c r="AX14" s="99" t="s">
        <v>3411</v>
      </c>
      <c r="AY14" s="99" t="s">
        <v>3411</v>
      </c>
      <c r="AZ14" s="99" t="s">
        <v>3411</v>
      </c>
      <c r="BA14" s="99" t="s">
        <v>3450</v>
      </c>
      <c r="BB14" s="99" t="s">
        <v>339</v>
      </c>
      <c r="BC14" s="125">
        <v>51</v>
      </c>
      <c r="BD14" s="99" t="s">
        <v>3135</v>
      </c>
      <c r="BE14" s="99" t="s">
        <v>3136</v>
      </c>
    </row>
    <row r="15" spans="1:57" ht="12.95" customHeight="1">
      <c r="A15" s="124">
        <v>15</v>
      </c>
      <c r="B15" s="124">
        <v>2707</v>
      </c>
      <c r="C15" s="99" t="s">
        <v>165</v>
      </c>
      <c r="D15" s="99" t="s">
        <v>192</v>
      </c>
      <c r="E15" s="99" t="s">
        <v>2886</v>
      </c>
      <c r="F15" s="99" t="s">
        <v>2778</v>
      </c>
      <c r="G15" s="99" t="s">
        <v>3170</v>
      </c>
      <c r="H15" s="99" t="s">
        <v>333</v>
      </c>
      <c r="I15" s="99" t="s">
        <v>334</v>
      </c>
      <c r="J15" s="99" t="s">
        <v>347</v>
      </c>
      <c r="K15" s="99" t="s">
        <v>348</v>
      </c>
      <c r="L15" s="99" t="s">
        <v>349</v>
      </c>
      <c r="M15" s="99" t="s">
        <v>5</v>
      </c>
      <c r="N15" s="99" t="s">
        <v>3407</v>
      </c>
      <c r="O15" s="99" t="s">
        <v>114</v>
      </c>
      <c r="P15" s="99" t="s">
        <v>3422</v>
      </c>
      <c r="Q15" s="99" t="s">
        <v>169</v>
      </c>
      <c r="R15" s="99" t="s">
        <v>198</v>
      </c>
      <c r="S15" s="99" t="s">
        <v>2637</v>
      </c>
      <c r="T15" s="99" t="s">
        <v>48</v>
      </c>
      <c r="U15" s="99" t="s">
        <v>3451</v>
      </c>
      <c r="V15" s="99" t="s">
        <v>241</v>
      </c>
      <c r="W15" s="99" t="s">
        <v>3435</v>
      </c>
      <c r="X15" s="99" t="s">
        <v>3458</v>
      </c>
      <c r="Y15" s="99" t="s">
        <v>3459</v>
      </c>
      <c r="Z15" s="99" t="s">
        <v>172</v>
      </c>
      <c r="AA15" s="99" t="s">
        <v>173</v>
      </c>
      <c r="AB15" s="99" t="s">
        <v>174</v>
      </c>
      <c r="AC15" s="99" t="s">
        <v>3411</v>
      </c>
      <c r="AD15" s="99" t="s">
        <v>175</v>
      </c>
      <c r="AE15" s="99" t="s">
        <v>3411</v>
      </c>
      <c r="AF15" s="99" t="s">
        <v>3411</v>
      </c>
      <c r="AG15" s="124">
        <v>2707</v>
      </c>
      <c r="AH15" s="99" t="s">
        <v>3413</v>
      </c>
      <c r="AI15" s="125">
        <v>100</v>
      </c>
      <c r="AJ15" s="99" t="s">
        <v>176</v>
      </c>
      <c r="AK15" s="99" t="s">
        <v>3458</v>
      </c>
      <c r="AL15" s="99" t="s">
        <v>3411</v>
      </c>
      <c r="AM15" s="99" t="s">
        <v>177</v>
      </c>
      <c r="AN15" s="99" t="s">
        <v>3411</v>
      </c>
      <c r="AO15" s="99" t="s">
        <v>200</v>
      </c>
      <c r="AP15" s="99" t="s">
        <v>2570</v>
      </c>
      <c r="AQ15" s="99" t="s">
        <v>3411</v>
      </c>
      <c r="AR15" s="99" t="s">
        <v>3411</v>
      </c>
      <c r="AS15" s="99" t="s">
        <v>350</v>
      </c>
      <c r="AT15" s="99" t="s">
        <v>235</v>
      </c>
      <c r="AU15" s="99" t="s">
        <v>236</v>
      </c>
      <c r="AV15" s="99" t="s">
        <v>3414</v>
      </c>
      <c r="AW15" s="99" t="s">
        <v>180</v>
      </c>
      <c r="AX15" s="99" t="s">
        <v>3460</v>
      </c>
      <c r="AY15" s="99" t="s">
        <v>3411</v>
      </c>
      <c r="AZ15" s="99" t="s">
        <v>3411</v>
      </c>
      <c r="BA15" s="99" t="s">
        <v>3450</v>
      </c>
      <c r="BB15" s="99" t="s">
        <v>339</v>
      </c>
      <c r="BC15" s="125">
        <v>51</v>
      </c>
      <c r="BD15" s="99" t="s">
        <v>3135</v>
      </c>
      <c r="BE15" s="99" t="s">
        <v>3136</v>
      </c>
    </row>
    <row r="16" spans="1:57" ht="12.95" customHeight="1">
      <c r="A16" s="124">
        <v>15</v>
      </c>
      <c r="B16" s="124">
        <v>2717</v>
      </c>
      <c r="C16" s="99" t="s">
        <v>165</v>
      </c>
      <c r="D16" s="99" t="s">
        <v>192</v>
      </c>
      <c r="E16" s="99" t="s">
        <v>2886</v>
      </c>
      <c r="F16" s="99" t="s">
        <v>2778</v>
      </c>
      <c r="G16" s="99" t="s">
        <v>3170</v>
      </c>
      <c r="H16" s="99" t="s">
        <v>333</v>
      </c>
      <c r="I16" s="99" t="s">
        <v>334</v>
      </c>
      <c r="J16" s="99" t="s">
        <v>351</v>
      </c>
      <c r="K16" s="99" t="s">
        <v>352</v>
      </c>
      <c r="L16" s="99" t="s">
        <v>353</v>
      </c>
      <c r="M16" s="99" t="s">
        <v>5</v>
      </c>
      <c r="N16" s="99" t="s">
        <v>3407</v>
      </c>
      <c r="O16" s="99" t="s">
        <v>114</v>
      </c>
      <c r="P16" s="99" t="s">
        <v>3422</v>
      </c>
      <c r="Q16" s="99" t="s">
        <v>169</v>
      </c>
      <c r="R16" s="99" t="s">
        <v>198</v>
      </c>
      <c r="S16" s="99" t="s">
        <v>2637</v>
      </c>
      <c r="T16" s="99" t="s">
        <v>48</v>
      </c>
      <c r="U16" s="99" t="s">
        <v>3451</v>
      </c>
      <c r="V16" s="99" t="s">
        <v>241</v>
      </c>
      <c r="W16" s="99" t="s">
        <v>3435</v>
      </c>
      <c r="X16" s="99" t="s">
        <v>3461</v>
      </c>
      <c r="Y16" s="99" t="s">
        <v>3462</v>
      </c>
      <c r="Z16" s="99" t="s">
        <v>172</v>
      </c>
      <c r="AA16" s="99" t="s">
        <v>173</v>
      </c>
      <c r="AB16" s="99" t="s">
        <v>174</v>
      </c>
      <c r="AC16" s="99" t="s">
        <v>3411</v>
      </c>
      <c r="AD16" s="99" t="s">
        <v>175</v>
      </c>
      <c r="AE16" s="99" t="s">
        <v>3411</v>
      </c>
      <c r="AF16" s="99" t="s">
        <v>3411</v>
      </c>
      <c r="AG16" s="124">
        <v>2717</v>
      </c>
      <c r="AH16" s="99" t="s">
        <v>3413</v>
      </c>
      <c r="AI16" s="125">
        <v>100</v>
      </c>
      <c r="AJ16" s="99" t="s">
        <v>176</v>
      </c>
      <c r="AK16" s="99" t="s">
        <v>3461</v>
      </c>
      <c r="AL16" s="99" t="s">
        <v>3411</v>
      </c>
      <c r="AM16" s="99" t="s">
        <v>177</v>
      </c>
      <c r="AN16" s="99" t="s">
        <v>3411</v>
      </c>
      <c r="AO16" s="99" t="s">
        <v>200</v>
      </c>
      <c r="AP16" s="99" t="s">
        <v>2570</v>
      </c>
      <c r="AQ16" s="99" t="s">
        <v>3411</v>
      </c>
      <c r="AR16" s="99" t="s">
        <v>3411</v>
      </c>
      <c r="AS16" s="99" t="s">
        <v>354</v>
      </c>
      <c r="AT16" s="99" t="s">
        <v>235</v>
      </c>
      <c r="AU16" s="99" t="s">
        <v>236</v>
      </c>
      <c r="AV16" s="99" t="s">
        <v>3414</v>
      </c>
      <c r="AW16" s="99" t="s">
        <v>180</v>
      </c>
      <c r="AX16" s="99" t="s">
        <v>3411</v>
      </c>
      <c r="AY16" s="99" t="s">
        <v>3411</v>
      </c>
      <c r="AZ16" s="99" t="s">
        <v>3411</v>
      </c>
      <c r="BA16" s="99" t="s">
        <v>3450</v>
      </c>
      <c r="BB16" s="99" t="s">
        <v>339</v>
      </c>
      <c r="BC16" s="125">
        <v>38</v>
      </c>
      <c r="BD16" s="99" t="s">
        <v>3135</v>
      </c>
      <c r="BE16" s="99" t="s">
        <v>3136</v>
      </c>
    </row>
    <row r="17" spans="1:57" ht="12.95" customHeight="1">
      <c r="A17" s="124">
        <v>15</v>
      </c>
      <c r="B17" s="124">
        <v>2718</v>
      </c>
      <c r="C17" s="99" t="s">
        <v>165</v>
      </c>
      <c r="D17" s="99" t="s">
        <v>192</v>
      </c>
      <c r="E17" s="99" t="s">
        <v>2886</v>
      </c>
      <c r="F17" s="99" t="s">
        <v>2778</v>
      </c>
      <c r="G17" s="99" t="s">
        <v>3170</v>
      </c>
      <c r="H17" s="99" t="s">
        <v>333</v>
      </c>
      <c r="I17" s="99" t="s">
        <v>334</v>
      </c>
      <c r="J17" s="99" t="s">
        <v>375</v>
      </c>
      <c r="K17" s="99" t="s">
        <v>376</v>
      </c>
      <c r="L17" s="99" t="s">
        <v>377</v>
      </c>
      <c r="M17" s="99" t="s">
        <v>5</v>
      </c>
      <c r="N17" s="99" t="s">
        <v>3407</v>
      </c>
      <c r="O17" s="99" t="s">
        <v>114</v>
      </c>
      <c r="P17" s="99" t="s">
        <v>3422</v>
      </c>
      <c r="Q17" s="99" t="s">
        <v>169</v>
      </c>
      <c r="R17" s="99" t="s">
        <v>198</v>
      </c>
      <c r="S17" s="99" t="s">
        <v>2637</v>
      </c>
      <c r="T17" s="99" t="s">
        <v>48</v>
      </c>
      <c r="U17" s="99" t="s">
        <v>3434</v>
      </c>
      <c r="V17" s="99" t="s">
        <v>199</v>
      </c>
      <c r="W17" s="99" t="s">
        <v>3435</v>
      </c>
      <c r="X17" s="99" t="s">
        <v>3463</v>
      </c>
      <c r="Y17" s="99" t="s">
        <v>3464</v>
      </c>
      <c r="Z17" s="99" t="s">
        <v>172</v>
      </c>
      <c r="AA17" s="99" t="s">
        <v>173</v>
      </c>
      <c r="AB17" s="99" t="s">
        <v>174</v>
      </c>
      <c r="AC17" s="99" t="s">
        <v>3411</v>
      </c>
      <c r="AD17" s="99" t="s">
        <v>175</v>
      </c>
      <c r="AE17" s="99" t="s">
        <v>3411</v>
      </c>
      <c r="AF17" s="99" t="s">
        <v>3411</v>
      </c>
      <c r="AG17" s="124">
        <v>2718</v>
      </c>
      <c r="AH17" s="99" t="s">
        <v>3413</v>
      </c>
      <c r="AI17" s="125">
        <v>100</v>
      </c>
      <c r="AJ17" s="99" t="s">
        <v>176</v>
      </c>
      <c r="AK17" s="99" t="s">
        <v>3463</v>
      </c>
      <c r="AL17" s="99" t="s">
        <v>3411</v>
      </c>
      <c r="AM17" s="99" t="s">
        <v>177</v>
      </c>
      <c r="AN17" s="99" t="s">
        <v>3411</v>
      </c>
      <c r="AO17" s="99" t="s">
        <v>200</v>
      </c>
      <c r="AP17" s="99" t="s">
        <v>2570</v>
      </c>
      <c r="AQ17" s="99" t="s">
        <v>3411</v>
      </c>
      <c r="AR17" s="99" t="s">
        <v>242</v>
      </c>
      <c r="AS17" s="99" t="s">
        <v>378</v>
      </c>
      <c r="AT17" s="99" t="s">
        <v>235</v>
      </c>
      <c r="AU17" s="99" t="s">
        <v>236</v>
      </c>
      <c r="AV17" s="99" t="s">
        <v>3414</v>
      </c>
      <c r="AW17" s="99" t="s">
        <v>180</v>
      </c>
      <c r="AX17" s="99" t="s">
        <v>3420</v>
      </c>
      <c r="AY17" s="99" t="s">
        <v>252</v>
      </c>
      <c r="AZ17" s="99" t="s">
        <v>3416</v>
      </c>
      <c r="BA17" s="99" t="s">
        <v>3450</v>
      </c>
      <c r="BB17" s="99" t="s">
        <v>339</v>
      </c>
      <c r="BC17" s="125">
        <v>62</v>
      </c>
      <c r="BD17" s="99" t="s">
        <v>3135</v>
      </c>
      <c r="BE17" s="99" t="s">
        <v>3136</v>
      </c>
    </row>
    <row r="18" spans="1:57" ht="12.95" customHeight="1">
      <c r="A18" s="124">
        <v>15</v>
      </c>
      <c r="B18" s="124">
        <v>2819</v>
      </c>
      <c r="C18" s="99" t="s">
        <v>165</v>
      </c>
      <c r="D18" s="99" t="s">
        <v>192</v>
      </c>
      <c r="E18" s="99" t="s">
        <v>2886</v>
      </c>
      <c r="F18" s="99" t="s">
        <v>2778</v>
      </c>
      <c r="G18" s="99" t="s">
        <v>3170</v>
      </c>
      <c r="H18" s="99" t="s">
        <v>333</v>
      </c>
      <c r="I18" s="99" t="s">
        <v>334</v>
      </c>
      <c r="J18" s="99" t="s">
        <v>355</v>
      </c>
      <c r="K18" s="99" t="s">
        <v>196</v>
      </c>
      <c r="L18" s="99" t="s">
        <v>356</v>
      </c>
      <c r="M18" s="99" t="s">
        <v>1</v>
      </c>
      <c r="N18" s="99" t="s">
        <v>3407</v>
      </c>
      <c r="O18" s="99" t="s">
        <v>114</v>
      </c>
      <c r="P18" s="99" t="s">
        <v>3422</v>
      </c>
      <c r="Q18" s="99" t="s">
        <v>169</v>
      </c>
      <c r="R18" s="99" t="s">
        <v>198</v>
      </c>
      <c r="S18" s="99" t="s">
        <v>2637</v>
      </c>
      <c r="T18" s="99" t="s">
        <v>48</v>
      </c>
      <c r="U18" s="99" t="s">
        <v>3451</v>
      </c>
      <c r="V18" s="99" t="s">
        <v>241</v>
      </c>
      <c r="W18" s="99" t="s">
        <v>3465</v>
      </c>
      <c r="X18" s="99" t="s">
        <v>3465</v>
      </c>
      <c r="Y18" s="99" t="s">
        <v>3466</v>
      </c>
      <c r="Z18" s="99" t="s">
        <v>172</v>
      </c>
      <c r="AA18" s="99" t="s">
        <v>173</v>
      </c>
      <c r="AB18" s="99" t="s">
        <v>174</v>
      </c>
      <c r="AC18" s="99" t="s">
        <v>3411</v>
      </c>
      <c r="AD18" s="99" t="s">
        <v>175</v>
      </c>
      <c r="AE18" s="99" t="s">
        <v>3411</v>
      </c>
      <c r="AF18" s="99" t="s">
        <v>3411</v>
      </c>
      <c r="AG18" s="124">
        <v>2819</v>
      </c>
      <c r="AH18" s="99" t="s">
        <v>3413</v>
      </c>
      <c r="AI18" s="125">
        <v>100</v>
      </c>
      <c r="AJ18" s="99" t="s">
        <v>176</v>
      </c>
      <c r="AK18" s="99" t="s">
        <v>3465</v>
      </c>
      <c r="AL18" s="99" t="s">
        <v>3411</v>
      </c>
      <c r="AM18" s="99" t="s">
        <v>177</v>
      </c>
      <c r="AN18" s="99" t="s">
        <v>3411</v>
      </c>
      <c r="AO18" s="99" t="s">
        <v>200</v>
      </c>
      <c r="AP18" s="99" t="s">
        <v>2570</v>
      </c>
      <c r="AQ18" s="99" t="s">
        <v>3411</v>
      </c>
      <c r="AR18" s="99" t="s">
        <v>3411</v>
      </c>
      <c r="AS18" s="99" t="s">
        <v>357</v>
      </c>
      <c r="AT18" s="99" t="s">
        <v>235</v>
      </c>
      <c r="AU18" s="99" t="s">
        <v>236</v>
      </c>
      <c r="AV18" s="99" t="s">
        <v>3414</v>
      </c>
      <c r="AW18" s="99" t="s">
        <v>180</v>
      </c>
      <c r="AX18" s="99" t="s">
        <v>3411</v>
      </c>
      <c r="AY18" s="99" t="s">
        <v>3411</v>
      </c>
      <c r="AZ18" s="99" t="s">
        <v>3411</v>
      </c>
      <c r="BA18" s="99" t="s">
        <v>3450</v>
      </c>
      <c r="BB18" s="99" t="s">
        <v>339</v>
      </c>
      <c r="BC18" s="125">
        <v>39</v>
      </c>
      <c r="BD18" s="99" t="s">
        <v>3135</v>
      </c>
      <c r="BE18" s="99" t="s">
        <v>3136</v>
      </c>
    </row>
    <row r="19" spans="1:57" ht="12.95" customHeight="1">
      <c r="A19" s="124">
        <v>15</v>
      </c>
      <c r="B19" s="124">
        <v>2728</v>
      </c>
      <c r="C19" s="99" t="s">
        <v>165</v>
      </c>
      <c r="D19" s="99" t="s">
        <v>192</v>
      </c>
      <c r="E19" s="99" t="s">
        <v>2886</v>
      </c>
      <c r="F19" s="99" t="s">
        <v>2778</v>
      </c>
      <c r="G19" s="99" t="s">
        <v>3170</v>
      </c>
      <c r="H19" s="99" t="s">
        <v>333</v>
      </c>
      <c r="I19" s="99" t="s">
        <v>334</v>
      </c>
      <c r="J19" s="99" t="s">
        <v>358</v>
      </c>
      <c r="K19" s="99" t="s">
        <v>359</v>
      </c>
      <c r="L19" s="99" t="s">
        <v>360</v>
      </c>
      <c r="M19" s="99" t="s">
        <v>5</v>
      </c>
      <c r="N19" s="99" t="s">
        <v>3407</v>
      </c>
      <c r="O19" s="99" t="s">
        <v>114</v>
      </c>
      <c r="P19" s="99" t="s">
        <v>3422</v>
      </c>
      <c r="Q19" s="99" t="s">
        <v>169</v>
      </c>
      <c r="R19" s="99" t="s">
        <v>198</v>
      </c>
      <c r="S19" s="99" t="s">
        <v>2637</v>
      </c>
      <c r="T19" s="99" t="s">
        <v>48</v>
      </c>
      <c r="U19" s="99" t="s">
        <v>3451</v>
      </c>
      <c r="V19" s="99" t="s">
        <v>241</v>
      </c>
      <c r="W19" s="99" t="s">
        <v>3435</v>
      </c>
      <c r="X19" s="99" t="s">
        <v>3467</v>
      </c>
      <c r="Y19" s="99" t="s">
        <v>3468</v>
      </c>
      <c r="Z19" s="99" t="s">
        <v>172</v>
      </c>
      <c r="AA19" s="99" t="s">
        <v>173</v>
      </c>
      <c r="AB19" s="99" t="s">
        <v>174</v>
      </c>
      <c r="AC19" s="99" t="s">
        <v>3411</v>
      </c>
      <c r="AD19" s="99" t="s">
        <v>175</v>
      </c>
      <c r="AE19" s="99" t="s">
        <v>3411</v>
      </c>
      <c r="AF19" s="99" t="s">
        <v>3411</v>
      </c>
      <c r="AG19" s="124">
        <v>2728</v>
      </c>
      <c r="AH19" s="99" t="s">
        <v>3413</v>
      </c>
      <c r="AI19" s="125">
        <v>100</v>
      </c>
      <c r="AJ19" s="99" t="s">
        <v>176</v>
      </c>
      <c r="AK19" s="99" t="s">
        <v>3467</v>
      </c>
      <c r="AL19" s="99" t="s">
        <v>3411</v>
      </c>
      <c r="AM19" s="99" t="s">
        <v>177</v>
      </c>
      <c r="AN19" s="99" t="s">
        <v>3411</v>
      </c>
      <c r="AO19" s="99" t="s">
        <v>200</v>
      </c>
      <c r="AP19" s="99" t="s">
        <v>2570</v>
      </c>
      <c r="AQ19" s="99" t="s">
        <v>3411</v>
      </c>
      <c r="AR19" s="99" t="s">
        <v>3411</v>
      </c>
      <c r="AS19" s="99" t="s">
        <v>361</v>
      </c>
      <c r="AT19" s="99" t="s">
        <v>235</v>
      </c>
      <c r="AU19" s="99" t="s">
        <v>236</v>
      </c>
      <c r="AV19" s="99" t="s">
        <v>3414</v>
      </c>
      <c r="AW19" s="99" t="s">
        <v>180</v>
      </c>
      <c r="AX19" s="99" t="s">
        <v>3411</v>
      </c>
      <c r="AY19" s="99" t="s">
        <v>3411</v>
      </c>
      <c r="AZ19" s="99" t="s">
        <v>3411</v>
      </c>
      <c r="BA19" s="99" t="s">
        <v>3450</v>
      </c>
      <c r="BB19" s="99" t="s">
        <v>339</v>
      </c>
      <c r="BC19" s="125">
        <v>48</v>
      </c>
      <c r="BD19" s="99" t="s">
        <v>3135</v>
      </c>
      <c r="BE19" s="99" t="s">
        <v>3136</v>
      </c>
    </row>
    <row r="20" spans="1:57" ht="12.95" customHeight="1">
      <c r="A20" s="124">
        <v>15</v>
      </c>
      <c r="B20" s="124">
        <v>2729</v>
      </c>
      <c r="C20" s="99" t="s">
        <v>165</v>
      </c>
      <c r="D20" s="99" t="s">
        <v>192</v>
      </c>
      <c r="E20" s="99" t="s">
        <v>2886</v>
      </c>
      <c r="F20" s="99" t="s">
        <v>2778</v>
      </c>
      <c r="G20" s="99" t="s">
        <v>3170</v>
      </c>
      <c r="H20" s="99" t="s">
        <v>333</v>
      </c>
      <c r="I20" s="99" t="s">
        <v>334</v>
      </c>
      <c r="J20" s="99" t="s">
        <v>362</v>
      </c>
      <c r="K20" s="99" t="s">
        <v>363</v>
      </c>
      <c r="L20" s="99" t="s">
        <v>364</v>
      </c>
      <c r="M20" s="99" t="s">
        <v>5</v>
      </c>
      <c r="N20" s="99" t="s">
        <v>3407</v>
      </c>
      <c r="O20" s="99" t="s">
        <v>114</v>
      </c>
      <c r="P20" s="99" t="s">
        <v>3422</v>
      </c>
      <c r="Q20" s="99" t="s">
        <v>169</v>
      </c>
      <c r="R20" s="99" t="s">
        <v>198</v>
      </c>
      <c r="S20" s="99" t="s">
        <v>2637</v>
      </c>
      <c r="T20" s="99" t="s">
        <v>48</v>
      </c>
      <c r="U20" s="99" t="s">
        <v>3451</v>
      </c>
      <c r="V20" s="99" t="s">
        <v>241</v>
      </c>
      <c r="W20" s="99" t="s">
        <v>3435</v>
      </c>
      <c r="X20" s="99" t="s">
        <v>3469</v>
      </c>
      <c r="Y20" s="99" t="s">
        <v>3470</v>
      </c>
      <c r="Z20" s="99" t="s">
        <v>172</v>
      </c>
      <c r="AA20" s="99" t="s">
        <v>173</v>
      </c>
      <c r="AB20" s="99" t="s">
        <v>174</v>
      </c>
      <c r="AC20" s="99" t="s">
        <v>3411</v>
      </c>
      <c r="AD20" s="99" t="s">
        <v>175</v>
      </c>
      <c r="AE20" s="99" t="s">
        <v>3411</v>
      </c>
      <c r="AF20" s="99" t="s">
        <v>3411</v>
      </c>
      <c r="AG20" s="124">
        <v>2729</v>
      </c>
      <c r="AH20" s="99" t="s">
        <v>3413</v>
      </c>
      <c r="AI20" s="125">
        <v>100</v>
      </c>
      <c r="AJ20" s="99" t="s">
        <v>176</v>
      </c>
      <c r="AK20" s="99" t="s">
        <v>3469</v>
      </c>
      <c r="AL20" s="99" t="s">
        <v>3411</v>
      </c>
      <c r="AM20" s="99" t="s">
        <v>177</v>
      </c>
      <c r="AN20" s="99" t="s">
        <v>3411</v>
      </c>
      <c r="AO20" s="99" t="s">
        <v>200</v>
      </c>
      <c r="AP20" s="99" t="s">
        <v>2570</v>
      </c>
      <c r="AQ20" s="99" t="s">
        <v>3411</v>
      </c>
      <c r="AR20" s="99" t="s">
        <v>242</v>
      </c>
      <c r="AS20" s="99" t="s">
        <v>365</v>
      </c>
      <c r="AT20" s="99" t="s">
        <v>235</v>
      </c>
      <c r="AU20" s="99" t="s">
        <v>236</v>
      </c>
      <c r="AV20" s="99" t="s">
        <v>3414</v>
      </c>
      <c r="AW20" s="99" t="s">
        <v>180</v>
      </c>
      <c r="AX20" s="99" t="s">
        <v>3411</v>
      </c>
      <c r="AY20" s="99" t="s">
        <v>3411</v>
      </c>
      <c r="AZ20" s="99" t="s">
        <v>3411</v>
      </c>
      <c r="BA20" s="99" t="s">
        <v>3450</v>
      </c>
      <c r="BB20" s="99" t="s">
        <v>339</v>
      </c>
      <c r="BC20" s="125">
        <v>51</v>
      </c>
      <c r="BD20" s="99" t="s">
        <v>3135</v>
      </c>
      <c r="BE20" s="99" t="s">
        <v>3136</v>
      </c>
    </row>
    <row r="21" spans="1:57" ht="12.95" customHeight="1">
      <c r="A21" s="124">
        <v>15</v>
      </c>
      <c r="B21" s="124">
        <v>2756</v>
      </c>
      <c r="C21" s="99" t="s">
        <v>165</v>
      </c>
      <c r="D21" s="99" t="s">
        <v>192</v>
      </c>
      <c r="E21" s="99" t="s">
        <v>2886</v>
      </c>
      <c r="F21" s="99" t="s">
        <v>2778</v>
      </c>
      <c r="G21" s="99" t="s">
        <v>3170</v>
      </c>
      <c r="H21" s="99" t="s">
        <v>333</v>
      </c>
      <c r="I21" s="99" t="s">
        <v>334</v>
      </c>
      <c r="J21" s="99" t="s">
        <v>366</v>
      </c>
      <c r="K21" s="99" t="s">
        <v>367</v>
      </c>
      <c r="L21" s="99" t="s">
        <v>368</v>
      </c>
      <c r="M21" s="99" t="s">
        <v>5</v>
      </c>
      <c r="N21" s="99" t="s">
        <v>3407</v>
      </c>
      <c r="O21" s="99" t="s">
        <v>114</v>
      </c>
      <c r="P21" s="99" t="s">
        <v>3422</v>
      </c>
      <c r="Q21" s="99" t="s">
        <v>169</v>
      </c>
      <c r="R21" s="99" t="s">
        <v>198</v>
      </c>
      <c r="S21" s="99" t="s">
        <v>2637</v>
      </c>
      <c r="T21" s="99" t="s">
        <v>52</v>
      </c>
      <c r="U21" s="99" t="s">
        <v>205</v>
      </c>
      <c r="V21" s="99" t="s">
        <v>206</v>
      </c>
      <c r="W21" s="99" t="s">
        <v>3435</v>
      </c>
      <c r="X21" s="99" t="s">
        <v>3471</v>
      </c>
      <c r="Y21" s="99" t="s">
        <v>3472</v>
      </c>
      <c r="Z21" s="99" t="s">
        <v>172</v>
      </c>
      <c r="AA21" s="99" t="s">
        <v>173</v>
      </c>
      <c r="AB21" s="99" t="s">
        <v>174</v>
      </c>
      <c r="AC21" s="99" t="s">
        <v>3411</v>
      </c>
      <c r="AD21" s="99" t="s">
        <v>175</v>
      </c>
      <c r="AE21" s="99" t="s">
        <v>3411</v>
      </c>
      <c r="AF21" s="99" t="s">
        <v>3411</v>
      </c>
      <c r="AG21" s="124">
        <v>2756</v>
      </c>
      <c r="AH21" s="99" t="s">
        <v>3413</v>
      </c>
      <c r="AI21" s="125">
        <v>100</v>
      </c>
      <c r="AJ21" s="99" t="s">
        <v>176</v>
      </c>
      <c r="AK21" s="99" t="s">
        <v>3471</v>
      </c>
      <c r="AL21" s="99" t="s">
        <v>3411</v>
      </c>
      <c r="AM21" s="99" t="s">
        <v>177</v>
      </c>
      <c r="AN21" s="99" t="s">
        <v>3411</v>
      </c>
      <c r="AO21" s="99" t="s">
        <v>200</v>
      </c>
      <c r="AP21" s="99" t="s">
        <v>2570</v>
      </c>
      <c r="AQ21" s="99" t="s">
        <v>3411</v>
      </c>
      <c r="AR21" s="99" t="s">
        <v>3411</v>
      </c>
      <c r="AS21" s="99" t="s">
        <v>369</v>
      </c>
      <c r="AT21" s="99" t="s">
        <v>1</v>
      </c>
      <c r="AU21" s="99" t="s">
        <v>179</v>
      </c>
      <c r="AV21" s="99" t="s">
        <v>3414</v>
      </c>
      <c r="AW21" s="99" t="s">
        <v>180</v>
      </c>
      <c r="AX21" s="99" t="s">
        <v>3411</v>
      </c>
      <c r="AY21" s="99" t="s">
        <v>3411</v>
      </c>
      <c r="AZ21" s="99" t="s">
        <v>3411</v>
      </c>
      <c r="BA21" s="99" t="s">
        <v>3421</v>
      </c>
      <c r="BB21" s="99" t="s">
        <v>381</v>
      </c>
      <c r="BC21" s="125">
        <v>50</v>
      </c>
      <c r="BD21" s="99" t="s">
        <v>3135</v>
      </c>
      <c r="BE21" s="99" t="s">
        <v>3136</v>
      </c>
    </row>
    <row r="22" spans="1:57" ht="12.95" customHeight="1">
      <c r="A22" s="124">
        <v>15</v>
      </c>
      <c r="B22" s="124">
        <v>3025</v>
      </c>
      <c r="C22" s="99" t="s">
        <v>165</v>
      </c>
      <c r="D22" s="99" t="s">
        <v>192</v>
      </c>
      <c r="E22" s="99" t="s">
        <v>2886</v>
      </c>
      <c r="F22" s="99" t="s">
        <v>2778</v>
      </c>
      <c r="G22" s="99" t="s">
        <v>3170</v>
      </c>
      <c r="H22" s="99" t="s">
        <v>333</v>
      </c>
      <c r="I22" s="99" t="s">
        <v>334</v>
      </c>
      <c r="J22" s="99" t="s">
        <v>2639</v>
      </c>
      <c r="K22" s="99" t="s">
        <v>2640</v>
      </c>
      <c r="L22" s="99" t="s">
        <v>2641</v>
      </c>
      <c r="M22" s="99" t="s">
        <v>1</v>
      </c>
      <c r="N22" s="99" t="s">
        <v>3407</v>
      </c>
      <c r="O22" s="99" t="s">
        <v>114</v>
      </c>
      <c r="P22" s="99" t="s">
        <v>3473</v>
      </c>
      <c r="Q22" s="99" t="s">
        <v>169</v>
      </c>
      <c r="R22" s="99" t="s">
        <v>198</v>
      </c>
      <c r="S22" s="99" t="s">
        <v>2637</v>
      </c>
      <c r="T22" s="99" t="s">
        <v>48</v>
      </c>
      <c r="U22" s="99" t="s">
        <v>3451</v>
      </c>
      <c r="V22" s="99" t="s">
        <v>241</v>
      </c>
      <c r="W22" s="99" t="s">
        <v>3473</v>
      </c>
      <c r="X22" s="99" t="s">
        <v>3473</v>
      </c>
      <c r="Y22" s="99" t="s">
        <v>3474</v>
      </c>
      <c r="Z22" s="99" t="s">
        <v>172</v>
      </c>
      <c r="AA22" s="99" t="s">
        <v>173</v>
      </c>
      <c r="AB22" s="99" t="s">
        <v>316</v>
      </c>
      <c r="AC22" s="99" t="s">
        <v>3411</v>
      </c>
      <c r="AD22" s="99" t="s">
        <v>175</v>
      </c>
      <c r="AE22" s="99" t="s">
        <v>3411</v>
      </c>
      <c r="AF22" s="99" t="s">
        <v>3411</v>
      </c>
      <c r="AG22" s="124">
        <v>3025</v>
      </c>
      <c r="AH22" s="99" t="s">
        <v>3413</v>
      </c>
      <c r="AI22" s="125">
        <v>100</v>
      </c>
      <c r="AJ22" s="99" t="s">
        <v>176</v>
      </c>
      <c r="AK22" s="99" t="s">
        <v>3473</v>
      </c>
      <c r="AL22" s="99" t="s">
        <v>3411</v>
      </c>
      <c r="AM22" s="99" t="s">
        <v>177</v>
      </c>
      <c r="AN22" s="99" t="s">
        <v>3411</v>
      </c>
      <c r="AO22" s="99" t="s">
        <v>200</v>
      </c>
      <c r="AP22" s="99" t="s">
        <v>2570</v>
      </c>
      <c r="AQ22" s="99" t="s">
        <v>3411</v>
      </c>
      <c r="AR22" s="99" t="s">
        <v>3411</v>
      </c>
      <c r="AS22" s="99" t="s">
        <v>2642</v>
      </c>
      <c r="AT22" s="99" t="s">
        <v>235</v>
      </c>
      <c r="AU22" s="99" t="s">
        <v>236</v>
      </c>
      <c r="AV22" s="99" t="s">
        <v>3414</v>
      </c>
      <c r="AW22" s="99" t="s">
        <v>180</v>
      </c>
      <c r="AX22" s="99" t="s">
        <v>3411</v>
      </c>
      <c r="AY22" s="99" t="s">
        <v>3411</v>
      </c>
      <c r="AZ22" s="99" t="s">
        <v>3411</v>
      </c>
      <c r="BA22" s="99" t="s">
        <v>3450</v>
      </c>
      <c r="BB22" s="99" t="s">
        <v>339</v>
      </c>
      <c r="BC22" s="125">
        <v>31</v>
      </c>
      <c r="BD22" s="99" t="s">
        <v>3135</v>
      </c>
      <c r="BE22" s="99" t="s">
        <v>3136</v>
      </c>
    </row>
    <row r="23" spans="1:57" ht="12.95" customHeight="1">
      <c r="A23" s="124">
        <v>15</v>
      </c>
      <c r="B23" s="124">
        <v>3048</v>
      </c>
      <c r="C23" s="99" t="s">
        <v>165</v>
      </c>
      <c r="D23" s="99" t="s">
        <v>192</v>
      </c>
      <c r="E23" s="99" t="s">
        <v>2886</v>
      </c>
      <c r="F23" s="99" t="s">
        <v>2778</v>
      </c>
      <c r="G23" s="99" t="s">
        <v>3170</v>
      </c>
      <c r="H23" s="99" t="s">
        <v>333</v>
      </c>
      <c r="I23" s="99" t="s">
        <v>334</v>
      </c>
      <c r="J23" s="99" t="s">
        <v>2643</v>
      </c>
      <c r="K23" s="99" t="s">
        <v>1024</v>
      </c>
      <c r="L23" s="99" t="s">
        <v>2644</v>
      </c>
      <c r="M23" s="99" t="s">
        <v>5</v>
      </c>
      <c r="N23" s="99" t="s">
        <v>3407</v>
      </c>
      <c r="O23" s="99" t="s">
        <v>114</v>
      </c>
      <c r="P23" s="99" t="s">
        <v>3475</v>
      </c>
      <c r="Q23" s="99" t="s">
        <v>169</v>
      </c>
      <c r="R23" s="99" t="s">
        <v>198</v>
      </c>
      <c r="S23" s="99" t="s">
        <v>2637</v>
      </c>
      <c r="T23" s="99" t="s">
        <v>48</v>
      </c>
      <c r="U23" s="99" t="s">
        <v>3451</v>
      </c>
      <c r="V23" s="99" t="s">
        <v>241</v>
      </c>
      <c r="W23" s="99" t="s">
        <v>3475</v>
      </c>
      <c r="X23" s="99" t="s">
        <v>3475</v>
      </c>
      <c r="Y23" s="99" t="s">
        <v>3476</v>
      </c>
      <c r="Z23" s="99" t="s">
        <v>172</v>
      </c>
      <c r="AA23" s="99" t="s">
        <v>173</v>
      </c>
      <c r="AB23" s="99" t="s">
        <v>316</v>
      </c>
      <c r="AC23" s="99" t="s">
        <v>3477</v>
      </c>
      <c r="AD23" s="99" t="s">
        <v>175</v>
      </c>
      <c r="AE23" s="99" t="s">
        <v>3411</v>
      </c>
      <c r="AF23" s="99" t="s">
        <v>3411</v>
      </c>
      <c r="AG23" s="124">
        <v>3048</v>
      </c>
      <c r="AH23" s="99" t="s">
        <v>3413</v>
      </c>
      <c r="AI23" s="125">
        <v>100</v>
      </c>
      <c r="AJ23" s="99" t="s">
        <v>176</v>
      </c>
      <c r="AK23" s="99" t="s">
        <v>3475</v>
      </c>
      <c r="AL23" s="99" t="s">
        <v>3411</v>
      </c>
      <c r="AM23" s="99" t="s">
        <v>177</v>
      </c>
      <c r="AN23" s="99" t="s">
        <v>3411</v>
      </c>
      <c r="AO23" s="99" t="s">
        <v>200</v>
      </c>
      <c r="AP23" s="99" t="s">
        <v>2570</v>
      </c>
      <c r="AQ23" s="99" t="s">
        <v>3411</v>
      </c>
      <c r="AR23" s="99" t="s">
        <v>3411</v>
      </c>
      <c r="AS23" s="99" t="s">
        <v>2645</v>
      </c>
      <c r="AT23" s="99" t="s">
        <v>235</v>
      </c>
      <c r="AU23" s="99" t="s">
        <v>236</v>
      </c>
      <c r="AV23" s="99" t="s">
        <v>3414</v>
      </c>
      <c r="AW23" s="99" t="s">
        <v>180</v>
      </c>
      <c r="AX23" s="99" t="s">
        <v>3411</v>
      </c>
      <c r="AY23" s="99" t="s">
        <v>3411</v>
      </c>
      <c r="AZ23" s="99" t="s">
        <v>3411</v>
      </c>
      <c r="BA23" s="99" t="s">
        <v>3450</v>
      </c>
      <c r="BB23" s="99" t="s">
        <v>339</v>
      </c>
      <c r="BC23" s="125">
        <v>26</v>
      </c>
      <c r="BD23" s="99" t="s">
        <v>3135</v>
      </c>
      <c r="BE23" s="99" t="s">
        <v>3136</v>
      </c>
    </row>
    <row r="24" spans="1:57" ht="12.95" customHeight="1">
      <c r="A24" s="124">
        <v>15</v>
      </c>
      <c r="B24" s="124">
        <v>2768</v>
      </c>
      <c r="C24" s="99" t="s">
        <v>165</v>
      </c>
      <c r="D24" s="99" t="s">
        <v>192</v>
      </c>
      <c r="E24" s="99" t="s">
        <v>2886</v>
      </c>
      <c r="F24" s="99" t="s">
        <v>2778</v>
      </c>
      <c r="G24" s="99" t="s">
        <v>3170</v>
      </c>
      <c r="H24" s="99" t="s">
        <v>333</v>
      </c>
      <c r="I24" s="99" t="s">
        <v>334</v>
      </c>
      <c r="J24" s="99" t="s">
        <v>371</v>
      </c>
      <c r="K24" s="99" t="s">
        <v>372</v>
      </c>
      <c r="L24" s="99" t="s">
        <v>373</v>
      </c>
      <c r="M24" s="99" t="s">
        <v>5</v>
      </c>
      <c r="N24" s="99" t="s">
        <v>3407</v>
      </c>
      <c r="O24" s="99" t="s">
        <v>114</v>
      </c>
      <c r="P24" s="99" t="s">
        <v>3422</v>
      </c>
      <c r="Q24" s="99" t="s">
        <v>169</v>
      </c>
      <c r="R24" s="99" t="s">
        <v>198</v>
      </c>
      <c r="S24" s="99" t="s">
        <v>2637</v>
      </c>
      <c r="T24" s="99" t="s">
        <v>48</v>
      </c>
      <c r="U24" s="99" t="s">
        <v>3451</v>
      </c>
      <c r="V24" s="99" t="s">
        <v>241</v>
      </c>
      <c r="W24" s="99" t="s">
        <v>3435</v>
      </c>
      <c r="X24" s="99" t="s">
        <v>3478</v>
      </c>
      <c r="Y24" s="99" t="s">
        <v>3479</v>
      </c>
      <c r="Z24" s="99" t="s">
        <v>172</v>
      </c>
      <c r="AA24" s="99" t="s">
        <v>173</v>
      </c>
      <c r="AB24" s="99" t="s">
        <v>174</v>
      </c>
      <c r="AC24" s="99" t="s">
        <v>3411</v>
      </c>
      <c r="AD24" s="99" t="s">
        <v>175</v>
      </c>
      <c r="AE24" s="99" t="s">
        <v>3411</v>
      </c>
      <c r="AF24" s="99" t="s">
        <v>3411</v>
      </c>
      <c r="AG24" s="124">
        <v>2768</v>
      </c>
      <c r="AH24" s="99" t="s">
        <v>3413</v>
      </c>
      <c r="AI24" s="125">
        <v>100</v>
      </c>
      <c r="AJ24" s="99" t="s">
        <v>176</v>
      </c>
      <c r="AK24" s="99" t="s">
        <v>3411</v>
      </c>
      <c r="AL24" s="99" t="s">
        <v>3411</v>
      </c>
      <c r="AM24" s="99" t="s">
        <v>3480</v>
      </c>
      <c r="AN24" s="99" t="s">
        <v>233</v>
      </c>
      <c r="AO24" s="99" t="s">
        <v>200</v>
      </c>
      <c r="AP24" s="99" t="s">
        <v>2570</v>
      </c>
      <c r="AQ24" s="99" t="s">
        <v>3411</v>
      </c>
      <c r="AR24" s="99" t="s">
        <v>234</v>
      </c>
      <c r="AS24" s="99" t="s">
        <v>374</v>
      </c>
      <c r="AT24" s="99" t="s">
        <v>235</v>
      </c>
      <c r="AU24" s="99" t="s">
        <v>236</v>
      </c>
      <c r="AV24" s="99" t="s">
        <v>3414</v>
      </c>
      <c r="AW24" s="99" t="s">
        <v>180</v>
      </c>
      <c r="AX24" s="99" t="s">
        <v>3481</v>
      </c>
      <c r="AY24" s="99" t="s">
        <v>252</v>
      </c>
      <c r="AZ24" s="99" t="s">
        <v>3806</v>
      </c>
      <c r="BA24" s="99" t="s">
        <v>3450</v>
      </c>
      <c r="BB24" s="99" t="s">
        <v>339</v>
      </c>
      <c r="BC24" s="125">
        <v>49</v>
      </c>
      <c r="BD24" s="99" t="s">
        <v>3135</v>
      </c>
      <c r="BE24" s="99" t="s">
        <v>3136</v>
      </c>
    </row>
    <row r="25" spans="1:57" ht="12.95" customHeight="1">
      <c r="A25" s="124">
        <v>15</v>
      </c>
      <c r="B25" s="124">
        <v>364</v>
      </c>
      <c r="C25" s="99" t="s">
        <v>165</v>
      </c>
      <c r="D25" s="99" t="s">
        <v>192</v>
      </c>
      <c r="E25" s="99" t="s">
        <v>2886</v>
      </c>
      <c r="F25" s="99" t="s">
        <v>2779</v>
      </c>
      <c r="G25" s="99" t="s">
        <v>3171</v>
      </c>
      <c r="H25" s="99" t="s">
        <v>227</v>
      </c>
      <c r="I25" s="99" t="s">
        <v>228</v>
      </c>
      <c r="J25" s="99" t="s">
        <v>229</v>
      </c>
      <c r="K25" s="99" t="s">
        <v>230</v>
      </c>
      <c r="L25" s="99" t="s">
        <v>231</v>
      </c>
      <c r="M25" s="99" t="s">
        <v>5</v>
      </c>
      <c r="N25" s="99" t="s">
        <v>3407</v>
      </c>
      <c r="O25" s="99" t="s">
        <v>114</v>
      </c>
      <c r="P25" s="99" t="s">
        <v>3422</v>
      </c>
      <c r="Q25" s="99" t="s">
        <v>169</v>
      </c>
      <c r="R25" s="99" t="s">
        <v>198</v>
      </c>
      <c r="S25" s="99" t="s">
        <v>2637</v>
      </c>
      <c r="T25" s="99" t="s">
        <v>48</v>
      </c>
      <c r="U25" s="99" t="s">
        <v>3482</v>
      </c>
      <c r="V25" s="99" t="s">
        <v>232</v>
      </c>
      <c r="W25" s="99" t="s">
        <v>3483</v>
      </c>
      <c r="X25" s="99" t="s">
        <v>3483</v>
      </c>
      <c r="Y25" s="99" t="s">
        <v>3484</v>
      </c>
      <c r="Z25" s="99" t="s">
        <v>172</v>
      </c>
      <c r="AA25" s="99" t="s">
        <v>173</v>
      </c>
      <c r="AB25" s="99" t="s">
        <v>174</v>
      </c>
      <c r="AC25" s="99" t="s">
        <v>3411</v>
      </c>
      <c r="AD25" s="99" t="s">
        <v>175</v>
      </c>
      <c r="AE25" s="99" t="s">
        <v>3411</v>
      </c>
      <c r="AF25" s="99" t="s">
        <v>3411</v>
      </c>
      <c r="AG25" s="124">
        <v>264</v>
      </c>
      <c r="AH25" s="99" t="s">
        <v>3413</v>
      </c>
      <c r="AI25" s="125">
        <v>100</v>
      </c>
      <c r="AJ25" s="99" t="s">
        <v>176</v>
      </c>
      <c r="AK25" s="99" t="s">
        <v>3483</v>
      </c>
      <c r="AL25" s="99" t="s">
        <v>3411</v>
      </c>
      <c r="AM25" s="99" t="s">
        <v>3480</v>
      </c>
      <c r="AN25" s="99" t="s">
        <v>233</v>
      </c>
      <c r="AO25" s="99" t="s">
        <v>200</v>
      </c>
      <c r="AP25" s="99" t="s">
        <v>2570</v>
      </c>
      <c r="AQ25" s="99" t="s">
        <v>3411</v>
      </c>
      <c r="AR25" s="99" t="s">
        <v>234</v>
      </c>
      <c r="AS25" s="99" t="s">
        <v>2638</v>
      </c>
      <c r="AT25" s="99" t="s">
        <v>235</v>
      </c>
      <c r="AU25" s="99" t="s">
        <v>236</v>
      </c>
      <c r="AV25" s="99" t="s">
        <v>3414</v>
      </c>
      <c r="AW25" s="99" t="s">
        <v>180</v>
      </c>
      <c r="AX25" s="99" t="s">
        <v>3420</v>
      </c>
      <c r="AY25" s="99" t="s">
        <v>252</v>
      </c>
      <c r="AZ25" s="99" t="s">
        <v>3416</v>
      </c>
      <c r="BA25" s="99" t="s">
        <v>3485</v>
      </c>
      <c r="BB25" s="99" t="s">
        <v>237</v>
      </c>
      <c r="BC25" s="125">
        <v>61</v>
      </c>
      <c r="BD25" s="99" t="s">
        <v>3135</v>
      </c>
      <c r="BE25" s="99" t="s">
        <v>3136</v>
      </c>
    </row>
    <row r="26" spans="1:57" ht="12.95" customHeight="1">
      <c r="A26" s="124">
        <v>15</v>
      </c>
      <c r="B26" s="124">
        <v>2735</v>
      </c>
      <c r="C26" s="99" t="s">
        <v>165</v>
      </c>
      <c r="D26" s="99" t="s">
        <v>192</v>
      </c>
      <c r="E26" s="99" t="s">
        <v>2886</v>
      </c>
      <c r="F26" s="99" t="s">
        <v>2779</v>
      </c>
      <c r="G26" s="99" t="s">
        <v>3171</v>
      </c>
      <c r="H26" s="99" t="s">
        <v>227</v>
      </c>
      <c r="I26" s="99" t="s">
        <v>228</v>
      </c>
      <c r="J26" s="99" t="s">
        <v>238</v>
      </c>
      <c r="K26" s="99" t="s">
        <v>239</v>
      </c>
      <c r="L26" s="99" t="s">
        <v>240</v>
      </c>
      <c r="M26" s="99" t="s">
        <v>1</v>
      </c>
      <c r="N26" s="99" t="s">
        <v>3407</v>
      </c>
      <c r="O26" s="99" t="s">
        <v>114</v>
      </c>
      <c r="P26" s="99" t="s">
        <v>3422</v>
      </c>
      <c r="Q26" s="99" t="s">
        <v>169</v>
      </c>
      <c r="R26" s="99" t="s">
        <v>198</v>
      </c>
      <c r="S26" s="99" t="s">
        <v>2637</v>
      </c>
      <c r="T26" s="99" t="s">
        <v>48</v>
      </c>
      <c r="U26" s="99" t="s">
        <v>3451</v>
      </c>
      <c r="V26" s="99" t="s">
        <v>241</v>
      </c>
      <c r="W26" s="99" t="s">
        <v>3435</v>
      </c>
      <c r="X26" s="99" t="s">
        <v>3486</v>
      </c>
      <c r="Y26" s="99" t="s">
        <v>3487</v>
      </c>
      <c r="Z26" s="99" t="s">
        <v>172</v>
      </c>
      <c r="AA26" s="99" t="s">
        <v>173</v>
      </c>
      <c r="AB26" s="99" t="s">
        <v>174</v>
      </c>
      <c r="AC26" s="99" t="s">
        <v>3411</v>
      </c>
      <c r="AD26" s="99" t="s">
        <v>175</v>
      </c>
      <c r="AE26" s="99" t="s">
        <v>3411</v>
      </c>
      <c r="AF26" s="99" t="s">
        <v>3411</v>
      </c>
      <c r="AG26" s="124">
        <v>2735</v>
      </c>
      <c r="AH26" s="99" t="s">
        <v>3413</v>
      </c>
      <c r="AI26" s="125">
        <v>100</v>
      </c>
      <c r="AJ26" s="99" t="s">
        <v>176</v>
      </c>
      <c r="AK26" s="99" t="s">
        <v>3486</v>
      </c>
      <c r="AL26" s="99" t="s">
        <v>3411</v>
      </c>
      <c r="AM26" s="99" t="s">
        <v>177</v>
      </c>
      <c r="AN26" s="99" t="s">
        <v>3411</v>
      </c>
      <c r="AO26" s="99" t="s">
        <v>200</v>
      </c>
      <c r="AP26" s="99" t="s">
        <v>2570</v>
      </c>
      <c r="AQ26" s="99" t="s">
        <v>3411</v>
      </c>
      <c r="AR26" s="99" t="s">
        <v>242</v>
      </c>
      <c r="AS26" s="99" t="s">
        <v>243</v>
      </c>
      <c r="AT26" s="99" t="s">
        <v>235</v>
      </c>
      <c r="AU26" s="99" t="s">
        <v>236</v>
      </c>
      <c r="AV26" s="99" t="s">
        <v>3414</v>
      </c>
      <c r="AW26" s="99" t="s">
        <v>180</v>
      </c>
      <c r="AX26" s="99" t="s">
        <v>3420</v>
      </c>
      <c r="AY26" s="99" t="s">
        <v>252</v>
      </c>
      <c r="AZ26" s="99" t="s">
        <v>3416</v>
      </c>
      <c r="BA26" s="99" t="s">
        <v>3485</v>
      </c>
      <c r="BB26" s="99" t="s">
        <v>237</v>
      </c>
      <c r="BC26" s="125">
        <v>58</v>
      </c>
      <c r="BD26" s="99" t="s">
        <v>3135</v>
      </c>
      <c r="BE26" s="99" t="s">
        <v>3136</v>
      </c>
    </row>
    <row r="27" spans="1:57" ht="12.95" customHeight="1">
      <c r="A27" s="124">
        <v>15</v>
      </c>
      <c r="B27" s="124">
        <v>2740</v>
      </c>
      <c r="C27" s="99" t="s">
        <v>165</v>
      </c>
      <c r="D27" s="99" t="s">
        <v>192</v>
      </c>
      <c r="E27" s="99" t="s">
        <v>2886</v>
      </c>
      <c r="F27" s="99" t="s">
        <v>2779</v>
      </c>
      <c r="G27" s="99" t="s">
        <v>3171</v>
      </c>
      <c r="H27" s="99" t="s">
        <v>227</v>
      </c>
      <c r="I27" s="99" t="s">
        <v>228</v>
      </c>
      <c r="J27" s="99" t="s">
        <v>244</v>
      </c>
      <c r="K27" s="99" t="s">
        <v>245</v>
      </c>
      <c r="L27" s="99" t="s">
        <v>246</v>
      </c>
      <c r="M27" s="99" t="s">
        <v>1</v>
      </c>
      <c r="N27" s="99" t="s">
        <v>3454</v>
      </c>
      <c r="O27" s="99" t="s">
        <v>70</v>
      </c>
      <c r="P27" s="99" t="s">
        <v>3455</v>
      </c>
      <c r="Q27" s="99" t="s">
        <v>247</v>
      </c>
      <c r="R27" s="99" t="s">
        <v>198</v>
      </c>
      <c r="S27" s="99" t="s">
        <v>2637</v>
      </c>
      <c r="T27" s="99" t="s">
        <v>48</v>
      </c>
      <c r="U27" s="99" t="s">
        <v>3451</v>
      </c>
      <c r="V27" s="99" t="s">
        <v>241</v>
      </c>
      <c r="W27" s="99" t="s">
        <v>3435</v>
      </c>
      <c r="X27" s="99" t="s">
        <v>3488</v>
      </c>
      <c r="Y27" s="99" t="s">
        <v>3489</v>
      </c>
      <c r="Z27" s="99" t="s">
        <v>172</v>
      </c>
      <c r="AA27" s="99" t="s">
        <v>173</v>
      </c>
      <c r="AB27" s="99" t="s">
        <v>174</v>
      </c>
      <c r="AC27" s="99" t="s">
        <v>3411</v>
      </c>
      <c r="AD27" s="99" t="s">
        <v>175</v>
      </c>
      <c r="AE27" s="99" t="s">
        <v>3411</v>
      </c>
      <c r="AF27" s="99" t="s">
        <v>3411</v>
      </c>
      <c r="AG27" s="124">
        <v>2740</v>
      </c>
      <c r="AH27" s="99" t="s">
        <v>3490</v>
      </c>
      <c r="AI27" s="125">
        <v>75</v>
      </c>
      <c r="AJ27" s="99" t="s">
        <v>214</v>
      </c>
      <c r="AK27" s="99" t="s">
        <v>3488</v>
      </c>
      <c r="AL27" s="99" t="s">
        <v>5013</v>
      </c>
      <c r="AM27" s="99" t="s">
        <v>177</v>
      </c>
      <c r="AN27" s="99" t="s">
        <v>3411</v>
      </c>
      <c r="AO27" s="99" t="s">
        <v>200</v>
      </c>
      <c r="AP27" s="99" t="s">
        <v>2570</v>
      </c>
      <c r="AQ27" s="99" t="s">
        <v>3411</v>
      </c>
      <c r="AR27" s="99" t="s">
        <v>3411</v>
      </c>
      <c r="AS27" s="99" t="s">
        <v>248</v>
      </c>
      <c r="AT27" s="99" t="s">
        <v>235</v>
      </c>
      <c r="AU27" s="99" t="s">
        <v>236</v>
      </c>
      <c r="AV27" s="99" t="s">
        <v>3414</v>
      </c>
      <c r="AW27" s="99" t="s">
        <v>180</v>
      </c>
      <c r="AX27" s="99" t="s">
        <v>3420</v>
      </c>
      <c r="AY27" s="99" t="s">
        <v>252</v>
      </c>
      <c r="AZ27" s="99" t="s">
        <v>3416</v>
      </c>
      <c r="BA27" s="99" t="s">
        <v>3485</v>
      </c>
      <c r="BB27" s="99" t="s">
        <v>237</v>
      </c>
      <c r="BC27" s="125">
        <v>52</v>
      </c>
      <c r="BD27" s="99" t="s">
        <v>3135</v>
      </c>
      <c r="BE27" s="99" t="s">
        <v>3136</v>
      </c>
    </row>
    <row r="28" spans="1:57" ht="12.95" customHeight="1">
      <c r="A28" s="124">
        <v>15</v>
      </c>
      <c r="B28" s="124">
        <v>2741</v>
      </c>
      <c r="C28" s="99" t="s">
        <v>165</v>
      </c>
      <c r="D28" s="99" t="s">
        <v>192</v>
      </c>
      <c r="E28" s="99" t="s">
        <v>2886</v>
      </c>
      <c r="F28" s="99" t="s">
        <v>2779</v>
      </c>
      <c r="G28" s="99" t="s">
        <v>3171</v>
      </c>
      <c r="H28" s="99" t="s">
        <v>227</v>
      </c>
      <c r="I28" s="99" t="s">
        <v>228</v>
      </c>
      <c r="J28" s="99" t="s">
        <v>249</v>
      </c>
      <c r="K28" s="99" t="s">
        <v>245</v>
      </c>
      <c r="L28" s="99" t="s">
        <v>250</v>
      </c>
      <c r="M28" s="99" t="s">
        <v>1</v>
      </c>
      <c r="N28" s="99" t="s">
        <v>3407</v>
      </c>
      <c r="O28" s="99" t="s">
        <v>114</v>
      </c>
      <c r="P28" s="99" t="s">
        <v>3422</v>
      </c>
      <c r="Q28" s="99" t="s">
        <v>169</v>
      </c>
      <c r="R28" s="99" t="s">
        <v>198</v>
      </c>
      <c r="S28" s="99" t="s">
        <v>2637</v>
      </c>
      <c r="T28" s="99" t="s">
        <v>48</v>
      </c>
      <c r="U28" s="99" t="s">
        <v>3434</v>
      </c>
      <c r="V28" s="99" t="s">
        <v>199</v>
      </c>
      <c r="W28" s="99" t="s">
        <v>3435</v>
      </c>
      <c r="X28" s="99" t="s">
        <v>3491</v>
      </c>
      <c r="Y28" s="99" t="s">
        <v>3492</v>
      </c>
      <c r="Z28" s="99" t="s">
        <v>172</v>
      </c>
      <c r="AA28" s="99" t="s">
        <v>173</v>
      </c>
      <c r="AB28" s="99" t="s">
        <v>174</v>
      </c>
      <c r="AC28" s="99" t="s">
        <v>3411</v>
      </c>
      <c r="AD28" s="99" t="s">
        <v>175</v>
      </c>
      <c r="AE28" s="99" t="s">
        <v>3411</v>
      </c>
      <c r="AF28" s="99" t="s">
        <v>3411</v>
      </c>
      <c r="AG28" s="124">
        <v>2741</v>
      </c>
      <c r="AH28" s="99" t="s">
        <v>3413</v>
      </c>
      <c r="AI28" s="125">
        <v>100</v>
      </c>
      <c r="AJ28" s="99" t="s">
        <v>176</v>
      </c>
      <c r="AK28" s="99" t="s">
        <v>3493</v>
      </c>
      <c r="AL28" s="99" t="s">
        <v>3411</v>
      </c>
      <c r="AM28" s="99" t="s">
        <v>177</v>
      </c>
      <c r="AN28" s="99" t="s">
        <v>3411</v>
      </c>
      <c r="AO28" s="99" t="s">
        <v>200</v>
      </c>
      <c r="AP28" s="99" t="s">
        <v>2570</v>
      </c>
      <c r="AQ28" s="99" t="s">
        <v>3411</v>
      </c>
      <c r="AR28" s="99" t="s">
        <v>3411</v>
      </c>
      <c r="AS28" s="99" t="s">
        <v>251</v>
      </c>
      <c r="AT28" s="99" t="s">
        <v>235</v>
      </c>
      <c r="AU28" s="99" t="s">
        <v>236</v>
      </c>
      <c r="AV28" s="99" t="s">
        <v>3414</v>
      </c>
      <c r="AW28" s="99" t="s">
        <v>180</v>
      </c>
      <c r="AX28" s="99" t="s">
        <v>3420</v>
      </c>
      <c r="AY28" s="99" t="s">
        <v>252</v>
      </c>
      <c r="AZ28" s="99" t="s">
        <v>3416</v>
      </c>
      <c r="BA28" s="99" t="s">
        <v>3485</v>
      </c>
      <c r="BB28" s="99" t="s">
        <v>237</v>
      </c>
      <c r="BC28" s="125">
        <v>53</v>
      </c>
      <c r="BD28" s="99" t="s">
        <v>3135</v>
      </c>
      <c r="BE28" s="99" t="s">
        <v>3136</v>
      </c>
    </row>
    <row r="29" spans="1:57" ht="12.95" customHeight="1">
      <c r="A29" s="124">
        <v>15</v>
      </c>
      <c r="B29" s="124">
        <v>2711</v>
      </c>
      <c r="C29" s="99" t="s">
        <v>165</v>
      </c>
      <c r="D29" s="99" t="s">
        <v>192</v>
      </c>
      <c r="E29" s="99" t="s">
        <v>2886</v>
      </c>
      <c r="F29" s="99" t="s">
        <v>2779</v>
      </c>
      <c r="G29" s="99" t="s">
        <v>3171</v>
      </c>
      <c r="H29" s="99" t="s">
        <v>253</v>
      </c>
      <c r="I29" s="99" t="s">
        <v>254</v>
      </c>
      <c r="J29" s="99" t="s">
        <v>256</v>
      </c>
      <c r="K29" s="99" t="s">
        <v>257</v>
      </c>
      <c r="L29" s="99" t="s">
        <v>258</v>
      </c>
      <c r="M29" s="99" t="s">
        <v>5</v>
      </c>
      <c r="N29" s="99" t="s">
        <v>3407</v>
      </c>
      <c r="O29" s="99" t="s">
        <v>114</v>
      </c>
      <c r="P29" s="99" t="s">
        <v>3422</v>
      </c>
      <c r="Q29" s="99" t="s">
        <v>169</v>
      </c>
      <c r="R29" s="99" t="s">
        <v>198</v>
      </c>
      <c r="S29" s="99" t="s">
        <v>2637</v>
      </c>
      <c r="T29" s="99" t="s">
        <v>48</v>
      </c>
      <c r="U29" s="99" t="s">
        <v>3451</v>
      </c>
      <c r="V29" s="99" t="s">
        <v>241</v>
      </c>
      <c r="W29" s="99" t="s">
        <v>3435</v>
      </c>
      <c r="X29" s="99" t="s">
        <v>3494</v>
      </c>
      <c r="Y29" s="99" t="s">
        <v>3495</v>
      </c>
      <c r="Z29" s="99" t="s">
        <v>172</v>
      </c>
      <c r="AA29" s="99" t="s">
        <v>173</v>
      </c>
      <c r="AB29" s="99" t="s">
        <v>174</v>
      </c>
      <c r="AC29" s="99" t="s">
        <v>3411</v>
      </c>
      <c r="AD29" s="99" t="s">
        <v>175</v>
      </c>
      <c r="AE29" s="99" t="s">
        <v>3411</v>
      </c>
      <c r="AF29" s="99" t="s">
        <v>3411</v>
      </c>
      <c r="AG29" s="124">
        <v>2711</v>
      </c>
      <c r="AH29" s="99" t="s">
        <v>3413</v>
      </c>
      <c r="AI29" s="125">
        <v>100</v>
      </c>
      <c r="AJ29" s="99" t="s">
        <v>176</v>
      </c>
      <c r="AK29" s="99" t="s">
        <v>3494</v>
      </c>
      <c r="AL29" s="99" t="s">
        <v>3411</v>
      </c>
      <c r="AM29" s="99" t="s">
        <v>177</v>
      </c>
      <c r="AN29" s="99" t="s">
        <v>3411</v>
      </c>
      <c r="AO29" s="99" t="s">
        <v>200</v>
      </c>
      <c r="AP29" s="99" t="s">
        <v>2570</v>
      </c>
      <c r="AQ29" s="99" t="s">
        <v>3411</v>
      </c>
      <c r="AR29" s="99" t="s">
        <v>3411</v>
      </c>
      <c r="AS29" s="99" t="s">
        <v>259</v>
      </c>
      <c r="AT29" s="99" t="s">
        <v>1</v>
      </c>
      <c r="AU29" s="99" t="s">
        <v>179</v>
      </c>
      <c r="AV29" s="99" t="s">
        <v>3414</v>
      </c>
      <c r="AW29" s="99" t="s">
        <v>180</v>
      </c>
      <c r="AX29" s="99" t="s">
        <v>3420</v>
      </c>
      <c r="AY29" s="99" t="s">
        <v>252</v>
      </c>
      <c r="AZ29" s="99" t="s">
        <v>3416</v>
      </c>
      <c r="BA29" s="99" t="s">
        <v>3485</v>
      </c>
      <c r="BB29" s="99" t="s">
        <v>237</v>
      </c>
      <c r="BC29" s="125">
        <v>42</v>
      </c>
      <c r="BD29" s="99" t="s">
        <v>3135</v>
      </c>
      <c r="BE29" s="99" t="s">
        <v>3136</v>
      </c>
    </row>
    <row r="30" spans="1:57" ht="12.95" customHeight="1">
      <c r="A30" s="124">
        <v>15</v>
      </c>
      <c r="B30" s="124">
        <v>2982</v>
      </c>
      <c r="C30" s="99" t="s">
        <v>165</v>
      </c>
      <c r="D30" s="99" t="s">
        <v>192</v>
      </c>
      <c r="E30" s="99" t="s">
        <v>2886</v>
      </c>
      <c r="F30" s="99" t="s">
        <v>2779</v>
      </c>
      <c r="G30" s="99" t="s">
        <v>3171</v>
      </c>
      <c r="H30" s="99" t="s">
        <v>253</v>
      </c>
      <c r="I30" s="99" t="s">
        <v>254</v>
      </c>
      <c r="J30" s="99" t="s">
        <v>260</v>
      </c>
      <c r="K30" s="99" t="s">
        <v>261</v>
      </c>
      <c r="L30" s="99" t="s">
        <v>262</v>
      </c>
      <c r="M30" s="99" t="s">
        <v>5</v>
      </c>
      <c r="N30" s="99" t="s">
        <v>3407</v>
      </c>
      <c r="O30" s="99" t="s">
        <v>114</v>
      </c>
      <c r="P30" s="99" t="s">
        <v>3422</v>
      </c>
      <c r="Q30" s="99" t="s">
        <v>169</v>
      </c>
      <c r="R30" s="99" t="s">
        <v>198</v>
      </c>
      <c r="S30" s="99" t="s">
        <v>2637</v>
      </c>
      <c r="T30" s="99" t="s">
        <v>48</v>
      </c>
      <c r="U30" s="99" t="s">
        <v>3451</v>
      </c>
      <c r="V30" s="99" t="s">
        <v>241</v>
      </c>
      <c r="W30" s="99" t="s">
        <v>3496</v>
      </c>
      <c r="X30" s="99" t="s">
        <v>3496</v>
      </c>
      <c r="Y30" s="99" t="s">
        <v>3497</v>
      </c>
      <c r="Z30" s="99" t="s">
        <v>172</v>
      </c>
      <c r="AA30" s="99" t="s">
        <v>173</v>
      </c>
      <c r="AB30" s="99" t="s">
        <v>316</v>
      </c>
      <c r="AC30" s="99" t="s">
        <v>3411</v>
      </c>
      <c r="AD30" s="99" t="s">
        <v>175</v>
      </c>
      <c r="AE30" s="99" t="s">
        <v>3411</v>
      </c>
      <c r="AF30" s="99" t="s">
        <v>3411</v>
      </c>
      <c r="AG30" s="124">
        <v>2982</v>
      </c>
      <c r="AH30" s="99" t="s">
        <v>3413</v>
      </c>
      <c r="AI30" s="125">
        <v>100</v>
      </c>
      <c r="AJ30" s="99" t="s">
        <v>176</v>
      </c>
      <c r="AK30" s="99" t="s">
        <v>3496</v>
      </c>
      <c r="AL30" s="99" t="s">
        <v>3411</v>
      </c>
      <c r="AM30" s="99" t="s">
        <v>177</v>
      </c>
      <c r="AN30" s="99" t="s">
        <v>3411</v>
      </c>
      <c r="AO30" s="99" t="s">
        <v>200</v>
      </c>
      <c r="AP30" s="99" t="s">
        <v>2570</v>
      </c>
      <c r="AQ30" s="99" t="s">
        <v>3411</v>
      </c>
      <c r="AR30" s="99" t="s">
        <v>3411</v>
      </c>
      <c r="AS30" s="99" t="s">
        <v>265</v>
      </c>
      <c r="AT30" s="99" t="s">
        <v>235</v>
      </c>
      <c r="AU30" s="99" t="s">
        <v>236</v>
      </c>
      <c r="AV30" s="99" t="s">
        <v>3414</v>
      </c>
      <c r="AW30" s="99" t="s">
        <v>180</v>
      </c>
      <c r="AX30" s="99" t="s">
        <v>3420</v>
      </c>
      <c r="AY30" s="99" t="s">
        <v>252</v>
      </c>
      <c r="AZ30" s="99" t="s">
        <v>3416</v>
      </c>
      <c r="BA30" s="99" t="s">
        <v>3485</v>
      </c>
      <c r="BB30" s="99" t="s">
        <v>237</v>
      </c>
      <c r="BC30" s="125">
        <v>29</v>
      </c>
      <c r="BD30" s="99" t="s">
        <v>3135</v>
      </c>
      <c r="BE30" s="99" t="s">
        <v>3136</v>
      </c>
    </row>
    <row r="31" spans="1:57" ht="12.95" customHeight="1">
      <c r="A31" s="124">
        <v>15</v>
      </c>
      <c r="B31" s="124">
        <v>2716</v>
      </c>
      <c r="C31" s="99" t="s">
        <v>165</v>
      </c>
      <c r="D31" s="99" t="s">
        <v>192</v>
      </c>
      <c r="E31" s="99" t="s">
        <v>2886</v>
      </c>
      <c r="F31" s="99" t="s">
        <v>2779</v>
      </c>
      <c r="G31" s="99" t="s">
        <v>3171</v>
      </c>
      <c r="H31" s="99" t="s">
        <v>253</v>
      </c>
      <c r="I31" s="99" t="s">
        <v>254</v>
      </c>
      <c r="J31" s="99" t="s">
        <v>266</v>
      </c>
      <c r="K31" s="99" t="s">
        <v>267</v>
      </c>
      <c r="L31" s="99" t="s">
        <v>268</v>
      </c>
      <c r="M31" s="99" t="s">
        <v>1</v>
      </c>
      <c r="N31" s="99" t="s">
        <v>3407</v>
      </c>
      <c r="O31" s="99" t="s">
        <v>114</v>
      </c>
      <c r="P31" s="99" t="s">
        <v>3422</v>
      </c>
      <c r="Q31" s="99" t="s">
        <v>169</v>
      </c>
      <c r="R31" s="99" t="s">
        <v>198</v>
      </c>
      <c r="S31" s="99" t="s">
        <v>2637</v>
      </c>
      <c r="T31" s="99" t="s">
        <v>48</v>
      </c>
      <c r="U31" s="99" t="s">
        <v>3451</v>
      </c>
      <c r="V31" s="99" t="s">
        <v>241</v>
      </c>
      <c r="W31" s="99" t="s">
        <v>3435</v>
      </c>
      <c r="X31" s="99" t="s">
        <v>3431</v>
      </c>
      <c r="Y31" s="99" t="s">
        <v>3498</v>
      </c>
      <c r="Z31" s="99" t="s">
        <v>172</v>
      </c>
      <c r="AA31" s="99" t="s">
        <v>173</v>
      </c>
      <c r="AB31" s="99" t="s">
        <v>174</v>
      </c>
      <c r="AC31" s="99" t="s">
        <v>3411</v>
      </c>
      <c r="AD31" s="99" t="s">
        <v>175</v>
      </c>
      <c r="AE31" s="99" t="s">
        <v>3411</v>
      </c>
      <c r="AF31" s="99" t="s">
        <v>3411</v>
      </c>
      <c r="AG31" s="124">
        <v>2716</v>
      </c>
      <c r="AH31" s="99" t="s">
        <v>3490</v>
      </c>
      <c r="AI31" s="125">
        <v>75</v>
      </c>
      <c r="AJ31" s="99" t="s">
        <v>214</v>
      </c>
      <c r="AK31" s="99" t="s">
        <v>3499</v>
      </c>
      <c r="AL31" s="99" t="s">
        <v>3500</v>
      </c>
      <c r="AM31" s="99" t="s">
        <v>177</v>
      </c>
      <c r="AN31" s="99" t="s">
        <v>3411</v>
      </c>
      <c r="AO31" s="99" t="s">
        <v>200</v>
      </c>
      <c r="AP31" s="99" t="s">
        <v>2570</v>
      </c>
      <c r="AQ31" s="99" t="s">
        <v>3411</v>
      </c>
      <c r="AR31" s="99" t="s">
        <v>3411</v>
      </c>
      <c r="AS31" s="99" t="s">
        <v>269</v>
      </c>
      <c r="AT31" s="99" t="s">
        <v>235</v>
      </c>
      <c r="AU31" s="99" t="s">
        <v>236</v>
      </c>
      <c r="AV31" s="99" t="s">
        <v>3414</v>
      </c>
      <c r="AW31" s="99" t="s">
        <v>180</v>
      </c>
      <c r="AX31" s="99" t="s">
        <v>3420</v>
      </c>
      <c r="AY31" s="99" t="s">
        <v>252</v>
      </c>
      <c r="AZ31" s="99" t="s">
        <v>3416</v>
      </c>
      <c r="BA31" s="99" t="s">
        <v>3485</v>
      </c>
      <c r="BB31" s="99" t="s">
        <v>237</v>
      </c>
      <c r="BC31" s="125">
        <v>47</v>
      </c>
      <c r="BD31" s="99" t="s">
        <v>3135</v>
      </c>
      <c r="BE31" s="99" t="s">
        <v>3136</v>
      </c>
    </row>
    <row r="32" spans="1:57" ht="12.95" customHeight="1">
      <c r="A32" s="124">
        <v>15</v>
      </c>
      <c r="B32" s="124">
        <v>2722</v>
      </c>
      <c r="C32" s="99" t="s">
        <v>165</v>
      </c>
      <c r="D32" s="99" t="s">
        <v>192</v>
      </c>
      <c r="E32" s="99" t="s">
        <v>2886</v>
      </c>
      <c r="F32" s="99" t="s">
        <v>2779</v>
      </c>
      <c r="G32" s="99" t="s">
        <v>3171</v>
      </c>
      <c r="H32" s="99" t="s">
        <v>253</v>
      </c>
      <c r="I32" s="99" t="s">
        <v>254</v>
      </c>
      <c r="J32" s="99" t="s">
        <v>270</v>
      </c>
      <c r="K32" s="99" t="s">
        <v>271</v>
      </c>
      <c r="L32" s="99" t="s">
        <v>272</v>
      </c>
      <c r="M32" s="99" t="s">
        <v>1</v>
      </c>
      <c r="N32" s="99" t="s">
        <v>3407</v>
      </c>
      <c r="O32" s="99" t="s">
        <v>114</v>
      </c>
      <c r="P32" s="99" t="s">
        <v>3422</v>
      </c>
      <c r="Q32" s="99" t="s">
        <v>169</v>
      </c>
      <c r="R32" s="99" t="s">
        <v>198</v>
      </c>
      <c r="S32" s="99" t="s">
        <v>2637</v>
      </c>
      <c r="T32" s="99" t="s">
        <v>48</v>
      </c>
      <c r="U32" s="99" t="s">
        <v>3434</v>
      </c>
      <c r="V32" s="99" t="s">
        <v>199</v>
      </c>
      <c r="W32" s="99" t="s">
        <v>3435</v>
      </c>
      <c r="X32" s="99" t="s">
        <v>3467</v>
      </c>
      <c r="Y32" s="99" t="s">
        <v>3501</v>
      </c>
      <c r="Z32" s="99" t="s">
        <v>172</v>
      </c>
      <c r="AA32" s="99" t="s">
        <v>173</v>
      </c>
      <c r="AB32" s="99" t="s">
        <v>174</v>
      </c>
      <c r="AC32" s="99" t="s">
        <v>3411</v>
      </c>
      <c r="AD32" s="99" t="s">
        <v>175</v>
      </c>
      <c r="AE32" s="99" t="s">
        <v>3411</v>
      </c>
      <c r="AF32" s="99" t="s">
        <v>3411</v>
      </c>
      <c r="AG32" s="124">
        <v>2722</v>
      </c>
      <c r="AH32" s="99" t="s">
        <v>3413</v>
      </c>
      <c r="AI32" s="125">
        <v>100</v>
      </c>
      <c r="AJ32" s="99" t="s">
        <v>176</v>
      </c>
      <c r="AK32" s="99" t="s">
        <v>3467</v>
      </c>
      <c r="AL32" s="99" t="s">
        <v>3411</v>
      </c>
      <c r="AM32" s="99" t="s">
        <v>177</v>
      </c>
      <c r="AN32" s="99" t="s">
        <v>3411</v>
      </c>
      <c r="AO32" s="99" t="s">
        <v>200</v>
      </c>
      <c r="AP32" s="99" t="s">
        <v>2570</v>
      </c>
      <c r="AQ32" s="99" t="s">
        <v>3411</v>
      </c>
      <c r="AR32" s="99" t="s">
        <v>3411</v>
      </c>
      <c r="AS32" s="99" t="s">
        <v>273</v>
      </c>
      <c r="AT32" s="99" t="s">
        <v>235</v>
      </c>
      <c r="AU32" s="99" t="s">
        <v>236</v>
      </c>
      <c r="AV32" s="99" t="s">
        <v>3414</v>
      </c>
      <c r="AW32" s="99" t="s">
        <v>180</v>
      </c>
      <c r="AX32" s="99" t="s">
        <v>3420</v>
      </c>
      <c r="AY32" s="99" t="s">
        <v>252</v>
      </c>
      <c r="AZ32" s="99" t="s">
        <v>3416</v>
      </c>
      <c r="BA32" s="99" t="s">
        <v>3485</v>
      </c>
      <c r="BB32" s="99" t="s">
        <v>237</v>
      </c>
      <c r="BC32" s="125">
        <v>51</v>
      </c>
      <c r="BD32" s="99" t="s">
        <v>3135</v>
      </c>
      <c r="BE32" s="99" t="s">
        <v>3136</v>
      </c>
    </row>
    <row r="33" spans="1:57" ht="12.95" customHeight="1">
      <c r="A33" s="124">
        <v>15</v>
      </c>
      <c r="B33" s="124">
        <v>3094</v>
      </c>
      <c r="C33" s="99" t="s">
        <v>165</v>
      </c>
      <c r="D33" s="99" t="s">
        <v>192</v>
      </c>
      <c r="E33" s="99" t="s">
        <v>2886</v>
      </c>
      <c r="F33" s="99" t="s">
        <v>2779</v>
      </c>
      <c r="G33" s="99" t="s">
        <v>3171</v>
      </c>
      <c r="H33" s="99" t="s">
        <v>253</v>
      </c>
      <c r="I33" s="99" t="s">
        <v>254</v>
      </c>
      <c r="J33" s="99" t="s">
        <v>2939</v>
      </c>
      <c r="K33" s="99" t="s">
        <v>257</v>
      </c>
      <c r="L33" s="99" t="s">
        <v>2940</v>
      </c>
      <c r="M33" s="99" t="s">
        <v>5</v>
      </c>
      <c r="N33" s="99" t="s">
        <v>3407</v>
      </c>
      <c r="O33" s="99" t="s">
        <v>114</v>
      </c>
      <c r="P33" s="99" t="s">
        <v>3502</v>
      </c>
      <c r="Q33" s="99" t="s">
        <v>169</v>
      </c>
      <c r="R33" s="99" t="s">
        <v>198</v>
      </c>
      <c r="S33" s="99" t="s">
        <v>2637</v>
      </c>
      <c r="T33" s="99" t="s">
        <v>48</v>
      </c>
      <c r="U33" s="99" t="s">
        <v>3451</v>
      </c>
      <c r="V33" s="99" t="s">
        <v>241</v>
      </c>
      <c r="W33" s="99" t="s">
        <v>3502</v>
      </c>
      <c r="X33" s="99" t="s">
        <v>3502</v>
      </c>
      <c r="Y33" s="99" t="s">
        <v>3503</v>
      </c>
      <c r="Z33" s="99" t="s">
        <v>172</v>
      </c>
      <c r="AA33" s="99" t="s">
        <v>173</v>
      </c>
      <c r="AB33" s="99" t="s">
        <v>316</v>
      </c>
      <c r="AC33" s="99" t="s">
        <v>3411</v>
      </c>
      <c r="AD33" s="99" t="s">
        <v>175</v>
      </c>
      <c r="AE33" s="99" t="s">
        <v>3411</v>
      </c>
      <c r="AF33" s="99" t="s">
        <v>3411</v>
      </c>
      <c r="AG33" s="124">
        <v>3094</v>
      </c>
      <c r="AH33" s="99" t="s">
        <v>3413</v>
      </c>
      <c r="AI33" s="125">
        <v>100</v>
      </c>
      <c r="AJ33" s="99" t="s">
        <v>176</v>
      </c>
      <c r="AK33" s="99" t="s">
        <v>3502</v>
      </c>
      <c r="AL33" s="99" t="s">
        <v>3411</v>
      </c>
      <c r="AM33" s="99" t="s">
        <v>177</v>
      </c>
      <c r="AN33" s="99" t="s">
        <v>3411</v>
      </c>
      <c r="AO33" s="99" t="s">
        <v>200</v>
      </c>
      <c r="AP33" s="99" t="s">
        <v>2570</v>
      </c>
      <c r="AQ33" s="99" t="s">
        <v>3411</v>
      </c>
      <c r="AR33" s="99" t="s">
        <v>3411</v>
      </c>
      <c r="AS33" s="99" t="s">
        <v>2941</v>
      </c>
      <c r="AT33" s="99" t="s">
        <v>235</v>
      </c>
      <c r="AU33" s="99" t="s">
        <v>236</v>
      </c>
      <c r="AV33" s="99" t="s">
        <v>3414</v>
      </c>
      <c r="AW33" s="99" t="s">
        <v>180</v>
      </c>
      <c r="AX33" s="99" t="s">
        <v>3420</v>
      </c>
      <c r="AY33" s="99" t="s">
        <v>252</v>
      </c>
      <c r="AZ33" s="99" t="s">
        <v>3416</v>
      </c>
      <c r="BA33" s="99" t="s">
        <v>3485</v>
      </c>
      <c r="BB33" s="99" t="s">
        <v>237</v>
      </c>
      <c r="BC33" s="125">
        <v>27</v>
      </c>
      <c r="BD33" s="99" t="s">
        <v>3135</v>
      </c>
      <c r="BE33" s="99" t="s">
        <v>3136</v>
      </c>
    </row>
    <row r="34" spans="1:57" ht="12.95" customHeight="1">
      <c r="A34" s="124">
        <v>15</v>
      </c>
      <c r="B34" s="124">
        <v>2731</v>
      </c>
      <c r="C34" s="99" t="s">
        <v>165</v>
      </c>
      <c r="D34" s="99" t="s">
        <v>192</v>
      </c>
      <c r="E34" s="99" t="s">
        <v>2886</v>
      </c>
      <c r="F34" s="99" t="s">
        <v>2779</v>
      </c>
      <c r="G34" s="99" t="s">
        <v>3171</v>
      </c>
      <c r="H34" s="99" t="s">
        <v>253</v>
      </c>
      <c r="I34" s="99" t="s">
        <v>254</v>
      </c>
      <c r="J34" s="99" t="s">
        <v>274</v>
      </c>
      <c r="K34" s="99" t="s">
        <v>275</v>
      </c>
      <c r="L34" s="99" t="s">
        <v>276</v>
      </c>
      <c r="M34" s="99" t="s">
        <v>5</v>
      </c>
      <c r="N34" s="99" t="s">
        <v>3407</v>
      </c>
      <c r="O34" s="99" t="s">
        <v>114</v>
      </c>
      <c r="P34" s="99" t="s">
        <v>3422</v>
      </c>
      <c r="Q34" s="99" t="s">
        <v>169</v>
      </c>
      <c r="R34" s="99" t="s">
        <v>198</v>
      </c>
      <c r="S34" s="99" t="s">
        <v>2637</v>
      </c>
      <c r="T34" s="99" t="s">
        <v>48</v>
      </c>
      <c r="U34" s="99" t="s">
        <v>3451</v>
      </c>
      <c r="V34" s="99" t="s">
        <v>241</v>
      </c>
      <c r="W34" s="99" t="s">
        <v>3435</v>
      </c>
      <c r="X34" s="99" t="s">
        <v>3504</v>
      </c>
      <c r="Y34" s="99" t="s">
        <v>3505</v>
      </c>
      <c r="Z34" s="99" t="s">
        <v>172</v>
      </c>
      <c r="AA34" s="99" t="s">
        <v>173</v>
      </c>
      <c r="AB34" s="99" t="s">
        <v>174</v>
      </c>
      <c r="AC34" s="99" t="s">
        <v>3411</v>
      </c>
      <c r="AD34" s="99" t="s">
        <v>175</v>
      </c>
      <c r="AE34" s="99" t="s">
        <v>3411</v>
      </c>
      <c r="AF34" s="99" t="s">
        <v>3411</v>
      </c>
      <c r="AG34" s="124">
        <v>2731</v>
      </c>
      <c r="AH34" s="99" t="s">
        <v>3413</v>
      </c>
      <c r="AI34" s="125">
        <v>100</v>
      </c>
      <c r="AJ34" s="99" t="s">
        <v>176</v>
      </c>
      <c r="AK34" s="99" t="s">
        <v>3504</v>
      </c>
      <c r="AL34" s="99" t="s">
        <v>3411</v>
      </c>
      <c r="AM34" s="99" t="s">
        <v>177</v>
      </c>
      <c r="AN34" s="99" t="s">
        <v>3411</v>
      </c>
      <c r="AO34" s="99" t="s">
        <v>200</v>
      </c>
      <c r="AP34" s="99" t="s">
        <v>2570</v>
      </c>
      <c r="AQ34" s="99" t="s">
        <v>3411</v>
      </c>
      <c r="AR34" s="99" t="s">
        <v>242</v>
      </c>
      <c r="AS34" s="99" t="s">
        <v>277</v>
      </c>
      <c r="AT34" s="99" t="s">
        <v>235</v>
      </c>
      <c r="AU34" s="99" t="s">
        <v>236</v>
      </c>
      <c r="AV34" s="99" t="s">
        <v>3414</v>
      </c>
      <c r="AW34" s="99" t="s">
        <v>180</v>
      </c>
      <c r="AX34" s="99" t="s">
        <v>3420</v>
      </c>
      <c r="AY34" s="99" t="s">
        <v>252</v>
      </c>
      <c r="AZ34" s="99" t="s">
        <v>3416</v>
      </c>
      <c r="BA34" s="99" t="s">
        <v>3485</v>
      </c>
      <c r="BB34" s="99" t="s">
        <v>237</v>
      </c>
      <c r="BC34" s="125">
        <v>40</v>
      </c>
      <c r="BD34" s="99" t="s">
        <v>3135</v>
      </c>
      <c r="BE34" s="99" t="s">
        <v>3136</v>
      </c>
    </row>
    <row r="35" spans="1:57" ht="12.95" customHeight="1">
      <c r="A35" s="124">
        <v>15</v>
      </c>
      <c r="B35" s="124">
        <v>2733</v>
      </c>
      <c r="C35" s="99" t="s">
        <v>165</v>
      </c>
      <c r="D35" s="99" t="s">
        <v>192</v>
      </c>
      <c r="E35" s="99" t="s">
        <v>2886</v>
      </c>
      <c r="F35" s="99" t="s">
        <v>2779</v>
      </c>
      <c r="G35" s="99" t="s">
        <v>3171</v>
      </c>
      <c r="H35" s="99" t="s">
        <v>253</v>
      </c>
      <c r="I35" s="99" t="s">
        <v>254</v>
      </c>
      <c r="J35" s="99" t="s">
        <v>279</v>
      </c>
      <c r="K35" s="99" t="s">
        <v>280</v>
      </c>
      <c r="L35" s="99" t="s">
        <v>281</v>
      </c>
      <c r="M35" s="99" t="s">
        <v>5</v>
      </c>
      <c r="N35" s="99" t="s">
        <v>3407</v>
      </c>
      <c r="O35" s="99" t="s">
        <v>114</v>
      </c>
      <c r="P35" s="99" t="s">
        <v>3422</v>
      </c>
      <c r="Q35" s="99" t="s">
        <v>169</v>
      </c>
      <c r="R35" s="99" t="s">
        <v>198</v>
      </c>
      <c r="S35" s="99" t="s">
        <v>2637</v>
      </c>
      <c r="T35" s="99" t="s">
        <v>48</v>
      </c>
      <c r="U35" s="99" t="s">
        <v>3444</v>
      </c>
      <c r="V35" s="99" t="s">
        <v>221</v>
      </c>
      <c r="W35" s="99" t="s">
        <v>3435</v>
      </c>
      <c r="X35" s="99" t="s">
        <v>3469</v>
      </c>
      <c r="Y35" s="99" t="s">
        <v>3506</v>
      </c>
      <c r="Z35" s="99" t="s">
        <v>172</v>
      </c>
      <c r="AA35" s="99" t="s">
        <v>173</v>
      </c>
      <c r="AB35" s="99" t="s">
        <v>174</v>
      </c>
      <c r="AC35" s="99" t="s">
        <v>3411</v>
      </c>
      <c r="AD35" s="99" t="s">
        <v>175</v>
      </c>
      <c r="AE35" s="99" t="s">
        <v>3411</v>
      </c>
      <c r="AF35" s="99" t="s">
        <v>3411</v>
      </c>
      <c r="AG35" s="124">
        <v>2733</v>
      </c>
      <c r="AH35" s="99" t="s">
        <v>3413</v>
      </c>
      <c r="AI35" s="125">
        <v>100</v>
      </c>
      <c r="AJ35" s="99" t="s">
        <v>176</v>
      </c>
      <c r="AK35" s="99" t="s">
        <v>3469</v>
      </c>
      <c r="AL35" s="99" t="s">
        <v>3411</v>
      </c>
      <c r="AM35" s="99" t="s">
        <v>177</v>
      </c>
      <c r="AN35" s="99" t="s">
        <v>3411</v>
      </c>
      <c r="AO35" s="99" t="s">
        <v>200</v>
      </c>
      <c r="AP35" s="99" t="s">
        <v>2570</v>
      </c>
      <c r="AQ35" s="99" t="s">
        <v>3411</v>
      </c>
      <c r="AR35" s="99" t="s">
        <v>242</v>
      </c>
      <c r="AS35" s="99" t="s">
        <v>282</v>
      </c>
      <c r="AT35" s="99" t="s">
        <v>1</v>
      </c>
      <c r="AU35" s="99" t="s">
        <v>179</v>
      </c>
      <c r="AV35" s="99" t="s">
        <v>3414</v>
      </c>
      <c r="AW35" s="99" t="s">
        <v>180</v>
      </c>
      <c r="AX35" s="99" t="s">
        <v>3420</v>
      </c>
      <c r="AY35" s="99" t="s">
        <v>252</v>
      </c>
      <c r="AZ35" s="99" t="s">
        <v>3416</v>
      </c>
      <c r="BA35" s="99" t="s">
        <v>3485</v>
      </c>
      <c r="BB35" s="99" t="s">
        <v>237</v>
      </c>
      <c r="BC35" s="125">
        <v>51</v>
      </c>
      <c r="BD35" s="99" t="s">
        <v>3135</v>
      </c>
      <c r="BE35" s="99" t="s">
        <v>3136</v>
      </c>
    </row>
    <row r="36" spans="1:57" ht="12.95" customHeight="1">
      <c r="A36" s="124">
        <v>15</v>
      </c>
      <c r="B36" s="124">
        <v>2812</v>
      </c>
      <c r="C36" s="99" t="s">
        <v>165</v>
      </c>
      <c r="D36" s="99" t="s">
        <v>192</v>
      </c>
      <c r="E36" s="99" t="s">
        <v>2886</v>
      </c>
      <c r="F36" s="99" t="s">
        <v>2779</v>
      </c>
      <c r="G36" s="99" t="s">
        <v>3171</v>
      </c>
      <c r="H36" s="99" t="s">
        <v>253</v>
      </c>
      <c r="I36" s="99" t="s">
        <v>254</v>
      </c>
      <c r="J36" s="99" t="s">
        <v>283</v>
      </c>
      <c r="K36" s="99" t="s">
        <v>284</v>
      </c>
      <c r="L36" s="99" t="s">
        <v>285</v>
      </c>
      <c r="M36" s="99" t="s">
        <v>1</v>
      </c>
      <c r="N36" s="99" t="s">
        <v>3407</v>
      </c>
      <c r="O36" s="99" t="s">
        <v>114</v>
      </c>
      <c r="P36" s="99" t="s">
        <v>3422</v>
      </c>
      <c r="Q36" s="99" t="s">
        <v>169</v>
      </c>
      <c r="R36" s="99" t="s">
        <v>198</v>
      </c>
      <c r="S36" s="99" t="s">
        <v>2637</v>
      </c>
      <c r="T36" s="99" t="s">
        <v>48</v>
      </c>
      <c r="U36" s="99" t="s">
        <v>3451</v>
      </c>
      <c r="V36" s="99" t="s">
        <v>241</v>
      </c>
      <c r="W36" s="99" t="s">
        <v>3507</v>
      </c>
      <c r="X36" s="99" t="s">
        <v>3507</v>
      </c>
      <c r="Y36" s="99" t="s">
        <v>3508</v>
      </c>
      <c r="Z36" s="99" t="s">
        <v>172</v>
      </c>
      <c r="AA36" s="99" t="s">
        <v>173</v>
      </c>
      <c r="AB36" s="99" t="s">
        <v>174</v>
      </c>
      <c r="AC36" s="99" t="s">
        <v>3411</v>
      </c>
      <c r="AD36" s="99" t="s">
        <v>175</v>
      </c>
      <c r="AE36" s="99" t="s">
        <v>3411</v>
      </c>
      <c r="AF36" s="99" t="s">
        <v>3411</v>
      </c>
      <c r="AG36" s="124">
        <v>2812</v>
      </c>
      <c r="AH36" s="99" t="s">
        <v>3413</v>
      </c>
      <c r="AI36" s="125">
        <v>100</v>
      </c>
      <c r="AJ36" s="99" t="s">
        <v>176</v>
      </c>
      <c r="AK36" s="99" t="s">
        <v>3507</v>
      </c>
      <c r="AL36" s="99" t="s">
        <v>3411</v>
      </c>
      <c r="AM36" s="99" t="s">
        <v>177</v>
      </c>
      <c r="AN36" s="99" t="s">
        <v>3411</v>
      </c>
      <c r="AO36" s="99" t="s">
        <v>200</v>
      </c>
      <c r="AP36" s="99" t="s">
        <v>2570</v>
      </c>
      <c r="AQ36" s="99" t="s">
        <v>3411</v>
      </c>
      <c r="AR36" s="99" t="s">
        <v>3411</v>
      </c>
      <c r="AS36" s="99" t="s">
        <v>286</v>
      </c>
      <c r="AT36" s="99" t="s">
        <v>235</v>
      </c>
      <c r="AU36" s="99" t="s">
        <v>236</v>
      </c>
      <c r="AV36" s="99" t="s">
        <v>3414</v>
      </c>
      <c r="AW36" s="99" t="s">
        <v>180</v>
      </c>
      <c r="AX36" s="99" t="s">
        <v>3420</v>
      </c>
      <c r="AY36" s="99" t="s">
        <v>252</v>
      </c>
      <c r="AZ36" s="99" t="s">
        <v>3416</v>
      </c>
      <c r="BA36" s="99" t="s">
        <v>3485</v>
      </c>
      <c r="BB36" s="99" t="s">
        <v>237</v>
      </c>
      <c r="BC36" s="125">
        <v>42</v>
      </c>
      <c r="BD36" s="99" t="s">
        <v>3135</v>
      </c>
      <c r="BE36" s="99" t="s">
        <v>3136</v>
      </c>
    </row>
    <row r="37" spans="1:57" ht="12.95" customHeight="1">
      <c r="A37" s="124">
        <v>15</v>
      </c>
      <c r="B37" s="124">
        <v>2737</v>
      </c>
      <c r="C37" s="99" t="s">
        <v>165</v>
      </c>
      <c r="D37" s="99" t="s">
        <v>192</v>
      </c>
      <c r="E37" s="99" t="s">
        <v>2886</v>
      </c>
      <c r="F37" s="99" t="s">
        <v>2779</v>
      </c>
      <c r="G37" s="99" t="s">
        <v>3171</v>
      </c>
      <c r="H37" s="99" t="s">
        <v>253</v>
      </c>
      <c r="I37" s="99" t="s">
        <v>254</v>
      </c>
      <c r="J37" s="99" t="s">
        <v>287</v>
      </c>
      <c r="K37" s="99" t="s">
        <v>278</v>
      </c>
      <c r="L37" s="99" t="s">
        <v>288</v>
      </c>
      <c r="M37" s="99" t="s">
        <v>5</v>
      </c>
      <c r="N37" s="99" t="s">
        <v>3407</v>
      </c>
      <c r="O37" s="99" t="s">
        <v>114</v>
      </c>
      <c r="P37" s="99" t="s">
        <v>3422</v>
      </c>
      <c r="Q37" s="99" t="s">
        <v>169</v>
      </c>
      <c r="R37" s="99" t="s">
        <v>198</v>
      </c>
      <c r="S37" s="99" t="s">
        <v>2637</v>
      </c>
      <c r="T37" s="99" t="s">
        <v>48</v>
      </c>
      <c r="U37" s="99" t="s">
        <v>3434</v>
      </c>
      <c r="V37" s="99" t="s">
        <v>199</v>
      </c>
      <c r="W37" s="99" t="s">
        <v>3435</v>
      </c>
      <c r="X37" s="99" t="s">
        <v>3509</v>
      </c>
      <c r="Y37" s="99" t="s">
        <v>3510</v>
      </c>
      <c r="Z37" s="99" t="s">
        <v>172</v>
      </c>
      <c r="AA37" s="99" t="s">
        <v>173</v>
      </c>
      <c r="AB37" s="99" t="s">
        <v>174</v>
      </c>
      <c r="AC37" s="99" t="s">
        <v>3411</v>
      </c>
      <c r="AD37" s="99" t="s">
        <v>175</v>
      </c>
      <c r="AE37" s="99" t="s">
        <v>3411</v>
      </c>
      <c r="AF37" s="99" t="s">
        <v>3411</v>
      </c>
      <c r="AG37" s="124">
        <v>2737</v>
      </c>
      <c r="AH37" s="99" t="s">
        <v>3413</v>
      </c>
      <c r="AI37" s="125">
        <v>100</v>
      </c>
      <c r="AJ37" s="99" t="s">
        <v>176</v>
      </c>
      <c r="AK37" s="99" t="s">
        <v>3509</v>
      </c>
      <c r="AL37" s="99" t="s">
        <v>3411</v>
      </c>
      <c r="AM37" s="99" t="s">
        <v>177</v>
      </c>
      <c r="AN37" s="99" t="s">
        <v>3411</v>
      </c>
      <c r="AO37" s="99" t="s">
        <v>200</v>
      </c>
      <c r="AP37" s="99" t="s">
        <v>2570</v>
      </c>
      <c r="AQ37" s="99" t="s">
        <v>3411</v>
      </c>
      <c r="AR37" s="99" t="s">
        <v>3411</v>
      </c>
      <c r="AS37" s="99" t="s">
        <v>289</v>
      </c>
      <c r="AT37" s="99" t="s">
        <v>235</v>
      </c>
      <c r="AU37" s="99" t="s">
        <v>236</v>
      </c>
      <c r="AV37" s="99" t="s">
        <v>3414</v>
      </c>
      <c r="AW37" s="99" t="s">
        <v>180</v>
      </c>
      <c r="AX37" s="99" t="s">
        <v>3420</v>
      </c>
      <c r="AY37" s="99" t="s">
        <v>252</v>
      </c>
      <c r="AZ37" s="99" t="s">
        <v>3416</v>
      </c>
      <c r="BA37" s="99" t="s">
        <v>3485</v>
      </c>
      <c r="BB37" s="99" t="s">
        <v>237</v>
      </c>
      <c r="BC37" s="125">
        <v>53</v>
      </c>
      <c r="BD37" s="99" t="s">
        <v>3135</v>
      </c>
      <c r="BE37" s="99" t="s">
        <v>3136</v>
      </c>
    </row>
    <row r="38" spans="1:57" ht="12.95" customHeight="1">
      <c r="A38" s="124">
        <v>15</v>
      </c>
      <c r="B38" s="124">
        <v>2806</v>
      </c>
      <c r="C38" s="99" t="s">
        <v>165</v>
      </c>
      <c r="D38" s="99" t="s">
        <v>192</v>
      </c>
      <c r="E38" s="99" t="s">
        <v>2886</v>
      </c>
      <c r="F38" s="99" t="s">
        <v>2779</v>
      </c>
      <c r="G38" s="99" t="s">
        <v>3171</v>
      </c>
      <c r="H38" s="99" t="s">
        <v>253</v>
      </c>
      <c r="I38" s="99" t="s">
        <v>254</v>
      </c>
      <c r="J38" s="99" t="s">
        <v>290</v>
      </c>
      <c r="K38" s="99" t="s">
        <v>291</v>
      </c>
      <c r="L38" s="99" t="s">
        <v>292</v>
      </c>
      <c r="M38" s="99" t="s">
        <v>5</v>
      </c>
      <c r="N38" s="99" t="s">
        <v>3407</v>
      </c>
      <c r="O38" s="99" t="s">
        <v>114</v>
      </c>
      <c r="P38" s="99" t="s">
        <v>3422</v>
      </c>
      <c r="Q38" s="99" t="s">
        <v>169</v>
      </c>
      <c r="R38" s="99" t="s">
        <v>198</v>
      </c>
      <c r="S38" s="99" t="s">
        <v>2637</v>
      </c>
      <c r="T38" s="99" t="s">
        <v>48</v>
      </c>
      <c r="U38" s="99" t="s">
        <v>3451</v>
      </c>
      <c r="V38" s="99" t="s">
        <v>241</v>
      </c>
      <c r="W38" s="99" t="s">
        <v>3511</v>
      </c>
      <c r="X38" s="99" t="s">
        <v>3511</v>
      </c>
      <c r="Y38" s="99" t="s">
        <v>3512</v>
      </c>
      <c r="Z38" s="99" t="s">
        <v>172</v>
      </c>
      <c r="AA38" s="99" t="s">
        <v>173</v>
      </c>
      <c r="AB38" s="99" t="s">
        <v>174</v>
      </c>
      <c r="AC38" s="99" t="s">
        <v>3411</v>
      </c>
      <c r="AD38" s="99" t="s">
        <v>175</v>
      </c>
      <c r="AE38" s="99" t="s">
        <v>3411</v>
      </c>
      <c r="AF38" s="99" t="s">
        <v>3411</v>
      </c>
      <c r="AG38" s="124">
        <v>2806</v>
      </c>
      <c r="AH38" s="99" t="s">
        <v>3413</v>
      </c>
      <c r="AI38" s="125">
        <v>100</v>
      </c>
      <c r="AJ38" s="99" t="s">
        <v>176</v>
      </c>
      <c r="AK38" s="99" t="s">
        <v>3513</v>
      </c>
      <c r="AL38" s="99" t="s">
        <v>3411</v>
      </c>
      <c r="AM38" s="99" t="s">
        <v>177</v>
      </c>
      <c r="AN38" s="99" t="s">
        <v>3411</v>
      </c>
      <c r="AO38" s="99" t="s">
        <v>200</v>
      </c>
      <c r="AP38" s="99" t="s">
        <v>2570</v>
      </c>
      <c r="AQ38" s="99" t="s">
        <v>3411</v>
      </c>
      <c r="AR38" s="99" t="s">
        <v>3411</v>
      </c>
      <c r="AS38" s="99" t="s">
        <v>293</v>
      </c>
      <c r="AT38" s="99" t="s">
        <v>235</v>
      </c>
      <c r="AU38" s="99" t="s">
        <v>236</v>
      </c>
      <c r="AV38" s="99" t="s">
        <v>3514</v>
      </c>
      <c r="AW38" s="99" t="s">
        <v>294</v>
      </c>
      <c r="AX38" s="99" t="s">
        <v>3420</v>
      </c>
      <c r="AY38" s="99" t="s">
        <v>252</v>
      </c>
      <c r="AZ38" s="99" t="s">
        <v>3416</v>
      </c>
      <c r="BA38" s="99" t="s">
        <v>3485</v>
      </c>
      <c r="BB38" s="99" t="s">
        <v>237</v>
      </c>
      <c r="BC38" s="125">
        <v>40</v>
      </c>
      <c r="BD38" s="99" t="s">
        <v>3135</v>
      </c>
      <c r="BE38" s="99" t="s">
        <v>3136</v>
      </c>
    </row>
    <row r="39" spans="1:57" ht="12.95" customHeight="1">
      <c r="A39" s="124">
        <v>15</v>
      </c>
      <c r="B39" s="124">
        <v>2750</v>
      </c>
      <c r="C39" s="99" t="s">
        <v>165</v>
      </c>
      <c r="D39" s="99" t="s">
        <v>192</v>
      </c>
      <c r="E39" s="99" t="s">
        <v>2886</v>
      </c>
      <c r="F39" s="99" t="s">
        <v>2779</v>
      </c>
      <c r="G39" s="99" t="s">
        <v>3171</v>
      </c>
      <c r="H39" s="99" t="s">
        <v>253</v>
      </c>
      <c r="I39" s="99" t="s">
        <v>254</v>
      </c>
      <c r="J39" s="99" t="s">
        <v>295</v>
      </c>
      <c r="K39" s="99" t="s">
        <v>296</v>
      </c>
      <c r="L39" s="99" t="s">
        <v>297</v>
      </c>
      <c r="M39" s="99" t="s">
        <v>1</v>
      </c>
      <c r="N39" s="99" t="s">
        <v>3407</v>
      </c>
      <c r="O39" s="99" t="s">
        <v>114</v>
      </c>
      <c r="P39" s="99" t="s">
        <v>3422</v>
      </c>
      <c r="Q39" s="99" t="s">
        <v>169</v>
      </c>
      <c r="R39" s="99" t="s">
        <v>198</v>
      </c>
      <c r="S39" s="99" t="s">
        <v>2637</v>
      </c>
      <c r="T39" s="99" t="s">
        <v>48</v>
      </c>
      <c r="U39" s="99" t="s">
        <v>3434</v>
      </c>
      <c r="V39" s="99" t="s">
        <v>199</v>
      </c>
      <c r="W39" s="99" t="s">
        <v>3435</v>
      </c>
      <c r="X39" s="99" t="s">
        <v>3467</v>
      </c>
      <c r="Y39" s="99" t="s">
        <v>3515</v>
      </c>
      <c r="Z39" s="99" t="s">
        <v>172</v>
      </c>
      <c r="AA39" s="99" t="s">
        <v>173</v>
      </c>
      <c r="AB39" s="99" t="s">
        <v>174</v>
      </c>
      <c r="AC39" s="99" t="s">
        <v>3411</v>
      </c>
      <c r="AD39" s="99" t="s">
        <v>175</v>
      </c>
      <c r="AE39" s="99" t="s">
        <v>3411</v>
      </c>
      <c r="AF39" s="99" t="s">
        <v>3411</v>
      </c>
      <c r="AG39" s="124">
        <v>2750</v>
      </c>
      <c r="AH39" s="99" t="s">
        <v>3413</v>
      </c>
      <c r="AI39" s="125">
        <v>100</v>
      </c>
      <c r="AJ39" s="99" t="s">
        <v>176</v>
      </c>
      <c r="AK39" s="99" t="s">
        <v>3467</v>
      </c>
      <c r="AL39" s="99" t="s">
        <v>3411</v>
      </c>
      <c r="AM39" s="99" t="s">
        <v>177</v>
      </c>
      <c r="AN39" s="99" t="s">
        <v>3411</v>
      </c>
      <c r="AO39" s="99" t="s">
        <v>200</v>
      </c>
      <c r="AP39" s="99" t="s">
        <v>2570</v>
      </c>
      <c r="AQ39" s="99" t="s">
        <v>3411</v>
      </c>
      <c r="AR39" s="99" t="s">
        <v>242</v>
      </c>
      <c r="AS39" s="99" t="s">
        <v>298</v>
      </c>
      <c r="AT39" s="99" t="s">
        <v>235</v>
      </c>
      <c r="AU39" s="99" t="s">
        <v>236</v>
      </c>
      <c r="AV39" s="99" t="s">
        <v>3414</v>
      </c>
      <c r="AW39" s="99" t="s">
        <v>180</v>
      </c>
      <c r="AX39" s="99" t="s">
        <v>3420</v>
      </c>
      <c r="AY39" s="99" t="s">
        <v>252</v>
      </c>
      <c r="AZ39" s="99" t="s">
        <v>3416</v>
      </c>
      <c r="BA39" s="99" t="s">
        <v>3485</v>
      </c>
      <c r="BB39" s="99" t="s">
        <v>237</v>
      </c>
      <c r="BC39" s="125">
        <v>48</v>
      </c>
      <c r="BD39" s="99" t="s">
        <v>3135</v>
      </c>
      <c r="BE39" s="99" t="s">
        <v>3136</v>
      </c>
    </row>
    <row r="40" spans="1:57" ht="12.95" customHeight="1">
      <c r="A40" s="124">
        <v>15</v>
      </c>
      <c r="B40" s="124">
        <v>2755</v>
      </c>
      <c r="C40" s="99" t="s">
        <v>165</v>
      </c>
      <c r="D40" s="99" t="s">
        <v>192</v>
      </c>
      <c r="E40" s="99" t="s">
        <v>2886</v>
      </c>
      <c r="F40" s="99" t="s">
        <v>2779</v>
      </c>
      <c r="G40" s="99" t="s">
        <v>3171</v>
      </c>
      <c r="H40" s="99" t="s">
        <v>253</v>
      </c>
      <c r="I40" s="99" t="s">
        <v>254</v>
      </c>
      <c r="J40" s="99" t="s">
        <v>299</v>
      </c>
      <c r="K40" s="99" t="s">
        <v>300</v>
      </c>
      <c r="L40" s="99" t="s">
        <v>301</v>
      </c>
      <c r="M40" s="99" t="s">
        <v>5</v>
      </c>
      <c r="N40" s="99" t="s">
        <v>3407</v>
      </c>
      <c r="O40" s="99" t="s">
        <v>114</v>
      </c>
      <c r="P40" s="99" t="s">
        <v>3422</v>
      </c>
      <c r="Q40" s="99" t="s">
        <v>169</v>
      </c>
      <c r="R40" s="99" t="s">
        <v>198</v>
      </c>
      <c r="S40" s="99" t="s">
        <v>2637</v>
      </c>
      <c r="T40" s="99" t="s">
        <v>48</v>
      </c>
      <c r="U40" s="99" t="s">
        <v>3451</v>
      </c>
      <c r="V40" s="99" t="s">
        <v>241</v>
      </c>
      <c r="W40" s="99" t="s">
        <v>3435</v>
      </c>
      <c r="X40" s="99" t="s">
        <v>3516</v>
      </c>
      <c r="Y40" s="99" t="s">
        <v>3517</v>
      </c>
      <c r="Z40" s="99" t="s">
        <v>172</v>
      </c>
      <c r="AA40" s="99" t="s">
        <v>173</v>
      </c>
      <c r="AB40" s="99" t="s">
        <v>174</v>
      </c>
      <c r="AC40" s="99" t="s">
        <v>3411</v>
      </c>
      <c r="AD40" s="99" t="s">
        <v>175</v>
      </c>
      <c r="AE40" s="99" t="s">
        <v>3411</v>
      </c>
      <c r="AF40" s="99" t="s">
        <v>3411</v>
      </c>
      <c r="AG40" s="124">
        <v>2755</v>
      </c>
      <c r="AH40" s="99" t="s">
        <v>3413</v>
      </c>
      <c r="AI40" s="125">
        <v>100</v>
      </c>
      <c r="AJ40" s="99" t="s">
        <v>176</v>
      </c>
      <c r="AK40" s="99" t="s">
        <v>3516</v>
      </c>
      <c r="AL40" s="99" t="s">
        <v>3411</v>
      </c>
      <c r="AM40" s="99" t="s">
        <v>177</v>
      </c>
      <c r="AN40" s="99" t="s">
        <v>3411</v>
      </c>
      <c r="AO40" s="99" t="s">
        <v>200</v>
      </c>
      <c r="AP40" s="99" t="s">
        <v>2570</v>
      </c>
      <c r="AQ40" s="99" t="s">
        <v>3411</v>
      </c>
      <c r="AR40" s="99" t="s">
        <v>3411</v>
      </c>
      <c r="AS40" s="99" t="s">
        <v>302</v>
      </c>
      <c r="AT40" s="99" t="s">
        <v>235</v>
      </c>
      <c r="AU40" s="99" t="s">
        <v>236</v>
      </c>
      <c r="AV40" s="99" t="s">
        <v>3414</v>
      </c>
      <c r="AW40" s="99" t="s">
        <v>180</v>
      </c>
      <c r="AX40" s="99" t="s">
        <v>3420</v>
      </c>
      <c r="AY40" s="99" t="s">
        <v>252</v>
      </c>
      <c r="AZ40" s="99" t="s">
        <v>3416</v>
      </c>
      <c r="BA40" s="99" t="s">
        <v>3485</v>
      </c>
      <c r="BB40" s="99" t="s">
        <v>237</v>
      </c>
      <c r="BC40" s="125">
        <v>43</v>
      </c>
      <c r="BD40" s="99" t="s">
        <v>3135</v>
      </c>
      <c r="BE40" s="99" t="s">
        <v>3136</v>
      </c>
    </row>
    <row r="41" spans="1:57" ht="12.95" customHeight="1">
      <c r="A41" s="124">
        <v>15</v>
      </c>
      <c r="B41" s="124">
        <v>3006</v>
      </c>
      <c r="C41" s="99" t="s">
        <v>165</v>
      </c>
      <c r="D41" s="99" t="s">
        <v>192</v>
      </c>
      <c r="E41" s="99" t="s">
        <v>2886</v>
      </c>
      <c r="F41" s="99" t="s">
        <v>2779</v>
      </c>
      <c r="G41" s="99" t="s">
        <v>3171</v>
      </c>
      <c r="H41" s="99" t="s">
        <v>253</v>
      </c>
      <c r="I41" s="99" t="s">
        <v>254</v>
      </c>
      <c r="J41" s="99" t="s">
        <v>307</v>
      </c>
      <c r="K41" s="99" t="s">
        <v>275</v>
      </c>
      <c r="L41" s="99" t="s">
        <v>308</v>
      </c>
      <c r="M41" s="99" t="s">
        <v>5</v>
      </c>
      <c r="N41" s="99" t="s">
        <v>3407</v>
      </c>
      <c r="O41" s="99" t="s">
        <v>114</v>
      </c>
      <c r="P41" s="99" t="s">
        <v>3422</v>
      </c>
      <c r="Q41" s="99" t="s">
        <v>169</v>
      </c>
      <c r="R41" s="99" t="s">
        <v>198</v>
      </c>
      <c r="S41" s="99" t="s">
        <v>2637</v>
      </c>
      <c r="T41" s="99" t="s">
        <v>48</v>
      </c>
      <c r="U41" s="99" t="s">
        <v>3451</v>
      </c>
      <c r="V41" s="99" t="s">
        <v>241</v>
      </c>
      <c r="W41" s="99" t="s">
        <v>3518</v>
      </c>
      <c r="X41" s="99" t="s">
        <v>3518</v>
      </c>
      <c r="Y41" s="99" t="s">
        <v>3519</v>
      </c>
      <c r="Z41" s="99" t="s">
        <v>172</v>
      </c>
      <c r="AA41" s="99" t="s">
        <v>173</v>
      </c>
      <c r="AB41" s="99" t="s">
        <v>316</v>
      </c>
      <c r="AC41" s="99" t="s">
        <v>3520</v>
      </c>
      <c r="AD41" s="99" t="s">
        <v>175</v>
      </c>
      <c r="AE41" s="99" t="s">
        <v>3411</v>
      </c>
      <c r="AF41" s="99" t="s">
        <v>3411</v>
      </c>
      <c r="AG41" s="124">
        <v>3006</v>
      </c>
      <c r="AH41" s="99" t="s">
        <v>3413</v>
      </c>
      <c r="AI41" s="125">
        <v>100</v>
      </c>
      <c r="AJ41" s="99" t="s">
        <v>176</v>
      </c>
      <c r="AK41" s="99" t="s">
        <v>3518</v>
      </c>
      <c r="AL41" s="99" t="s">
        <v>3411</v>
      </c>
      <c r="AM41" s="99" t="s">
        <v>177</v>
      </c>
      <c r="AN41" s="99" t="s">
        <v>3411</v>
      </c>
      <c r="AO41" s="99" t="s">
        <v>200</v>
      </c>
      <c r="AP41" s="99" t="s">
        <v>2570</v>
      </c>
      <c r="AQ41" s="99" t="s">
        <v>3411</v>
      </c>
      <c r="AR41" s="99" t="s">
        <v>3411</v>
      </c>
      <c r="AS41" s="99" t="s">
        <v>309</v>
      </c>
      <c r="AT41" s="99" t="s">
        <v>235</v>
      </c>
      <c r="AU41" s="99" t="s">
        <v>236</v>
      </c>
      <c r="AV41" s="99" t="s">
        <v>3414</v>
      </c>
      <c r="AW41" s="99" t="s">
        <v>180</v>
      </c>
      <c r="AX41" s="99" t="s">
        <v>3420</v>
      </c>
      <c r="AY41" s="99" t="s">
        <v>252</v>
      </c>
      <c r="AZ41" s="99" t="s">
        <v>3416</v>
      </c>
      <c r="BA41" s="99" t="s">
        <v>3485</v>
      </c>
      <c r="BB41" s="99" t="s">
        <v>237</v>
      </c>
      <c r="BC41" s="125">
        <v>32</v>
      </c>
      <c r="BD41" s="99" t="s">
        <v>3135</v>
      </c>
      <c r="BE41" s="99" t="s">
        <v>3136</v>
      </c>
    </row>
    <row r="42" spans="1:57" ht="12.95" customHeight="1">
      <c r="A42" s="124">
        <v>15</v>
      </c>
      <c r="B42" s="124">
        <v>2811</v>
      </c>
      <c r="C42" s="99" t="s">
        <v>165</v>
      </c>
      <c r="D42" s="99" t="s">
        <v>192</v>
      </c>
      <c r="E42" s="99" t="s">
        <v>2886</v>
      </c>
      <c r="F42" s="99" t="s">
        <v>2779</v>
      </c>
      <c r="G42" s="99" t="s">
        <v>3171</v>
      </c>
      <c r="H42" s="99" t="s">
        <v>253</v>
      </c>
      <c r="I42" s="99" t="s">
        <v>254</v>
      </c>
      <c r="J42" s="99" t="s">
        <v>310</v>
      </c>
      <c r="K42" s="99" t="s">
        <v>311</v>
      </c>
      <c r="L42" s="99" t="s">
        <v>312</v>
      </c>
      <c r="M42" s="99" t="s">
        <v>1</v>
      </c>
      <c r="N42" s="99" t="s">
        <v>3407</v>
      </c>
      <c r="O42" s="99" t="s">
        <v>114</v>
      </c>
      <c r="P42" s="99" t="s">
        <v>3422</v>
      </c>
      <c r="Q42" s="99" t="s">
        <v>169</v>
      </c>
      <c r="R42" s="99" t="s">
        <v>198</v>
      </c>
      <c r="S42" s="99" t="s">
        <v>2637</v>
      </c>
      <c r="T42" s="99" t="s">
        <v>48</v>
      </c>
      <c r="U42" s="99" t="s">
        <v>3451</v>
      </c>
      <c r="V42" s="99" t="s">
        <v>241</v>
      </c>
      <c r="W42" s="99" t="s">
        <v>3521</v>
      </c>
      <c r="X42" s="99" t="s">
        <v>3521</v>
      </c>
      <c r="Y42" s="99" t="s">
        <v>3522</v>
      </c>
      <c r="Z42" s="99" t="s">
        <v>172</v>
      </c>
      <c r="AA42" s="99" t="s">
        <v>173</v>
      </c>
      <c r="AB42" s="99" t="s">
        <v>174</v>
      </c>
      <c r="AC42" s="99" t="s">
        <v>3411</v>
      </c>
      <c r="AD42" s="99" t="s">
        <v>175</v>
      </c>
      <c r="AE42" s="99" t="s">
        <v>3411</v>
      </c>
      <c r="AF42" s="99" t="s">
        <v>3411</v>
      </c>
      <c r="AG42" s="124">
        <v>2811</v>
      </c>
      <c r="AH42" s="99" t="s">
        <v>3413</v>
      </c>
      <c r="AI42" s="125">
        <v>100</v>
      </c>
      <c r="AJ42" s="99" t="s">
        <v>176</v>
      </c>
      <c r="AK42" s="99" t="s">
        <v>3521</v>
      </c>
      <c r="AL42" s="99" t="s">
        <v>3411</v>
      </c>
      <c r="AM42" s="99" t="s">
        <v>177</v>
      </c>
      <c r="AN42" s="99" t="s">
        <v>3411</v>
      </c>
      <c r="AO42" s="99" t="s">
        <v>200</v>
      </c>
      <c r="AP42" s="99" t="s">
        <v>2570</v>
      </c>
      <c r="AQ42" s="99" t="s">
        <v>3411</v>
      </c>
      <c r="AR42" s="99" t="s">
        <v>3411</v>
      </c>
      <c r="AS42" s="99" t="s">
        <v>313</v>
      </c>
      <c r="AT42" s="99" t="s">
        <v>235</v>
      </c>
      <c r="AU42" s="99" t="s">
        <v>236</v>
      </c>
      <c r="AV42" s="99" t="s">
        <v>3414</v>
      </c>
      <c r="AW42" s="99" t="s">
        <v>180</v>
      </c>
      <c r="AX42" s="99" t="s">
        <v>3420</v>
      </c>
      <c r="AY42" s="99" t="s">
        <v>252</v>
      </c>
      <c r="AZ42" s="99" t="s">
        <v>3416</v>
      </c>
      <c r="BA42" s="99" t="s">
        <v>3485</v>
      </c>
      <c r="BB42" s="99" t="s">
        <v>237</v>
      </c>
      <c r="BC42" s="125">
        <v>36</v>
      </c>
      <c r="BD42" s="99" t="s">
        <v>3135</v>
      </c>
      <c r="BE42" s="99" t="s">
        <v>3136</v>
      </c>
    </row>
    <row r="43" spans="1:57" ht="12.95" customHeight="1">
      <c r="A43" s="124">
        <v>15</v>
      </c>
      <c r="B43" s="124">
        <v>2998</v>
      </c>
      <c r="C43" s="99" t="s">
        <v>165</v>
      </c>
      <c r="D43" s="99" t="s">
        <v>192</v>
      </c>
      <c r="E43" s="99" t="s">
        <v>2886</v>
      </c>
      <c r="F43" s="99" t="s">
        <v>2779</v>
      </c>
      <c r="G43" s="99" t="s">
        <v>3171</v>
      </c>
      <c r="H43" s="99" t="s">
        <v>253</v>
      </c>
      <c r="I43" s="99" t="s">
        <v>254</v>
      </c>
      <c r="J43" s="99" t="s">
        <v>314</v>
      </c>
      <c r="K43" s="99" t="s">
        <v>278</v>
      </c>
      <c r="L43" s="99" t="s">
        <v>315</v>
      </c>
      <c r="M43" s="99" t="s">
        <v>5</v>
      </c>
      <c r="N43" s="99" t="s">
        <v>3407</v>
      </c>
      <c r="O43" s="99" t="s">
        <v>114</v>
      </c>
      <c r="P43" s="99" t="s">
        <v>3422</v>
      </c>
      <c r="Q43" s="99" t="s">
        <v>169</v>
      </c>
      <c r="R43" s="99" t="s">
        <v>198</v>
      </c>
      <c r="S43" s="99" t="s">
        <v>2637</v>
      </c>
      <c r="T43" s="99" t="s">
        <v>48</v>
      </c>
      <c r="U43" s="99" t="s">
        <v>3451</v>
      </c>
      <c r="V43" s="99" t="s">
        <v>241</v>
      </c>
      <c r="W43" s="99" t="s">
        <v>3523</v>
      </c>
      <c r="X43" s="99" t="s">
        <v>3523</v>
      </c>
      <c r="Y43" s="99" t="s">
        <v>3524</v>
      </c>
      <c r="Z43" s="99" t="s">
        <v>172</v>
      </c>
      <c r="AA43" s="99" t="s">
        <v>173</v>
      </c>
      <c r="AB43" s="99" t="s">
        <v>316</v>
      </c>
      <c r="AC43" s="99" t="s">
        <v>3411</v>
      </c>
      <c r="AD43" s="99" t="s">
        <v>175</v>
      </c>
      <c r="AE43" s="99" t="s">
        <v>3411</v>
      </c>
      <c r="AF43" s="99" t="s">
        <v>3411</v>
      </c>
      <c r="AG43" s="124">
        <v>2998</v>
      </c>
      <c r="AH43" s="99" t="s">
        <v>3413</v>
      </c>
      <c r="AI43" s="125">
        <v>100</v>
      </c>
      <c r="AJ43" s="99" t="s">
        <v>176</v>
      </c>
      <c r="AK43" s="99" t="s">
        <v>3523</v>
      </c>
      <c r="AL43" s="99" t="s">
        <v>3411</v>
      </c>
      <c r="AM43" s="99" t="s">
        <v>3480</v>
      </c>
      <c r="AN43" s="99" t="s">
        <v>233</v>
      </c>
      <c r="AO43" s="99" t="s">
        <v>200</v>
      </c>
      <c r="AP43" s="99" t="s">
        <v>2570</v>
      </c>
      <c r="AQ43" s="99" t="s">
        <v>3411</v>
      </c>
      <c r="AR43" s="99" t="s">
        <v>3411</v>
      </c>
      <c r="AS43" s="99" t="s">
        <v>317</v>
      </c>
      <c r="AT43" s="99" t="s">
        <v>235</v>
      </c>
      <c r="AU43" s="99" t="s">
        <v>236</v>
      </c>
      <c r="AV43" s="99" t="s">
        <v>3514</v>
      </c>
      <c r="AW43" s="99" t="s">
        <v>294</v>
      </c>
      <c r="AX43" s="99" t="s">
        <v>3420</v>
      </c>
      <c r="AY43" s="99" t="s">
        <v>252</v>
      </c>
      <c r="AZ43" s="99" t="s">
        <v>3416</v>
      </c>
      <c r="BA43" s="99" t="s">
        <v>3485</v>
      </c>
      <c r="BB43" s="99" t="s">
        <v>237</v>
      </c>
      <c r="BC43" s="125">
        <v>37</v>
      </c>
      <c r="BD43" s="99" t="s">
        <v>3135</v>
      </c>
      <c r="BE43" s="99" t="s">
        <v>3136</v>
      </c>
    </row>
    <row r="44" spans="1:57" ht="12.95" customHeight="1">
      <c r="A44" s="124">
        <v>15</v>
      </c>
      <c r="B44" s="124">
        <v>2764</v>
      </c>
      <c r="C44" s="99" t="s">
        <v>165</v>
      </c>
      <c r="D44" s="99" t="s">
        <v>192</v>
      </c>
      <c r="E44" s="99" t="s">
        <v>2886</v>
      </c>
      <c r="F44" s="99" t="s">
        <v>2779</v>
      </c>
      <c r="G44" s="99" t="s">
        <v>3171</v>
      </c>
      <c r="H44" s="99" t="s">
        <v>253</v>
      </c>
      <c r="I44" s="99" t="s">
        <v>254</v>
      </c>
      <c r="J44" s="99" t="s">
        <v>318</v>
      </c>
      <c r="K44" s="99" t="s">
        <v>319</v>
      </c>
      <c r="L44" s="99" t="s">
        <v>320</v>
      </c>
      <c r="M44" s="99" t="s">
        <v>5</v>
      </c>
      <c r="N44" s="99" t="s">
        <v>3407</v>
      </c>
      <c r="O44" s="99" t="s">
        <v>114</v>
      </c>
      <c r="P44" s="99" t="s">
        <v>3422</v>
      </c>
      <c r="Q44" s="99" t="s">
        <v>169</v>
      </c>
      <c r="R44" s="99" t="s">
        <v>198</v>
      </c>
      <c r="S44" s="99" t="s">
        <v>2637</v>
      </c>
      <c r="T44" s="99" t="s">
        <v>52</v>
      </c>
      <c r="U44" s="99" t="s">
        <v>205</v>
      </c>
      <c r="V44" s="99" t="s">
        <v>206</v>
      </c>
      <c r="W44" s="99" t="s">
        <v>3435</v>
      </c>
      <c r="X44" s="99" t="s">
        <v>3525</v>
      </c>
      <c r="Y44" s="99" t="s">
        <v>3526</v>
      </c>
      <c r="Z44" s="99" t="s">
        <v>172</v>
      </c>
      <c r="AA44" s="99" t="s">
        <v>173</v>
      </c>
      <c r="AB44" s="99" t="s">
        <v>174</v>
      </c>
      <c r="AC44" s="99" t="s">
        <v>3411</v>
      </c>
      <c r="AD44" s="99" t="s">
        <v>175</v>
      </c>
      <c r="AE44" s="99" t="s">
        <v>3411</v>
      </c>
      <c r="AF44" s="99" t="s">
        <v>3411</v>
      </c>
      <c r="AG44" s="124">
        <v>2764</v>
      </c>
      <c r="AH44" s="99" t="s">
        <v>3413</v>
      </c>
      <c r="AI44" s="125">
        <v>100</v>
      </c>
      <c r="AJ44" s="99" t="s">
        <v>176</v>
      </c>
      <c r="AK44" s="99" t="s">
        <v>3525</v>
      </c>
      <c r="AL44" s="99" t="s">
        <v>3411</v>
      </c>
      <c r="AM44" s="99" t="s">
        <v>177</v>
      </c>
      <c r="AN44" s="99" t="s">
        <v>3411</v>
      </c>
      <c r="AO44" s="99" t="s">
        <v>200</v>
      </c>
      <c r="AP44" s="99" t="s">
        <v>2570</v>
      </c>
      <c r="AQ44" s="99" t="s">
        <v>3411</v>
      </c>
      <c r="AR44" s="99" t="s">
        <v>3411</v>
      </c>
      <c r="AS44" s="99" t="s">
        <v>321</v>
      </c>
      <c r="AT44" s="99" t="s">
        <v>1</v>
      </c>
      <c r="AU44" s="99" t="s">
        <v>179</v>
      </c>
      <c r="AV44" s="99" t="s">
        <v>3414</v>
      </c>
      <c r="AW44" s="99" t="s">
        <v>180</v>
      </c>
      <c r="AX44" s="99" t="s">
        <v>3420</v>
      </c>
      <c r="AY44" s="99" t="s">
        <v>252</v>
      </c>
      <c r="AZ44" s="99" t="s">
        <v>3416</v>
      </c>
      <c r="BA44" s="99" t="s">
        <v>3421</v>
      </c>
      <c r="BB44" s="99" t="s">
        <v>381</v>
      </c>
      <c r="BC44" s="125">
        <v>51</v>
      </c>
      <c r="BD44" s="99" t="s">
        <v>3135</v>
      </c>
      <c r="BE44" s="99" t="s">
        <v>3136</v>
      </c>
    </row>
    <row r="45" spans="1:57" ht="12.95" customHeight="1">
      <c r="A45" s="124">
        <v>15</v>
      </c>
      <c r="B45" s="124">
        <v>2765</v>
      </c>
      <c r="C45" s="99" t="s">
        <v>165</v>
      </c>
      <c r="D45" s="99" t="s">
        <v>192</v>
      </c>
      <c r="E45" s="99" t="s">
        <v>2886</v>
      </c>
      <c r="F45" s="99" t="s">
        <v>2779</v>
      </c>
      <c r="G45" s="99" t="s">
        <v>3171</v>
      </c>
      <c r="H45" s="99" t="s">
        <v>253</v>
      </c>
      <c r="I45" s="99" t="s">
        <v>254</v>
      </c>
      <c r="J45" s="99" t="s">
        <v>322</v>
      </c>
      <c r="K45" s="99" t="s">
        <v>323</v>
      </c>
      <c r="L45" s="99" t="s">
        <v>324</v>
      </c>
      <c r="M45" s="99" t="s">
        <v>5</v>
      </c>
      <c r="N45" s="99" t="s">
        <v>3407</v>
      </c>
      <c r="O45" s="99" t="s">
        <v>114</v>
      </c>
      <c r="P45" s="99" t="s">
        <v>3422</v>
      </c>
      <c r="Q45" s="99" t="s">
        <v>169</v>
      </c>
      <c r="R45" s="99" t="s">
        <v>198</v>
      </c>
      <c r="S45" s="99" t="s">
        <v>2637</v>
      </c>
      <c r="T45" s="99" t="s">
        <v>48</v>
      </c>
      <c r="U45" s="99" t="s">
        <v>3444</v>
      </c>
      <c r="V45" s="99" t="s">
        <v>221</v>
      </c>
      <c r="W45" s="99" t="s">
        <v>3435</v>
      </c>
      <c r="X45" s="99" t="s">
        <v>3527</v>
      </c>
      <c r="Y45" s="99" t="s">
        <v>3528</v>
      </c>
      <c r="Z45" s="99" t="s">
        <v>172</v>
      </c>
      <c r="AA45" s="99" t="s">
        <v>173</v>
      </c>
      <c r="AB45" s="99" t="s">
        <v>174</v>
      </c>
      <c r="AC45" s="99" t="s">
        <v>3411</v>
      </c>
      <c r="AD45" s="99" t="s">
        <v>175</v>
      </c>
      <c r="AE45" s="99" t="s">
        <v>3411</v>
      </c>
      <c r="AF45" s="99" t="s">
        <v>3411</v>
      </c>
      <c r="AG45" s="124">
        <v>2765</v>
      </c>
      <c r="AH45" s="99" t="s">
        <v>3413</v>
      </c>
      <c r="AI45" s="125">
        <v>100</v>
      </c>
      <c r="AJ45" s="99" t="s">
        <v>176</v>
      </c>
      <c r="AK45" s="99" t="s">
        <v>3527</v>
      </c>
      <c r="AL45" s="99" t="s">
        <v>3411</v>
      </c>
      <c r="AM45" s="99" t="s">
        <v>177</v>
      </c>
      <c r="AN45" s="99" t="s">
        <v>3411</v>
      </c>
      <c r="AO45" s="99" t="s">
        <v>200</v>
      </c>
      <c r="AP45" s="99" t="s">
        <v>2570</v>
      </c>
      <c r="AQ45" s="99" t="s">
        <v>3411</v>
      </c>
      <c r="AR45" s="99" t="s">
        <v>3411</v>
      </c>
      <c r="AS45" s="99" t="s">
        <v>325</v>
      </c>
      <c r="AT45" s="99" t="s">
        <v>1</v>
      </c>
      <c r="AU45" s="99" t="s">
        <v>179</v>
      </c>
      <c r="AV45" s="99" t="s">
        <v>3414</v>
      </c>
      <c r="AW45" s="99" t="s">
        <v>180</v>
      </c>
      <c r="AX45" s="99" t="s">
        <v>3420</v>
      </c>
      <c r="AY45" s="99" t="s">
        <v>252</v>
      </c>
      <c r="AZ45" s="99" t="s">
        <v>3416</v>
      </c>
      <c r="BA45" s="99" t="s">
        <v>3485</v>
      </c>
      <c r="BB45" s="99" t="s">
        <v>237</v>
      </c>
      <c r="BC45" s="125">
        <v>49</v>
      </c>
      <c r="BD45" s="99" t="s">
        <v>3135</v>
      </c>
      <c r="BE45" s="99" t="s">
        <v>3136</v>
      </c>
    </row>
    <row r="46" spans="1:57" ht="12.95" customHeight="1">
      <c r="A46" s="124">
        <v>15</v>
      </c>
      <c r="B46" s="124">
        <v>2827</v>
      </c>
      <c r="C46" s="99" t="s">
        <v>165</v>
      </c>
      <c r="D46" s="99" t="s">
        <v>192</v>
      </c>
      <c r="E46" s="99" t="s">
        <v>2886</v>
      </c>
      <c r="F46" s="99" t="s">
        <v>2779</v>
      </c>
      <c r="G46" s="99" t="s">
        <v>3171</v>
      </c>
      <c r="H46" s="99" t="s">
        <v>253</v>
      </c>
      <c r="I46" s="99" t="s">
        <v>254</v>
      </c>
      <c r="J46" s="99" t="s">
        <v>326</v>
      </c>
      <c r="K46" s="99" t="s">
        <v>327</v>
      </c>
      <c r="L46" s="99" t="s">
        <v>328</v>
      </c>
      <c r="M46" s="99" t="s">
        <v>1</v>
      </c>
      <c r="N46" s="99" t="s">
        <v>3407</v>
      </c>
      <c r="O46" s="99" t="s">
        <v>114</v>
      </c>
      <c r="P46" s="99" t="s">
        <v>3422</v>
      </c>
      <c r="Q46" s="99" t="s">
        <v>169</v>
      </c>
      <c r="R46" s="99" t="s">
        <v>198</v>
      </c>
      <c r="S46" s="99" t="s">
        <v>2637</v>
      </c>
      <c r="T46" s="99" t="s">
        <v>48</v>
      </c>
      <c r="U46" s="99" t="s">
        <v>3451</v>
      </c>
      <c r="V46" s="99" t="s">
        <v>241</v>
      </c>
      <c r="W46" s="99" t="s">
        <v>3529</v>
      </c>
      <c r="X46" s="99" t="s">
        <v>3529</v>
      </c>
      <c r="Y46" s="99" t="s">
        <v>3530</v>
      </c>
      <c r="Z46" s="99" t="s">
        <v>172</v>
      </c>
      <c r="AA46" s="99" t="s">
        <v>173</v>
      </c>
      <c r="AB46" s="99" t="s">
        <v>174</v>
      </c>
      <c r="AC46" s="99" t="s">
        <v>3531</v>
      </c>
      <c r="AD46" s="99" t="s">
        <v>175</v>
      </c>
      <c r="AE46" s="99" t="s">
        <v>3411</v>
      </c>
      <c r="AF46" s="99" t="s">
        <v>3411</v>
      </c>
      <c r="AG46" s="124">
        <v>2827</v>
      </c>
      <c r="AH46" s="99" t="s">
        <v>3413</v>
      </c>
      <c r="AI46" s="125">
        <v>100</v>
      </c>
      <c r="AJ46" s="99" t="s">
        <v>176</v>
      </c>
      <c r="AK46" s="99" t="s">
        <v>3529</v>
      </c>
      <c r="AL46" s="99" t="s">
        <v>3411</v>
      </c>
      <c r="AM46" s="99" t="s">
        <v>177</v>
      </c>
      <c r="AN46" s="99" t="s">
        <v>3411</v>
      </c>
      <c r="AO46" s="99" t="s">
        <v>200</v>
      </c>
      <c r="AP46" s="99" t="s">
        <v>2570</v>
      </c>
      <c r="AQ46" s="99" t="s">
        <v>3411</v>
      </c>
      <c r="AR46" s="99" t="s">
        <v>3411</v>
      </c>
      <c r="AS46" s="99" t="s">
        <v>329</v>
      </c>
      <c r="AT46" s="99" t="s">
        <v>1</v>
      </c>
      <c r="AU46" s="99" t="s">
        <v>179</v>
      </c>
      <c r="AV46" s="99" t="s">
        <v>3414</v>
      </c>
      <c r="AW46" s="99" t="s">
        <v>180</v>
      </c>
      <c r="AX46" s="99" t="s">
        <v>3420</v>
      </c>
      <c r="AY46" s="99" t="s">
        <v>252</v>
      </c>
      <c r="AZ46" s="99" t="s">
        <v>3416</v>
      </c>
      <c r="BA46" s="99" t="s">
        <v>3485</v>
      </c>
      <c r="BB46" s="99" t="s">
        <v>237</v>
      </c>
      <c r="BC46" s="125">
        <v>43</v>
      </c>
      <c r="BD46" s="99" t="s">
        <v>3135</v>
      </c>
      <c r="BE46" s="99" t="s">
        <v>3136</v>
      </c>
    </row>
    <row r="47" spans="1:57" ht="12.95" customHeight="1">
      <c r="A47" s="124">
        <v>15</v>
      </c>
      <c r="B47" s="124">
        <v>2771</v>
      </c>
      <c r="C47" s="99" t="s">
        <v>165</v>
      </c>
      <c r="D47" s="99" t="s">
        <v>192</v>
      </c>
      <c r="E47" s="99" t="s">
        <v>2886</v>
      </c>
      <c r="F47" s="99" t="s">
        <v>2779</v>
      </c>
      <c r="G47" s="99" t="s">
        <v>3171</v>
      </c>
      <c r="H47" s="99" t="s">
        <v>253</v>
      </c>
      <c r="I47" s="99" t="s">
        <v>254</v>
      </c>
      <c r="J47" s="99" t="s">
        <v>330</v>
      </c>
      <c r="K47" s="99" t="s">
        <v>267</v>
      </c>
      <c r="L47" s="99" t="s">
        <v>331</v>
      </c>
      <c r="M47" s="99" t="s">
        <v>1</v>
      </c>
      <c r="N47" s="99" t="s">
        <v>3407</v>
      </c>
      <c r="O47" s="99" t="s">
        <v>114</v>
      </c>
      <c r="P47" s="99" t="s">
        <v>3422</v>
      </c>
      <c r="Q47" s="99" t="s">
        <v>169</v>
      </c>
      <c r="R47" s="99" t="s">
        <v>198</v>
      </c>
      <c r="S47" s="99" t="s">
        <v>2637</v>
      </c>
      <c r="T47" s="99" t="s">
        <v>48</v>
      </c>
      <c r="U47" s="99" t="s">
        <v>3451</v>
      </c>
      <c r="V47" s="99" t="s">
        <v>241</v>
      </c>
      <c r="W47" s="99" t="s">
        <v>3435</v>
      </c>
      <c r="X47" s="99" t="s">
        <v>3488</v>
      </c>
      <c r="Y47" s="99" t="s">
        <v>3532</v>
      </c>
      <c r="Z47" s="99" t="s">
        <v>172</v>
      </c>
      <c r="AA47" s="99" t="s">
        <v>173</v>
      </c>
      <c r="AB47" s="99" t="s">
        <v>174</v>
      </c>
      <c r="AC47" s="99" t="s">
        <v>3411</v>
      </c>
      <c r="AD47" s="99" t="s">
        <v>175</v>
      </c>
      <c r="AE47" s="99" t="s">
        <v>3411</v>
      </c>
      <c r="AF47" s="99" t="s">
        <v>3411</v>
      </c>
      <c r="AG47" s="124">
        <v>2771</v>
      </c>
      <c r="AH47" s="99" t="s">
        <v>3413</v>
      </c>
      <c r="AI47" s="125">
        <v>100</v>
      </c>
      <c r="AJ47" s="99" t="s">
        <v>176</v>
      </c>
      <c r="AK47" s="99" t="s">
        <v>3533</v>
      </c>
      <c r="AL47" s="99" t="s">
        <v>3411</v>
      </c>
      <c r="AM47" s="99" t="s">
        <v>177</v>
      </c>
      <c r="AN47" s="99" t="s">
        <v>3411</v>
      </c>
      <c r="AO47" s="99" t="s">
        <v>200</v>
      </c>
      <c r="AP47" s="99" t="s">
        <v>2570</v>
      </c>
      <c r="AQ47" s="99" t="s">
        <v>3411</v>
      </c>
      <c r="AR47" s="99" t="s">
        <v>3411</v>
      </c>
      <c r="AS47" s="99" t="s">
        <v>332</v>
      </c>
      <c r="AT47" s="99" t="s">
        <v>235</v>
      </c>
      <c r="AU47" s="99" t="s">
        <v>236</v>
      </c>
      <c r="AV47" s="99" t="s">
        <v>3414</v>
      </c>
      <c r="AW47" s="99" t="s">
        <v>180</v>
      </c>
      <c r="AX47" s="99" t="s">
        <v>3420</v>
      </c>
      <c r="AY47" s="99" t="s">
        <v>252</v>
      </c>
      <c r="AZ47" s="99" t="s">
        <v>3416</v>
      </c>
      <c r="BA47" s="99" t="s">
        <v>3485</v>
      </c>
      <c r="BB47" s="99" t="s">
        <v>237</v>
      </c>
      <c r="BC47" s="125">
        <v>46</v>
      </c>
      <c r="BD47" s="99" t="s">
        <v>3135</v>
      </c>
      <c r="BE47" s="99" t="s">
        <v>3136</v>
      </c>
    </row>
    <row r="48" spans="1:57" ht="12.95" customHeight="1">
      <c r="A48" s="124">
        <v>15</v>
      </c>
      <c r="B48" s="124">
        <v>2730</v>
      </c>
      <c r="C48" s="99" t="s">
        <v>165</v>
      </c>
      <c r="D48" s="99" t="s">
        <v>192</v>
      </c>
      <c r="E48" s="99" t="s">
        <v>2886</v>
      </c>
      <c r="F48" s="99" t="s">
        <v>3172</v>
      </c>
      <c r="G48" s="99" t="s">
        <v>3173</v>
      </c>
      <c r="H48" s="99" t="s">
        <v>2646</v>
      </c>
      <c r="I48" s="99" t="s">
        <v>2647</v>
      </c>
      <c r="J48" s="99" t="s">
        <v>385</v>
      </c>
      <c r="K48" s="99" t="s">
        <v>386</v>
      </c>
      <c r="L48" s="99" t="s">
        <v>387</v>
      </c>
      <c r="M48" s="99" t="s">
        <v>1</v>
      </c>
      <c r="N48" s="99" t="s">
        <v>3407</v>
      </c>
      <c r="O48" s="99" t="s">
        <v>114</v>
      </c>
      <c r="P48" s="99" t="s">
        <v>3422</v>
      </c>
      <c r="Q48" s="99" t="s">
        <v>169</v>
      </c>
      <c r="R48" s="99" t="s">
        <v>198</v>
      </c>
      <c r="S48" s="99" t="s">
        <v>2637</v>
      </c>
      <c r="T48" s="99" t="s">
        <v>48</v>
      </c>
      <c r="U48" s="99" t="s">
        <v>3444</v>
      </c>
      <c r="V48" s="99" t="s">
        <v>221</v>
      </c>
      <c r="W48" s="99" t="s">
        <v>3435</v>
      </c>
      <c r="X48" s="99" t="s">
        <v>3534</v>
      </c>
      <c r="Y48" s="99" t="s">
        <v>3535</v>
      </c>
      <c r="Z48" s="99" t="s">
        <v>172</v>
      </c>
      <c r="AA48" s="99" t="s">
        <v>173</v>
      </c>
      <c r="AB48" s="99" t="s">
        <v>174</v>
      </c>
      <c r="AC48" s="99" t="s">
        <v>3411</v>
      </c>
      <c r="AD48" s="99" t="s">
        <v>175</v>
      </c>
      <c r="AE48" s="99" t="s">
        <v>3411</v>
      </c>
      <c r="AF48" s="99" t="s">
        <v>3411</v>
      </c>
      <c r="AG48" s="124">
        <v>2730</v>
      </c>
      <c r="AH48" s="99" t="s">
        <v>3413</v>
      </c>
      <c r="AI48" s="125">
        <v>100</v>
      </c>
      <c r="AJ48" s="99" t="s">
        <v>176</v>
      </c>
      <c r="AK48" s="99" t="s">
        <v>3534</v>
      </c>
      <c r="AL48" s="99" t="s">
        <v>3411</v>
      </c>
      <c r="AM48" s="99" t="s">
        <v>177</v>
      </c>
      <c r="AN48" s="99" t="s">
        <v>3411</v>
      </c>
      <c r="AO48" s="99" t="s">
        <v>200</v>
      </c>
      <c r="AP48" s="99" t="s">
        <v>2570</v>
      </c>
      <c r="AQ48" s="99" t="s">
        <v>3411</v>
      </c>
      <c r="AR48" s="99" t="s">
        <v>3411</v>
      </c>
      <c r="AS48" s="99" t="s">
        <v>388</v>
      </c>
      <c r="AT48" s="99" t="s">
        <v>1</v>
      </c>
      <c r="AU48" s="99" t="s">
        <v>179</v>
      </c>
      <c r="AV48" s="99" t="s">
        <v>3414</v>
      </c>
      <c r="AW48" s="99" t="s">
        <v>180</v>
      </c>
      <c r="AX48" s="99" t="s">
        <v>3420</v>
      </c>
      <c r="AY48" s="99" t="s">
        <v>252</v>
      </c>
      <c r="AZ48" s="99" t="s">
        <v>3416</v>
      </c>
      <c r="BA48" s="99" t="s">
        <v>3421</v>
      </c>
      <c r="BB48" s="99" t="s">
        <v>381</v>
      </c>
      <c r="BC48" s="125">
        <v>50</v>
      </c>
      <c r="BD48" s="99" t="s">
        <v>3135</v>
      </c>
      <c r="BE48" s="99" t="s">
        <v>3136</v>
      </c>
    </row>
    <row r="49" spans="1:57" ht="12.95" customHeight="1">
      <c r="A49" s="124">
        <v>15</v>
      </c>
      <c r="B49" s="124">
        <v>2237</v>
      </c>
      <c r="C49" s="99" t="s">
        <v>165</v>
      </c>
      <c r="D49" s="99" t="s">
        <v>389</v>
      </c>
      <c r="E49" s="99" t="s">
        <v>2888</v>
      </c>
      <c r="F49" s="99" t="s">
        <v>390</v>
      </c>
      <c r="G49" s="99" t="s">
        <v>3174</v>
      </c>
      <c r="H49" s="99" t="s">
        <v>3536</v>
      </c>
      <c r="I49" s="99" t="s">
        <v>391</v>
      </c>
      <c r="J49" s="99" t="s">
        <v>392</v>
      </c>
      <c r="K49" s="99" t="s">
        <v>393</v>
      </c>
      <c r="L49" s="99" t="s">
        <v>394</v>
      </c>
      <c r="M49" s="99" t="s">
        <v>1</v>
      </c>
      <c r="N49" s="99" t="s">
        <v>3407</v>
      </c>
      <c r="O49" s="99" t="s">
        <v>114</v>
      </c>
      <c r="P49" s="99" t="s">
        <v>3422</v>
      </c>
      <c r="Q49" s="99" t="s">
        <v>169</v>
      </c>
      <c r="R49" s="99" t="s">
        <v>3409</v>
      </c>
      <c r="S49" s="99" t="s">
        <v>2636</v>
      </c>
      <c r="T49" s="99" t="s">
        <v>48</v>
      </c>
      <c r="U49" s="99" t="s">
        <v>184</v>
      </c>
      <c r="V49" s="99" t="s">
        <v>185</v>
      </c>
      <c r="W49" s="99" t="s">
        <v>3537</v>
      </c>
      <c r="X49" s="99" t="s">
        <v>3537</v>
      </c>
      <c r="Y49" s="99" t="s">
        <v>3538</v>
      </c>
      <c r="Z49" s="99" t="s">
        <v>172</v>
      </c>
      <c r="AA49" s="99" t="s">
        <v>173</v>
      </c>
      <c r="AB49" s="99" t="s">
        <v>174</v>
      </c>
      <c r="AC49" s="99" t="s">
        <v>3411</v>
      </c>
      <c r="AD49" s="99" t="s">
        <v>175</v>
      </c>
      <c r="AE49" s="99" t="s">
        <v>3411</v>
      </c>
      <c r="AF49" s="99" t="s">
        <v>3411</v>
      </c>
      <c r="AG49" s="124">
        <v>1678</v>
      </c>
      <c r="AH49" s="99" t="s">
        <v>3413</v>
      </c>
      <c r="AI49" s="125">
        <v>100</v>
      </c>
      <c r="AJ49" s="99" t="s">
        <v>176</v>
      </c>
      <c r="AK49" s="99" t="s">
        <v>3537</v>
      </c>
      <c r="AL49" s="99" t="s">
        <v>3411</v>
      </c>
      <c r="AM49" s="99" t="s">
        <v>177</v>
      </c>
      <c r="AN49" s="99" t="s">
        <v>3411</v>
      </c>
      <c r="AO49" s="99" t="s">
        <v>178</v>
      </c>
      <c r="AP49" s="99" t="s">
        <v>2570</v>
      </c>
      <c r="AQ49" s="99" t="s">
        <v>3411</v>
      </c>
      <c r="AR49" s="99" t="s">
        <v>3411</v>
      </c>
      <c r="AS49" s="99" t="s">
        <v>395</v>
      </c>
      <c r="AT49" s="99" t="s">
        <v>1</v>
      </c>
      <c r="AU49" s="99" t="s">
        <v>179</v>
      </c>
      <c r="AV49" s="99" t="s">
        <v>3414</v>
      </c>
      <c r="AW49" s="99" t="s">
        <v>180</v>
      </c>
      <c r="AX49" s="99" t="s">
        <v>3420</v>
      </c>
      <c r="AY49" s="99" t="s">
        <v>252</v>
      </c>
      <c r="AZ49" s="99" t="s">
        <v>3416</v>
      </c>
      <c r="BA49" s="99" t="s">
        <v>3539</v>
      </c>
      <c r="BB49" s="99" t="s">
        <v>396</v>
      </c>
      <c r="BC49" s="125">
        <v>45</v>
      </c>
      <c r="BD49" s="99" t="s">
        <v>3135</v>
      </c>
      <c r="BE49" s="99" t="s">
        <v>3136</v>
      </c>
    </row>
    <row r="50" spans="1:57" ht="12.95" customHeight="1">
      <c r="A50" s="124">
        <v>15</v>
      </c>
      <c r="B50" s="124">
        <v>1778</v>
      </c>
      <c r="C50" s="99" t="s">
        <v>165</v>
      </c>
      <c r="D50" s="99" t="s">
        <v>389</v>
      </c>
      <c r="E50" s="99" t="s">
        <v>2888</v>
      </c>
      <c r="F50" s="99" t="s">
        <v>390</v>
      </c>
      <c r="G50" s="99" t="s">
        <v>3174</v>
      </c>
      <c r="H50" s="99" t="s">
        <v>3536</v>
      </c>
      <c r="I50" s="99" t="s">
        <v>391</v>
      </c>
      <c r="J50" s="99" t="s">
        <v>397</v>
      </c>
      <c r="K50" s="99" t="s">
        <v>398</v>
      </c>
      <c r="L50" s="99" t="s">
        <v>399</v>
      </c>
      <c r="M50" s="99" t="s">
        <v>5</v>
      </c>
      <c r="N50" s="99" t="s">
        <v>3407</v>
      </c>
      <c r="O50" s="99" t="s">
        <v>114</v>
      </c>
      <c r="P50" s="99" t="s">
        <v>3422</v>
      </c>
      <c r="Q50" s="99" t="s">
        <v>169</v>
      </c>
      <c r="R50" s="99" t="s">
        <v>3409</v>
      </c>
      <c r="S50" s="99" t="s">
        <v>2636</v>
      </c>
      <c r="T50" s="99" t="s">
        <v>48</v>
      </c>
      <c r="U50" s="99" t="s">
        <v>184</v>
      </c>
      <c r="V50" s="99" t="s">
        <v>185</v>
      </c>
      <c r="W50" s="99" t="s">
        <v>3540</v>
      </c>
      <c r="X50" s="99" t="s">
        <v>3541</v>
      </c>
      <c r="Y50" s="99" t="s">
        <v>3542</v>
      </c>
      <c r="Z50" s="99" t="s">
        <v>172</v>
      </c>
      <c r="AA50" s="99" t="s">
        <v>173</v>
      </c>
      <c r="AB50" s="99" t="s">
        <v>400</v>
      </c>
      <c r="AC50" s="99" t="s">
        <v>3411</v>
      </c>
      <c r="AD50" s="99" t="s">
        <v>175</v>
      </c>
      <c r="AE50" s="99" t="s">
        <v>3411</v>
      </c>
      <c r="AF50" s="99" t="s">
        <v>3411</v>
      </c>
      <c r="AG50" s="124">
        <v>1405</v>
      </c>
      <c r="AH50" s="99" t="s">
        <v>3413</v>
      </c>
      <c r="AI50" s="125">
        <v>100</v>
      </c>
      <c r="AJ50" s="99" t="s">
        <v>176</v>
      </c>
      <c r="AK50" s="99" t="s">
        <v>3540</v>
      </c>
      <c r="AL50" s="99" t="s">
        <v>3411</v>
      </c>
      <c r="AM50" s="99" t="s">
        <v>177</v>
      </c>
      <c r="AN50" s="99" t="s">
        <v>3411</v>
      </c>
      <c r="AO50" s="99" t="s">
        <v>178</v>
      </c>
      <c r="AP50" s="99" t="s">
        <v>2570</v>
      </c>
      <c r="AQ50" s="99" t="s">
        <v>3411</v>
      </c>
      <c r="AR50" s="99" t="s">
        <v>3411</v>
      </c>
      <c r="AS50" s="99" t="s">
        <v>401</v>
      </c>
      <c r="AT50" s="99" t="s">
        <v>1</v>
      </c>
      <c r="AU50" s="99" t="s">
        <v>179</v>
      </c>
      <c r="AV50" s="99" t="s">
        <v>3414</v>
      </c>
      <c r="AW50" s="99" t="s">
        <v>180</v>
      </c>
      <c r="AX50" s="99" t="s">
        <v>3420</v>
      </c>
      <c r="AY50" s="99" t="s">
        <v>252</v>
      </c>
      <c r="AZ50" s="99" t="s">
        <v>3416</v>
      </c>
      <c r="BA50" s="99" t="s">
        <v>3539</v>
      </c>
      <c r="BB50" s="99" t="s">
        <v>396</v>
      </c>
      <c r="BC50" s="125">
        <v>52</v>
      </c>
      <c r="BD50" s="99" t="s">
        <v>3135</v>
      </c>
      <c r="BE50" s="99" t="s">
        <v>3136</v>
      </c>
    </row>
    <row r="51" spans="1:57" ht="12.95" customHeight="1">
      <c r="A51" s="124">
        <v>15</v>
      </c>
      <c r="B51" s="124">
        <v>3068</v>
      </c>
      <c r="C51" s="99" t="s">
        <v>165</v>
      </c>
      <c r="D51" s="99" t="s">
        <v>389</v>
      </c>
      <c r="E51" s="99" t="s">
        <v>2888</v>
      </c>
      <c r="F51" s="99" t="s">
        <v>390</v>
      </c>
      <c r="G51" s="99" t="s">
        <v>3174</v>
      </c>
      <c r="H51" s="99" t="s">
        <v>3536</v>
      </c>
      <c r="I51" s="99" t="s">
        <v>391</v>
      </c>
      <c r="J51" s="99" t="s">
        <v>2864</v>
      </c>
      <c r="K51" s="99" t="s">
        <v>527</v>
      </c>
      <c r="L51" s="99" t="s">
        <v>2865</v>
      </c>
      <c r="M51" s="99" t="s">
        <v>5</v>
      </c>
      <c r="N51" s="99" t="s">
        <v>3407</v>
      </c>
      <c r="O51" s="99" t="s">
        <v>114</v>
      </c>
      <c r="P51" s="99" t="s">
        <v>3543</v>
      </c>
      <c r="Q51" s="99" t="s">
        <v>169</v>
      </c>
      <c r="R51" s="99" t="s">
        <v>3409</v>
      </c>
      <c r="S51" s="99" t="s">
        <v>2636</v>
      </c>
      <c r="T51" s="99" t="s">
        <v>52</v>
      </c>
      <c r="U51" s="99" t="s">
        <v>427</v>
      </c>
      <c r="V51" s="99" t="s">
        <v>428</v>
      </c>
      <c r="W51" s="99" t="s">
        <v>3543</v>
      </c>
      <c r="X51" s="99" t="s">
        <v>3543</v>
      </c>
      <c r="Y51" s="99" t="s">
        <v>3544</v>
      </c>
      <c r="Z51" s="99" t="s">
        <v>172</v>
      </c>
      <c r="AA51" s="99" t="s">
        <v>173</v>
      </c>
      <c r="AB51" s="99" t="s">
        <v>174</v>
      </c>
      <c r="AC51" s="99" t="s">
        <v>3411</v>
      </c>
      <c r="AD51" s="99" t="s">
        <v>175</v>
      </c>
      <c r="AE51" s="99" t="s">
        <v>3411</v>
      </c>
      <c r="AF51" s="99" t="s">
        <v>3411</v>
      </c>
      <c r="AG51" s="124">
        <v>3068</v>
      </c>
      <c r="AH51" s="99" t="s">
        <v>3413</v>
      </c>
      <c r="AI51" s="125">
        <v>100</v>
      </c>
      <c r="AJ51" s="99" t="s">
        <v>176</v>
      </c>
      <c r="AK51" s="99" t="s">
        <v>3543</v>
      </c>
      <c r="AL51" s="99" t="s">
        <v>3411</v>
      </c>
      <c r="AM51" s="99" t="s">
        <v>177</v>
      </c>
      <c r="AN51" s="99" t="s">
        <v>3411</v>
      </c>
      <c r="AO51" s="99" t="s">
        <v>412</v>
      </c>
      <c r="AP51" s="99" t="s">
        <v>2570</v>
      </c>
      <c r="AQ51" s="99" t="s">
        <v>3411</v>
      </c>
      <c r="AR51" s="99" t="s">
        <v>3411</v>
      </c>
      <c r="AS51" s="99" t="s">
        <v>2866</v>
      </c>
      <c r="AT51" s="99" t="s">
        <v>1</v>
      </c>
      <c r="AU51" s="99" t="s">
        <v>179</v>
      </c>
      <c r="AV51" s="99" t="s">
        <v>3414</v>
      </c>
      <c r="AW51" s="99" t="s">
        <v>180</v>
      </c>
      <c r="AX51" s="99" t="s">
        <v>3420</v>
      </c>
      <c r="AY51" s="99" t="s">
        <v>252</v>
      </c>
      <c r="AZ51" s="99" t="s">
        <v>3416</v>
      </c>
      <c r="BA51" s="99" t="s">
        <v>3539</v>
      </c>
      <c r="BB51" s="99" t="s">
        <v>396</v>
      </c>
      <c r="BC51" s="125">
        <v>48</v>
      </c>
      <c r="BD51" s="99" t="s">
        <v>3135</v>
      </c>
      <c r="BE51" s="99" t="s">
        <v>3136</v>
      </c>
    </row>
    <row r="52" spans="1:57" ht="12.95" customHeight="1">
      <c r="A52" s="124">
        <v>15</v>
      </c>
      <c r="B52" s="124">
        <v>3132</v>
      </c>
      <c r="C52" s="99" t="s">
        <v>165</v>
      </c>
      <c r="D52" s="99" t="s">
        <v>389</v>
      </c>
      <c r="E52" s="99" t="s">
        <v>2888</v>
      </c>
      <c r="F52" s="99" t="s">
        <v>390</v>
      </c>
      <c r="G52" s="99" t="s">
        <v>3174</v>
      </c>
      <c r="H52" s="99" t="s">
        <v>3536</v>
      </c>
      <c r="I52" s="99" t="s">
        <v>391</v>
      </c>
      <c r="J52" s="99" t="s">
        <v>3137</v>
      </c>
      <c r="K52" s="99" t="s">
        <v>776</v>
      </c>
      <c r="L52" s="99" t="s">
        <v>3138</v>
      </c>
      <c r="M52" s="99" t="s">
        <v>1</v>
      </c>
      <c r="N52" s="99" t="s">
        <v>3407</v>
      </c>
      <c r="O52" s="99" t="s">
        <v>114</v>
      </c>
      <c r="P52" s="99" t="s">
        <v>3545</v>
      </c>
      <c r="Q52" s="99" t="s">
        <v>169</v>
      </c>
      <c r="R52" s="99" t="s">
        <v>3409</v>
      </c>
      <c r="S52" s="99" t="s">
        <v>2636</v>
      </c>
      <c r="T52" s="99" t="s">
        <v>48</v>
      </c>
      <c r="U52" s="99" t="s">
        <v>697</v>
      </c>
      <c r="V52" s="99" t="s">
        <v>698</v>
      </c>
      <c r="W52" s="99" t="s">
        <v>3545</v>
      </c>
      <c r="X52" s="99" t="s">
        <v>3545</v>
      </c>
      <c r="Y52" s="99" t="s">
        <v>3546</v>
      </c>
      <c r="Z52" s="99" t="s">
        <v>172</v>
      </c>
      <c r="AA52" s="99" t="s">
        <v>173</v>
      </c>
      <c r="AB52" s="99" t="s">
        <v>174</v>
      </c>
      <c r="AC52" s="99" t="s">
        <v>3411</v>
      </c>
      <c r="AD52" s="99" t="s">
        <v>175</v>
      </c>
      <c r="AE52" s="99" t="s">
        <v>3411</v>
      </c>
      <c r="AF52" s="99" t="s">
        <v>3411</v>
      </c>
      <c r="AG52" s="124">
        <v>3132</v>
      </c>
      <c r="AH52" s="99" t="s">
        <v>3413</v>
      </c>
      <c r="AI52" s="125">
        <v>100</v>
      </c>
      <c r="AJ52" s="99" t="s">
        <v>176</v>
      </c>
      <c r="AK52" s="99" t="s">
        <v>3545</v>
      </c>
      <c r="AL52" s="99" t="s">
        <v>3411</v>
      </c>
      <c r="AM52" s="99" t="s">
        <v>177</v>
      </c>
      <c r="AN52" s="99" t="s">
        <v>3411</v>
      </c>
      <c r="AO52" s="99" t="s">
        <v>412</v>
      </c>
      <c r="AP52" s="99" t="s">
        <v>2570</v>
      </c>
      <c r="AQ52" s="99" t="s">
        <v>3411</v>
      </c>
      <c r="AR52" s="99" t="s">
        <v>3411</v>
      </c>
      <c r="AS52" s="99" t="s">
        <v>3139</v>
      </c>
      <c r="AT52" s="99" t="s">
        <v>175</v>
      </c>
      <c r="AU52" s="99" t="s">
        <v>3411</v>
      </c>
      <c r="AV52" s="99" t="s">
        <v>177</v>
      </c>
      <c r="AW52" s="99" t="s">
        <v>3411</v>
      </c>
      <c r="AX52" s="99" t="s">
        <v>3420</v>
      </c>
      <c r="AY52" s="99" t="s">
        <v>252</v>
      </c>
      <c r="AZ52" s="99" t="s">
        <v>3416</v>
      </c>
      <c r="BA52" s="99" t="s">
        <v>3547</v>
      </c>
      <c r="BB52" s="99" t="s">
        <v>3140</v>
      </c>
      <c r="BC52" s="125">
        <v>27</v>
      </c>
      <c r="BD52" s="99" t="s">
        <v>3135</v>
      </c>
      <c r="BE52" s="99" t="s">
        <v>3136</v>
      </c>
    </row>
    <row r="53" spans="1:57" ht="12.95" customHeight="1">
      <c r="A53" s="124">
        <v>15</v>
      </c>
      <c r="B53" s="124">
        <v>2210</v>
      </c>
      <c r="C53" s="99" t="s">
        <v>165</v>
      </c>
      <c r="D53" s="99" t="s">
        <v>389</v>
      </c>
      <c r="E53" s="99" t="s">
        <v>2888</v>
      </c>
      <c r="F53" s="99" t="s">
        <v>390</v>
      </c>
      <c r="G53" s="99" t="s">
        <v>3174</v>
      </c>
      <c r="H53" s="99" t="s">
        <v>3536</v>
      </c>
      <c r="I53" s="99" t="s">
        <v>391</v>
      </c>
      <c r="J53" s="99" t="s">
        <v>417</v>
      </c>
      <c r="K53" s="99" t="s">
        <v>409</v>
      </c>
      <c r="L53" s="99" t="s">
        <v>418</v>
      </c>
      <c r="M53" s="99" t="s">
        <v>5</v>
      </c>
      <c r="N53" s="99" t="s">
        <v>3407</v>
      </c>
      <c r="O53" s="99" t="s">
        <v>114</v>
      </c>
      <c r="P53" s="99" t="s">
        <v>3422</v>
      </c>
      <c r="Q53" s="99" t="s">
        <v>169</v>
      </c>
      <c r="R53" s="99" t="s">
        <v>3409</v>
      </c>
      <c r="S53" s="99" t="s">
        <v>2636</v>
      </c>
      <c r="T53" s="99" t="s">
        <v>48</v>
      </c>
      <c r="U53" s="99" t="s">
        <v>410</v>
      </c>
      <c r="V53" s="99" t="s">
        <v>411</v>
      </c>
      <c r="W53" s="99" t="s">
        <v>3548</v>
      </c>
      <c r="X53" s="99" t="s">
        <v>3548</v>
      </c>
      <c r="Y53" s="99" t="s">
        <v>3549</v>
      </c>
      <c r="Z53" s="99" t="s">
        <v>172</v>
      </c>
      <c r="AA53" s="99" t="s">
        <v>173</v>
      </c>
      <c r="AB53" s="99" t="s">
        <v>174</v>
      </c>
      <c r="AC53" s="99" t="s">
        <v>3411</v>
      </c>
      <c r="AD53" s="99" t="s">
        <v>175</v>
      </c>
      <c r="AE53" s="99" t="s">
        <v>3411</v>
      </c>
      <c r="AF53" s="99" t="s">
        <v>3411</v>
      </c>
      <c r="AG53" s="124">
        <v>1662</v>
      </c>
      <c r="AH53" s="99" t="s">
        <v>3413</v>
      </c>
      <c r="AI53" s="125">
        <v>100</v>
      </c>
      <c r="AJ53" s="99" t="s">
        <v>176</v>
      </c>
      <c r="AK53" s="99" t="s">
        <v>3548</v>
      </c>
      <c r="AL53" s="99" t="s">
        <v>3411</v>
      </c>
      <c r="AM53" s="99" t="s">
        <v>177</v>
      </c>
      <c r="AN53" s="99" t="s">
        <v>3411</v>
      </c>
      <c r="AO53" s="99" t="s">
        <v>178</v>
      </c>
      <c r="AP53" s="99" t="s">
        <v>2570</v>
      </c>
      <c r="AQ53" s="99" t="s">
        <v>3411</v>
      </c>
      <c r="AR53" s="99" t="s">
        <v>242</v>
      </c>
      <c r="AS53" s="99" t="s">
        <v>419</v>
      </c>
      <c r="AT53" s="99" t="s">
        <v>1</v>
      </c>
      <c r="AU53" s="99" t="s">
        <v>179</v>
      </c>
      <c r="AV53" s="99" t="s">
        <v>3414</v>
      </c>
      <c r="AW53" s="99" t="s">
        <v>180</v>
      </c>
      <c r="AX53" s="99" t="s">
        <v>3420</v>
      </c>
      <c r="AY53" s="99" t="s">
        <v>252</v>
      </c>
      <c r="AZ53" s="99" t="s">
        <v>3416</v>
      </c>
      <c r="BA53" s="99" t="s">
        <v>3539</v>
      </c>
      <c r="BB53" s="99" t="s">
        <v>396</v>
      </c>
      <c r="BC53" s="125">
        <v>51</v>
      </c>
      <c r="BD53" s="99" t="s">
        <v>3135</v>
      </c>
      <c r="BE53" s="99" t="s">
        <v>3136</v>
      </c>
    </row>
    <row r="54" spans="1:57" ht="12.95" customHeight="1">
      <c r="A54" s="124">
        <v>15</v>
      </c>
      <c r="B54" s="124">
        <v>2983</v>
      </c>
      <c r="C54" s="99" t="s">
        <v>165</v>
      </c>
      <c r="D54" s="99" t="s">
        <v>389</v>
      </c>
      <c r="E54" s="99" t="s">
        <v>2888</v>
      </c>
      <c r="F54" s="99" t="s">
        <v>390</v>
      </c>
      <c r="G54" s="99" t="s">
        <v>3174</v>
      </c>
      <c r="H54" s="99" t="s">
        <v>3550</v>
      </c>
      <c r="I54" s="99" t="s">
        <v>407</v>
      </c>
      <c r="J54" s="99" t="s">
        <v>413</v>
      </c>
      <c r="K54" s="99" t="s">
        <v>414</v>
      </c>
      <c r="L54" s="99" t="s">
        <v>415</v>
      </c>
      <c r="M54" s="99" t="s">
        <v>1</v>
      </c>
      <c r="N54" s="99" t="s">
        <v>3407</v>
      </c>
      <c r="O54" s="99" t="s">
        <v>114</v>
      </c>
      <c r="P54" s="99" t="s">
        <v>3422</v>
      </c>
      <c r="Q54" s="99" t="s">
        <v>169</v>
      </c>
      <c r="R54" s="99" t="s">
        <v>3427</v>
      </c>
      <c r="S54" s="99" t="s">
        <v>2635</v>
      </c>
      <c r="T54" s="99" t="s">
        <v>58</v>
      </c>
      <c r="U54" s="99" t="s">
        <v>187</v>
      </c>
      <c r="V54" s="99" t="s">
        <v>188</v>
      </c>
      <c r="W54" s="99" t="s">
        <v>3551</v>
      </c>
      <c r="X54" s="99" t="s">
        <v>3551</v>
      </c>
      <c r="Y54" s="99" t="s">
        <v>3552</v>
      </c>
      <c r="Z54" s="99" t="s">
        <v>172</v>
      </c>
      <c r="AA54" s="99" t="s">
        <v>173</v>
      </c>
      <c r="AB54" s="99" t="s">
        <v>174</v>
      </c>
      <c r="AC54" s="99" t="s">
        <v>3411</v>
      </c>
      <c r="AD54" s="99" t="s">
        <v>175</v>
      </c>
      <c r="AE54" s="99" t="s">
        <v>3411</v>
      </c>
      <c r="AF54" s="99" t="s">
        <v>3411</v>
      </c>
      <c r="AG54" s="124">
        <v>2983</v>
      </c>
      <c r="AH54" s="99" t="s">
        <v>3413</v>
      </c>
      <c r="AI54" s="125">
        <v>100</v>
      </c>
      <c r="AJ54" s="99" t="s">
        <v>176</v>
      </c>
      <c r="AK54" s="99" t="s">
        <v>3551</v>
      </c>
      <c r="AL54" s="99" t="s">
        <v>3411</v>
      </c>
      <c r="AM54" s="99" t="s">
        <v>177</v>
      </c>
      <c r="AN54" s="99" t="s">
        <v>3411</v>
      </c>
      <c r="AO54" s="99" t="s">
        <v>189</v>
      </c>
      <c r="AP54" s="99" t="s">
        <v>2570</v>
      </c>
      <c r="AQ54" s="99" t="s">
        <v>3411</v>
      </c>
      <c r="AR54" s="99" t="s">
        <v>3411</v>
      </c>
      <c r="AS54" s="99" t="s">
        <v>416</v>
      </c>
      <c r="AT54" s="99" t="s">
        <v>190</v>
      </c>
      <c r="AU54" s="99" t="s">
        <v>191</v>
      </c>
      <c r="AV54" s="99" t="s">
        <v>3414</v>
      </c>
      <c r="AW54" s="99" t="s">
        <v>180</v>
      </c>
      <c r="AX54" s="99" t="s">
        <v>3420</v>
      </c>
      <c r="AY54" s="99" t="s">
        <v>252</v>
      </c>
      <c r="AZ54" s="99" t="s">
        <v>3430</v>
      </c>
      <c r="BA54" s="99" t="s">
        <v>3421</v>
      </c>
      <c r="BB54" s="99" t="s">
        <v>381</v>
      </c>
      <c r="BC54" s="125">
        <v>45</v>
      </c>
      <c r="BD54" s="99" t="s">
        <v>3135</v>
      </c>
      <c r="BE54" s="99" t="s">
        <v>3136</v>
      </c>
    </row>
    <row r="55" spans="1:57" ht="12.95" customHeight="1">
      <c r="A55" s="124">
        <v>15</v>
      </c>
      <c r="B55" s="124">
        <v>2454</v>
      </c>
      <c r="C55" s="99" t="s">
        <v>165</v>
      </c>
      <c r="D55" s="99" t="s">
        <v>389</v>
      </c>
      <c r="E55" s="99" t="s">
        <v>2888</v>
      </c>
      <c r="F55" s="99" t="s">
        <v>495</v>
      </c>
      <c r="G55" s="99" t="s">
        <v>2659</v>
      </c>
      <c r="H55" s="99" t="s">
        <v>3553</v>
      </c>
      <c r="I55" s="99" t="s">
        <v>496</v>
      </c>
      <c r="J55" s="99" t="s">
        <v>497</v>
      </c>
      <c r="K55" s="99" t="s">
        <v>498</v>
      </c>
      <c r="L55" s="99" t="s">
        <v>499</v>
      </c>
      <c r="M55" s="99" t="s">
        <v>5</v>
      </c>
      <c r="N55" s="99" t="s">
        <v>3407</v>
      </c>
      <c r="O55" s="99" t="s">
        <v>114</v>
      </c>
      <c r="P55" s="99" t="s">
        <v>3422</v>
      </c>
      <c r="Q55" s="99" t="s">
        <v>169</v>
      </c>
      <c r="R55" s="99" t="s">
        <v>3409</v>
      </c>
      <c r="S55" s="99" t="s">
        <v>2636</v>
      </c>
      <c r="T55" s="99" t="s">
        <v>48</v>
      </c>
      <c r="U55" s="99" t="s">
        <v>500</v>
      </c>
      <c r="V55" s="99" t="s">
        <v>501</v>
      </c>
      <c r="W55" s="99" t="s">
        <v>3554</v>
      </c>
      <c r="X55" s="99" t="s">
        <v>3554</v>
      </c>
      <c r="Y55" s="99" t="s">
        <v>3555</v>
      </c>
      <c r="Z55" s="99" t="s">
        <v>172</v>
      </c>
      <c r="AA55" s="99" t="s">
        <v>173</v>
      </c>
      <c r="AB55" s="99" t="s">
        <v>174</v>
      </c>
      <c r="AC55" s="99" t="s">
        <v>3411</v>
      </c>
      <c r="AD55" s="99" t="s">
        <v>175</v>
      </c>
      <c r="AE55" s="99" t="s">
        <v>3411</v>
      </c>
      <c r="AF55" s="99" t="s">
        <v>3411</v>
      </c>
      <c r="AG55" s="124">
        <v>2454</v>
      </c>
      <c r="AH55" s="99" t="s">
        <v>3413</v>
      </c>
      <c r="AI55" s="125">
        <v>100</v>
      </c>
      <c r="AJ55" s="99" t="s">
        <v>176</v>
      </c>
      <c r="AK55" s="99" t="s">
        <v>3554</v>
      </c>
      <c r="AL55" s="99" t="s">
        <v>3411</v>
      </c>
      <c r="AM55" s="99" t="s">
        <v>177</v>
      </c>
      <c r="AN55" s="99" t="s">
        <v>3411</v>
      </c>
      <c r="AO55" s="99" t="s">
        <v>403</v>
      </c>
      <c r="AP55" s="99" t="s">
        <v>2570</v>
      </c>
      <c r="AQ55" s="99" t="s">
        <v>3411</v>
      </c>
      <c r="AR55" s="99" t="s">
        <v>242</v>
      </c>
      <c r="AS55" s="99" t="s">
        <v>502</v>
      </c>
      <c r="AT55" s="99" t="s">
        <v>1</v>
      </c>
      <c r="AU55" s="99" t="s">
        <v>179</v>
      </c>
      <c r="AV55" s="99" t="s">
        <v>3414</v>
      </c>
      <c r="AW55" s="99" t="s">
        <v>180</v>
      </c>
      <c r="AX55" s="99" t="s">
        <v>3420</v>
      </c>
      <c r="AY55" s="99" t="s">
        <v>252</v>
      </c>
      <c r="AZ55" s="99" t="s">
        <v>3416</v>
      </c>
      <c r="BA55" s="99" t="s">
        <v>3556</v>
      </c>
      <c r="BB55" s="99" t="s">
        <v>503</v>
      </c>
      <c r="BC55" s="125">
        <v>54</v>
      </c>
      <c r="BD55" s="99" t="s">
        <v>3135</v>
      </c>
      <c r="BE55" s="99" t="s">
        <v>3136</v>
      </c>
    </row>
    <row r="56" spans="1:57" ht="12.95" customHeight="1">
      <c r="A56" s="124">
        <v>15</v>
      </c>
      <c r="B56" s="124">
        <v>2229</v>
      </c>
      <c r="C56" s="99" t="s">
        <v>165</v>
      </c>
      <c r="D56" s="99" t="s">
        <v>389</v>
      </c>
      <c r="E56" s="99" t="s">
        <v>2888</v>
      </c>
      <c r="F56" s="99" t="s">
        <v>495</v>
      </c>
      <c r="G56" s="99" t="s">
        <v>2659</v>
      </c>
      <c r="H56" s="99" t="s">
        <v>3553</v>
      </c>
      <c r="I56" s="99" t="s">
        <v>496</v>
      </c>
      <c r="J56" s="99" t="s">
        <v>504</v>
      </c>
      <c r="K56" s="99" t="s">
        <v>505</v>
      </c>
      <c r="L56" s="99" t="s">
        <v>506</v>
      </c>
      <c r="M56" s="99" t="s">
        <v>5</v>
      </c>
      <c r="N56" s="99" t="s">
        <v>3407</v>
      </c>
      <c r="O56" s="99" t="s">
        <v>114</v>
      </c>
      <c r="P56" s="99" t="s">
        <v>3422</v>
      </c>
      <c r="Q56" s="99" t="s">
        <v>169</v>
      </c>
      <c r="R56" s="99" t="s">
        <v>3409</v>
      </c>
      <c r="S56" s="99" t="s">
        <v>2636</v>
      </c>
      <c r="T56" s="99" t="s">
        <v>48</v>
      </c>
      <c r="U56" s="99" t="s">
        <v>170</v>
      </c>
      <c r="V56" s="99" t="s">
        <v>171</v>
      </c>
      <c r="W56" s="99" t="s">
        <v>3557</v>
      </c>
      <c r="X56" s="99" t="s">
        <v>3557</v>
      </c>
      <c r="Y56" s="99" t="s">
        <v>3558</v>
      </c>
      <c r="Z56" s="99" t="s">
        <v>172</v>
      </c>
      <c r="AA56" s="99" t="s">
        <v>173</v>
      </c>
      <c r="AB56" s="99" t="s">
        <v>174</v>
      </c>
      <c r="AC56" s="99" t="s">
        <v>3411</v>
      </c>
      <c r="AD56" s="99" t="s">
        <v>175</v>
      </c>
      <c r="AE56" s="99" t="s">
        <v>3411</v>
      </c>
      <c r="AF56" s="99" t="s">
        <v>3411</v>
      </c>
      <c r="AG56" s="124">
        <v>1675</v>
      </c>
      <c r="AH56" s="99" t="s">
        <v>3413</v>
      </c>
      <c r="AI56" s="125">
        <v>100</v>
      </c>
      <c r="AJ56" s="99" t="s">
        <v>176</v>
      </c>
      <c r="AK56" s="99" t="s">
        <v>3557</v>
      </c>
      <c r="AL56" s="99" t="s">
        <v>3411</v>
      </c>
      <c r="AM56" s="99" t="s">
        <v>177</v>
      </c>
      <c r="AN56" s="99" t="s">
        <v>3411</v>
      </c>
      <c r="AO56" s="99" t="s">
        <v>403</v>
      </c>
      <c r="AP56" s="99" t="s">
        <v>2570</v>
      </c>
      <c r="AQ56" s="99" t="s">
        <v>3411</v>
      </c>
      <c r="AR56" s="99" t="s">
        <v>242</v>
      </c>
      <c r="AS56" s="99" t="s">
        <v>507</v>
      </c>
      <c r="AT56" s="99" t="s">
        <v>1</v>
      </c>
      <c r="AU56" s="99" t="s">
        <v>179</v>
      </c>
      <c r="AV56" s="99" t="s">
        <v>3414</v>
      </c>
      <c r="AW56" s="99" t="s">
        <v>180</v>
      </c>
      <c r="AX56" s="99" t="s">
        <v>3420</v>
      </c>
      <c r="AY56" s="99" t="s">
        <v>252</v>
      </c>
      <c r="AZ56" s="99" t="s">
        <v>3416</v>
      </c>
      <c r="BA56" s="99" t="s">
        <v>3559</v>
      </c>
      <c r="BB56" s="99" t="s">
        <v>508</v>
      </c>
      <c r="BC56" s="125">
        <v>50</v>
      </c>
      <c r="BD56" s="99" t="s">
        <v>3135</v>
      </c>
      <c r="BE56" s="99" t="s">
        <v>3136</v>
      </c>
    </row>
    <row r="57" spans="1:57" ht="12.95" customHeight="1">
      <c r="A57" s="124">
        <v>15</v>
      </c>
      <c r="B57" s="124">
        <v>1892</v>
      </c>
      <c r="C57" s="99" t="s">
        <v>165</v>
      </c>
      <c r="D57" s="99" t="s">
        <v>389</v>
      </c>
      <c r="E57" s="99" t="s">
        <v>2888</v>
      </c>
      <c r="F57" s="99" t="s">
        <v>495</v>
      </c>
      <c r="G57" s="99" t="s">
        <v>2659</v>
      </c>
      <c r="H57" s="99" t="s">
        <v>3553</v>
      </c>
      <c r="I57" s="99" t="s">
        <v>496</v>
      </c>
      <c r="J57" s="99" t="s">
        <v>966</v>
      </c>
      <c r="K57" s="99" t="s">
        <v>967</v>
      </c>
      <c r="L57" s="99" t="s">
        <v>968</v>
      </c>
      <c r="M57" s="99" t="s">
        <v>1</v>
      </c>
      <c r="N57" s="99" t="s">
        <v>3407</v>
      </c>
      <c r="O57" s="99" t="s">
        <v>114</v>
      </c>
      <c r="P57" s="99" t="s">
        <v>3422</v>
      </c>
      <c r="Q57" s="99" t="s">
        <v>169</v>
      </c>
      <c r="R57" s="99" t="s">
        <v>3409</v>
      </c>
      <c r="S57" s="99" t="s">
        <v>2636</v>
      </c>
      <c r="T57" s="99" t="s">
        <v>48</v>
      </c>
      <c r="U57" s="99" t="s">
        <v>500</v>
      </c>
      <c r="V57" s="99" t="s">
        <v>501</v>
      </c>
      <c r="W57" s="99" t="s">
        <v>3560</v>
      </c>
      <c r="X57" s="99" t="s">
        <v>3560</v>
      </c>
      <c r="Y57" s="99" t="s">
        <v>3561</v>
      </c>
      <c r="Z57" s="99" t="s">
        <v>172</v>
      </c>
      <c r="AA57" s="99" t="s">
        <v>173</v>
      </c>
      <c r="AB57" s="99" t="s">
        <v>174</v>
      </c>
      <c r="AC57" s="99" t="s">
        <v>3411</v>
      </c>
      <c r="AD57" s="99" t="s">
        <v>175</v>
      </c>
      <c r="AE57" s="99" t="s">
        <v>3411</v>
      </c>
      <c r="AF57" s="99" t="s">
        <v>3411</v>
      </c>
      <c r="AG57" s="124">
        <v>1499</v>
      </c>
      <c r="AH57" s="99" t="s">
        <v>3413</v>
      </c>
      <c r="AI57" s="125">
        <v>100</v>
      </c>
      <c r="AJ57" s="99" t="s">
        <v>176</v>
      </c>
      <c r="AK57" s="99" t="s">
        <v>3560</v>
      </c>
      <c r="AL57" s="99" t="s">
        <v>3411</v>
      </c>
      <c r="AM57" s="99" t="s">
        <v>177</v>
      </c>
      <c r="AN57" s="99" t="s">
        <v>3411</v>
      </c>
      <c r="AO57" s="99" t="s">
        <v>178</v>
      </c>
      <c r="AP57" s="99" t="s">
        <v>2570</v>
      </c>
      <c r="AQ57" s="99" t="s">
        <v>3411</v>
      </c>
      <c r="AR57" s="99" t="s">
        <v>3411</v>
      </c>
      <c r="AS57" s="99" t="s">
        <v>969</v>
      </c>
      <c r="AT57" s="99" t="s">
        <v>1</v>
      </c>
      <c r="AU57" s="99" t="s">
        <v>179</v>
      </c>
      <c r="AV57" s="99" t="s">
        <v>3414</v>
      </c>
      <c r="AW57" s="99" t="s">
        <v>180</v>
      </c>
      <c r="AX57" s="99" t="s">
        <v>3420</v>
      </c>
      <c r="AY57" s="99" t="s">
        <v>252</v>
      </c>
      <c r="AZ57" s="99" t="s">
        <v>3416</v>
      </c>
      <c r="BA57" s="99" t="s">
        <v>3556</v>
      </c>
      <c r="BB57" s="99" t="s">
        <v>503</v>
      </c>
      <c r="BC57" s="125">
        <v>62</v>
      </c>
      <c r="BD57" s="99" t="s">
        <v>3135</v>
      </c>
      <c r="BE57" s="99" t="s">
        <v>3136</v>
      </c>
    </row>
    <row r="58" spans="1:57" ht="12.95" customHeight="1">
      <c r="A58" s="124">
        <v>15</v>
      </c>
      <c r="B58" s="124">
        <v>1806</v>
      </c>
      <c r="C58" s="99" t="s">
        <v>165</v>
      </c>
      <c r="D58" s="99" t="s">
        <v>389</v>
      </c>
      <c r="E58" s="99" t="s">
        <v>2888</v>
      </c>
      <c r="F58" s="99" t="s">
        <v>495</v>
      </c>
      <c r="G58" s="99" t="s">
        <v>2659</v>
      </c>
      <c r="H58" s="99" t="s">
        <v>3562</v>
      </c>
      <c r="I58" s="99" t="s">
        <v>3217</v>
      </c>
      <c r="J58" s="99" t="s">
        <v>524</v>
      </c>
      <c r="K58" s="99" t="s">
        <v>275</v>
      </c>
      <c r="L58" s="99" t="s">
        <v>525</v>
      </c>
      <c r="M58" s="99" t="s">
        <v>5</v>
      </c>
      <c r="N58" s="99" t="s">
        <v>3407</v>
      </c>
      <c r="O58" s="99" t="s">
        <v>114</v>
      </c>
      <c r="P58" s="99" t="s">
        <v>3422</v>
      </c>
      <c r="Q58" s="99" t="s">
        <v>169</v>
      </c>
      <c r="R58" s="99" t="s">
        <v>3427</v>
      </c>
      <c r="S58" s="99" t="s">
        <v>2635</v>
      </c>
      <c r="T58" s="99" t="s">
        <v>58</v>
      </c>
      <c r="U58" s="99" t="s">
        <v>187</v>
      </c>
      <c r="V58" s="99" t="s">
        <v>188</v>
      </c>
      <c r="W58" s="99" t="s">
        <v>3563</v>
      </c>
      <c r="X58" s="99" t="s">
        <v>3564</v>
      </c>
      <c r="Y58" s="99" t="s">
        <v>3565</v>
      </c>
      <c r="Z58" s="99" t="s">
        <v>172</v>
      </c>
      <c r="AA58" s="99" t="s">
        <v>173</v>
      </c>
      <c r="AB58" s="99" t="s">
        <v>400</v>
      </c>
      <c r="AC58" s="99" t="s">
        <v>3411</v>
      </c>
      <c r="AD58" s="99" t="s">
        <v>175</v>
      </c>
      <c r="AE58" s="99" t="s">
        <v>3411</v>
      </c>
      <c r="AF58" s="99" t="s">
        <v>3411</v>
      </c>
      <c r="AG58" s="124">
        <v>1426</v>
      </c>
      <c r="AH58" s="99" t="s">
        <v>3413</v>
      </c>
      <c r="AI58" s="125">
        <v>100</v>
      </c>
      <c r="AJ58" s="99" t="s">
        <v>176</v>
      </c>
      <c r="AK58" s="99" t="s">
        <v>3563</v>
      </c>
      <c r="AL58" s="99" t="s">
        <v>3411</v>
      </c>
      <c r="AM58" s="99" t="s">
        <v>177</v>
      </c>
      <c r="AN58" s="99" t="s">
        <v>3411</v>
      </c>
      <c r="AO58" s="99" t="s">
        <v>189</v>
      </c>
      <c r="AP58" s="99" t="s">
        <v>2570</v>
      </c>
      <c r="AQ58" s="99" t="s">
        <v>3411</v>
      </c>
      <c r="AR58" s="99" t="s">
        <v>3411</v>
      </c>
      <c r="AS58" s="99" t="s">
        <v>526</v>
      </c>
      <c r="AT58" s="99" t="s">
        <v>190</v>
      </c>
      <c r="AU58" s="99" t="s">
        <v>191</v>
      </c>
      <c r="AV58" s="99" t="s">
        <v>3414</v>
      </c>
      <c r="AW58" s="99" t="s">
        <v>180</v>
      </c>
      <c r="AX58" s="99" t="s">
        <v>3420</v>
      </c>
      <c r="AY58" s="99" t="s">
        <v>252</v>
      </c>
      <c r="AZ58" s="99" t="s">
        <v>3430</v>
      </c>
      <c r="BA58" s="99" t="s">
        <v>3566</v>
      </c>
      <c r="BB58" s="99" t="s">
        <v>2688</v>
      </c>
      <c r="BC58" s="125">
        <v>59</v>
      </c>
      <c r="BD58" s="99" t="s">
        <v>3135</v>
      </c>
      <c r="BE58" s="99" t="s">
        <v>3136</v>
      </c>
    </row>
    <row r="59" spans="1:57" ht="12.95" customHeight="1">
      <c r="A59" s="124">
        <v>15</v>
      </c>
      <c r="B59" s="124">
        <v>1929</v>
      </c>
      <c r="C59" s="99" t="s">
        <v>165</v>
      </c>
      <c r="D59" s="99" t="s">
        <v>389</v>
      </c>
      <c r="E59" s="99" t="s">
        <v>2888</v>
      </c>
      <c r="F59" s="99" t="s">
        <v>495</v>
      </c>
      <c r="G59" s="99" t="s">
        <v>2659</v>
      </c>
      <c r="H59" s="99" t="s">
        <v>3567</v>
      </c>
      <c r="I59" s="99" t="s">
        <v>509</v>
      </c>
      <c r="J59" s="99" t="s">
        <v>510</v>
      </c>
      <c r="K59" s="99" t="s">
        <v>511</v>
      </c>
      <c r="L59" s="99" t="s">
        <v>512</v>
      </c>
      <c r="M59" s="99" t="s">
        <v>5</v>
      </c>
      <c r="N59" s="99" t="s">
        <v>3407</v>
      </c>
      <c r="O59" s="99" t="s">
        <v>114</v>
      </c>
      <c r="P59" s="99" t="s">
        <v>3422</v>
      </c>
      <c r="Q59" s="99" t="s">
        <v>169</v>
      </c>
      <c r="R59" s="99" t="s">
        <v>3409</v>
      </c>
      <c r="S59" s="99" t="s">
        <v>2636</v>
      </c>
      <c r="T59" s="99" t="s">
        <v>48</v>
      </c>
      <c r="U59" s="99" t="s">
        <v>184</v>
      </c>
      <c r="V59" s="99" t="s">
        <v>185</v>
      </c>
      <c r="W59" s="99" t="s">
        <v>3568</v>
      </c>
      <c r="X59" s="99" t="s">
        <v>3568</v>
      </c>
      <c r="Y59" s="99" t="s">
        <v>3569</v>
      </c>
      <c r="Z59" s="99" t="s">
        <v>172</v>
      </c>
      <c r="AA59" s="99" t="s">
        <v>173</v>
      </c>
      <c r="AB59" s="99" t="s">
        <v>174</v>
      </c>
      <c r="AC59" s="99" t="s">
        <v>3411</v>
      </c>
      <c r="AD59" s="99" t="s">
        <v>175</v>
      </c>
      <c r="AE59" s="99" t="s">
        <v>3411</v>
      </c>
      <c r="AF59" s="99" t="s">
        <v>3411</v>
      </c>
      <c r="AG59" s="124">
        <v>1518</v>
      </c>
      <c r="AH59" s="99" t="s">
        <v>3413</v>
      </c>
      <c r="AI59" s="125">
        <v>100</v>
      </c>
      <c r="AJ59" s="99" t="s">
        <v>176</v>
      </c>
      <c r="AK59" s="99" t="s">
        <v>3568</v>
      </c>
      <c r="AL59" s="99" t="s">
        <v>3411</v>
      </c>
      <c r="AM59" s="99" t="s">
        <v>177</v>
      </c>
      <c r="AN59" s="99" t="s">
        <v>3411</v>
      </c>
      <c r="AO59" s="99" t="s">
        <v>412</v>
      </c>
      <c r="AP59" s="99" t="s">
        <v>2570</v>
      </c>
      <c r="AQ59" s="99" t="s">
        <v>3411</v>
      </c>
      <c r="AR59" s="99" t="s">
        <v>242</v>
      </c>
      <c r="AS59" s="99" t="s">
        <v>514</v>
      </c>
      <c r="AT59" s="99" t="s">
        <v>1</v>
      </c>
      <c r="AU59" s="99" t="s">
        <v>179</v>
      </c>
      <c r="AV59" s="99" t="s">
        <v>3570</v>
      </c>
      <c r="AW59" s="99" t="s">
        <v>406</v>
      </c>
      <c r="AX59" s="99" t="s">
        <v>3420</v>
      </c>
      <c r="AY59" s="99" t="s">
        <v>252</v>
      </c>
      <c r="AZ59" s="99" t="s">
        <v>3416</v>
      </c>
      <c r="BA59" s="99" t="s">
        <v>3559</v>
      </c>
      <c r="BB59" s="99" t="s">
        <v>508</v>
      </c>
      <c r="BC59" s="125">
        <v>49</v>
      </c>
      <c r="BD59" s="99" t="s">
        <v>3135</v>
      </c>
      <c r="BE59" s="99" t="s">
        <v>3136</v>
      </c>
    </row>
    <row r="60" spans="1:57" ht="12.95" customHeight="1">
      <c r="A60" s="124">
        <v>15</v>
      </c>
      <c r="B60" s="124">
        <v>834</v>
      </c>
      <c r="C60" s="99" t="s">
        <v>165</v>
      </c>
      <c r="D60" s="99" t="s">
        <v>389</v>
      </c>
      <c r="E60" s="99" t="s">
        <v>2888</v>
      </c>
      <c r="F60" s="99" t="s">
        <v>495</v>
      </c>
      <c r="G60" s="99" t="s">
        <v>2659</v>
      </c>
      <c r="H60" s="99" t="s">
        <v>3567</v>
      </c>
      <c r="I60" s="99" t="s">
        <v>509</v>
      </c>
      <c r="J60" s="99" t="s">
        <v>515</v>
      </c>
      <c r="K60" s="99" t="s">
        <v>212</v>
      </c>
      <c r="L60" s="99" t="s">
        <v>516</v>
      </c>
      <c r="M60" s="99" t="s">
        <v>1</v>
      </c>
      <c r="N60" s="99" t="s">
        <v>3407</v>
      </c>
      <c r="O60" s="99" t="s">
        <v>114</v>
      </c>
      <c r="P60" s="99" t="s">
        <v>3422</v>
      </c>
      <c r="Q60" s="99" t="s">
        <v>169</v>
      </c>
      <c r="R60" s="99" t="s">
        <v>3571</v>
      </c>
      <c r="S60" s="99" t="s">
        <v>2648</v>
      </c>
      <c r="T60" s="99" t="s">
        <v>48</v>
      </c>
      <c r="U60" s="99" t="s">
        <v>3572</v>
      </c>
      <c r="V60" s="99" t="s">
        <v>404</v>
      </c>
      <c r="W60" s="99" t="s">
        <v>3573</v>
      </c>
      <c r="X60" s="99" t="s">
        <v>3573</v>
      </c>
      <c r="Y60" s="99" t="s">
        <v>3574</v>
      </c>
      <c r="Z60" s="99" t="s">
        <v>172</v>
      </c>
      <c r="AA60" s="99" t="s">
        <v>173</v>
      </c>
      <c r="AB60" s="99" t="s">
        <v>174</v>
      </c>
      <c r="AC60" s="99" t="s">
        <v>3411</v>
      </c>
      <c r="AD60" s="99" t="s">
        <v>175</v>
      </c>
      <c r="AE60" s="99" t="s">
        <v>3411</v>
      </c>
      <c r="AF60" s="99" t="s">
        <v>3411</v>
      </c>
      <c r="AG60" s="124">
        <v>633</v>
      </c>
      <c r="AH60" s="99" t="s">
        <v>3413</v>
      </c>
      <c r="AI60" s="125">
        <v>100</v>
      </c>
      <c r="AJ60" s="99" t="s">
        <v>176</v>
      </c>
      <c r="AK60" s="99" t="s">
        <v>3575</v>
      </c>
      <c r="AL60" s="99" t="s">
        <v>3411</v>
      </c>
      <c r="AM60" s="99" t="s">
        <v>177</v>
      </c>
      <c r="AN60" s="99" t="s">
        <v>3411</v>
      </c>
      <c r="AO60" s="99" t="s">
        <v>405</v>
      </c>
      <c r="AP60" s="99" t="s">
        <v>2570</v>
      </c>
      <c r="AQ60" s="99" t="s">
        <v>3411</v>
      </c>
      <c r="AR60" s="99" t="s">
        <v>242</v>
      </c>
      <c r="AS60" s="99" t="s">
        <v>517</v>
      </c>
      <c r="AT60" s="99" t="s">
        <v>1</v>
      </c>
      <c r="AU60" s="99" t="s">
        <v>179</v>
      </c>
      <c r="AV60" s="99" t="s">
        <v>3570</v>
      </c>
      <c r="AW60" s="99" t="s">
        <v>406</v>
      </c>
      <c r="AX60" s="99" t="s">
        <v>3420</v>
      </c>
      <c r="AY60" s="99" t="s">
        <v>252</v>
      </c>
      <c r="AZ60" s="99" t="s">
        <v>3416</v>
      </c>
      <c r="BA60" s="99" t="s">
        <v>3576</v>
      </c>
      <c r="BB60" s="99" t="s">
        <v>518</v>
      </c>
      <c r="BC60" s="125">
        <v>55</v>
      </c>
      <c r="BD60" s="99" t="s">
        <v>3135</v>
      </c>
      <c r="BE60" s="99" t="s">
        <v>3136</v>
      </c>
    </row>
    <row r="61" spans="1:57" ht="12.95" customHeight="1">
      <c r="A61" s="124">
        <v>15</v>
      </c>
      <c r="B61" s="124">
        <v>427</v>
      </c>
      <c r="C61" s="99" t="s">
        <v>165</v>
      </c>
      <c r="D61" s="99" t="s">
        <v>389</v>
      </c>
      <c r="E61" s="99" t="s">
        <v>2888</v>
      </c>
      <c r="F61" s="99" t="s">
        <v>495</v>
      </c>
      <c r="G61" s="99" t="s">
        <v>2659</v>
      </c>
      <c r="H61" s="99" t="s">
        <v>3577</v>
      </c>
      <c r="I61" s="99" t="s">
        <v>531</v>
      </c>
      <c r="J61" s="99" t="s">
        <v>532</v>
      </c>
      <c r="K61" s="99" t="s">
        <v>494</v>
      </c>
      <c r="L61" s="99" t="s">
        <v>533</v>
      </c>
      <c r="M61" s="99" t="s">
        <v>5</v>
      </c>
      <c r="N61" s="99" t="s">
        <v>3407</v>
      </c>
      <c r="O61" s="99" t="s">
        <v>114</v>
      </c>
      <c r="P61" s="99" t="s">
        <v>3422</v>
      </c>
      <c r="Q61" s="99" t="s">
        <v>169</v>
      </c>
      <c r="R61" s="99" t="s">
        <v>3571</v>
      </c>
      <c r="S61" s="99" t="s">
        <v>2648</v>
      </c>
      <c r="T61" s="99" t="s">
        <v>48</v>
      </c>
      <c r="U61" s="99" t="s">
        <v>3578</v>
      </c>
      <c r="V61" s="99" t="s">
        <v>534</v>
      </c>
      <c r="W61" s="99" t="s">
        <v>3579</v>
      </c>
      <c r="X61" s="99" t="s">
        <v>3579</v>
      </c>
      <c r="Y61" s="99" t="s">
        <v>3580</v>
      </c>
      <c r="Z61" s="99" t="s">
        <v>172</v>
      </c>
      <c r="AA61" s="99" t="s">
        <v>173</v>
      </c>
      <c r="AB61" s="99" t="s">
        <v>174</v>
      </c>
      <c r="AC61" s="99" t="s">
        <v>3411</v>
      </c>
      <c r="AD61" s="99" t="s">
        <v>175</v>
      </c>
      <c r="AE61" s="99" t="s">
        <v>3411</v>
      </c>
      <c r="AF61" s="99" t="s">
        <v>3411</v>
      </c>
      <c r="AG61" s="124">
        <v>307</v>
      </c>
      <c r="AH61" s="99" t="s">
        <v>3413</v>
      </c>
      <c r="AI61" s="125">
        <v>100</v>
      </c>
      <c r="AJ61" s="99" t="s">
        <v>176</v>
      </c>
      <c r="AK61" s="99" t="s">
        <v>3579</v>
      </c>
      <c r="AL61" s="99" t="s">
        <v>3411</v>
      </c>
      <c r="AM61" s="99" t="s">
        <v>177</v>
      </c>
      <c r="AN61" s="99" t="s">
        <v>3411</v>
      </c>
      <c r="AO61" s="99" t="s">
        <v>405</v>
      </c>
      <c r="AP61" s="99" t="s">
        <v>2570</v>
      </c>
      <c r="AQ61" s="99" t="s">
        <v>3411</v>
      </c>
      <c r="AR61" s="99" t="s">
        <v>242</v>
      </c>
      <c r="AS61" s="99" t="s">
        <v>535</v>
      </c>
      <c r="AT61" s="99" t="s">
        <v>1</v>
      </c>
      <c r="AU61" s="99" t="s">
        <v>179</v>
      </c>
      <c r="AV61" s="99" t="s">
        <v>3581</v>
      </c>
      <c r="AW61" s="99" t="s">
        <v>529</v>
      </c>
      <c r="AX61" s="99" t="s">
        <v>3420</v>
      </c>
      <c r="AY61" s="99" t="s">
        <v>252</v>
      </c>
      <c r="AZ61" s="99" t="s">
        <v>3416</v>
      </c>
      <c r="BA61" s="99" t="s">
        <v>3582</v>
      </c>
      <c r="BB61" s="99" t="s">
        <v>2660</v>
      </c>
      <c r="BC61" s="125">
        <v>56</v>
      </c>
      <c r="BD61" s="99" t="s">
        <v>3135</v>
      </c>
      <c r="BE61" s="99" t="s">
        <v>3136</v>
      </c>
    </row>
    <row r="62" spans="1:57" ht="12.95" customHeight="1">
      <c r="A62" s="124">
        <v>15</v>
      </c>
      <c r="B62" s="124">
        <v>990</v>
      </c>
      <c r="C62" s="99" t="s">
        <v>165</v>
      </c>
      <c r="D62" s="99" t="s">
        <v>389</v>
      </c>
      <c r="E62" s="99" t="s">
        <v>2888</v>
      </c>
      <c r="F62" s="99" t="s">
        <v>495</v>
      </c>
      <c r="G62" s="99" t="s">
        <v>2659</v>
      </c>
      <c r="H62" s="99" t="s">
        <v>3577</v>
      </c>
      <c r="I62" s="99" t="s">
        <v>531</v>
      </c>
      <c r="J62" s="99" t="s">
        <v>536</v>
      </c>
      <c r="K62" s="99" t="s">
        <v>476</v>
      </c>
      <c r="L62" s="99" t="s">
        <v>537</v>
      </c>
      <c r="M62" s="99" t="s">
        <v>5</v>
      </c>
      <c r="N62" s="99" t="s">
        <v>3407</v>
      </c>
      <c r="O62" s="99" t="s">
        <v>114</v>
      </c>
      <c r="P62" s="99" t="s">
        <v>3422</v>
      </c>
      <c r="Q62" s="99" t="s">
        <v>169</v>
      </c>
      <c r="R62" s="99" t="s">
        <v>3571</v>
      </c>
      <c r="S62" s="99" t="s">
        <v>2648</v>
      </c>
      <c r="T62" s="99" t="s">
        <v>48</v>
      </c>
      <c r="U62" s="99" t="s">
        <v>3583</v>
      </c>
      <c r="V62" s="99" t="s">
        <v>513</v>
      </c>
      <c r="W62" s="99" t="s">
        <v>3584</v>
      </c>
      <c r="X62" s="99" t="s">
        <v>3585</v>
      </c>
      <c r="Y62" s="99" t="s">
        <v>3586</v>
      </c>
      <c r="Z62" s="99" t="s">
        <v>172</v>
      </c>
      <c r="AA62" s="99" t="s">
        <v>173</v>
      </c>
      <c r="AB62" s="99" t="s">
        <v>174</v>
      </c>
      <c r="AC62" s="99" t="s">
        <v>3411</v>
      </c>
      <c r="AD62" s="99" t="s">
        <v>175</v>
      </c>
      <c r="AE62" s="99" t="s">
        <v>3411</v>
      </c>
      <c r="AF62" s="99" t="s">
        <v>3411</v>
      </c>
      <c r="AG62" s="124">
        <v>766</v>
      </c>
      <c r="AH62" s="99" t="s">
        <v>3413</v>
      </c>
      <c r="AI62" s="125">
        <v>100</v>
      </c>
      <c r="AJ62" s="99" t="s">
        <v>176</v>
      </c>
      <c r="AK62" s="99" t="s">
        <v>3584</v>
      </c>
      <c r="AL62" s="99" t="s">
        <v>3411</v>
      </c>
      <c r="AM62" s="99" t="s">
        <v>3480</v>
      </c>
      <c r="AN62" s="99" t="s">
        <v>233</v>
      </c>
      <c r="AO62" s="99" t="s">
        <v>405</v>
      </c>
      <c r="AP62" s="99" t="s">
        <v>2570</v>
      </c>
      <c r="AQ62" s="99" t="s">
        <v>3411</v>
      </c>
      <c r="AR62" s="99" t="s">
        <v>3411</v>
      </c>
      <c r="AS62" s="99" t="s">
        <v>538</v>
      </c>
      <c r="AT62" s="99" t="s">
        <v>1</v>
      </c>
      <c r="AU62" s="99" t="s">
        <v>179</v>
      </c>
      <c r="AV62" s="99" t="s">
        <v>3581</v>
      </c>
      <c r="AW62" s="99" t="s">
        <v>529</v>
      </c>
      <c r="AX62" s="99" t="s">
        <v>3420</v>
      </c>
      <c r="AY62" s="99" t="s">
        <v>252</v>
      </c>
      <c r="AZ62" s="99" t="s">
        <v>3416</v>
      </c>
      <c r="BA62" s="99" t="s">
        <v>3582</v>
      </c>
      <c r="BB62" s="99" t="s">
        <v>2660</v>
      </c>
      <c r="BC62" s="125">
        <v>59</v>
      </c>
      <c r="BD62" s="99" t="s">
        <v>3135</v>
      </c>
      <c r="BE62" s="99" t="s">
        <v>3136</v>
      </c>
    </row>
    <row r="63" spans="1:57" ht="12.95" customHeight="1">
      <c r="A63" s="124">
        <v>15</v>
      </c>
      <c r="B63" s="124">
        <v>819</v>
      </c>
      <c r="C63" s="99" t="s">
        <v>165</v>
      </c>
      <c r="D63" s="99" t="s">
        <v>389</v>
      </c>
      <c r="E63" s="99" t="s">
        <v>2888</v>
      </c>
      <c r="F63" s="99" t="s">
        <v>495</v>
      </c>
      <c r="G63" s="99" t="s">
        <v>2659</v>
      </c>
      <c r="H63" s="99" t="s">
        <v>3577</v>
      </c>
      <c r="I63" s="99" t="s">
        <v>531</v>
      </c>
      <c r="J63" s="99" t="s">
        <v>539</v>
      </c>
      <c r="K63" s="99" t="s">
        <v>540</v>
      </c>
      <c r="L63" s="99" t="s">
        <v>541</v>
      </c>
      <c r="M63" s="99" t="s">
        <v>1</v>
      </c>
      <c r="N63" s="99" t="s">
        <v>3407</v>
      </c>
      <c r="O63" s="99" t="s">
        <v>114</v>
      </c>
      <c r="P63" s="99" t="s">
        <v>3422</v>
      </c>
      <c r="Q63" s="99" t="s">
        <v>169</v>
      </c>
      <c r="R63" s="99" t="s">
        <v>3571</v>
      </c>
      <c r="S63" s="99" t="s">
        <v>2648</v>
      </c>
      <c r="T63" s="99" t="s">
        <v>48</v>
      </c>
      <c r="U63" s="99" t="s">
        <v>3578</v>
      </c>
      <c r="V63" s="99" t="s">
        <v>534</v>
      </c>
      <c r="W63" s="99" t="s">
        <v>3587</v>
      </c>
      <c r="X63" s="99" t="s">
        <v>3588</v>
      </c>
      <c r="Y63" s="99" t="s">
        <v>3589</v>
      </c>
      <c r="Z63" s="99" t="s">
        <v>172</v>
      </c>
      <c r="AA63" s="99" t="s">
        <v>173</v>
      </c>
      <c r="AB63" s="99" t="s">
        <v>174</v>
      </c>
      <c r="AC63" s="99" t="s">
        <v>3411</v>
      </c>
      <c r="AD63" s="99" t="s">
        <v>175</v>
      </c>
      <c r="AE63" s="99" t="s">
        <v>3411</v>
      </c>
      <c r="AF63" s="99" t="s">
        <v>3411</v>
      </c>
      <c r="AG63" s="124">
        <v>620</v>
      </c>
      <c r="AH63" s="99" t="s">
        <v>3413</v>
      </c>
      <c r="AI63" s="125">
        <v>100</v>
      </c>
      <c r="AJ63" s="99" t="s">
        <v>176</v>
      </c>
      <c r="AK63" s="99" t="s">
        <v>3587</v>
      </c>
      <c r="AL63" s="99" t="s">
        <v>3411</v>
      </c>
      <c r="AM63" s="99" t="s">
        <v>177</v>
      </c>
      <c r="AN63" s="99" t="s">
        <v>3411</v>
      </c>
      <c r="AO63" s="99" t="s">
        <v>405</v>
      </c>
      <c r="AP63" s="99" t="s">
        <v>2570</v>
      </c>
      <c r="AQ63" s="99" t="s">
        <v>3411</v>
      </c>
      <c r="AR63" s="99" t="s">
        <v>242</v>
      </c>
      <c r="AS63" s="99" t="s">
        <v>542</v>
      </c>
      <c r="AT63" s="99" t="s">
        <v>1</v>
      </c>
      <c r="AU63" s="99" t="s">
        <v>179</v>
      </c>
      <c r="AV63" s="99" t="s">
        <v>3581</v>
      </c>
      <c r="AW63" s="99" t="s">
        <v>529</v>
      </c>
      <c r="AX63" s="99" t="s">
        <v>3420</v>
      </c>
      <c r="AY63" s="99" t="s">
        <v>252</v>
      </c>
      <c r="AZ63" s="99" t="s">
        <v>3416</v>
      </c>
      <c r="BA63" s="99" t="s">
        <v>3582</v>
      </c>
      <c r="BB63" s="99" t="s">
        <v>2660</v>
      </c>
      <c r="BC63" s="125">
        <v>65</v>
      </c>
      <c r="BD63" s="99" t="s">
        <v>3135</v>
      </c>
      <c r="BE63" s="99" t="s">
        <v>3136</v>
      </c>
    </row>
    <row r="64" spans="1:57" ht="12.95" customHeight="1">
      <c r="A64" s="124">
        <v>15</v>
      </c>
      <c r="B64" s="124">
        <v>2105</v>
      </c>
      <c r="C64" s="99" t="s">
        <v>165</v>
      </c>
      <c r="D64" s="99" t="s">
        <v>389</v>
      </c>
      <c r="E64" s="99" t="s">
        <v>2888</v>
      </c>
      <c r="F64" s="99" t="s">
        <v>495</v>
      </c>
      <c r="G64" s="99" t="s">
        <v>2659</v>
      </c>
      <c r="H64" s="99" t="s">
        <v>3577</v>
      </c>
      <c r="I64" s="99" t="s">
        <v>531</v>
      </c>
      <c r="J64" s="99" t="s">
        <v>544</v>
      </c>
      <c r="K64" s="99" t="s">
        <v>414</v>
      </c>
      <c r="L64" s="99" t="s">
        <v>545</v>
      </c>
      <c r="M64" s="99" t="s">
        <v>1</v>
      </c>
      <c r="N64" s="99" t="s">
        <v>3407</v>
      </c>
      <c r="O64" s="99" t="s">
        <v>114</v>
      </c>
      <c r="P64" s="99" t="s">
        <v>3422</v>
      </c>
      <c r="Q64" s="99" t="s">
        <v>169</v>
      </c>
      <c r="R64" s="99" t="s">
        <v>3571</v>
      </c>
      <c r="S64" s="99" t="s">
        <v>2648</v>
      </c>
      <c r="T64" s="99" t="s">
        <v>48</v>
      </c>
      <c r="U64" s="99" t="s">
        <v>3578</v>
      </c>
      <c r="V64" s="99" t="s">
        <v>534</v>
      </c>
      <c r="W64" s="99" t="s">
        <v>3467</v>
      </c>
      <c r="X64" s="99" t="s">
        <v>3467</v>
      </c>
      <c r="Y64" s="99" t="s">
        <v>3590</v>
      </c>
      <c r="Z64" s="99" t="s">
        <v>172</v>
      </c>
      <c r="AA64" s="99" t="s">
        <v>173</v>
      </c>
      <c r="AB64" s="99" t="s">
        <v>174</v>
      </c>
      <c r="AC64" s="99" t="s">
        <v>3411</v>
      </c>
      <c r="AD64" s="99" t="s">
        <v>175</v>
      </c>
      <c r="AE64" s="99" t="s">
        <v>3411</v>
      </c>
      <c r="AF64" s="99" t="s">
        <v>3411</v>
      </c>
      <c r="AG64" s="124">
        <v>1593</v>
      </c>
      <c r="AH64" s="99" t="s">
        <v>3413</v>
      </c>
      <c r="AI64" s="125">
        <v>100</v>
      </c>
      <c r="AJ64" s="99" t="s">
        <v>176</v>
      </c>
      <c r="AK64" s="99" t="s">
        <v>3467</v>
      </c>
      <c r="AL64" s="99" t="s">
        <v>3411</v>
      </c>
      <c r="AM64" s="99" t="s">
        <v>177</v>
      </c>
      <c r="AN64" s="99" t="s">
        <v>3411</v>
      </c>
      <c r="AO64" s="99" t="s">
        <v>405</v>
      </c>
      <c r="AP64" s="99" t="s">
        <v>2570</v>
      </c>
      <c r="AQ64" s="99" t="s">
        <v>3411</v>
      </c>
      <c r="AR64" s="99" t="s">
        <v>242</v>
      </c>
      <c r="AS64" s="99" t="s">
        <v>546</v>
      </c>
      <c r="AT64" s="99" t="s">
        <v>1</v>
      </c>
      <c r="AU64" s="99" t="s">
        <v>179</v>
      </c>
      <c r="AV64" s="99" t="s">
        <v>3581</v>
      </c>
      <c r="AW64" s="99" t="s">
        <v>529</v>
      </c>
      <c r="AX64" s="99" t="s">
        <v>3420</v>
      </c>
      <c r="AY64" s="99" t="s">
        <v>252</v>
      </c>
      <c r="AZ64" s="99" t="s">
        <v>3416</v>
      </c>
      <c r="BA64" s="99" t="s">
        <v>3582</v>
      </c>
      <c r="BB64" s="99" t="s">
        <v>2660</v>
      </c>
      <c r="BC64" s="125">
        <v>54</v>
      </c>
      <c r="BD64" s="99" t="s">
        <v>3135</v>
      </c>
      <c r="BE64" s="99" t="s">
        <v>3136</v>
      </c>
    </row>
    <row r="65" spans="1:57" ht="12.95" customHeight="1">
      <c r="A65" s="124">
        <v>15</v>
      </c>
      <c r="B65" s="124">
        <v>2106</v>
      </c>
      <c r="C65" s="99" t="s">
        <v>165</v>
      </c>
      <c r="D65" s="99" t="s">
        <v>389</v>
      </c>
      <c r="E65" s="99" t="s">
        <v>2888</v>
      </c>
      <c r="F65" s="99" t="s">
        <v>495</v>
      </c>
      <c r="G65" s="99" t="s">
        <v>2659</v>
      </c>
      <c r="H65" s="99" t="s">
        <v>3577</v>
      </c>
      <c r="I65" s="99" t="s">
        <v>531</v>
      </c>
      <c r="J65" s="99" t="s">
        <v>548</v>
      </c>
      <c r="K65" s="99" t="s">
        <v>267</v>
      </c>
      <c r="L65" s="99" t="s">
        <v>549</v>
      </c>
      <c r="M65" s="99" t="s">
        <v>1</v>
      </c>
      <c r="N65" s="99" t="s">
        <v>3407</v>
      </c>
      <c r="O65" s="99" t="s">
        <v>114</v>
      </c>
      <c r="P65" s="99" t="s">
        <v>3422</v>
      </c>
      <c r="Q65" s="99" t="s">
        <v>169</v>
      </c>
      <c r="R65" s="99" t="s">
        <v>3571</v>
      </c>
      <c r="S65" s="99" t="s">
        <v>2648</v>
      </c>
      <c r="T65" s="99" t="s">
        <v>48</v>
      </c>
      <c r="U65" s="99" t="s">
        <v>3578</v>
      </c>
      <c r="V65" s="99" t="s">
        <v>534</v>
      </c>
      <c r="W65" s="99" t="s">
        <v>3467</v>
      </c>
      <c r="X65" s="99" t="s">
        <v>3467</v>
      </c>
      <c r="Y65" s="99" t="s">
        <v>3591</v>
      </c>
      <c r="Z65" s="99" t="s">
        <v>172</v>
      </c>
      <c r="AA65" s="99" t="s">
        <v>173</v>
      </c>
      <c r="AB65" s="99" t="s">
        <v>174</v>
      </c>
      <c r="AC65" s="99" t="s">
        <v>3411</v>
      </c>
      <c r="AD65" s="99" t="s">
        <v>175</v>
      </c>
      <c r="AE65" s="99" t="s">
        <v>3411</v>
      </c>
      <c r="AF65" s="99" t="s">
        <v>3411</v>
      </c>
      <c r="AG65" s="124">
        <v>1594</v>
      </c>
      <c r="AH65" s="99" t="s">
        <v>3413</v>
      </c>
      <c r="AI65" s="125">
        <v>100</v>
      </c>
      <c r="AJ65" s="99" t="s">
        <v>176</v>
      </c>
      <c r="AK65" s="99" t="s">
        <v>3467</v>
      </c>
      <c r="AL65" s="99" t="s">
        <v>3411</v>
      </c>
      <c r="AM65" s="99" t="s">
        <v>177</v>
      </c>
      <c r="AN65" s="99" t="s">
        <v>3411</v>
      </c>
      <c r="AO65" s="99" t="s">
        <v>405</v>
      </c>
      <c r="AP65" s="99" t="s">
        <v>2570</v>
      </c>
      <c r="AQ65" s="99" t="s">
        <v>3411</v>
      </c>
      <c r="AR65" s="99" t="s">
        <v>242</v>
      </c>
      <c r="AS65" s="99" t="s">
        <v>550</v>
      </c>
      <c r="AT65" s="99" t="s">
        <v>1</v>
      </c>
      <c r="AU65" s="99" t="s">
        <v>179</v>
      </c>
      <c r="AV65" s="99" t="s">
        <v>3581</v>
      </c>
      <c r="AW65" s="99" t="s">
        <v>529</v>
      </c>
      <c r="AX65" s="99" t="s">
        <v>3420</v>
      </c>
      <c r="AY65" s="99" t="s">
        <v>252</v>
      </c>
      <c r="AZ65" s="99" t="s">
        <v>3416</v>
      </c>
      <c r="BA65" s="99" t="s">
        <v>3582</v>
      </c>
      <c r="BB65" s="99" t="s">
        <v>2660</v>
      </c>
      <c r="BC65" s="125">
        <v>63</v>
      </c>
      <c r="BD65" s="99" t="s">
        <v>3135</v>
      </c>
      <c r="BE65" s="99" t="s">
        <v>3136</v>
      </c>
    </row>
    <row r="66" spans="1:57" ht="12.95" customHeight="1">
      <c r="A66" s="124">
        <v>15</v>
      </c>
      <c r="B66" s="124">
        <v>3116</v>
      </c>
      <c r="C66" s="99" t="s">
        <v>165</v>
      </c>
      <c r="D66" s="99" t="s">
        <v>389</v>
      </c>
      <c r="E66" s="99" t="s">
        <v>2888</v>
      </c>
      <c r="F66" s="99" t="s">
        <v>495</v>
      </c>
      <c r="G66" s="99" t="s">
        <v>2659</v>
      </c>
      <c r="H66" s="99" t="s">
        <v>3577</v>
      </c>
      <c r="I66" s="99" t="s">
        <v>531</v>
      </c>
      <c r="J66" s="99" t="s">
        <v>3072</v>
      </c>
      <c r="K66" s="99" t="s">
        <v>311</v>
      </c>
      <c r="L66" s="99" t="s">
        <v>3073</v>
      </c>
      <c r="M66" s="99" t="s">
        <v>1</v>
      </c>
      <c r="N66" s="99" t="s">
        <v>3407</v>
      </c>
      <c r="O66" s="99" t="s">
        <v>114</v>
      </c>
      <c r="P66" s="99" t="s">
        <v>3592</v>
      </c>
      <c r="Q66" s="99" t="s">
        <v>169</v>
      </c>
      <c r="R66" s="99" t="s">
        <v>3571</v>
      </c>
      <c r="S66" s="99" t="s">
        <v>2648</v>
      </c>
      <c r="T66" s="99" t="s">
        <v>48</v>
      </c>
      <c r="U66" s="99" t="s">
        <v>3593</v>
      </c>
      <c r="V66" s="99" t="s">
        <v>3074</v>
      </c>
      <c r="W66" s="99" t="s">
        <v>3592</v>
      </c>
      <c r="X66" s="99" t="s">
        <v>3592</v>
      </c>
      <c r="Y66" s="99" t="s">
        <v>3594</v>
      </c>
      <c r="Z66" s="99" t="s">
        <v>172</v>
      </c>
      <c r="AA66" s="99" t="s">
        <v>173</v>
      </c>
      <c r="AB66" s="99" t="s">
        <v>174</v>
      </c>
      <c r="AC66" s="99" t="s">
        <v>3411</v>
      </c>
      <c r="AD66" s="99" t="s">
        <v>175</v>
      </c>
      <c r="AE66" s="99" t="s">
        <v>3411</v>
      </c>
      <c r="AF66" s="99" t="s">
        <v>3411</v>
      </c>
      <c r="AG66" s="124">
        <v>3116</v>
      </c>
      <c r="AH66" s="99" t="s">
        <v>3413</v>
      </c>
      <c r="AI66" s="125">
        <v>100</v>
      </c>
      <c r="AJ66" s="99" t="s">
        <v>176</v>
      </c>
      <c r="AK66" s="99" t="s">
        <v>3592</v>
      </c>
      <c r="AL66" s="99" t="s">
        <v>3411</v>
      </c>
      <c r="AM66" s="99" t="s">
        <v>177</v>
      </c>
      <c r="AN66" s="99" t="s">
        <v>3411</v>
      </c>
      <c r="AO66" s="99" t="s">
        <v>405</v>
      </c>
      <c r="AP66" s="99" t="s">
        <v>2570</v>
      </c>
      <c r="AQ66" s="99" t="s">
        <v>3411</v>
      </c>
      <c r="AR66" s="99" t="s">
        <v>242</v>
      </c>
      <c r="AS66" s="99" t="s">
        <v>3075</v>
      </c>
      <c r="AT66" s="99" t="s">
        <v>1</v>
      </c>
      <c r="AU66" s="99" t="s">
        <v>179</v>
      </c>
      <c r="AV66" s="99" t="s">
        <v>3581</v>
      </c>
      <c r="AW66" s="99" t="s">
        <v>529</v>
      </c>
      <c r="AX66" s="99" t="s">
        <v>3420</v>
      </c>
      <c r="AY66" s="99" t="s">
        <v>252</v>
      </c>
      <c r="AZ66" s="99" t="s">
        <v>3416</v>
      </c>
      <c r="BA66" s="99" t="s">
        <v>3582</v>
      </c>
      <c r="BB66" s="99" t="s">
        <v>2660</v>
      </c>
      <c r="BC66" s="125">
        <v>26</v>
      </c>
      <c r="BD66" s="99" t="s">
        <v>3135</v>
      </c>
      <c r="BE66" s="99" t="s">
        <v>3136</v>
      </c>
    </row>
    <row r="67" spans="1:57" ht="12.95" customHeight="1">
      <c r="A67" s="124">
        <v>15</v>
      </c>
      <c r="B67" s="124">
        <v>485</v>
      </c>
      <c r="C67" s="99" t="s">
        <v>165</v>
      </c>
      <c r="D67" s="99" t="s">
        <v>389</v>
      </c>
      <c r="E67" s="99" t="s">
        <v>2888</v>
      </c>
      <c r="F67" s="99" t="s">
        <v>495</v>
      </c>
      <c r="G67" s="99" t="s">
        <v>2659</v>
      </c>
      <c r="H67" s="99" t="s">
        <v>3577</v>
      </c>
      <c r="I67" s="99" t="s">
        <v>531</v>
      </c>
      <c r="J67" s="99" t="s">
        <v>552</v>
      </c>
      <c r="K67" s="99" t="s">
        <v>291</v>
      </c>
      <c r="L67" s="99" t="s">
        <v>553</v>
      </c>
      <c r="M67" s="99" t="s">
        <v>5</v>
      </c>
      <c r="N67" s="99" t="s">
        <v>3407</v>
      </c>
      <c r="O67" s="99" t="s">
        <v>114</v>
      </c>
      <c r="P67" s="99" t="s">
        <v>3422</v>
      </c>
      <c r="Q67" s="99" t="s">
        <v>169</v>
      </c>
      <c r="R67" s="99" t="s">
        <v>3571</v>
      </c>
      <c r="S67" s="99" t="s">
        <v>2648</v>
      </c>
      <c r="T67" s="99" t="s">
        <v>48</v>
      </c>
      <c r="U67" s="99" t="s">
        <v>3578</v>
      </c>
      <c r="V67" s="99" t="s">
        <v>534</v>
      </c>
      <c r="W67" s="99" t="s">
        <v>3595</v>
      </c>
      <c r="X67" s="99" t="s">
        <v>3595</v>
      </c>
      <c r="Y67" s="99" t="s">
        <v>3596</v>
      </c>
      <c r="Z67" s="99" t="s">
        <v>172</v>
      </c>
      <c r="AA67" s="99" t="s">
        <v>173</v>
      </c>
      <c r="AB67" s="99" t="s">
        <v>174</v>
      </c>
      <c r="AC67" s="99" t="s">
        <v>3411</v>
      </c>
      <c r="AD67" s="99" t="s">
        <v>175</v>
      </c>
      <c r="AE67" s="99" t="s">
        <v>3411</v>
      </c>
      <c r="AF67" s="99" t="s">
        <v>3411</v>
      </c>
      <c r="AG67" s="124">
        <v>344</v>
      </c>
      <c r="AH67" s="99" t="s">
        <v>3413</v>
      </c>
      <c r="AI67" s="125">
        <v>100</v>
      </c>
      <c r="AJ67" s="99" t="s">
        <v>176</v>
      </c>
      <c r="AK67" s="99" t="s">
        <v>3595</v>
      </c>
      <c r="AL67" s="99" t="s">
        <v>3411</v>
      </c>
      <c r="AM67" s="99" t="s">
        <v>177</v>
      </c>
      <c r="AN67" s="99" t="s">
        <v>3411</v>
      </c>
      <c r="AO67" s="99" t="s">
        <v>405</v>
      </c>
      <c r="AP67" s="99" t="s">
        <v>2570</v>
      </c>
      <c r="AQ67" s="99" t="s">
        <v>3411</v>
      </c>
      <c r="AR67" s="99" t="s">
        <v>3411</v>
      </c>
      <c r="AS67" s="99" t="s">
        <v>554</v>
      </c>
      <c r="AT67" s="99" t="s">
        <v>1</v>
      </c>
      <c r="AU67" s="99" t="s">
        <v>179</v>
      </c>
      <c r="AV67" s="99" t="s">
        <v>3581</v>
      </c>
      <c r="AW67" s="99" t="s">
        <v>529</v>
      </c>
      <c r="AX67" s="99" t="s">
        <v>3411</v>
      </c>
      <c r="AY67" s="99" t="s">
        <v>3411</v>
      </c>
      <c r="AZ67" s="99" t="s">
        <v>3411</v>
      </c>
      <c r="BA67" s="99" t="s">
        <v>3582</v>
      </c>
      <c r="BB67" s="99" t="s">
        <v>2660</v>
      </c>
      <c r="BC67" s="125">
        <v>58</v>
      </c>
      <c r="BD67" s="99" t="s">
        <v>3135</v>
      </c>
      <c r="BE67" s="99" t="s">
        <v>3136</v>
      </c>
    </row>
    <row r="68" spans="1:57" ht="12.95" customHeight="1">
      <c r="A68" s="124">
        <v>15</v>
      </c>
      <c r="B68" s="124">
        <v>634</v>
      </c>
      <c r="C68" s="99" t="s">
        <v>165</v>
      </c>
      <c r="D68" s="99" t="s">
        <v>389</v>
      </c>
      <c r="E68" s="99" t="s">
        <v>2888</v>
      </c>
      <c r="F68" s="99" t="s">
        <v>495</v>
      </c>
      <c r="G68" s="99" t="s">
        <v>2659</v>
      </c>
      <c r="H68" s="99" t="s">
        <v>3577</v>
      </c>
      <c r="I68" s="99" t="s">
        <v>531</v>
      </c>
      <c r="J68" s="99" t="s">
        <v>555</v>
      </c>
      <c r="K68" s="99" t="s">
        <v>367</v>
      </c>
      <c r="L68" s="99" t="s">
        <v>556</v>
      </c>
      <c r="M68" s="99" t="s">
        <v>5</v>
      </c>
      <c r="N68" s="99" t="s">
        <v>3407</v>
      </c>
      <c r="O68" s="99" t="s">
        <v>114</v>
      </c>
      <c r="P68" s="99" t="s">
        <v>3422</v>
      </c>
      <c r="Q68" s="99" t="s">
        <v>169</v>
      </c>
      <c r="R68" s="99" t="s">
        <v>3571</v>
      </c>
      <c r="S68" s="99" t="s">
        <v>2648</v>
      </c>
      <c r="T68" s="99" t="s">
        <v>48</v>
      </c>
      <c r="U68" s="99" t="s">
        <v>3578</v>
      </c>
      <c r="V68" s="99" t="s">
        <v>534</v>
      </c>
      <c r="W68" s="99" t="s">
        <v>3597</v>
      </c>
      <c r="X68" s="99" t="s">
        <v>3597</v>
      </c>
      <c r="Y68" s="99" t="s">
        <v>3598</v>
      </c>
      <c r="Z68" s="99" t="s">
        <v>172</v>
      </c>
      <c r="AA68" s="99" t="s">
        <v>173</v>
      </c>
      <c r="AB68" s="99" t="s">
        <v>174</v>
      </c>
      <c r="AC68" s="99" t="s">
        <v>3411</v>
      </c>
      <c r="AD68" s="99" t="s">
        <v>175</v>
      </c>
      <c r="AE68" s="99" t="s">
        <v>3411</v>
      </c>
      <c r="AF68" s="99" t="s">
        <v>3411</v>
      </c>
      <c r="AG68" s="124">
        <v>458</v>
      </c>
      <c r="AH68" s="99" t="s">
        <v>3413</v>
      </c>
      <c r="AI68" s="125">
        <v>100</v>
      </c>
      <c r="AJ68" s="99" t="s">
        <v>176</v>
      </c>
      <c r="AK68" s="99" t="s">
        <v>3597</v>
      </c>
      <c r="AL68" s="99" t="s">
        <v>3411</v>
      </c>
      <c r="AM68" s="99" t="s">
        <v>3480</v>
      </c>
      <c r="AN68" s="99" t="s">
        <v>233</v>
      </c>
      <c r="AO68" s="99" t="s">
        <v>405</v>
      </c>
      <c r="AP68" s="99" t="s">
        <v>2570</v>
      </c>
      <c r="AQ68" s="99" t="s">
        <v>3411</v>
      </c>
      <c r="AR68" s="99" t="s">
        <v>242</v>
      </c>
      <c r="AS68" s="99" t="s">
        <v>557</v>
      </c>
      <c r="AT68" s="99" t="s">
        <v>1</v>
      </c>
      <c r="AU68" s="99" t="s">
        <v>179</v>
      </c>
      <c r="AV68" s="99" t="s">
        <v>3581</v>
      </c>
      <c r="AW68" s="99" t="s">
        <v>529</v>
      </c>
      <c r="AX68" s="99" t="s">
        <v>3420</v>
      </c>
      <c r="AY68" s="99" t="s">
        <v>252</v>
      </c>
      <c r="AZ68" s="99" t="s">
        <v>3416</v>
      </c>
      <c r="BA68" s="99" t="s">
        <v>3582</v>
      </c>
      <c r="BB68" s="99" t="s">
        <v>2660</v>
      </c>
      <c r="BC68" s="125">
        <v>55</v>
      </c>
      <c r="BD68" s="99" t="s">
        <v>3135</v>
      </c>
      <c r="BE68" s="99" t="s">
        <v>3136</v>
      </c>
    </row>
    <row r="69" spans="1:57" ht="12.95" customHeight="1">
      <c r="A69" s="124">
        <v>15</v>
      </c>
      <c r="B69" s="124">
        <v>650</v>
      </c>
      <c r="C69" s="99" t="s">
        <v>165</v>
      </c>
      <c r="D69" s="99" t="s">
        <v>389</v>
      </c>
      <c r="E69" s="99" t="s">
        <v>2888</v>
      </c>
      <c r="F69" s="99" t="s">
        <v>495</v>
      </c>
      <c r="G69" s="99" t="s">
        <v>2659</v>
      </c>
      <c r="H69" s="99" t="s">
        <v>3599</v>
      </c>
      <c r="I69" s="99" t="s">
        <v>558</v>
      </c>
      <c r="J69" s="99" t="s">
        <v>559</v>
      </c>
      <c r="K69" s="99" t="s">
        <v>560</v>
      </c>
      <c r="L69" s="99" t="s">
        <v>561</v>
      </c>
      <c r="M69" s="99" t="s">
        <v>5</v>
      </c>
      <c r="N69" s="99" t="s">
        <v>3407</v>
      </c>
      <c r="O69" s="99" t="s">
        <v>114</v>
      </c>
      <c r="P69" s="99" t="s">
        <v>3422</v>
      </c>
      <c r="Q69" s="99" t="s">
        <v>169</v>
      </c>
      <c r="R69" s="99" t="s">
        <v>3571</v>
      </c>
      <c r="S69" s="99" t="s">
        <v>2648</v>
      </c>
      <c r="T69" s="99" t="s">
        <v>48</v>
      </c>
      <c r="U69" s="99" t="s">
        <v>3583</v>
      </c>
      <c r="V69" s="99" t="s">
        <v>513</v>
      </c>
      <c r="W69" s="99" t="s">
        <v>3600</v>
      </c>
      <c r="X69" s="99" t="s">
        <v>3600</v>
      </c>
      <c r="Y69" s="99" t="s">
        <v>3601</v>
      </c>
      <c r="Z69" s="99" t="s">
        <v>172</v>
      </c>
      <c r="AA69" s="99" t="s">
        <v>173</v>
      </c>
      <c r="AB69" s="99" t="s">
        <v>174</v>
      </c>
      <c r="AC69" s="99" t="s">
        <v>3411</v>
      </c>
      <c r="AD69" s="99" t="s">
        <v>175</v>
      </c>
      <c r="AE69" s="99" t="s">
        <v>3411</v>
      </c>
      <c r="AF69" s="99" t="s">
        <v>3411</v>
      </c>
      <c r="AG69" s="124">
        <v>473</v>
      </c>
      <c r="AH69" s="99" t="s">
        <v>3413</v>
      </c>
      <c r="AI69" s="125">
        <v>100</v>
      </c>
      <c r="AJ69" s="99" t="s">
        <v>176</v>
      </c>
      <c r="AK69" s="99" t="s">
        <v>3600</v>
      </c>
      <c r="AL69" s="99" t="s">
        <v>3411</v>
      </c>
      <c r="AM69" s="99" t="s">
        <v>177</v>
      </c>
      <c r="AN69" s="99" t="s">
        <v>3411</v>
      </c>
      <c r="AO69" s="99" t="s">
        <v>405</v>
      </c>
      <c r="AP69" s="99" t="s">
        <v>2570</v>
      </c>
      <c r="AQ69" s="99" t="s">
        <v>3411</v>
      </c>
      <c r="AR69" s="99" t="s">
        <v>242</v>
      </c>
      <c r="AS69" s="99" t="s">
        <v>562</v>
      </c>
      <c r="AT69" s="99" t="s">
        <v>1</v>
      </c>
      <c r="AU69" s="99" t="s">
        <v>179</v>
      </c>
      <c r="AV69" s="99" t="s">
        <v>3581</v>
      </c>
      <c r="AW69" s="99" t="s">
        <v>529</v>
      </c>
      <c r="AX69" s="99" t="s">
        <v>3420</v>
      </c>
      <c r="AY69" s="99" t="s">
        <v>252</v>
      </c>
      <c r="AZ69" s="99" t="s">
        <v>3416</v>
      </c>
      <c r="BA69" s="99" t="s">
        <v>3582</v>
      </c>
      <c r="BB69" s="99" t="s">
        <v>2660</v>
      </c>
      <c r="BC69" s="125">
        <v>55</v>
      </c>
      <c r="BD69" s="99" t="s">
        <v>3135</v>
      </c>
      <c r="BE69" s="99" t="s">
        <v>3136</v>
      </c>
    </row>
    <row r="70" spans="1:57" ht="12.95" customHeight="1">
      <c r="A70" s="124">
        <v>15</v>
      </c>
      <c r="B70" s="124">
        <v>1555</v>
      </c>
      <c r="C70" s="99" t="s">
        <v>165</v>
      </c>
      <c r="D70" s="99" t="s">
        <v>389</v>
      </c>
      <c r="E70" s="99" t="s">
        <v>2888</v>
      </c>
      <c r="F70" s="99" t="s">
        <v>495</v>
      </c>
      <c r="G70" s="99" t="s">
        <v>2659</v>
      </c>
      <c r="H70" s="99" t="s">
        <v>3599</v>
      </c>
      <c r="I70" s="99" t="s">
        <v>558</v>
      </c>
      <c r="J70" s="99" t="s">
        <v>563</v>
      </c>
      <c r="K70" s="99" t="s">
        <v>564</v>
      </c>
      <c r="L70" s="99" t="s">
        <v>565</v>
      </c>
      <c r="M70" s="99" t="s">
        <v>5</v>
      </c>
      <c r="N70" s="99" t="s">
        <v>3407</v>
      </c>
      <c r="O70" s="99" t="s">
        <v>114</v>
      </c>
      <c r="P70" s="99" t="s">
        <v>3422</v>
      </c>
      <c r="Q70" s="99" t="s">
        <v>169</v>
      </c>
      <c r="R70" s="99" t="s">
        <v>3571</v>
      </c>
      <c r="S70" s="99" t="s">
        <v>2648</v>
      </c>
      <c r="T70" s="99" t="s">
        <v>48</v>
      </c>
      <c r="U70" s="99" t="s">
        <v>3578</v>
      </c>
      <c r="V70" s="99" t="s">
        <v>534</v>
      </c>
      <c r="W70" s="99" t="s">
        <v>3602</v>
      </c>
      <c r="X70" s="99" t="s">
        <v>3602</v>
      </c>
      <c r="Y70" s="99" t="s">
        <v>3603</v>
      </c>
      <c r="Z70" s="99" t="s">
        <v>172</v>
      </c>
      <c r="AA70" s="99" t="s">
        <v>173</v>
      </c>
      <c r="AB70" s="99" t="s">
        <v>174</v>
      </c>
      <c r="AC70" s="99" t="s">
        <v>3411</v>
      </c>
      <c r="AD70" s="99" t="s">
        <v>175</v>
      </c>
      <c r="AE70" s="99" t="s">
        <v>3411</v>
      </c>
      <c r="AF70" s="99" t="s">
        <v>3411</v>
      </c>
      <c r="AG70" s="124">
        <v>1226</v>
      </c>
      <c r="AH70" s="99" t="s">
        <v>3413</v>
      </c>
      <c r="AI70" s="125">
        <v>100</v>
      </c>
      <c r="AJ70" s="99" t="s">
        <v>176</v>
      </c>
      <c r="AK70" s="99" t="s">
        <v>3602</v>
      </c>
      <c r="AL70" s="99" t="s">
        <v>3411</v>
      </c>
      <c r="AM70" s="99" t="s">
        <v>177</v>
      </c>
      <c r="AN70" s="99" t="s">
        <v>3411</v>
      </c>
      <c r="AO70" s="99" t="s">
        <v>405</v>
      </c>
      <c r="AP70" s="99" t="s">
        <v>2570</v>
      </c>
      <c r="AQ70" s="99" t="s">
        <v>3411</v>
      </c>
      <c r="AR70" s="99" t="s">
        <v>242</v>
      </c>
      <c r="AS70" s="99" t="s">
        <v>566</v>
      </c>
      <c r="AT70" s="99" t="s">
        <v>1</v>
      </c>
      <c r="AU70" s="99" t="s">
        <v>179</v>
      </c>
      <c r="AV70" s="99" t="s">
        <v>3581</v>
      </c>
      <c r="AW70" s="99" t="s">
        <v>529</v>
      </c>
      <c r="AX70" s="99" t="s">
        <v>3420</v>
      </c>
      <c r="AY70" s="99" t="s">
        <v>252</v>
      </c>
      <c r="AZ70" s="99" t="s">
        <v>3416</v>
      </c>
      <c r="BA70" s="99" t="s">
        <v>3582</v>
      </c>
      <c r="BB70" s="99" t="s">
        <v>2660</v>
      </c>
      <c r="BC70" s="125">
        <v>49</v>
      </c>
      <c r="BD70" s="99" t="s">
        <v>3135</v>
      </c>
      <c r="BE70" s="99" t="s">
        <v>3136</v>
      </c>
    </row>
    <row r="71" spans="1:57" ht="12.95" customHeight="1">
      <c r="A71" s="124">
        <v>15</v>
      </c>
      <c r="B71" s="124">
        <v>490</v>
      </c>
      <c r="C71" s="99" t="s">
        <v>165</v>
      </c>
      <c r="D71" s="99" t="s">
        <v>389</v>
      </c>
      <c r="E71" s="99" t="s">
        <v>2888</v>
      </c>
      <c r="F71" s="99" t="s">
        <v>495</v>
      </c>
      <c r="G71" s="99" t="s">
        <v>2659</v>
      </c>
      <c r="H71" s="99" t="s">
        <v>3599</v>
      </c>
      <c r="I71" s="99" t="s">
        <v>558</v>
      </c>
      <c r="J71" s="99" t="s">
        <v>567</v>
      </c>
      <c r="K71" s="99" t="s">
        <v>409</v>
      </c>
      <c r="L71" s="99" t="s">
        <v>568</v>
      </c>
      <c r="M71" s="99" t="s">
        <v>5</v>
      </c>
      <c r="N71" s="99" t="s">
        <v>3407</v>
      </c>
      <c r="O71" s="99" t="s">
        <v>114</v>
      </c>
      <c r="P71" s="99" t="s">
        <v>3422</v>
      </c>
      <c r="Q71" s="99" t="s">
        <v>169</v>
      </c>
      <c r="R71" s="99" t="s">
        <v>3571</v>
      </c>
      <c r="S71" s="99" t="s">
        <v>2648</v>
      </c>
      <c r="T71" s="99" t="s">
        <v>48</v>
      </c>
      <c r="U71" s="99" t="s">
        <v>3578</v>
      </c>
      <c r="V71" s="99" t="s">
        <v>534</v>
      </c>
      <c r="W71" s="99" t="s">
        <v>3604</v>
      </c>
      <c r="X71" s="99" t="s">
        <v>3604</v>
      </c>
      <c r="Y71" s="99" t="s">
        <v>3605</v>
      </c>
      <c r="Z71" s="99" t="s">
        <v>172</v>
      </c>
      <c r="AA71" s="99" t="s">
        <v>173</v>
      </c>
      <c r="AB71" s="99" t="s">
        <v>174</v>
      </c>
      <c r="AC71" s="99" t="s">
        <v>3411</v>
      </c>
      <c r="AD71" s="99" t="s">
        <v>175</v>
      </c>
      <c r="AE71" s="99" t="s">
        <v>3411</v>
      </c>
      <c r="AF71" s="99" t="s">
        <v>3411</v>
      </c>
      <c r="AG71" s="124">
        <v>347</v>
      </c>
      <c r="AH71" s="99" t="s">
        <v>3413</v>
      </c>
      <c r="AI71" s="125">
        <v>100</v>
      </c>
      <c r="AJ71" s="99" t="s">
        <v>176</v>
      </c>
      <c r="AK71" s="99" t="s">
        <v>3604</v>
      </c>
      <c r="AL71" s="99" t="s">
        <v>3411</v>
      </c>
      <c r="AM71" s="99" t="s">
        <v>177</v>
      </c>
      <c r="AN71" s="99" t="s">
        <v>3411</v>
      </c>
      <c r="AO71" s="99" t="s">
        <v>405</v>
      </c>
      <c r="AP71" s="99" t="s">
        <v>2570</v>
      </c>
      <c r="AQ71" s="99" t="s">
        <v>3411</v>
      </c>
      <c r="AR71" s="99" t="s">
        <v>242</v>
      </c>
      <c r="AS71" s="99" t="s">
        <v>569</v>
      </c>
      <c r="AT71" s="99" t="s">
        <v>1</v>
      </c>
      <c r="AU71" s="99" t="s">
        <v>179</v>
      </c>
      <c r="AV71" s="99" t="s">
        <v>3581</v>
      </c>
      <c r="AW71" s="99" t="s">
        <v>529</v>
      </c>
      <c r="AX71" s="99" t="s">
        <v>3420</v>
      </c>
      <c r="AY71" s="99" t="s">
        <v>252</v>
      </c>
      <c r="AZ71" s="99" t="s">
        <v>3416</v>
      </c>
      <c r="BA71" s="99" t="s">
        <v>3582</v>
      </c>
      <c r="BB71" s="99" t="s">
        <v>2660</v>
      </c>
      <c r="BC71" s="125">
        <v>59</v>
      </c>
      <c r="BD71" s="99" t="s">
        <v>3135</v>
      </c>
      <c r="BE71" s="99" t="s">
        <v>3136</v>
      </c>
    </row>
    <row r="72" spans="1:57" ht="12.95" customHeight="1">
      <c r="A72" s="124">
        <v>15</v>
      </c>
      <c r="B72" s="124">
        <v>2207</v>
      </c>
      <c r="C72" s="99" t="s">
        <v>165</v>
      </c>
      <c r="D72" s="99" t="s">
        <v>389</v>
      </c>
      <c r="E72" s="99" t="s">
        <v>2888</v>
      </c>
      <c r="F72" s="99" t="s">
        <v>495</v>
      </c>
      <c r="G72" s="99" t="s">
        <v>2659</v>
      </c>
      <c r="H72" s="99" t="s">
        <v>3599</v>
      </c>
      <c r="I72" s="99" t="s">
        <v>558</v>
      </c>
      <c r="J72" s="99" t="s">
        <v>570</v>
      </c>
      <c r="K72" s="99" t="s">
        <v>571</v>
      </c>
      <c r="L72" s="99" t="s">
        <v>572</v>
      </c>
      <c r="M72" s="99" t="s">
        <v>1</v>
      </c>
      <c r="N72" s="99" t="s">
        <v>3407</v>
      </c>
      <c r="O72" s="99" t="s">
        <v>114</v>
      </c>
      <c r="P72" s="99" t="s">
        <v>3422</v>
      </c>
      <c r="Q72" s="99" t="s">
        <v>169</v>
      </c>
      <c r="R72" s="99" t="s">
        <v>3571</v>
      </c>
      <c r="S72" s="99" t="s">
        <v>2648</v>
      </c>
      <c r="T72" s="99" t="s">
        <v>48</v>
      </c>
      <c r="U72" s="99" t="s">
        <v>3578</v>
      </c>
      <c r="V72" s="99" t="s">
        <v>534</v>
      </c>
      <c r="W72" s="99" t="s">
        <v>3548</v>
      </c>
      <c r="X72" s="99" t="s">
        <v>3548</v>
      </c>
      <c r="Y72" s="99" t="s">
        <v>3606</v>
      </c>
      <c r="Z72" s="99" t="s">
        <v>172</v>
      </c>
      <c r="AA72" s="99" t="s">
        <v>173</v>
      </c>
      <c r="AB72" s="99" t="s">
        <v>174</v>
      </c>
      <c r="AC72" s="99" t="s">
        <v>3411</v>
      </c>
      <c r="AD72" s="99" t="s">
        <v>175</v>
      </c>
      <c r="AE72" s="99" t="s">
        <v>3411</v>
      </c>
      <c r="AF72" s="99" t="s">
        <v>3411</v>
      </c>
      <c r="AG72" s="124">
        <v>1659</v>
      </c>
      <c r="AH72" s="99" t="s">
        <v>3413</v>
      </c>
      <c r="AI72" s="125">
        <v>100</v>
      </c>
      <c r="AJ72" s="99" t="s">
        <v>176</v>
      </c>
      <c r="AK72" s="99" t="s">
        <v>3548</v>
      </c>
      <c r="AL72" s="99" t="s">
        <v>3411</v>
      </c>
      <c r="AM72" s="99" t="s">
        <v>177</v>
      </c>
      <c r="AN72" s="99" t="s">
        <v>3411</v>
      </c>
      <c r="AO72" s="99" t="s">
        <v>405</v>
      </c>
      <c r="AP72" s="99" t="s">
        <v>2570</v>
      </c>
      <c r="AQ72" s="99" t="s">
        <v>3411</v>
      </c>
      <c r="AR72" s="99" t="s">
        <v>242</v>
      </c>
      <c r="AS72" s="99" t="s">
        <v>573</v>
      </c>
      <c r="AT72" s="99" t="s">
        <v>1</v>
      </c>
      <c r="AU72" s="99" t="s">
        <v>179</v>
      </c>
      <c r="AV72" s="99" t="s">
        <v>3581</v>
      </c>
      <c r="AW72" s="99" t="s">
        <v>529</v>
      </c>
      <c r="AX72" s="99" t="s">
        <v>3420</v>
      </c>
      <c r="AY72" s="99" t="s">
        <v>252</v>
      </c>
      <c r="AZ72" s="99" t="s">
        <v>3416</v>
      </c>
      <c r="BA72" s="99" t="s">
        <v>3582</v>
      </c>
      <c r="BB72" s="99" t="s">
        <v>2660</v>
      </c>
      <c r="BC72" s="125">
        <v>44</v>
      </c>
      <c r="BD72" s="99" t="s">
        <v>3135</v>
      </c>
      <c r="BE72" s="99" t="s">
        <v>3136</v>
      </c>
    </row>
    <row r="73" spans="1:57" ht="12.95" customHeight="1">
      <c r="A73" s="124">
        <v>15</v>
      </c>
      <c r="B73" s="124">
        <v>1660</v>
      </c>
      <c r="C73" s="99" t="s">
        <v>165</v>
      </c>
      <c r="D73" s="99" t="s">
        <v>389</v>
      </c>
      <c r="E73" s="99" t="s">
        <v>2888</v>
      </c>
      <c r="F73" s="99" t="s">
        <v>495</v>
      </c>
      <c r="G73" s="99" t="s">
        <v>2659</v>
      </c>
      <c r="H73" s="99" t="s">
        <v>3599</v>
      </c>
      <c r="I73" s="99" t="s">
        <v>558</v>
      </c>
      <c r="J73" s="99" t="s">
        <v>574</v>
      </c>
      <c r="K73" s="99" t="s">
        <v>278</v>
      </c>
      <c r="L73" s="99" t="s">
        <v>575</v>
      </c>
      <c r="M73" s="99" t="s">
        <v>5</v>
      </c>
      <c r="N73" s="99" t="s">
        <v>3407</v>
      </c>
      <c r="O73" s="99" t="s">
        <v>114</v>
      </c>
      <c r="P73" s="99" t="s">
        <v>3422</v>
      </c>
      <c r="Q73" s="99" t="s">
        <v>169</v>
      </c>
      <c r="R73" s="99" t="s">
        <v>3571</v>
      </c>
      <c r="S73" s="99" t="s">
        <v>2648</v>
      </c>
      <c r="T73" s="99" t="s">
        <v>48</v>
      </c>
      <c r="U73" s="99" t="s">
        <v>3578</v>
      </c>
      <c r="V73" s="99" t="s">
        <v>534</v>
      </c>
      <c r="W73" s="99" t="s">
        <v>3423</v>
      </c>
      <c r="X73" s="99" t="s">
        <v>3423</v>
      </c>
      <c r="Y73" s="99" t="s">
        <v>3607</v>
      </c>
      <c r="Z73" s="99" t="s">
        <v>172</v>
      </c>
      <c r="AA73" s="99" t="s">
        <v>173</v>
      </c>
      <c r="AB73" s="99" t="s">
        <v>174</v>
      </c>
      <c r="AC73" s="99" t="s">
        <v>3411</v>
      </c>
      <c r="AD73" s="99" t="s">
        <v>175</v>
      </c>
      <c r="AE73" s="99" t="s">
        <v>3411</v>
      </c>
      <c r="AF73" s="99" t="s">
        <v>3411</v>
      </c>
      <c r="AG73" s="124">
        <v>1321</v>
      </c>
      <c r="AH73" s="99" t="s">
        <v>3413</v>
      </c>
      <c r="AI73" s="125">
        <v>100</v>
      </c>
      <c r="AJ73" s="99" t="s">
        <v>176</v>
      </c>
      <c r="AK73" s="99" t="s">
        <v>3423</v>
      </c>
      <c r="AL73" s="99" t="s">
        <v>3411</v>
      </c>
      <c r="AM73" s="99" t="s">
        <v>177</v>
      </c>
      <c r="AN73" s="99" t="s">
        <v>3411</v>
      </c>
      <c r="AO73" s="99" t="s">
        <v>405</v>
      </c>
      <c r="AP73" s="99" t="s">
        <v>2570</v>
      </c>
      <c r="AQ73" s="99" t="s">
        <v>3411</v>
      </c>
      <c r="AR73" s="99" t="s">
        <v>242</v>
      </c>
      <c r="AS73" s="99" t="s">
        <v>576</v>
      </c>
      <c r="AT73" s="99" t="s">
        <v>1</v>
      </c>
      <c r="AU73" s="99" t="s">
        <v>179</v>
      </c>
      <c r="AV73" s="99" t="s">
        <v>3581</v>
      </c>
      <c r="AW73" s="99" t="s">
        <v>529</v>
      </c>
      <c r="AX73" s="99" t="s">
        <v>3420</v>
      </c>
      <c r="AY73" s="99" t="s">
        <v>252</v>
      </c>
      <c r="AZ73" s="99" t="s">
        <v>3416</v>
      </c>
      <c r="BA73" s="99" t="s">
        <v>3582</v>
      </c>
      <c r="BB73" s="99" t="s">
        <v>2660</v>
      </c>
      <c r="BC73" s="125">
        <v>48</v>
      </c>
      <c r="BD73" s="99" t="s">
        <v>3135</v>
      </c>
      <c r="BE73" s="99" t="s">
        <v>3136</v>
      </c>
    </row>
    <row r="74" spans="1:57" ht="12.95" customHeight="1">
      <c r="A74" s="124">
        <v>15</v>
      </c>
      <c r="B74" s="124">
        <v>2271</v>
      </c>
      <c r="C74" s="99" t="s">
        <v>165</v>
      </c>
      <c r="D74" s="99" t="s">
        <v>389</v>
      </c>
      <c r="E74" s="99" t="s">
        <v>2888</v>
      </c>
      <c r="F74" s="99" t="s">
        <v>495</v>
      </c>
      <c r="G74" s="99" t="s">
        <v>2659</v>
      </c>
      <c r="H74" s="99" t="s">
        <v>3599</v>
      </c>
      <c r="I74" s="99" t="s">
        <v>558</v>
      </c>
      <c r="J74" s="99" t="s">
        <v>436</v>
      </c>
      <c r="K74" s="99" t="s">
        <v>278</v>
      </c>
      <c r="L74" s="99" t="s">
        <v>577</v>
      </c>
      <c r="M74" s="99" t="s">
        <v>5</v>
      </c>
      <c r="N74" s="99" t="s">
        <v>3407</v>
      </c>
      <c r="O74" s="99" t="s">
        <v>114</v>
      </c>
      <c r="P74" s="99" t="s">
        <v>3422</v>
      </c>
      <c r="Q74" s="99" t="s">
        <v>169</v>
      </c>
      <c r="R74" s="99" t="s">
        <v>3571</v>
      </c>
      <c r="S74" s="99" t="s">
        <v>2648</v>
      </c>
      <c r="T74" s="99" t="s">
        <v>48</v>
      </c>
      <c r="U74" s="99" t="s">
        <v>3583</v>
      </c>
      <c r="V74" s="99" t="s">
        <v>513</v>
      </c>
      <c r="W74" s="99" t="s">
        <v>3509</v>
      </c>
      <c r="X74" s="99" t="s">
        <v>3509</v>
      </c>
      <c r="Y74" s="99" t="s">
        <v>3608</v>
      </c>
      <c r="Z74" s="99" t="s">
        <v>172</v>
      </c>
      <c r="AA74" s="99" t="s">
        <v>173</v>
      </c>
      <c r="AB74" s="99" t="s">
        <v>174</v>
      </c>
      <c r="AC74" s="99" t="s">
        <v>3411</v>
      </c>
      <c r="AD74" s="99" t="s">
        <v>175</v>
      </c>
      <c r="AE74" s="99" t="s">
        <v>3411</v>
      </c>
      <c r="AF74" s="99" t="s">
        <v>3411</v>
      </c>
      <c r="AG74" s="124">
        <v>1702</v>
      </c>
      <c r="AH74" s="99" t="s">
        <v>3413</v>
      </c>
      <c r="AI74" s="125">
        <v>100</v>
      </c>
      <c r="AJ74" s="99" t="s">
        <v>176</v>
      </c>
      <c r="AK74" s="99" t="s">
        <v>3509</v>
      </c>
      <c r="AL74" s="99" t="s">
        <v>3411</v>
      </c>
      <c r="AM74" s="99" t="s">
        <v>177</v>
      </c>
      <c r="AN74" s="99" t="s">
        <v>3411</v>
      </c>
      <c r="AO74" s="99" t="s">
        <v>405</v>
      </c>
      <c r="AP74" s="99" t="s">
        <v>2570</v>
      </c>
      <c r="AQ74" s="99" t="s">
        <v>3411</v>
      </c>
      <c r="AR74" s="99" t="s">
        <v>242</v>
      </c>
      <c r="AS74" s="99" t="s">
        <v>578</v>
      </c>
      <c r="AT74" s="99" t="s">
        <v>1</v>
      </c>
      <c r="AU74" s="99" t="s">
        <v>179</v>
      </c>
      <c r="AV74" s="99" t="s">
        <v>3581</v>
      </c>
      <c r="AW74" s="99" t="s">
        <v>529</v>
      </c>
      <c r="AX74" s="99" t="s">
        <v>3420</v>
      </c>
      <c r="AY74" s="99" t="s">
        <v>252</v>
      </c>
      <c r="AZ74" s="99" t="s">
        <v>3416</v>
      </c>
      <c r="BA74" s="99" t="s">
        <v>3582</v>
      </c>
      <c r="BB74" s="99" t="s">
        <v>2660</v>
      </c>
      <c r="BC74" s="125">
        <v>49</v>
      </c>
      <c r="BD74" s="99" t="s">
        <v>3135</v>
      </c>
      <c r="BE74" s="99" t="s">
        <v>3136</v>
      </c>
    </row>
    <row r="75" spans="1:57" ht="12.95" customHeight="1">
      <c r="A75" s="124">
        <v>15</v>
      </c>
      <c r="B75" s="124">
        <v>418</v>
      </c>
      <c r="C75" s="99" t="s">
        <v>165</v>
      </c>
      <c r="D75" s="99" t="s">
        <v>389</v>
      </c>
      <c r="E75" s="99" t="s">
        <v>2888</v>
      </c>
      <c r="F75" s="99" t="s">
        <v>495</v>
      </c>
      <c r="G75" s="99" t="s">
        <v>2659</v>
      </c>
      <c r="H75" s="99" t="s">
        <v>3599</v>
      </c>
      <c r="I75" s="99" t="s">
        <v>558</v>
      </c>
      <c r="J75" s="99" t="s">
        <v>551</v>
      </c>
      <c r="K75" s="99" t="s">
        <v>230</v>
      </c>
      <c r="L75" s="99" t="s">
        <v>580</v>
      </c>
      <c r="M75" s="99" t="s">
        <v>5</v>
      </c>
      <c r="N75" s="99" t="s">
        <v>3407</v>
      </c>
      <c r="O75" s="99" t="s">
        <v>114</v>
      </c>
      <c r="P75" s="99" t="s">
        <v>3422</v>
      </c>
      <c r="Q75" s="99" t="s">
        <v>169</v>
      </c>
      <c r="R75" s="99" t="s">
        <v>3571</v>
      </c>
      <c r="S75" s="99" t="s">
        <v>2648</v>
      </c>
      <c r="T75" s="99" t="s">
        <v>48</v>
      </c>
      <c r="U75" s="99" t="s">
        <v>3578</v>
      </c>
      <c r="V75" s="99" t="s">
        <v>534</v>
      </c>
      <c r="W75" s="99" t="s">
        <v>3609</v>
      </c>
      <c r="X75" s="99" t="s">
        <v>3609</v>
      </c>
      <c r="Y75" s="99" t="s">
        <v>3610</v>
      </c>
      <c r="Z75" s="99" t="s">
        <v>172</v>
      </c>
      <c r="AA75" s="99" t="s">
        <v>173</v>
      </c>
      <c r="AB75" s="99" t="s">
        <v>174</v>
      </c>
      <c r="AC75" s="99" t="s">
        <v>3411</v>
      </c>
      <c r="AD75" s="99" t="s">
        <v>175</v>
      </c>
      <c r="AE75" s="99" t="s">
        <v>3411</v>
      </c>
      <c r="AF75" s="99" t="s">
        <v>3411</v>
      </c>
      <c r="AG75" s="124">
        <v>300</v>
      </c>
      <c r="AH75" s="99" t="s">
        <v>3413</v>
      </c>
      <c r="AI75" s="125">
        <v>100</v>
      </c>
      <c r="AJ75" s="99" t="s">
        <v>176</v>
      </c>
      <c r="AK75" s="99" t="s">
        <v>3609</v>
      </c>
      <c r="AL75" s="99" t="s">
        <v>3411</v>
      </c>
      <c r="AM75" s="99" t="s">
        <v>177</v>
      </c>
      <c r="AN75" s="99" t="s">
        <v>3411</v>
      </c>
      <c r="AO75" s="99" t="s">
        <v>405</v>
      </c>
      <c r="AP75" s="99" t="s">
        <v>2570</v>
      </c>
      <c r="AQ75" s="99" t="s">
        <v>3411</v>
      </c>
      <c r="AR75" s="99" t="s">
        <v>242</v>
      </c>
      <c r="AS75" s="99" t="s">
        <v>581</v>
      </c>
      <c r="AT75" s="99" t="s">
        <v>1</v>
      </c>
      <c r="AU75" s="99" t="s">
        <v>179</v>
      </c>
      <c r="AV75" s="99" t="s">
        <v>3581</v>
      </c>
      <c r="AW75" s="99" t="s">
        <v>529</v>
      </c>
      <c r="AX75" s="99" t="s">
        <v>3420</v>
      </c>
      <c r="AY75" s="99" t="s">
        <v>252</v>
      </c>
      <c r="AZ75" s="99" t="s">
        <v>3416</v>
      </c>
      <c r="BA75" s="99" t="s">
        <v>3582</v>
      </c>
      <c r="BB75" s="99" t="s">
        <v>2660</v>
      </c>
      <c r="BC75" s="125">
        <v>57</v>
      </c>
      <c r="BD75" s="99" t="s">
        <v>3135</v>
      </c>
      <c r="BE75" s="99" t="s">
        <v>3136</v>
      </c>
    </row>
    <row r="76" spans="1:57" ht="12.95" customHeight="1">
      <c r="A76" s="124">
        <v>15</v>
      </c>
      <c r="B76" s="124">
        <v>1889</v>
      </c>
      <c r="C76" s="99" t="s">
        <v>165</v>
      </c>
      <c r="D76" s="99" t="s">
        <v>389</v>
      </c>
      <c r="E76" s="99" t="s">
        <v>2888</v>
      </c>
      <c r="F76" s="99" t="s">
        <v>495</v>
      </c>
      <c r="G76" s="99" t="s">
        <v>2659</v>
      </c>
      <c r="H76" s="99" t="s">
        <v>3599</v>
      </c>
      <c r="I76" s="99" t="s">
        <v>558</v>
      </c>
      <c r="J76" s="99" t="s">
        <v>582</v>
      </c>
      <c r="K76" s="99" t="s">
        <v>398</v>
      </c>
      <c r="L76" s="99" t="s">
        <v>583</v>
      </c>
      <c r="M76" s="99" t="s">
        <v>5</v>
      </c>
      <c r="N76" s="99" t="s">
        <v>3407</v>
      </c>
      <c r="O76" s="99" t="s">
        <v>114</v>
      </c>
      <c r="P76" s="99" t="s">
        <v>3422</v>
      </c>
      <c r="Q76" s="99" t="s">
        <v>169</v>
      </c>
      <c r="R76" s="99" t="s">
        <v>3571</v>
      </c>
      <c r="S76" s="99" t="s">
        <v>2648</v>
      </c>
      <c r="T76" s="99" t="s">
        <v>48</v>
      </c>
      <c r="U76" s="99" t="s">
        <v>3578</v>
      </c>
      <c r="V76" s="99" t="s">
        <v>534</v>
      </c>
      <c r="W76" s="99" t="s">
        <v>3611</v>
      </c>
      <c r="X76" s="99" t="s">
        <v>3611</v>
      </c>
      <c r="Y76" s="99" t="s">
        <v>3612</v>
      </c>
      <c r="Z76" s="99" t="s">
        <v>172</v>
      </c>
      <c r="AA76" s="99" t="s">
        <v>173</v>
      </c>
      <c r="AB76" s="99" t="s">
        <v>174</v>
      </c>
      <c r="AC76" s="99" t="s">
        <v>3411</v>
      </c>
      <c r="AD76" s="99" t="s">
        <v>175</v>
      </c>
      <c r="AE76" s="99" t="s">
        <v>3411</v>
      </c>
      <c r="AF76" s="99" t="s">
        <v>3411</v>
      </c>
      <c r="AG76" s="124">
        <v>1496</v>
      </c>
      <c r="AH76" s="99" t="s">
        <v>3413</v>
      </c>
      <c r="AI76" s="125">
        <v>100</v>
      </c>
      <c r="AJ76" s="99" t="s">
        <v>176</v>
      </c>
      <c r="AK76" s="99" t="s">
        <v>3611</v>
      </c>
      <c r="AL76" s="99" t="s">
        <v>3411</v>
      </c>
      <c r="AM76" s="99" t="s">
        <v>3480</v>
      </c>
      <c r="AN76" s="99" t="s">
        <v>233</v>
      </c>
      <c r="AO76" s="99" t="s">
        <v>405</v>
      </c>
      <c r="AP76" s="99" t="s">
        <v>2570</v>
      </c>
      <c r="AQ76" s="99" t="s">
        <v>3411</v>
      </c>
      <c r="AR76" s="99" t="s">
        <v>242</v>
      </c>
      <c r="AS76" s="99" t="s">
        <v>584</v>
      </c>
      <c r="AT76" s="99" t="s">
        <v>1</v>
      </c>
      <c r="AU76" s="99" t="s">
        <v>179</v>
      </c>
      <c r="AV76" s="99" t="s">
        <v>3581</v>
      </c>
      <c r="AW76" s="99" t="s">
        <v>529</v>
      </c>
      <c r="AX76" s="99" t="s">
        <v>3420</v>
      </c>
      <c r="AY76" s="99" t="s">
        <v>252</v>
      </c>
      <c r="AZ76" s="99" t="s">
        <v>3416</v>
      </c>
      <c r="BA76" s="99" t="s">
        <v>3582</v>
      </c>
      <c r="BB76" s="99" t="s">
        <v>2660</v>
      </c>
      <c r="BC76" s="125">
        <v>52</v>
      </c>
      <c r="BD76" s="99" t="s">
        <v>3135</v>
      </c>
      <c r="BE76" s="99" t="s">
        <v>3136</v>
      </c>
    </row>
    <row r="77" spans="1:57" ht="12.95" customHeight="1">
      <c r="A77" s="124">
        <v>15</v>
      </c>
      <c r="B77" s="124">
        <v>1924</v>
      </c>
      <c r="C77" s="99" t="s">
        <v>165</v>
      </c>
      <c r="D77" s="99" t="s">
        <v>389</v>
      </c>
      <c r="E77" s="99" t="s">
        <v>2888</v>
      </c>
      <c r="F77" s="99" t="s">
        <v>495</v>
      </c>
      <c r="G77" s="99" t="s">
        <v>2659</v>
      </c>
      <c r="H77" s="99" t="s">
        <v>3599</v>
      </c>
      <c r="I77" s="99" t="s">
        <v>558</v>
      </c>
      <c r="J77" s="99" t="s">
        <v>585</v>
      </c>
      <c r="K77" s="99" t="s">
        <v>586</v>
      </c>
      <c r="L77" s="99" t="s">
        <v>587</v>
      </c>
      <c r="M77" s="99" t="s">
        <v>1</v>
      </c>
      <c r="N77" s="99" t="s">
        <v>3407</v>
      </c>
      <c r="O77" s="99" t="s">
        <v>114</v>
      </c>
      <c r="P77" s="99" t="s">
        <v>3422</v>
      </c>
      <c r="Q77" s="99" t="s">
        <v>169</v>
      </c>
      <c r="R77" s="99" t="s">
        <v>3571</v>
      </c>
      <c r="S77" s="99" t="s">
        <v>2648</v>
      </c>
      <c r="T77" s="99" t="s">
        <v>48</v>
      </c>
      <c r="U77" s="99" t="s">
        <v>3578</v>
      </c>
      <c r="V77" s="99" t="s">
        <v>534</v>
      </c>
      <c r="W77" s="99" t="s">
        <v>3613</v>
      </c>
      <c r="X77" s="99" t="s">
        <v>3613</v>
      </c>
      <c r="Y77" s="99" t="s">
        <v>3614</v>
      </c>
      <c r="Z77" s="99" t="s">
        <v>172</v>
      </c>
      <c r="AA77" s="99" t="s">
        <v>173</v>
      </c>
      <c r="AB77" s="99" t="s">
        <v>174</v>
      </c>
      <c r="AC77" s="99" t="s">
        <v>3411</v>
      </c>
      <c r="AD77" s="99" t="s">
        <v>175</v>
      </c>
      <c r="AE77" s="99" t="s">
        <v>3411</v>
      </c>
      <c r="AF77" s="99" t="s">
        <v>3411</v>
      </c>
      <c r="AG77" s="124">
        <v>1513</v>
      </c>
      <c r="AH77" s="99" t="s">
        <v>3413</v>
      </c>
      <c r="AI77" s="125">
        <v>100</v>
      </c>
      <c r="AJ77" s="99" t="s">
        <v>176</v>
      </c>
      <c r="AK77" s="99" t="s">
        <v>3613</v>
      </c>
      <c r="AL77" s="99" t="s">
        <v>3411</v>
      </c>
      <c r="AM77" s="99" t="s">
        <v>177</v>
      </c>
      <c r="AN77" s="99" t="s">
        <v>3411</v>
      </c>
      <c r="AO77" s="99" t="s">
        <v>405</v>
      </c>
      <c r="AP77" s="99" t="s">
        <v>2570</v>
      </c>
      <c r="AQ77" s="99" t="s">
        <v>3411</v>
      </c>
      <c r="AR77" s="99" t="s">
        <v>242</v>
      </c>
      <c r="AS77" s="99" t="s">
        <v>588</v>
      </c>
      <c r="AT77" s="99" t="s">
        <v>1</v>
      </c>
      <c r="AU77" s="99" t="s">
        <v>179</v>
      </c>
      <c r="AV77" s="99" t="s">
        <v>3581</v>
      </c>
      <c r="AW77" s="99" t="s">
        <v>529</v>
      </c>
      <c r="AX77" s="99" t="s">
        <v>3420</v>
      </c>
      <c r="AY77" s="99" t="s">
        <v>252</v>
      </c>
      <c r="AZ77" s="99" t="s">
        <v>3416</v>
      </c>
      <c r="BA77" s="99" t="s">
        <v>3582</v>
      </c>
      <c r="BB77" s="99" t="s">
        <v>2660</v>
      </c>
      <c r="BC77" s="125">
        <v>51</v>
      </c>
      <c r="BD77" s="99" t="s">
        <v>3135</v>
      </c>
      <c r="BE77" s="99" t="s">
        <v>3136</v>
      </c>
    </row>
    <row r="78" spans="1:57" ht="12.95" customHeight="1">
      <c r="A78" s="124">
        <v>15</v>
      </c>
      <c r="B78" s="124">
        <v>2125</v>
      </c>
      <c r="C78" s="99" t="s">
        <v>165</v>
      </c>
      <c r="D78" s="99" t="s">
        <v>389</v>
      </c>
      <c r="E78" s="99" t="s">
        <v>2888</v>
      </c>
      <c r="F78" s="99" t="s">
        <v>495</v>
      </c>
      <c r="G78" s="99" t="s">
        <v>2659</v>
      </c>
      <c r="H78" s="99" t="s">
        <v>3599</v>
      </c>
      <c r="I78" s="99" t="s">
        <v>558</v>
      </c>
      <c r="J78" s="99" t="s">
        <v>589</v>
      </c>
      <c r="K78" s="99" t="s">
        <v>590</v>
      </c>
      <c r="L78" s="99" t="s">
        <v>591</v>
      </c>
      <c r="M78" s="99" t="s">
        <v>5</v>
      </c>
      <c r="N78" s="99" t="s">
        <v>3407</v>
      </c>
      <c r="O78" s="99" t="s">
        <v>114</v>
      </c>
      <c r="P78" s="99" t="s">
        <v>3422</v>
      </c>
      <c r="Q78" s="99" t="s">
        <v>169</v>
      </c>
      <c r="R78" s="99" t="s">
        <v>3571</v>
      </c>
      <c r="S78" s="99" t="s">
        <v>2648</v>
      </c>
      <c r="T78" s="99" t="s">
        <v>52</v>
      </c>
      <c r="U78" s="99" t="s">
        <v>3615</v>
      </c>
      <c r="V78" s="99" t="s">
        <v>3076</v>
      </c>
      <c r="W78" s="99" t="s">
        <v>3616</v>
      </c>
      <c r="X78" s="99" t="s">
        <v>3616</v>
      </c>
      <c r="Y78" s="99" t="s">
        <v>3617</v>
      </c>
      <c r="Z78" s="99" t="s">
        <v>172</v>
      </c>
      <c r="AA78" s="99" t="s">
        <v>173</v>
      </c>
      <c r="AB78" s="99" t="s">
        <v>174</v>
      </c>
      <c r="AC78" s="99" t="s">
        <v>3411</v>
      </c>
      <c r="AD78" s="99" t="s">
        <v>175</v>
      </c>
      <c r="AE78" s="99" t="s">
        <v>3411</v>
      </c>
      <c r="AF78" s="99" t="s">
        <v>3411</v>
      </c>
      <c r="AG78" s="124">
        <v>1609</v>
      </c>
      <c r="AH78" s="99" t="s">
        <v>3413</v>
      </c>
      <c r="AI78" s="125">
        <v>100</v>
      </c>
      <c r="AJ78" s="99" t="s">
        <v>176</v>
      </c>
      <c r="AK78" s="99" t="s">
        <v>3616</v>
      </c>
      <c r="AL78" s="99" t="s">
        <v>3411</v>
      </c>
      <c r="AM78" s="99" t="s">
        <v>177</v>
      </c>
      <c r="AN78" s="99" t="s">
        <v>3411</v>
      </c>
      <c r="AO78" s="99" t="s">
        <v>405</v>
      </c>
      <c r="AP78" s="99" t="s">
        <v>2570</v>
      </c>
      <c r="AQ78" s="99" t="s">
        <v>3411</v>
      </c>
      <c r="AR78" s="99" t="s">
        <v>242</v>
      </c>
      <c r="AS78" s="99" t="s">
        <v>592</v>
      </c>
      <c r="AT78" s="99" t="s">
        <v>1</v>
      </c>
      <c r="AU78" s="99" t="s">
        <v>179</v>
      </c>
      <c r="AV78" s="99" t="s">
        <v>3581</v>
      </c>
      <c r="AW78" s="99" t="s">
        <v>529</v>
      </c>
      <c r="AX78" s="99" t="s">
        <v>3420</v>
      </c>
      <c r="AY78" s="99" t="s">
        <v>252</v>
      </c>
      <c r="AZ78" s="99" t="s">
        <v>3416</v>
      </c>
      <c r="BA78" s="99" t="s">
        <v>3559</v>
      </c>
      <c r="BB78" s="99" t="s">
        <v>508</v>
      </c>
      <c r="BC78" s="125">
        <v>52</v>
      </c>
      <c r="BD78" s="99" t="s">
        <v>3135</v>
      </c>
      <c r="BE78" s="99" t="s">
        <v>3136</v>
      </c>
    </row>
    <row r="79" spans="1:57" ht="12.95" customHeight="1">
      <c r="A79" s="124">
        <v>15</v>
      </c>
      <c r="B79" s="124">
        <v>1293</v>
      </c>
      <c r="C79" s="99" t="s">
        <v>165</v>
      </c>
      <c r="D79" s="99" t="s">
        <v>389</v>
      </c>
      <c r="E79" s="99" t="s">
        <v>2888</v>
      </c>
      <c r="F79" s="99" t="s">
        <v>495</v>
      </c>
      <c r="G79" s="99" t="s">
        <v>2659</v>
      </c>
      <c r="H79" s="99" t="s">
        <v>3599</v>
      </c>
      <c r="I79" s="99" t="s">
        <v>558</v>
      </c>
      <c r="J79" s="99" t="s">
        <v>593</v>
      </c>
      <c r="K79" s="99" t="s">
        <v>594</v>
      </c>
      <c r="L79" s="99" t="s">
        <v>595</v>
      </c>
      <c r="M79" s="99" t="s">
        <v>5</v>
      </c>
      <c r="N79" s="99" t="s">
        <v>3407</v>
      </c>
      <c r="O79" s="99" t="s">
        <v>114</v>
      </c>
      <c r="P79" s="99" t="s">
        <v>3422</v>
      </c>
      <c r="Q79" s="99" t="s">
        <v>169</v>
      </c>
      <c r="R79" s="99" t="s">
        <v>3571</v>
      </c>
      <c r="S79" s="99" t="s">
        <v>2648</v>
      </c>
      <c r="T79" s="99" t="s">
        <v>48</v>
      </c>
      <c r="U79" s="99" t="s">
        <v>3578</v>
      </c>
      <c r="V79" s="99" t="s">
        <v>534</v>
      </c>
      <c r="W79" s="99" t="s">
        <v>3618</v>
      </c>
      <c r="X79" s="99" t="s">
        <v>3618</v>
      </c>
      <c r="Y79" s="99" t="s">
        <v>3619</v>
      </c>
      <c r="Z79" s="99" t="s">
        <v>172</v>
      </c>
      <c r="AA79" s="99" t="s">
        <v>173</v>
      </c>
      <c r="AB79" s="99" t="s">
        <v>174</v>
      </c>
      <c r="AC79" s="99" t="s">
        <v>3411</v>
      </c>
      <c r="AD79" s="99" t="s">
        <v>175</v>
      </c>
      <c r="AE79" s="99" t="s">
        <v>3411</v>
      </c>
      <c r="AF79" s="99" t="s">
        <v>3411</v>
      </c>
      <c r="AG79" s="124">
        <v>1022</v>
      </c>
      <c r="AH79" s="99" t="s">
        <v>3413</v>
      </c>
      <c r="AI79" s="125">
        <v>100</v>
      </c>
      <c r="AJ79" s="99" t="s">
        <v>176</v>
      </c>
      <c r="AK79" s="99" t="s">
        <v>3618</v>
      </c>
      <c r="AL79" s="99" t="s">
        <v>3411</v>
      </c>
      <c r="AM79" s="99" t="s">
        <v>177</v>
      </c>
      <c r="AN79" s="99" t="s">
        <v>3411</v>
      </c>
      <c r="AO79" s="99" t="s">
        <v>405</v>
      </c>
      <c r="AP79" s="99" t="s">
        <v>2570</v>
      </c>
      <c r="AQ79" s="99" t="s">
        <v>3411</v>
      </c>
      <c r="AR79" s="99" t="s">
        <v>242</v>
      </c>
      <c r="AS79" s="99" t="s">
        <v>596</v>
      </c>
      <c r="AT79" s="99" t="s">
        <v>1</v>
      </c>
      <c r="AU79" s="99" t="s">
        <v>179</v>
      </c>
      <c r="AV79" s="99" t="s">
        <v>3581</v>
      </c>
      <c r="AW79" s="99" t="s">
        <v>529</v>
      </c>
      <c r="AX79" s="99" t="s">
        <v>3420</v>
      </c>
      <c r="AY79" s="99" t="s">
        <v>252</v>
      </c>
      <c r="AZ79" s="99" t="s">
        <v>3416</v>
      </c>
      <c r="BA79" s="99" t="s">
        <v>3582</v>
      </c>
      <c r="BB79" s="99" t="s">
        <v>2660</v>
      </c>
      <c r="BC79" s="125">
        <v>51</v>
      </c>
      <c r="BD79" s="99" t="s">
        <v>3135</v>
      </c>
      <c r="BE79" s="99" t="s">
        <v>3136</v>
      </c>
    </row>
    <row r="80" spans="1:57" ht="12.95" customHeight="1">
      <c r="A80" s="124">
        <v>15</v>
      </c>
      <c r="B80" s="124">
        <v>2248</v>
      </c>
      <c r="C80" s="99" t="s">
        <v>165</v>
      </c>
      <c r="D80" s="99" t="s">
        <v>389</v>
      </c>
      <c r="E80" s="99" t="s">
        <v>2888</v>
      </c>
      <c r="F80" s="99" t="s">
        <v>495</v>
      </c>
      <c r="G80" s="99" t="s">
        <v>2659</v>
      </c>
      <c r="H80" s="99" t="s">
        <v>3599</v>
      </c>
      <c r="I80" s="99" t="s">
        <v>558</v>
      </c>
      <c r="J80" s="99" t="s">
        <v>597</v>
      </c>
      <c r="K80" s="99" t="s">
        <v>348</v>
      </c>
      <c r="L80" s="99" t="s">
        <v>598</v>
      </c>
      <c r="M80" s="99" t="s">
        <v>5</v>
      </c>
      <c r="N80" s="99" t="s">
        <v>3407</v>
      </c>
      <c r="O80" s="99" t="s">
        <v>114</v>
      </c>
      <c r="P80" s="99" t="s">
        <v>3422</v>
      </c>
      <c r="Q80" s="99" t="s">
        <v>169</v>
      </c>
      <c r="R80" s="99" t="s">
        <v>3571</v>
      </c>
      <c r="S80" s="99" t="s">
        <v>2648</v>
      </c>
      <c r="T80" s="99" t="s">
        <v>48</v>
      </c>
      <c r="U80" s="99" t="s">
        <v>3583</v>
      </c>
      <c r="V80" s="99" t="s">
        <v>513</v>
      </c>
      <c r="W80" s="99" t="s">
        <v>3620</v>
      </c>
      <c r="X80" s="99" t="s">
        <v>3620</v>
      </c>
      <c r="Y80" s="99" t="s">
        <v>3621</v>
      </c>
      <c r="Z80" s="99" t="s">
        <v>172</v>
      </c>
      <c r="AA80" s="99" t="s">
        <v>173</v>
      </c>
      <c r="AB80" s="99" t="s">
        <v>174</v>
      </c>
      <c r="AC80" s="99" t="s">
        <v>3411</v>
      </c>
      <c r="AD80" s="99" t="s">
        <v>175</v>
      </c>
      <c r="AE80" s="99" t="s">
        <v>3411</v>
      </c>
      <c r="AF80" s="99" t="s">
        <v>3411</v>
      </c>
      <c r="AG80" s="124">
        <v>1684</v>
      </c>
      <c r="AH80" s="99" t="s">
        <v>3413</v>
      </c>
      <c r="AI80" s="125">
        <v>100</v>
      </c>
      <c r="AJ80" s="99" t="s">
        <v>176</v>
      </c>
      <c r="AK80" s="99" t="s">
        <v>3620</v>
      </c>
      <c r="AL80" s="99" t="s">
        <v>3411</v>
      </c>
      <c r="AM80" s="99" t="s">
        <v>177</v>
      </c>
      <c r="AN80" s="99" t="s">
        <v>3411</v>
      </c>
      <c r="AO80" s="99" t="s">
        <v>405</v>
      </c>
      <c r="AP80" s="99" t="s">
        <v>2570</v>
      </c>
      <c r="AQ80" s="99" t="s">
        <v>3411</v>
      </c>
      <c r="AR80" s="99" t="s">
        <v>242</v>
      </c>
      <c r="AS80" s="99" t="s">
        <v>599</v>
      </c>
      <c r="AT80" s="99" t="s">
        <v>1</v>
      </c>
      <c r="AU80" s="99" t="s">
        <v>179</v>
      </c>
      <c r="AV80" s="99" t="s">
        <v>3581</v>
      </c>
      <c r="AW80" s="99" t="s">
        <v>529</v>
      </c>
      <c r="AX80" s="99" t="s">
        <v>3420</v>
      </c>
      <c r="AY80" s="99" t="s">
        <v>252</v>
      </c>
      <c r="AZ80" s="99" t="s">
        <v>3416</v>
      </c>
      <c r="BA80" s="99" t="s">
        <v>3582</v>
      </c>
      <c r="BB80" s="99" t="s">
        <v>2660</v>
      </c>
      <c r="BC80" s="125">
        <v>51</v>
      </c>
      <c r="BD80" s="99" t="s">
        <v>3135</v>
      </c>
      <c r="BE80" s="99" t="s">
        <v>3136</v>
      </c>
    </row>
    <row r="81" spans="1:57" ht="12.95" customHeight="1">
      <c r="A81" s="124">
        <v>15</v>
      </c>
      <c r="B81" s="124">
        <v>1552</v>
      </c>
      <c r="C81" s="99" t="s">
        <v>165</v>
      </c>
      <c r="D81" s="99" t="s">
        <v>389</v>
      </c>
      <c r="E81" s="99" t="s">
        <v>2888</v>
      </c>
      <c r="F81" s="99" t="s">
        <v>495</v>
      </c>
      <c r="G81" s="99" t="s">
        <v>2659</v>
      </c>
      <c r="H81" s="99" t="s">
        <v>3599</v>
      </c>
      <c r="I81" s="99" t="s">
        <v>558</v>
      </c>
      <c r="J81" s="99" t="s">
        <v>600</v>
      </c>
      <c r="K81" s="99" t="s">
        <v>564</v>
      </c>
      <c r="L81" s="99" t="s">
        <v>601</v>
      </c>
      <c r="M81" s="99" t="s">
        <v>5</v>
      </c>
      <c r="N81" s="99" t="s">
        <v>3407</v>
      </c>
      <c r="O81" s="99" t="s">
        <v>114</v>
      </c>
      <c r="P81" s="99" t="s">
        <v>3422</v>
      </c>
      <c r="Q81" s="99" t="s">
        <v>169</v>
      </c>
      <c r="R81" s="99" t="s">
        <v>3571</v>
      </c>
      <c r="S81" s="99" t="s">
        <v>2648</v>
      </c>
      <c r="T81" s="99" t="s">
        <v>48</v>
      </c>
      <c r="U81" s="99" t="s">
        <v>3578</v>
      </c>
      <c r="V81" s="99" t="s">
        <v>534</v>
      </c>
      <c r="W81" s="99" t="s">
        <v>3602</v>
      </c>
      <c r="X81" s="99" t="s">
        <v>3602</v>
      </c>
      <c r="Y81" s="99" t="s">
        <v>3622</v>
      </c>
      <c r="Z81" s="99" t="s">
        <v>172</v>
      </c>
      <c r="AA81" s="99" t="s">
        <v>173</v>
      </c>
      <c r="AB81" s="99" t="s">
        <v>174</v>
      </c>
      <c r="AC81" s="99" t="s">
        <v>3411</v>
      </c>
      <c r="AD81" s="99" t="s">
        <v>175</v>
      </c>
      <c r="AE81" s="99" t="s">
        <v>3411</v>
      </c>
      <c r="AF81" s="99" t="s">
        <v>3411</v>
      </c>
      <c r="AG81" s="124">
        <v>1223</v>
      </c>
      <c r="AH81" s="99" t="s">
        <v>3413</v>
      </c>
      <c r="AI81" s="125">
        <v>100</v>
      </c>
      <c r="AJ81" s="99" t="s">
        <v>176</v>
      </c>
      <c r="AK81" s="99" t="s">
        <v>3602</v>
      </c>
      <c r="AL81" s="99" t="s">
        <v>3411</v>
      </c>
      <c r="AM81" s="99" t="s">
        <v>177</v>
      </c>
      <c r="AN81" s="99" t="s">
        <v>3411</v>
      </c>
      <c r="AO81" s="99" t="s">
        <v>405</v>
      </c>
      <c r="AP81" s="99" t="s">
        <v>2570</v>
      </c>
      <c r="AQ81" s="99" t="s">
        <v>3411</v>
      </c>
      <c r="AR81" s="99" t="s">
        <v>242</v>
      </c>
      <c r="AS81" s="99" t="s">
        <v>602</v>
      </c>
      <c r="AT81" s="99" t="s">
        <v>1</v>
      </c>
      <c r="AU81" s="99" t="s">
        <v>179</v>
      </c>
      <c r="AV81" s="99" t="s">
        <v>3581</v>
      </c>
      <c r="AW81" s="99" t="s">
        <v>529</v>
      </c>
      <c r="AX81" s="99" t="s">
        <v>3420</v>
      </c>
      <c r="AY81" s="99" t="s">
        <v>252</v>
      </c>
      <c r="AZ81" s="99" t="s">
        <v>3416</v>
      </c>
      <c r="BA81" s="99" t="s">
        <v>3582</v>
      </c>
      <c r="BB81" s="99" t="s">
        <v>2660</v>
      </c>
      <c r="BC81" s="125">
        <v>48</v>
      </c>
      <c r="BD81" s="99" t="s">
        <v>3135</v>
      </c>
      <c r="BE81" s="99" t="s">
        <v>3136</v>
      </c>
    </row>
    <row r="82" spans="1:57" ht="12.95" customHeight="1">
      <c r="A82" s="124">
        <v>15</v>
      </c>
      <c r="B82" s="124">
        <v>1659</v>
      </c>
      <c r="C82" s="99" t="s">
        <v>165</v>
      </c>
      <c r="D82" s="99" t="s">
        <v>389</v>
      </c>
      <c r="E82" s="99" t="s">
        <v>2888</v>
      </c>
      <c r="F82" s="99" t="s">
        <v>495</v>
      </c>
      <c r="G82" s="99" t="s">
        <v>2659</v>
      </c>
      <c r="H82" s="99" t="s">
        <v>3599</v>
      </c>
      <c r="I82" s="99" t="s">
        <v>558</v>
      </c>
      <c r="J82" s="99" t="s">
        <v>603</v>
      </c>
      <c r="K82" s="99" t="s">
        <v>278</v>
      </c>
      <c r="L82" s="99" t="s">
        <v>604</v>
      </c>
      <c r="M82" s="99" t="s">
        <v>5</v>
      </c>
      <c r="N82" s="99" t="s">
        <v>3407</v>
      </c>
      <c r="O82" s="99" t="s">
        <v>114</v>
      </c>
      <c r="P82" s="99" t="s">
        <v>3422</v>
      </c>
      <c r="Q82" s="99" t="s">
        <v>169</v>
      </c>
      <c r="R82" s="99" t="s">
        <v>3571</v>
      </c>
      <c r="S82" s="99" t="s">
        <v>2648</v>
      </c>
      <c r="T82" s="99" t="s">
        <v>48</v>
      </c>
      <c r="U82" s="99" t="s">
        <v>3583</v>
      </c>
      <c r="V82" s="99" t="s">
        <v>513</v>
      </c>
      <c r="W82" s="99" t="s">
        <v>3423</v>
      </c>
      <c r="X82" s="99" t="s">
        <v>3423</v>
      </c>
      <c r="Y82" s="99" t="s">
        <v>3623</v>
      </c>
      <c r="Z82" s="99" t="s">
        <v>172</v>
      </c>
      <c r="AA82" s="99" t="s">
        <v>173</v>
      </c>
      <c r="AB82" s="99" t="s">
        <v>174</v>
      </c>
      <c r="AC82" s="99" t="s">
        <v>3411</v>
      </c>
      <c r="AD82" s="99" t="s">
        <v>175</v>
      </c>
      <c r="AE82" s="99" t="s">
        <v>3411</v>
      </c>
      <c r="AF82" s="99" t="s">
        <v>3411</v>
      </c>
      <c r="AG82" s="124">
        <v>1320</v>
      </c>
      <c r="AH82" s="99" t="s">
        <v>3413</v>
      </c>
      <c r="AI82" s="125">
        <v>100</v>
      </c>
      <c r="AJ82" s="99" t="s">
        <v>176</v>
      </c>
      <c r="AK82" s="99" t="s">
        <v>3423</v>
      </c>
      <c r="AL82" s="99" t="s">
        <v>3411</v>
      </c>
      <c r="AM82" s="99" t="s">
        <v>177</v>
      </c>
      <c r="AN82" s="99" t="s">
        <v>3411</v>
      </c>
      <c r="AO82" s="99" t="s">
        <v>405</v>
      </c>
      <c r="AP82" s="99" t="s">
        <v>2570</v>
      </c>
      <c r="AQ82" s="99" t="s">
        <v>3411</v>
      </c>
      <c r="AR82" s="99" t="s">
        <v>242</v>
      </c>
      <c r="AS82" s="99" t="s">
        <v>605</v>
      </c>
      <c r="AT82" s="99" t="s">
        <v>1</v>
      </c>
      <c r="AU82" s="99" t="s">
        <v>179</v>
      </c>
      <c r="AV82" s="99" t="s">
        <v>3581</v>
      </c>
      <c r="AW82" s="99" t="s">
        <v>529</v>
      </c>
      <c r="AX82" s="99" t="s">
        <v>3420</v>
      </c>
      <c r="AY82" s="99" t="s">
        <v>252</v>
      </c>
      <c r="AZ82" s="99" t="s">
        <v>3416</v>
      </c>
      <c r="BA82" s="99" t="s">
        <v>3582</v>
      </c>
      <c r="BB82" s="99" t="s">
        <v>2660</v>
      </c>
      <c r="BC82" s="125">
        <v>52</v>
      </c>
      <c r="BD82" s="99" t="s">
        <v>3135</v>
      </c>
      <c r="BE82" s="99" t="s">
        <v>3136</v>
      </c>
    </row>
    <row r="83" spans="1:57" ht="12.95" customHeight="1">
      <c r="A83" s="124">
        <v>15</v>
      </c>
      <c r="B83" s="124">
        <v>1335</v>
      </c>
      <c r="C83" s="99" t="s">
        <v>165</v>
      </c>
      <c r="D83" s="99" t="s">
        <v>389</v>
      </c>
      <c r="E83" s="99" t="s">
        <v>2888</v>
      </c>
      <c r="F83" s="99" t="s">
        <v>495</v>
      </c>
      <c r="G83" s="99" t="s">
        <v>2659</v>
      </c>
      <c r="H83" s="99" t="s">
        <v>3599</v>
      </c>
      <c r="I83" s="99" t="s">
        <v>558</v>
      </c>
      <c r="J83" s="99" t="s">
        <v>606</v>
      </c>
      <c r="K83" s="99" t="s">
        <v>607</v>
      </c>
      <c r="L83" s="99" t="s">
        <v>608</v>
      </c>
      <c r="M83" s="99" t="s">
        <v>5</v>
      </c>
      <c r="N83" s="99" t="s">
        <v>3407</v>
      </c>
      <c r="O83" s="99" t="s">
        <v>114</v>
      </c>
      <c r="P83" s="99" t="s">
        <v>3422</v>
      </c>
      <c r="Q83" s="99" t="s">
        <v>169</v>
      </c>
      <c r="R83" s="99" t="s">
        <v>3571</v>
      </c>
      <c r="S83" s="99" t="s">
        <v>2648</v>
      </c>
      <c r="T83" s="99" t="s">
        <v>48</v>
      </c>
      <c r="U83" s="99" t="s">
        <v>3578</v>
      </c>
      <c r="V83" s="99" t="s">
        <v>534</v>
      </c>
      <c r="W83" s="99" t="s">
        <v>3624</v>
      </c>
      <c r="X83" s="99" t="s">
        <v>3624</v>
      </c>
      <c r="Y83" s="99" t="s">
        <v>3625</v>
      </c>
      <c r="Z83" s="99" t="s">
        <v>172</v>
      </c>
      <c r="AA83" s="99" t="s">
        <v>173</v>
      </c>
      <c r="AB83" s="99" t="s">
        <v>174</v>
      </c>
      <c r="AC83" s="99" t="s">
        <v>3411</v>
      </c>
      <c r="AD83" s="99" t="s">
        <v>175</v>
      </c>
      <c r="AE83" s="99" t="s">
        <v>3411</v>
      </c>
      <c r="AF83" s="99" t="s">
        <v>3411</v>
      </c>
      <c r="AG83" s="124">
        <v>1058</v>
      </c>
      <c r="AH83" s="99" t="s">
        <v>3413</v>
      </c>
      <c r="AI83" s="125">
        <v>100</v>
      </c>
      <c r="AJ83" s="99" t="s">
        <v>176</v>
      </c>
      <c r="AK83" s="99" t="s">
        <v>3624</v>
      </c>
      <c r="AL83" s="99" t="s">
        <v>3411</v>
      </c>
      <c r="AM83" s="99" t="s">
        <v>177</v>
      </c>
      <c r="AN83" s="99" t="s">
        <v>3411</v>
      </c>
      <c r="AO83" s="99" t="s">
        <v>405</v>
      </c>
      <c r="AP83" s="99" t="s">
        <v>2570</v>
      </c>
      <c r="AQ83" s="99" t="s">
        <v>3411</v>
      </c>
      <c r="AR83" s="99" t="s">
        <v>242</v>
      </c>
      <c r="AS83" s="99" t="s">
        <v>609</v>
      </c>
      <c r="AT83" s="99" t="s">
        <v>1</v>
      </c>
      <c r="AU83" s="99" t="s">
        <v>179</v>
      </c>
      <c r="AV83" s="99" t="s">
        <v>3581</v>
      </c>
      <c r="AW83" s="99" t="s">
        <v>529</v>
      </c>
      <c r="AX83" s="99" t="s">
        <v>3626</v>
      </c>
      <c r="AY83" s="99" t="s">
        <v>252</v>
      </c>
      <c r="AZ83" s="99" t="s">
        <v>3416</v>
      </c>
      <c r="BA83" s="99" t="s">
        <v>3582</v>
      </c>
      <c r="BB83" s="99" t="s">
        <v>2660</v>
      </c>
      <c r="BC83" s="125">
        <v>52</v>
      </c>
      <c r="BD83" s="99" t="s">
        <v>3135</v>
      </c>
      <c r="BE83" s="99" t="s">
        <v>3136</v>
      </c>
    </row>
    <row r="84" spans="1:57" ht="12.95" customHeight="1">
      <c r="A84" s="124">
        <v>15</v>
      </c>
      <c r="B84" s="124">
        <v>2783</v>
      </c>
      <c r="C84" s="99" t="s">
        <v>165</v>
      </c>
      <c r="D84" s="99" t="s">
        <v>389</v>
      </c>
      <c r="E84" s="99" t="s">
        <v>2888</v>
      </c>
      <c r="F84" s="99" t="s">
        <v>495</v>
      </c>
      <c r="G84" s="99" t="s">
        <v>2659</v>
      </c>
      <c r="H84" s="99" t="s">
        <v>3627</v>
      </c>
      <c r="I84" s="99" t="s">
        <v>610</v>
      </c>
      <c r="J84" s="99" t="s">
        <v>611</v>
      </c>
      <c r="K84" s="99" t="s">
        <v>612</v>
      </c>
      <c r="L84" s="99" t="s">
        <v>613</v>
      </c>
      <c r="M84" s="99" t="s">
        <v>1</v>
      </c>
      <c r="N84" s="99" t="s">
        <v>3407</v>
      </c>
      <c r="O84" s="99" t="s">
        <v>114</v>
      </c>
      <c r="P84" s="99" t="s">
        <v>3422</v>
      </c>
      <c r="Q84" s="99" t="s">
        <v>169</v>
      </c>
      <c r="R84" s="99" t="s">
        <v>3571</v>
      </c>
      <c r="S84" s="99" t="s">
        <v>2648</v>
      </c>
      <c r="T84" s="99" t="s">
        <v>48</v>
      </c>
      <c r="U84" s="99" t="s">
        <v>3578</v>
      </c>
      <c r="V84" s="99" t="s">
        <v>534</v>
      </c>
      <c r="W84" s="99" t="s">
        <v>3628</v>
      </c>
      <c r="X84" s="99" t="s">
        <v>3628</v>
      </c>
      <c r="Y84" s="99" t="s">
        <v>3629</v>
      </c>
      <c r="Z84" s="99" t="s">
        <v>172</v>
      </c>
      <c r="AA84" s="99" t="s">
        <v>173</v>
      </c>
      <c r="AB84" s="99" t="s">
        <v>174</v>
      </c>
      <c r="AC84" s="99" t="s">
        <v>3411</v>
      </c>
      <c r="AD84" s="99" t="s">
        <v>175</v>
      </c>
      <c r="AE84" s="99" t="s">
        <v>3411</v>
      </c>
      <c r="AF84" s="99" t="s">
        <v>3411</v>
      </c>
      <c r="AG84" s="124">
        <v>2783</v>
      </c>
      <c r="AH84" s="99" t="s">
        <v>3413</v>
      </c>
      <c r="AI84" s="125">
        <v>100</v>
      </c>
      <c r="AJ84" s="99" t="s">
        <v>176</v>
      </c>
      <c r="AK84" s="99" t="s">
        <v>3628</v>
      </c>
      <c r="AL84" s="99" t="s">
        <v>3411</v>
      </c>
      <c r="AM84" s="99" t="s">
        <v>177</v>
      </c>
      <c r="AN84" s="99" t="s">
        <v>3411</v>
      </c>
      <c r="AO84" s="99" t="s">
        <v>178</v>
      </c>
      <c r="AP84" s="99" t="s">
        <v>2570</v>
      </c>
      <c r="AQ84" s="99" t="s">
        <v>3411</v>
      </c>
      <c r="AR84" s="99" t="s">
        <v>242</v>
      </c>
      <c r="AS84" s="99" t="s">
        <v>614</v>
      </c>
      <c r="AT84" s="99" t="s">
        <v>1</v>
      </c>
      <c r="AU84" s="99" t="s">
        <v>179</v>
      </c>
      <c r="AV84" s="99" t="s">
        <v>3414</v>
      </c>
      <c r="AW84" s="99" t="s">
        <v>180</v>
      </c>
      <c r="AX84" s="99" t="s">
        <v>3420</v>
      </c>
      <c r="AY84" s="99" t="s">
        <v>252</v>
      </c>
      <c r="AZ84" s="99" t="s">
        <v>3416</v>
      </c>
      <c r="BA84" s="99" t="s">
        <v>3582</v>
      </c>
      <c r="BB84" s="99" t="s">
        <v>2660</v>
      </c>
      <c r="BC84" s="125">
        <v>39</v>
      </c>
      <c r="BD84" s="99" t="s">
        <v>3135</v>
      </c>
      <c r="BE84" s="99" t="s">
        <v>3136</v>
      </c>
    </row>
    <row r="85" spans="1:57" ht="12.95" customHeight="1">
      <c r="A85" s="124">
        <v>15</v>
      </c>
      <c r="B85" s="124">
        <v>2345</v>
      </c>
      <c r="C85" s="99" t="s">
        <v>165</v>
      </c>
      <c r="D85" s="99" t="s">
        <v>389</v>
      </c>
      <c r="E85" s="99" t="s">
        <v>2888</v>
      </c>
      <c r="F85" s="99" t="s">
        <v>495</v>
      </c>
      <c r="G85" s="99" t="s">
        <v>2659</v>
      </c>
      <c r="H85" s="99" t="s">
        <v>3627</v>
      </c>
      <c r="I85" s="99" t="s">
        <v>610</v>
      </c>
      <c r="J85" s="99" t="s">
        <v>615</v>
      </c>
      <c r="K85" s="99" t="s">
        <v>616</v>
      </c>
      <c r="L85" s="99" t="s">
        <v>617</v>
      </c>
      <c r="M85" s="99" t="s">
        <v>1</v>
      </c>
      <c r="N85" s="99" t="s">
        <v>3407</v>
      </c>
      <c r="O85" s="99" t="s">
        <v>114</v>
      </c>
      <c r="P85" s="99" t="s">
        <v>3422</v>
      </c>
      <c r="Q85" s="99" t="s">
        <v>169</v>
      </c>
      <c r="R85" s="99" t="s">
        <v>3571</v>
      </c>
      <c r="S85" s="99" t="s">
        <v>2648</v>
      </c>
      <c r="T85" s="99" t="s">
        <v>48</v>
      </c>
      <c r="U85" s="99" t="s">
        <v>3578</v>
      </c>
      <c r="V85" s="99" t="s">
        <v>534</v>
      </c>
      <c r="W85" s="99" t="s">
        <v>3630</v>
      </c>
      <c r="X85" s="99" t="s">
        <v>3630</v>
      </c>
      <c r="Y85" s="99" t="s">
        <v>3631</v>
      </c>
      <c r="Z85" s="99" t="s">
        <v>172</v>
      </c>
      <c r="AA85" s="99" t="s">
        <v>173</v>
      </c>
      <c r="AB85" s="99" t="s">
        <v>174</v>
      </c>
      <c r="AC85" s="99" t="s">
        <v>3411</v>
      </c>
      <c r="AD85" s="99" t="s">
        <v>175</v>
      </c>
      <c r="AE85" s="99" t="s">
        <v>3411</v>
      </c>
      <c r="AF85" s="99" t="s">
        <v>3411</v>
      </c>
      <c r="AG85" s="124">
        <v>1744</v>
      </c>
      <c r="AH85" s="99" t="s">
        <v>3413</v>
      </c>
      <c r="AI85" s="125">
        <v>100</v>
      </c>
      <c r="AJ85" s="99" t="s">
        <v>176</v>
      </c>
      <c r="AK85" s="99" t="s">
        <v>3630</v>
      </c>
      <c r="AL85" s="99" t="s">
        <v>3411</v>
      </c>
      <c r="AM85" s="99" t="s">
        <v>177</v>
      </c>
      <c r="AN85" s="99" t="s">
        <v>3411</v>
      </c>
      <c r="AO85" s="99" t="s">
        <v>405</v>
      </c>
      <c r="AP85" s="99" t="s">
        <v>2570</v>
      </c>
      <c r="AQ85" s="99" t="s">
        <v>3411</v>
      </c>
      <c r="AR85" s="99" t="s">
        <v>3411</v>
      </c>
      <c r="AS85" s="99" t="s">
        <v>618</v>
      </c>
      <c r="AT85" s="99" t="s">
        <v>1</v>
      </c>
      <c r="AU85" s="99" t="s">
        <v>179</v>
      </c>
      <c r="AV85" s="99" t="s">
        <v>3581</v>
      </c>
      <c r="AW85" s="99" t="s">
        <v>529</v>
      </c>
      <c r="AX85" s="99" t="s">
        <v>3420</v>
      </c>
      <c r="AY85" s="99" t="s">
        <v>252</v>
      </c>
      <c r="AZ85" s="99" t="s">
        <v>3416</v>
      </c>
      <c r="BA85" s="99" t="s">
        <v>3582</v>
      </c>
      <c r="BB85" s="99" t="s">
        <v>2660</v>
      </c>
      <c r="BC85" s="125">
        <v>51</v>
      </c>
      <c r="BD85" s="99" t="s">
        <v>3135</v>
      </c>
      <c r="BE85" s="99" t="s">
        <v>3136</v>
      </c>
    </row>
    <row r="86" spans="1:57" ht="12.95" customHeight="1">
      <c r="A86" s="124">
        <v>15</v>
      </c>
      <c r="B86" s="124">
        <v>2668</v>
      </c>
      <c r="C86" s="99" t="s">
        <v>165</v>
      </c>
      <c r="D86" s="99" t="s">
        <v>389</v>
      </c>
      <c r="E86" s="99" t="s">
        <v>2888</v>
      </c>
      <c r="F86" s="99" t="s">
        <v>495</v>
      </c>
      <c r="G86" s="99" t="s">
        <v>2659</v>
      </c>
      <c r="H86" s="99" t="s">
        <v>3627</v>
      </c>
      <c r="I86" s="99" t="s">
        <v>610</v>
      </c>
      <c r="J86" s="99" t="s">
        <v>619</v>
      </c>
      <c r="K86" s="99" t="s">
        <v>255</v>
      </c>
      <c r="L86" s="99" t="s">
        <v>620</v>
      </c>
      <c r="M86" s="99" t="s">
        <v>5</v>
      </c>
      <c r="N86" s="99" t="s">
        <v>3407</v>
      </c>
      <c r="O86" s="99" t="s">
        <v>114</v>
      </c>
      <c r="P86" s="99" t="s">
        <v>3422</v>
      </c>
      <c r="Q86" s="99" t="s">
        <v>169</v>
      </c>
      <c r="R86" s="99" t="s">
        <v>3571</v>
      </c>
      <c r="S86" s="99" t="s">
        <v>2648</v>
      </c>
      <c r="T86" s="99" t="s">
        <v>48</v>
      </c>
      <c r="U86" s="99" t="s">
        <v>3578</v>
      </c>
      <c r="V86" s="99" t="s">
        <v>534</v>
      </c>
      <c r="W86" s="99" t="s">
        <v>3632</v>
      </c>
      <c r="X86" s="99" t="s">
        <v>3632</v>
      </c>
      <c r="Y86" s="99" t="s">
        <v>3633</v>
      </c>
      <c r="Z86" s="99" t="s">
        <v>172</v>
      </c>
      <c r="AA86" s="99" t="s">
        <v>173</v>
      </c>
      <c r="AB86" s="99" t="s">
        <v>174</v>
      </c>
      <c r="AC86" s="99" t="s">
        <v>3411</v>
      </c>
      <c r="AD86" s="99" t="s">
        <v>175</v>
      </c>
      <c r="AE86" s="99" t="s">
        <v>3411</v>
      </c>
      <c r="AF86" s="99" t="s">
        <v>3411</v>
      </c>
      <c r="AG86" s="124">
        <v>2668</v>
      </c>
      <c r="AH86" s="99" t="s">
        <v>3413</v>
      </c>
      <c r="AI86" s="125">
        <v>100</v>
      </c>
      <c r="AJ86" s="99" t="s">
        <v>176</v>
      </c>
      <c r="AK86" s="99" t="s">
        <v>3632</v>
      </c>
      <c r="AL86" s="99" t="s">
        <v>3411</v>
      </c>
      <c r="AM86" s="99" t="s">
        <v>177</v>
      </c>
      <c r="AN86" s="99" t="s">
        <v>3411</v>
      </c>
      <c r="AO86" s="99" t="s">
        <v>178</v>
      </c>
      <c r="AP86" s="99" t="s">
        <v>2570</v>
      </c>
      <c r="AQ86" s="99" t="s">
        <v>3411</v>
      </c>
      <c r="AR86" s="99" t="s">
        <v>242</v>
      </c>
      <c r="AS86" s="99" t="s">
        <v>621</v>
      </c>
      <c r="AT86" s="99" t="s">
        <v>1</v>
      </c>
      <c r="AU86" s="99" t="s">
        <v>179</v>
      </c>
      <c r="AV86" s="99" t="s">
        <v>3414</v>
      </c>
      <c r="AW86" s="99" t="s">
        <v>180</v>
      </c>
      <c r="AX86" s="99" t="s">
        <v>3420</v>
      </c>
      <c r="AY86" s="99" t="s">
        <v>252</v>
      </c>
      <c r="AZ86" s="99" t="s">
        <v>3416</v>
      </c>
      <c r="BA86" s="99" t="s">
        <v>3582</v>
      </c>
      <c r="BB86" s="99" t="s">
        <v>2660</v>
      </c>
      <c r="BC86" s="125">
        <v>44</v>
      </c>
      <c r="BD86" s="99" t="s">
        <v>3135</v>
      </c>
      <c r="BE86" s="99" t="s">
        <v>3136</v>
      </c>
    </row>
    <row r="87" spans="1:57" ht="12.95" customHeight="1">
      <c r="A87" s="124">
        <v>15</v>
      </c>
      <c r="B87" s="124">
        <v>2209</v>
      </c>
      <c r="C87" s="99" t="s">
        <v>165</v>
      </c>
      <c r="D87" s="99" t="s">
        <v>389</v>
      </c>
      <c r="E87" s="99" t="s">
        <v>2888</v>
      </c>
      <c r="F87" s="99" t="s">
        <v>495</v>
      </c>
      <c r="G87" s="99" t="s">
        <v>2659</v>
      </c>
      <c r="H87" s="99" t="s">
        <v>3627</v>
      </c>
      <c r="I87" s="99" t="s">
        <v>610</v>
      </c>
      <c r="J87" s="99" t="s">
        <v>622</v>
      </c>
      <c r="K87" s="99" t="s">
        <v>623</v>
      </c>
      <c r="L87" s="99" t="s">
        <v>624</v>
      </c>
      <c r="M87" s="99" t="s">
        <v>5</v>
      </c>
      <c r="N87" s="99" t="s">
        <v>3407</v>
      </c>
      <c r="O87" s="99" t="s">
        <v>114</v>
      </c>
      <c r="P87" s="99" t="s">
        <v>3422</v>
      </c>
      <c r="Q87" s="99" t="s">
        <v>169</v>
      </c>
      <c r="R87" s="99" t="s">
        <v>3571</v>
      </c>
      <c r="S87" s="99" t="s">
        <v>2648</v>
      </c>
      <c r="T87" s="99" t="s">
        <v>48</v>
      </c>
      <c r="U87" s="99" t="s">
        <v>3578</v>
      </c>
      <c r="V87" s="99" t="s">
        <v>534</v>
      </c>
      <c r="W87" s="99" t="s">
        <v>3548</v>
      </c>
      <c r="X87" s="99" t="s">
        <v>3548</v>
      </c>
      <c r="Y87" s="99" t="s">
        <v>3634</v>
      </c>
      <c r="Z87" s="99" t="s">
        <v>172</v>
      </c>
      <c r="AA87" s="99" t="s">
        <v>173</v>
      </c>
      <c r="AB87" s="99" t="s">
        <v>174</v>
      </c>
      <c r="AC87" s="99" t="s">
        <v>3411</v>
      </c>
      <c r="AD87" s="99" t="s">
        <v>175</v>
      </c>
      <c r="AE87" s="99" t="s">
        <v>3411</v>
      </c>
      <c r="AF87" s="99" t="s">
        <v>3411</v>
      </c>
      <c r="AG87" s="124">
        <v>1661</v>
      </c>
      <c r="AH87" s="99" t="s">
        <v>3413</v>
      </c>
      <c r="AI87" s="125">
        <v>100</v>
      </c>
      <c r="AJ87" s="99" t="s">
        <v>176</v>
      </c>
      <c r="AK87" s="99" t="s">
        <v>3548</v>
      </c>
      <c r="AL87" s="99" t="s">
        <v>3411</v>
      </c>
      <c r="AM87" s="99" t="s">
        <v>177</v>
      </c>
      <c r="AN87" s="99" t="s">
        <v>3411</v>
      </c>
      <c r="AO87" s="99" t="s">
        <v>405</v>
      </c>
      <c r="AP87" s="99" t="s">
        <v>2570</v>
      </c>
      <c r="AQ87" s="99" t="s">
        <v>3411</v>
      </c>
      <c r="AR87" s="99" t="s">
        <v>242</v>
      </c>
      <c r="AS87" s="99" t="s">
        <v>625</v>
      </c>
      <c r="AT87" s="99" t="s">
        <v>1</v>
      </c>
      <c r="AU87" s="99" t="s">
        <v>179</v>
      </c>
      <c r="AV87" s="99" t="s">
        <v>3581</v>
      </c>
      <c r="AW87" s="99" t="s">
        <v>529</v>
      </c>
      <c r="AX87" s="99" t="s">
        <v>3420</v>
      </c>
      <c r="AY87" s="99" t="s">
        <v>252</v>
      </c>
      <c r="AZ87" s="99" t="s">
        <v>3416</v>
      </c>
      <c r="BA87" s="99" t="s">
        <v>3582</v>
      </c>
      <c r="BB87" s="99" t="s">
        <v>2660</v>
      </c>
      <c r="BC87" s="125">
        <v>54</v>
      </c>
      <c r="BD87" s="99" t="s">
        <v>3135</v>
      </c>
      <c r="BE87" s="99" t="s">
        <v>3136</v>
      </c>
    </row>
    <row r="88" spans="1:57" ht="12.95" customHeight="1">
      <c r="A88" s="124">
        <v>15</v>
      </c>
      <c r="B88" s="124">
        <v>1925</v>
      </c>
      <c r="C88" s="99" t="s">
        <v>165</v>
      </c>
      <c r="D88" s="99" t="s">
        <v>389</v>
      </c>
      <c r="E88" s="99" t="s">
        <v>2888</v>
      </c>
      <c r="F88" s="99" t="s">
        <v>495</v>
      </c>
      <c r="G88" s="99" t="s">
        <v>2659</v>
      </c>
      <c r="H88" s="99" t="s">
        <v>3635</v>
      </c>
      <c r="I88" s="99" t="s">
        <v>626</v>
      </c>
      <c r="J88" s="99" t="s">
        <v>627</v>
      </c>
      <c r="K88" s="99" t="s">
        <v>311</v>
      </c>
      <c r="L88" s="99" t="s">
        <v>628</v>
      </c>
      <c r="M88" s="99" t="s">
        <v>1</v>
      </c>
      <c r="N88" s="99" t="s">
        <v>3407</v>
      </c>
      <c r="O88" s="99" t="s">
        <v>114</v>
      </c>
      <c r="P88" s="99" t="s">
        <v>3422</v>
      </c>
      <c r="Q88" s="99" t="s">
        <v>169</v>
      </c>
      <c r="R88" s="99" t="s">
        <v>3571</v>
      </c>
      <c r="S88" s="99" t="s">
        <v>2648</v>
      </c>
      <c r="T88" s="99" t="s">
        <v>48</v>
      </c>
      <c r="U88" s="99" t="s">
        <v>3578</v>
      </c>
      <c r="V88" s="99" t="s">
        <v>534</v>
      </c>
      <c r="W88" s="99" t="s">
        <v>3568</v>
      </c>
      <c r="X88" s="99" t="s">
        <v>3568</v>
      </c>
      <c r="Y88" s="99" t="s">
        <v>3636</v>
      </c>
      <c r="Z88" s="99" t="s">
        <v>172</v>
      </c>
      <c r="AA88" s="99" t="s">
        <v>173</v>
      </c>
      <c r="AB88" s="99" t="s">
        <v>174</v>
      </c>
      <c r="AC88" s="99" t="s">
        <v>3411</v>
      </c>
      <c r="AD88" s="99" t="s">
        <v>175</v>
      </c>
      <c r="AE88" s="99" t="s">
        <v>3411</v>
      </c>
      <c r="AF88" s="99" t="s">
        <v>3411</v>
      </c>
      <c r="AG88" s="124">
        <v>1514</v>
      </c>
      <c r="AH88" s="99" t="s">
        <v>3413</v>
      </c>
      <c r="AI88" s="125">
        <v>100</v>
      </c>
      <c r="AJ88" s="99" t="s">
        <v>176</v>
      </c>
      <c r="AK88" s="99" t="s">
        <v>3568</v>
      </c>
      <c r="AL88" s="99" t="s">
        <v>3411</v>
      </c>
      <c r="AM88" s="99" t="s">
        <v>177</v>
      </c>
      <c r="AN88" s="99" t="s">
        <v>3411</v>
      </c>
      <c r="AO88" s="99" t="s">
        <v>405</v>
      </c>
      <c r="AP88" s="99" t="s">
        <v>2570</v>
      </c>
      <c r="AQ88" s="99" t="s">
        <v>3411</v>
      </c>
      <c r="AR88" s="99" t="s">
        <v>242</v>
      </c>
      <c r="AS88" s="99" t="s">
        <v>629</v>
      </c>
      <c r="AT88" s="99" t="s">
        <v>1</v>
      </c>
      <c r="AU88" s="99" t="s">
        <v>179</v>
      </c>
      <c r="AV88" s="99" t="s">
        <v>3581</v>
      </c>
      <c r="AW88" s="99" t="s">
        <v>529</v>
      </c>
      <c r="AX88" s="99" t="s">
        <v>3420</v>
      </c>
      <c r="AY88" s="99" t="s">
        <v>252</v>
      </c>
      <c r="AZ88" s="99" t="s">
        <v>3416</v>
      </c>
      <c r="BA88" s="99" t="s">
        <v>3582</v>
      </c>
      <c r="BB88" s="99" t="s">
        <v>2660</v>
      </c>
      <c r="BC88" s="125">
        <v>52</v>
      </c>
      <c r="BD88" s="99" t="s">
        <v>3135</v>
      </c>
      <c r="BE88" s="99" t="s">
        <v>3136</v>
      </c>
    </row>
    <row r="89" spans="1:57" ht="12.95" customHeight="1">
      <c r="A89" s="124">
        <v>15</v>
      </c>
      <c r="B89" s="124">
        <v>3119</v>
      </c>
      <c r="C89" s="99" t="s">
        <v>165</v>
      </c>
      <c r="D89" s="99" t="s">
        <v>389</v>
      </c>
      <c r="E89" s="99" t="s">
        <v>2888</v>
      </c>
      <c r="F89" s="99" t="s">
        <v>495</v>
      </c>
      <c r="G89" s="99" t="s">
        <v>2659</v>
      </c>
      <c r="H89" s="99" t="s">
        <v>3635</v>
      </c>
      <c r="I89" s="99" t="s">
        <v>626</v>
      </c>
      <c r="J89" s="99" t="s">
        <v>3077</v>
      </c>
      <c r="K89" s="99" t="s">
        <v>275</v>
      </c>
      <c r="L89" s="99" t="s">
        <v>3078</v>
      </c>
      <c r="M89" s="99" t="s">
        <v>5</v>
      </c>
      <c r="N89" s="99" t="s">
        <v>3407</v>
      </c>
      <c r="O89" s="99" t="s">
        <v>114</v>
      </c>
      <c r="P89" s="99" t="s">
        <v>3637</v>
      </c>
      <c r="Q89" s="99" t="s">
        <v>169</v>
      </c>
      <c r="R89" s="99" t="s">
        <v>3571</v>
      </c>
      <c r="S89" s="99" t="s">
        <v>2648</v>
      </c>
      <c r="T89" s="99" t="s">
        <v>48</v>
      </c>
      <c r="U89" s="99" t="s">
        <v>3572</v>
      </c>
      <c r="V89" s="99" t="s">
        <v>404</v>
      </c>
      <c r="W89" s="99" t="s">
        <v>3637</v>
      </c>
      <c r="X89" s="99" t="s">
        <v>3637</v>
      </c>
      <c r="Y89" s="99" t="s">
        <v>3638</v>
      </c>
      <c r="Z89" s="99" t="s">
        <v>172</v>
      </c>
      <c r="AA89" s="99" t="s">
        <v>173</v>
      </c>
      <c r="AB89" s="99" t="s">
        <v>174</v>
      </c>
      <c r="AC89" s="99" t="s">
        <v>3411</v>
      </c>
      <c r="AD89" s="99" t="s">
        <v>175</v>
      </c>
      <c r="AE89" s="99" t="s">
        <v>3411</v>
      </c>
      <c r="AF89" s="99" t="s">
        <v>3411</v>
      </c>
      <c r="AG89" s="124">
        <v>3119</v>
      </c>
      <c r="AH89" s="99" t="s">
        <v>3413</v>
      </c>
      <c r="AI89" s="125">
        <v>100</v>
      </c>
      <c r="AJ89" s="99" t="s">
        <v>176</v>
      </c>
      <c r="AK89" s="99" t="s">
        <v>3637</v>
      </c>
      <c r="AL89" s="99" t="s">
        <v>3411</v>
      </c>
      <c r="AM89" s="99" t="s">
        <v>177</v>
      </c>
      <c r="AN89" s="99" t="s">
        <v>3411</v>
      </c>
      <c r="AO89" s="99" t="s">
        <v>405</v>
      </c>
      <c r="AP89" s="99" t="s">
        <v>2570</v>
      </c>
      <c r="AQ89" s="99" t="s">
        <v>3411</v>
      </c>
      <c r="AR89" s="99" t="s">
        <v>242</v>
      </c>
      <c r="AS89" s="99" t="s">
        <v>3079</v>
      </c>
      <c r="AT89" s="99" t="s">
        <v>1</v>
      </c>
      <c r="AU89" s="99" t="s">
        <v>179</v>
      </c>
      <c r="AV89" s="99" t="s">
        <v>3581</v>
      </c>
      <c r="AW89" s="99" t="s">
        <v>529</v>
      </c>
      <c r="AX89" s="99" t="s">
        <v>3420</v>
      </c>
      <c r="AY89" s="99" t="s">
        <v>252</v>
      </c>
      <c r="AZ89" s="99" t="s">
        <v>3416</v>
      </c>
      <c r="BA89" s="99" t="s">
        <v>3582</v>
      </c>
      <c r="BB89" s="99" t="s">
        <v>2660</v>
      </c>
      <c r="BC89" s="125">
        <v>46</v>
      </c>
      <c r="BD89" s="99" t="s">
        <v>3135</v>
      </c>
      <c r="BE89" s="99" t="s">
        <v>3136</v>
      </c>
    </row>
    <row r="90" spans="1:57" ht="12.95" customHeight="1">
      <c r="A90" s="124">
        <v>15</v>
      </c>
      <c r="B90" s="124">
        <v>2669</v>
      </c>
      <c r="C90" s="99" t="s">
        <v>165</v>
      </c>
      <c r="D90" s="99" t="s">
        <v>389</v>
      </c>
      <c r="E90" s="99" t="s">
        <v>2888</v>
      </c>
      <c r="F90" s="99" t="s">
        <v>495</v>
      </c>
      <c r="G90" s="99" t="s">
        <v>2659</v>
      </c>
      <c r="H90" s="99" t="s">
        <v>3635</v>
      </c>
      <c r="I90" s="99" t="s">
        <v>626</v>
      </c>
      <c r="J90" s="99" t="s">
        <v>630</v>
      </c>
      <c r="K90" s="99" t="s">
        <v>398</v>
      </c>
      <c r="L90" s="99" t="s">
        <v>631</v>
      </c>
      <c r="M90" s="99" t="s">
        <v>5</v>
      </c>
      <c r="N90" s="99" t="s">
        <v>3407</v>
      </c>
      <c r="O90" s="99" t="s">
        <v>114</v>
      </c>
      <c r="P90" s="99" t="s">
        <v>3422</v>
      </c>
      <c r="Q90" s="99" t="s">
        <v>169</v>
      </c>
      <c r="R90" s="99" t="s">
        <v>3571</v>
      </c>
      <c r="S90" s="99" t="s">
        <v>2648</v>
      </c>
      <c r="T90" s="99" t="s">
        <v>48</v>
      </c>
      <c r="U90" s="99" t="s">
        <v>3583</v>
      </c>
      <c r="V90" s="99" t="s">
        <v>513</v>
      </c>
      <c r="W90" s="99" t="s">
        <v>3639</v>
      </c>
      <c r="X90" s="99" t="s">
        <v>3639</v>
      </c>
      <c r="Y90" s="99" t="s">
        <v>3640</v>
      </c>
      <c r="Z90" s="99" t="s">
        <v>172</v>
      </c>
      <c r="AA90" s="99" t="s">
        <v>173</v>
      </c>
      <c r="AB90" s="99" t="s">
        <v>174</v>
      </c>
      <c r="AC90" s="99" t="s">
        <v>3411</v>
      </c>
      <c r="AD90" s="99" t="s">
        <v>175</v>
      </c>
      <c r="AE90" s="99" t="s">
        <v>3411</v>
      </c>
      <c r="AF90" s="99" t="s">
        <v>3411</v>
      </c>
      <c r="AG90" s="124">
        <v>2669</v>
      </c>
      <c r="AH90" s="99" t="s">
        <v>3413</v>
      </c>
      <c r="AI90" s="125">
        <v>100</v>
      </c>
      <c r="AJ90" s="99" t="s">
        <v>176</v>
      </c>
      <c r="AK90" s="99" t="s">
        <v>3639</v>
      </c>
      <c r="AL90" s="99" t="s">
        <v>3411</v>
      </c>
      <c r="AM90" s="99" t="s">
        <v>177</v>
      </c>
      <c r="AN90" s="99" t="s">
        <v>3411</v>
      </c>
      <c r="AO90" s="99" t="s">
        <v>178</v>
      </c>
      <c r="AP90" s="99" t="s">
        <v>2570</v>
      </c>
      <c r="AQ90" s="99" t="s">
        <v>3411</v>
      </c>
      <c r="AR90" s="99" t="s">
        <v>242</v>
      </c>
      <c r="AS90" s="99" t="s">
        <v>632</v>
      </c>
      <c r="AT90" s="99" t="s">
        <v>1</v>
      </c>
      <c r="AU90" s="99" t="s">
        <v>179</v>
      </c>
      <c r="AV90" s="99" t="s">
        <v>3414</v>
      </c>
      <c r="AW90" s="99" t="s">
        <v>180</v>
      </c>
      <c r="AX90" s="99" t="s">
        <v>3420</v>
      </c>
      <c r="AY90" s="99" t="s">
        <v>252</v>
      </c>
      <c r="AZ90" s="99" t="s">
        <v>3416</v>
      </c>
      <c r="BA90" s="99" t="s">
        <v>3582</v>
      </c>
      <c r="BB90" s="99" t="s">
        <v>2660</v>
      </c>
      <c r="BC90" s="125">
        <v>44</v>
      </c>
      <c r="BD90" s="99" t="s">
        <v>3135</v>
      </c>
      <c r="BE90" s="99" t="s">
        <v>3136</v>
      </c>
    </row>
    <row r="91" spans="1:57" ht="12.95" customHeight="1">
      <c r="A91" s="124">
        <v>15</v>
      </c>
      <c r="B91" s="124">
        <v>2250</v>
      </c>
      <c r="C91" s="99" t="s">
        <v>165</v>
      </c>
      <c r="D91" s="99" t="s">
        <v>389</v>
      </c>
      <c r="E91" s="99" t="s">
        <v>2888</v>
      </c>
      <c r="F91" s="99" t="s">
        <v>495</v>
      </c>
      <c r="G91" s="99" t="s">
        <v>2659</v>
      </c>
      <c r="H91" s="99" t="s">
        <v>3635</v>
      </c>
      <c r="I91" s="99" t="s">
        <v>626</v>
      </c>
      <c r="J91" s="99" t="s">
        <v>633</v>
      </c>
      <c r="K91" s="99" t="s">
        <v>634</v>
      </c>
      <c r="L91" s="99" t="s">
        <v>635</v>
      </c>
      <c r="M91" s="99" t="s">
        <v>1</v>
      </c>
      <c r="N91" s="99" t="s">
        <v>3407</v>
      </c>
      <c r="O91" s="99" t="s">
        <v>114</v>
      </c>
      <c r="P91" s="99" t="s">
        <v>3422</v>
      </c>
      <c r="Q91" s="99" t="s">
        <v>169</v>
      </c>
      <c r="R91" s="99" t="s">
        <v>3571</v>
      </c>
      <c r="S91" s="99" t="s">
        <v>2648</v>
      </c>
      <c r="T91" s="99" t="s">
        <v>48</v>
      </c>
      <c r="U91" s="99" t="s">
        <v>3578</v>
      </c>
      <c r="V91" s="99" t="s">
        <v>534</v>
      </c>
      <c r="W91" s="99" t="s">
        <v>3620</v>
      </c>
      <c r="X91" s="99" t="s">
        <v>3620</v>
      </c>
      <c r="Y91" s="99" t="s">
        <v>3641</v>
      </c>
      <c r="Z91" s="99" t="s">
        <v>172</v>
      </c>
      <c r="AA91" s="99" t="s">
        <v>173</v>
      </c>
      <c r="AB91" s="99" t="s">
        <v>174</v>
      </c>
      <c r="AC91" s="99" t="s">
        <v>3411</v>
      </c>
      <c r="AD91" s="99" t="s">
        <v>175</v>
      </c>
      <c r="AE91" s="99" t="s">
        <v>3411</v>
      </c>
      <c r="AF91" s="99" t="s">
        <v>3411</v>
      </c>
      <c r="AG91" s="124">
        <v>1686</v>
      </c>
      <c r="AH91" s="99" t="s">
        <v>3413</v>
      </c>
      <c r="AI91" s="125">
        <v>100</v>
      </c>
      <c r="AJ91" s="99" t="s">
        <v>176</v>
      </c>
      <c r="AK91" s="99" t="s">
        <v>3620</v>
      </c>
      <c r="AL91" s="99" t="s">
        <v>3411</v>
      </c>
      <c r="AM91" s="99" t="s">
        <v>177</v>
      </c>
      <c r="AN91" s="99" t="s">
        <v>3411</v>
      </c>
      <c r="AO91" s="99" t="s">
        <v>405</v>
      </c>
      <c r="AP91" s="99" t="s">
        <v>2570</v>
      </c>
      <c r="AQ91" s="99" t="s">
        <v>3411</v>
      </c>
      <c r="AR91" s="99" t="s">
        <v>242</v>
      </c>
      <c r="AS91" s="99" t="s">
        <v>636</v>
      </c>
      <c r="AT91" s="99" t="s">
        <v>1</v>
      </c>
      <c r="AU91" s="99" t="s">
        <v>179</v>
      </c>
      <c r="AV91" s="99" t="s">
        <v>3581</v>
      </c>
      <c r="AW91" s="99" t="s">
        <v>529</v>
      </c>
      <c r="AX91" s="99" t="s">
        <v>3420</v>
      </c>
      <c r="AY91" s="99" t="s">
        <v>252</v>
      </c>
      <c r="AZ91" s="99" t="s">
        <v>3416</v>
      </c>
      <c r="BA91" s="99" t="s">
        <v>3582</v>
      </c>
      <c r="BB91" s="99" t="s">
        <v>2660</v>
      </c>
      <c r="BC91" s="125">
        <v>53</v>
      </c>
      <c r="BD91" s="99" t="s">
        <v>3135</v>
      </c>
      <c r="BE91" s="99" t="s">
        <v>3136</v>
      </c>
    </row>
    <row r="92" spans="1:57" ht="12.95" customHeight="1">
      <c r="A92" s="124">
        <v>15</v>
      </c>
      <c r="B92" s="124">
        <v>2363</v>
      </c>
      <c r="C92" s="99" t="s">
        <v>165</v>
      </c>
      <c r="D92" s="99" t="s">
        <v>389</v>
      </c>
      <c r="E92" s="99" t="s">
        <v>2888</v>
      </c>
      <c r="F92" s="99" t="s">
        <v>495</v>
      </c>
      <c r="G92" s="99" t="s">
        <v>2659</v>
      </c>
      <c r="H92" s="99" t="s">
        <v>3635</v>
      </c>
      <c r="I92" s="99" t="s">
        <v>626</v>
      </c>
      <c r="J92" s="99" t="s">
        <v>637</v>
      </c>
      <c r="K92" s="99" t="s">
        <v>638</v>
      </c>
      <c r="L92" s="99" t="s">
        <v>639</v>
      </c>
      <c r="M92" s="99" t="s">
        <v>1</v>
      </c>
      <c r="N92" s="99" t="s">
        <v>3407</v>
      </c>
      <c r="O92" s="99" t="s">
        <v>114</v>
      </c>
      <c r="P92" s="99" t="s">
        <v>3422</v>
      </c>
      <c r="Q92" s="99" t="s">
        <v>169</v>
      </c>
      <c r="R92" s="99" t="s">
        <v>3571</v>
      </c>
      <c r="S92" s="99" t="s">
        <v>2648</v>
      </c>
      <c r="T92" s="99" t="s">
        <v>48</v>
      </c>
      <c r="U92" s="99" t="s">
        <v>3578</v>
      </c>
      <c r="V92" s="99" t="s">
        <v>534</v>
      </c>
      <c r="W92" s="99" t="s">
        <v>3642</v>
      </c>
      <c r="X92" s="99" t="s">
        <v>3642</v>
      </c>
      <c r="Y92" s="99" t="s">
        <v>3643</v>
      </c>
      <c r="Z92" s="99" t="s">
        <v>172</v>
      </c>
      <c r="AA92" s="99" t="s">
        <v>173</v>
      </c>
      <c r="AB92" s="99" t="s">
        <v>174</v>
      </c>
      <c r="AC92" s="99" t="s">
        <v>3411</v>
      </c>
      <c r="AD92" s="99" t="s">
        <v>175</v>
      </c>
      <c r="AE92" s="99" t="s">
        <v>3411</v>
      </c>
      <c r="AF92" s="99" t="s">
        <v>3411</v>
      </c>
      <c r="AG92" s="124">
        <v>1760</v>
      </c>
      <c r="AH92" s="99" t="s">
        <v>3413</v>
      </c>
      <c r="AI92" s="125">
        <v>100</v>
      </c>
      <c r="AJ92" s="99" t="s">
        <v>176</v>
      </c>
      <c r="AK92" s="99" t="s">
        <v>3642</v>
      </c>
      <c r="AL92" s="99" t="s">
        <v>3411</v>
      </c>
      <c r="AM92" s="99" t="s">
        <v>177</v>
      </c>
      <c r="AN92" s="99" t="s">
        <v>3411</v>
      </c>
      <c r="AO92" s="99" t="s">
        <v>405</v>
      </c>
      <c r="AP92" s="99" t="s">
        <v>2570</v>
      </c>
      <c r="AQ92" s="99" t="s">
        <v>3411</v>
      </c>
      <c r="AR92" s="99" t="s">
        <v>242</v>
      </c>
      <c r="AS92" s="99" t="s">
        <v>640</v>
      </c>
      <c r="AT92" s="99" t="s">
        <v>1</v>
      </c>
      <c r="AU92" s="99" t="s">
        <v>179</v>
      </c>
      <c r="AV92" s="99" t="s">
        <v>3581</v>
      </c>
      <c r="AW92" s="99" t="s">
        <v>529</v>
      </c>
      <c r="AX92" s="99" t="s">
        <v>3420</v>
      </c>
      <c r="AY92" s="99" t="s">
        <v>252</v>
      </c>
      <c r="AZ92" s="99" t="s">
        <v>3416</v>
      </c>
      <c r="BA92" s="99" t="s">
        <v>3582</v>
      </c>
      <c r="BB92" s="99" t="s">
        <v>2660</v>
      </c>
      <c r="BC92" s="125">
        <v>43</v>
      </c>
      <c r="BD92" s="99" t="s">
        <v>3135</v>
      </c>
      <c r="BE92" s="99" t="s">
        <v>3136</v>
      </c>
    </row>
    <row r="93" spans="1:57" ht="12.95" customHeight="1">
      <c r="A93" s="124">
        <v>15</v>
      </c>
      <c r="B93" s="124">
        <v>1333</v>
      </c>
      <c r="C93" s="99" t="s">
        <v>165</v>
      </c>
      <c r="D93" s="99" t="s">
        <v>389</v>
      </c>
      <c r="E93" s="99" t="s">
        <v>2888</v>
      </c>
      <c r="F93" s="99" t="s">
        <v>495</v>
      </c>
      <c r="G93" s="99" t="s">
        <v>2659</v>
      </c>
      <c r="H93" s="99" t="s">
        <v>3635</v>
      </c>
      <c r="I93" s="99" t="s">
        <v>626</v>
      </c>
      <c r="J93" s="99" t="s">
        <v>641</v>
      </c>
      <c r="K93" s="99" t="s">
        <v>579</v>
      </c>
      <c r="L93" s="99" t="s">
        <v>642</v>
      </c>
      <c r="M93" s="99" t="s">
        <v>5</v>
      </c>
      <c r="N93" s="99" t="s">
        <v>3407</v>
      </c>
      <c r="O93" s="99" t="s">
        <v>114</v>
      </c>
      <c r="P93" s="99" t="s">
        <v>3422</v>
      </c>
      <c r="Q93" s="99" t="s">
        <v>169</v>
      </c>
      <c r="R93" s="99" t="s">
        <v>3571</v>
      </c>
      <c r="S93" s="99" t="s">
        <v>2648</v>
      </c>
      <c r="T93" s="99" t="s">
        <v>48</v>
      </c>
      <c r="U93" s="99" t="s">
        <v>3583</v>
      </c>
      <c r="V93" s="99" t="s">
        <v>513</v>
      </c>
      <c r="W93" s="99" t="s">
        <v>3624</v>
      </c>
      <c r="X93" s="99" t="s">
        <v>3624</v>
      </c>
      <c r="Y93" s="99" t="s">
        <v>3644</v>
      </c>
      <c r="Z93" s="99" t="s">
        <v>172</v>
      </c>
      <c r="AA93" s="99" t="s">
        <v>173</v>
      </c>
      <c r="AB93" s="99" t="s">
        <v>174</v>
      </c>
      <c r="AC93" s="99" t="s">
        <v>3411</v>
      </c>
      <c r="AD93" s="99" t="s">
        <v>175</v>
      </c>
      <c r="AE93" s="99" t="s">
        <v>3411</v>
      </c>
      <c r="AF93" s="99" t="s">
        <v>3411</v>
      </c>
      <c r="AG93" s="124">
        <v>1056</v>
      </c>
      <c r="AH93" s="99" t="s">
        <v>3413</v>
      </c>
      <c r="AI93" s="125">
        <v>100</v>
      </c>
      <c r="AJ93" s="99" t="s">
        <v>176</v>
      </c>
      <c r="AK93" s="99" t="s">
        <v>3624</v>
      </c>
      <c r="AL93" s="99" t="s">
        <v>3411</v>
      </c>
      <c r="AM93" s="99" t="s">
        <v>177</v>
      </c>
      <c r="AN93" s="99" t="s">
        <v>3411</v>
      </c>
      <c r="AO93" s="99" t="s">
        <v>405</v>
      </c>
      <c r="AP93" s="99" t="s">
        <v>2570</v>
      </c>
      <c r="AQ93" s="99" t="s">
        <v>3411</v>
      </c>
      <c r="AR93" s="99" t="s">
        <v>242</v>
      </c>
      <c r="AS93" s="99" t="s">
        <v>643</v>
      </c>
      <c r="AT93" s="99" t="s">
        <v>1</v>
      </c>
      <c r="AU93" s="99" t="s">
        <v>179</v>
      </c>
      <c r="AV93" s="99" t="s">
        <v>3581</v>
      </c>
      <c r="AW93" s="99" t="s">
        <v>529</v>
      </c>
      <c r="AX93" s="99" t="s">
        <v>3420</v>
      </c>
      <c r="AY93" s="99" t="s">
        <v>252</v>
      </c>
      <c r="AZ93" s="99" t="s">
        <v>3416</v>
      </c>
      <c r="BA93" s="99" t="s">
        <v>3582</v>
      </c>
      <c r="BB93" s="99" t="s">
        <v>2660</v>
      </c>
      <c r="BC93" s="125">
        <v>51</v>
      </c>
      <c r="BD93" s="99" t="s">
        <v>3135</v>
      </c>
      <c r="BE93" s="99" t="s">
        <v>3136</v>
      </c>
    </row>
    <row r="94" spans="1:57" ht="12.95" customHeight="1">
      <c r="A94" s="124">
        <v>15</v>
      </c>
      <c r="B94" s="124">
        <v>2670</v>
      </c>
      <c r="C94" s="99" t="s">
        <v>165</v>
      </c>
      <c r="D94" s="99" t="s">
        <v>389</v>
      </c>
      <c r="E94" s="99" t="s">
        <v>2888</v>
      </c>
      <c r="F94" s="99" t="s">
        <v>495</v>
      </c>
      <c r="G94" s="99" t="s">
        <v>2659</v>
      </c>
      <c r="H94" s="99" t="s">
        <v>3635</v>
      </c>
      <c r="I94" s="99" t="s">
        <v>626</v>
      </c>
      <c r="J94" s="99" t="s">
        <v>644</v>
      </c>
      <c r="K94" s="99" t="s">
        <v>523</v>
      </c>
      <c r="L94" s="99" t="s">
        <v>645</v>
      </c>
      <c r="M94" s="99" t="s">
        <v>5</v>
      </c>
      <c r="N94" s="99" t="s">
        <v>3407</v>
      </c>
      <c r="O94" s="99" t="s">
        <v>114</v>
      </c>
      <c r="P94" s="99" t="s">
        <v>3422</v>
      </c>
      <c r="Q94" s="99" t="s">
        <v>169</v>
      </c>
      <c r="R94" s="99" t="s">
        <v>3571</v>
      </c>
      <c r="S94" s="99" t="s">
        <v>2648</v>
      </c>
      <c r="T94" s="99" t="s">
        <v>48</v>
      </c>
      <c r="U94" s="99" t="s">
        <v>3578</v>
      </c>
      <c r="V94" s="99" t="s">
        <v>534</v>
      </c>
      <c r="W94" s="99" t="s">
        <v>3639</v>
      </c>
      <c r="X94" s="99" t="s">
        <v>3639</v>
      </c>
      <c r="Y94" s="99" t="s">
        <v>3645</v>
      </c>
      <c r="Z94" s="99" t="s">
        <v>172</v>
      </c>
      <c r="AA94" s="99" t="s">
        <v>173</v>
      </c>
      <c r="AB94" s="99" t="s">
        <v>174</v>
      </c>
      <c r="AC94" s="99" t="s">
        <v>3411</v>
      </c>
      <c r="AD94" s="99" t="s">
        <v>175</v>
      </c>
      <c r="AE94" s="99" t="s">
        <v>3411</v>
      </c>
      <c r="AF94" s="99" t="s">
        <v>3411</v>
      </c>
      <c r="AG94" s="124">
        <v>2670</v>
      </c>
      <c r="AH94" s="99" t="s">
        <v>3413</v>
      </c>
      <c r="AI94" s="125">
        <v>100</v>
      </c>
      <c r="AJ94" s="99" t="s">
        <v>176</v>
      </c>
      <c r="AK94" s="99" t="s">
        <v>3639</v>
      </c>
      <c r="AL94" s="99" t="s">
        <v>3411</v>
      </c>
      <c r="AM94" s="99" t="s">
        <v>177</v>
      </c>
      <c r="AN94" s="99" t="s">
        <v>3411</v>
      </c>
      <c r="AO94" s="99" t="s">
        <v>178</v>
      </c>
      <c r="AP94" s="99" t="s">
        <v>2570</v>
      </c>
      <c r="AQ94" s="99" t="s">
        <v>3411</v>
      </c>
      <c r="AR94" s="99" t="s">
        <v>242</v>
      </c>
      <c r="AS94" s="99" t="s">
        <v>646</v>
      </c>
      <c r="AT94" s="99" t="s">
        <v>1</v>
      </c>
      <c r="AU94" s="99" t="s">
        <v>179</v>
      </c>
      <c r="AV94" s="99" t="s">
        <v>3414</v>
      </c>
      <c r="AW94" s="99" t="s">
        <v>180</v>
      </c>
      <c r="AX94" s="99" t="s">
        <v>3420</v>
      </c>
      <c r="AY94" s="99" t="s">
        <v>252</v>
      </c>
      <c r="AZ94" s="99" t="s">
        <v>3416</v>
      </c>
      <c r="BA94" s="99" t="s">
        <v>3582</v>
      </c>
      <c r="BB94" s="99" t="s">
        <v>2660</v>
      </c>
      <c r="BC94" s="125">
        <v>49</v>
      </c>
      <c r="BD94" s="99" t="s">
        <v>3135</v>
      </c>
      <c r="BE94" s="99" t="s">
        <v>3136</v>
      </c>
    </row>
    <row r="95" spans="1:57" ht="12.95" customHeight="1">
      <c r="A95" s="124">
        <v>15</v>
      </c>
      <c r="B95" s="124">
        <v>3122</v>
      </c>
      <c r="C95" s="99" t="s">
        <v>165</v>
      </c>
      <c r="D95" s="99" t="s">
        <v>389</v>
      </c>
      <c r="E95" s="99" t="s">
        <v>2888</v>
      </c>
      <c r="F95" s="99" t="s">
        <v>495</v>
      </c>
      <c r="G95" s="99" t="s">
        <v>2659</v>
      </c>
      <c r="H95" s="99" t="s">
        <v>3635</v>
      </c>
      <c r="I95" s="99" t="s">
        <v>626</v>
      </c>
      <c r="J95" s="99" t="s">
        <v>3085</v>
      </c>
      <c r="K95" s="99" t="s">
        <v>2472</v>
      </c>
      <c r="L95" s="99" t="s">
        <v>3086</v>
      </c>
      <c r="M95" s="99" t="s">
        <v>1</v>
      </c>
      <c r="N95" s="99" t="s">
        <v>3407</v>
      </c>
      <c r="O95" s="99" t="s">
        <v>114</v>
      </c>
      <c r="P95" s="99" t="s">
        <v>3646</v>
      </c>
      <c r="Q95" s="99" t="s">
        <v>169</v>
      </c>
      <c r="R95" s="99" t="s">
        <v>3571</v>
      </c>
      <c r="S95" s="99" t="s">
        <v>2648</v>
      </c>
      <c r="T95" s="99" t="s">
        <v>48</v>
      </c>
      <c r="U95" s="99" t="s">
        <v>3593</v>
      </c>
      <c r="V95" s="99" t="s">
        <v>3074</v>
      </c>
      <c r="W95" s="99" t="s">
        <v>3646</v>
      </c>
      <c r="X95" s="99" t="s">
        <v>3646</v>
      </c>
      <c r="Y95" s="99" t="s">
        <v>3647</v>
      </c>
      <c r="Z95" s="99" t="s">
        <v>172</v>
      </c>
      <c r="AA95" s="99" t="s">
        <v>173</v>
      </c>
      <c r="AB95" s="99" t="s">
        <v>174</v>
      </c>
      <c r="AC95" s="99" t="s">
        <v>3411</v>
      </c>
      <c r="AD95" s="99" t="s">
        <v>175</v>
      </c>
      <c r="AE95" s="99" t="s">
        <v>3411</v>
      </c>
      <c r="AF95" s="99" t="s">
        <v>3411</v>
      </c>
      <c r="AG95" s="124">
        <v>3122</v>
      </c>
      <c r="AH95" s="99" t="s">
        <v>3413</v>
      </c>
      <c r="AI95" s="125">
        <v>100</v>
      </c>
      <c r="AJ95" s="99" t="s">
        <v>176</v>
      </c>
      <c r="AK95" s="99" t="s">
        <v>3646</v>
      </c>
      <c r="AL95" s="99" t="s">
        <v>3411</v>
      </c>
      <c r="AM95" s="99" t="s">
        <v>177</v>
      </c>
      <c r="AN95" s="99" t="s">
        <v>3411</v>
      </c>
      <c r="AO95" s="99" t="s">
        <v>405</v>
      </c>
      <c r="AP95" s="99" t="s">
        <v>2570</v>
      </c>
      <c r="AQ95" s="99" t="s">
        <v>3411</v>
      </c>
      <c r="AR95" s="99" t="s">
        <v>242</v>
      </c>
      <c r="AS95" s="99" t="s">
        <v>3087</v>
      </c>
      <c r="AT95" s="99" t="s">
        <v>1</v>
      </c>
      <c r="AU95" s="99" t="s">
        <v>179</v>
      </c>
      <c r="AV95" s="99" t="s">
        <v>3581</v>
      </c>
      <c r="AW95" s="99" t="s">
        <v>529</v>
      </c>
      <c r="AX95" s="99" t="s">
        <v>3420</v>
      </c>
      <c r="AY95" s="99" t="s">
        <v>252</v>
      </c>
      <c r="AZ95" s="99" t="s">
        <v>3416</v>
      </c>
      <c r="BA95" s="99" t="s">
        <v>3582</v>
      </c>
      <c r="BB95" s="99" t="s">
        <v>2660</v>
      </c>
      <c r="BC95" s="125">
        <v>28</v>
      </c>
      <c r="BD95" s="99" t="s">
        <v>3135</v>
      </c>
      <c r="BE95" s="99" t="s">
        <v>3136</v>
      </c>
    </row>
    <row r="96" spans="1:57" ht="12.95" customHeight="1">
      <c r="A96" s="124">
        <v>15</v>
      </c>
      <c r="B96" s="124">
        <v>1566</v>
      </c>
      <c r="C96" s="99" t="s">
        <v>165</v>
      </c>
      <c r="D96" s="99" t="s">
        <v>389</v>
      </c>
      <c r="E96" s="99" t="s">
        <v>2888</v>
      </c>
      <c r="F96" s="99" t="s">
        <v>495</v>
      </c>
      <c r="G96" s="99" t="s">
        <v>2659</v>
      </c>
      <c r="H96" s="99" t="s">
        <v>3635</v>
      </c>
      <c r="I96" s="99" t="s">
        <v>626</v>
      </c>
      <c r="J96" s="99" t="s">
        <v>647</v>
      </c>
      <c r="K96" s="99" t="s">
        <v>527</v>
      </c>
      <c r="L96" s="99" t="s">
        <v>648</v>
      </c>
      <c r="M96" s="99" t="s">
        <v>5</v>
      </c>
      <c r="N96" s="99" t="s">
        <v>3407</v>
      </c>
      <c r="O96" s="99" t="s">
        <v>114</v>
      </c>
      <c r="P96" s="99" t="s">
        <v>3422</v>
      </c>
      <c r="Q96" s="99" t="s">
        <v>169</v>
      </c>
      <c r="R96" s="99" t="s">
        <v>3571</v>
      </c>
      <c r="S96" s="99" t="s">
        <v>2648</v>
      </c>
      <c r="T96" s="99" t="s">
        <v>48</v>
      </c>
      <c r="U96" s="99" t="s">
        <v>3578</v>
      </c>
      <c r="V96" s="99" t="s">
        <v>534</v>
      </c>
      <c r="W96" s="99" t="s">
        <v>3648</v>
      </c>
      <c r="X96" s="99" t="s">
        <v>3648</v>
      </c>
      <c r="Y96" s="99" t="s">
        <v>3649</v>
      </c>
      <c r="Z96" s="99" t="s">
        <v>172</v>
      </c>
      <c r="AA96" s="99" t="s">
        <v>173</v>
      </c>
      <c r="AB96" s="99" t="s">
        <v>174</v>
      </c>
      <c r="AC96" s="99" t="s">
        <v>3411</v>
      </c>
      <c r="AD96" s="99" t="s">
        <v>175</v>
      </c>
      <c r="AE96" s="99" t="s">
        <v>3411</v>
      </c>
      <c r="AF96" s="99" t="s">
        <v>3411</v>
      </c>
      <c r="AG96" s="124">
        <v>1236</v>
      </c>
      <c r="AH96" s="99" t="s">
        <v>3413</v>
      </c>
      <c r="AI96" s="125">
        <v>100</v>
      </c>
      <c r="AJ96" s="99" t="s">
        <v>176</v>
      </c>
      <c r="AK96" s="99" t="s">
        <v>3648</v>
      </c>
      <c r="AL96" s="99" t="s">
        <v>3411</v>
      </c>
      <c r="AM96" s="99" t="s">
        <v>177</v>
      </c>
      <c r="AN96" s="99" t="s">
        <v>3411</v>
      </c>
      <c r="AO96" s="99" t="s">
        <v>405</v>
      </c>
      <c r="AP96" s="99" t="s">
        <v>2570</v>
      </c>
      <c r="AQ96" s="99" t="s">
        <v>3411</v>
      </c>
      <c r="AR96" s="99" t="s">
        <v>242</v>
      </c>
      <c r="AS96" s="99" t="s">
        <v>649</v>
      </c>
      <c r="AT96" s="99" t="s">
        <v>1</v>
      </c>
      <c r="AU96" s="99" t="s">
        <v>179</v>
      </c>
      <c r="AV96" s="99" t="s">
        <v>3581</v>
      </c>
      <c r="AW96" s="99" t="s">
        <v>529</v>
      </c>
      <c r="AX96" s="99" t="s">
        <v>3420</v>
      </c>
      <c r="AY96" s="99" t="s">
        <v>252</v>
      </c>
      <c r="AZ96" s="99" t="s">
        <v>3416</v>
      </c>
      <c r="BA96" s="99" t="s">
        <v>3582</v>
      </c>
      <c r="BB96" s="99" t="s">
        <v>2660</v>
      </c>
      <c r="BC96" s="125">
        <v>52</v>
      </c>
      <c r="BD96" s="99" t="s">
        <v>3135</v>
      </c>
      <c r="BE96" s="99" t="s">
        <v>3136</v>
      </c>
    </row>
    <row r="97" spans="1:57" ht="12.95" customHeight="1">
      <c r="A97" s="124">
        <v>15</v>
      </c>
      <c r="B97" s="124">
        <v>599</v>
      </c>
      <c r="C97" s="99" t="s">
        <v>165</v>
      </c>
      <c r="D97" s="99" t="s">
        <v>389</v>
      </c>
      <c r="E97" s="99" t="s">
        <v>2888</v>
      </c>
      <c r="F97" s="99" t="s">
        <v>495</v>
      </c>
      <c r="G97" s="99" t="s">
        <v>2659</v>
      </c>
      <c r="H97" s="99" t="s">
        <v>3635</v>
      </c>
      <c r="I97" s="99" t="s">
        <v>626</v>
      </c>
      <c r="J97" s="99" t="s">
        <v>650</v>
      </c>
      <c r="K97" s="99" t="s">
        <v>370</v>
      </c>
      <c r="L97" s="99" t="s">
        <v>651</v>
      </c>
      <c r="M97" s="99" t="s">
        <v>5</v>
      </c>
      <c r="N97" s="99" t="s">
        <v>3407</v>
      </c>
      <c r="O97" s="99" t="s">
        <v>114</v>
      </c>
      <c r="P97" s="99" t="s">
        <v>3422</v>
      </c>
      <c r="Q97" s="99" t="s">
        <v>169</v>
      </c>
      <c r="R97" s="99" t="s">
        <v>3571</v>
      </c>
      <c r="S97" s="99" t="s">
        <v>2648</v>
      </c>
      <c r="T97" s="99" t="s">
        <v>48</v>
      </c>
      <c r="U97" s="99" t="s">
        <v>3578</v>
      </c>
      <c r="V97" s="99" t="s">
        <v>534</v>
      </c>
      <c r="W97" s="99" t="s">
        <v>3650</v>
      </c>
      <c r="X97" s="99" t="s">
        <v>3650</v>
      </c>
      <c r="Y97" s="99" t="s">
        <v>3651</v>
      </c>
      <c r="Z97" s="99" t="s">
        <v>172</v>
      </c>
      <c r="AA97" s="99" t="s">
        <v>173</v>
      </c>
      <c r="AB97" s="99" t="s">
        <v>174</v>
      </c>
      <c r="AC97" s="99" t="s">
        <v>3411</v>
      </c>
      <c r="AD97" s="99" t="s">
        <v>175</v>
      </c>
      <c r="AE97" s="99" t="s">
        <v>3411</v>
      </c>
      <c r="AF97" s="99" t="s">
        <v>3411</v>
      </c>
      <c r="AG97" s="124">
        <v>428</v>
      </c>
      <c r="AH97" s="99" t="s">
        <v>3413</v>
      </c>
      <c r="AI97" s="125">
        <v>100</v>
      </c>
      <c r="AJ97" s="99" t="s">
        <v>176</v>
      </c>
      <c r="AK97" s="99" t="s">
        <v>3650</v>
      </c>
      <c r="AL97" s="99" t="s">
        <v>3411</v>
      </c>
      <c r="AM97" s="99" t="s">
        <v>177</v>
      </c>
      <c r="AN97" s="99" t="s">
        <v>3411</v>
      </c>
      <c r="AO97" s="99" t="s">
        <v>405</v>
      </c>
      <c r="AP97" s="99" t="s">
        <v>2570</v>
      </c>
      <c r="AQ97" s="99" t="s">
        <v>3411</v>
      </c>
      <c r="AR97" s="99" t="s">
        <v>234</v>
      </c>
      <c r="AS97" s="99" t="s">
        <v>652</v>
      </c>
      <c r="AT97" s="99" t="s">
        <v>1</v>
      </c>
      <c r="AU97" s="99" t="s">
        <v>179</v>
      </c>
      <c r="AV97" s="99" t="s">
        <v>3581</v>
      </c>
      <c r="AW97" s="99" t="s">
        <v>529</v>
      </c>
      <c r="AX97" s="99" t="s">
        <v>3420</v>
      </c>
      <c r="AY97" s="99" t="s">
        <v>252</v>
      </c>
      <c r="AZ97" s="99" t="s">
        <v>3416</v>
      </c>
      <c r="BA97" s="99" t="s">
        <v>3582</v>
      </c>
      <c r="BB97" s="99" t="s">
        <v>2660</v>
      </c>
      <c r="BC97" s="125">
        <v>58</v>
      </c>
      <c r="BD97" s="99" t="s">
        <v>3135</v>
      </c>
      <c r="BE97" s="99" t="s">
        <v>3136</v>
      </c>
    </row>
    <row r="98" spans="1:57" ht="12.95" customHeight="1">
      <c r="A98" s="124">
        <v>15</v>
      </c>
      <c r="B98" s="124">
        <v>1760</v>
      </c>
      <c r="C98" s="99" t="s">
        <v>165</v>
      </c>
      <c r="D98" s="99" t="s">
        <v>389</v>
      </c>
      <c r="E98" s="99" t="s">
        <v>2888</v>
      </c>
      <c r="F98" s="99" t="s">
        <v>495</v>
      </c>
      <c r="G98" s="99" t="s">
        <v>2659</v>
      </c>
      <c r="H98" s="99" t="s">
        <v>3635</v>
      </c>
      <c r="I98" s="99" t="s">
        <v>626</v>
      </c>
      <c r="J98" s="99" t="s">
        <v>653</v>
      </c>
      <c r="K98" s="99" t="s">
        <v>654</v>
      </c>
      <c r="L98" s="99" t="s">
        <v>655</v>
      </c>
      <c r="M98" s="99" t="s">
        <v>5</v>
      </c>
      <c r="N98" s="99" t="s">
        <v>3407</v>
      </c>
      <c r="O98" s="99" t="s">
        <v>114</v>
      </c>
      <c r="P98" s="99" t="s">
        <v>3422</v>
      </c>
      <c r="Q98" s="99" t="s">
        <v>169</v>
      </c>
      <c r="R98" s="99" t="s">
        <v>3571</v>
      </c>
      <c r="S98" s="99" t="s">
        <v>2648</v>
      </c>
      <c r="T98" s="99" t="s">
        <v>48</v>
      </c>
      <c r="U98" s="99" t="s">
        <v>3578</v>
      </c>
      <c r="V98" s="99" t="s">
        <v>534</v>
      </c>
      <c r="W98" s="99" t="s">
        <v>3652</v>
      </c>
      <c r="X98" s="99" t="s">
        <v>3652</v>
      </c>
      <c r="Y98" s="99" t="s">
        <v>3653</v>
      </c>
      <c r="Z98" s="99" t="s">
        <v>172</v>
      </c>
      <c r="AA98" s="99" t="s">
        <v>173</v>
      </c>
      <c r="AB98" s="99" t="s">
        <v>174</v>
      </c>
      <c r="AC98" s="99" t="s">
        <v>3411</v>
      </c>
      <c r="AD98" s="99" t="s">
        <v>175</v>
      </c>
      <c r="AE98" s="99" t="s">
        <v>3411</v>
      </c>
      <c r="AF98" s="99" t="s">
        <v>3411</v>
      </c>
      <c r="AG98" s="124">
        <v>1391</v>
      </c>
      <c r="AH98" s="99" t="s">
        <v>3413</v>
      </c>
      <c r="AI98" s="125">
        <v>100</v>
      </c>
      <c r="AJ98" s="99" t="s">
        <v>176</v>
      </c>
      <c r="AK98" s="99" t="s">
        <v>3652</v>
      </c>
      <c r="AL98" s="99" t="s">
        <v>3411</v>
      </c>
      <c r="AM98" s="99" t="s">
        <v>177</v>
      </c>
      <c r="AN98" s="99" t="s">
        <v>3411</v>
      </c>
      <c r="AO98" s="99" t="s">
        <v>405</v>
      </c>
      <c r="AP98" s="99" t="s">
        <v>2570</v>
      </c>
      <c r="AQ98" s="99" t="s">
        <v>3411</v>
      </c>
      <c r="AR98" s="99" t="s">
        <v>242</v>
      </c>
      <c r="AS98" s="99" t="s">
        <v>656</v>
      </c>
      <c r="AT98" s="99" t="s">
        <v>1</v>
      </c>
      <c r="AU98" s="99" t="s">
        <v>179</v>
      </c>
      <c r="AV98" s="99" t="s">
        <v>3581</v>
      </c>
      <c r="AW98" s="99" t="s">
        <v>529</v>
      </c>
      <c r="AX98" s="99" t="s">
        <v>3420</v>
      </c>
      <c r="AY98" s="99" t="s">
        <v>252</v>
      </c>
      <c r="AZ98" s="99" t="s">
        <v>3416</v>
      </c>
      <c r="BA98" s="99" t="s">
        <v>3582</v>
      </c>
      <c r="BB98" s="99" t="s">
        <v>2660</v>
      </c>
      <c r="BC98" s="125">
        <v>58</v>
      </c>
      <c r="BD98" s="99" t="s">
        <v>3135</v>
      </c>
      <c r="BE98" s="99" t="s">
        <v>3136</v>
      </c>
    </row>
    <row r="99" spans="1:57" ht="12.95" customHeight="1">
      <c r="A99" s="124">
        <v>15</v>
      </c>
      <c r="B99" s="124">
        <v>845</v>
      </c>
      <c r="C99" s="99" t="s">
        <v>165</v>
      </c>
      <c r="D99" s="99" t="s">
        <v>389</v>
      </c>
      <c r="E99" s="99" t="s">
        <v>2888</v>
      </c>
      <c r="F99" s="99" t="s">
        <v>495</v>
      </c>
      <c r="G99" s="99" t="s">
        <v>2659</v>
      </c>
      <c r="H99" s="99" t="s">
        <v>3635</v>
      </c>
      <c r="I99" s="99" t="s">
        <v>626</v>
      </c>
      <c r="J99" s="99" t="s">
        <v>657</v>
      </c>
      <c r="K99" s="99" t="s">
        <v>255</v>
      </c>
      <c r="L99" s="99" t="s">
        <v>658</v>
      </c>
      <c r="M99" s="99" t="s">
        <v>5</v>
      </c>
      <c r="N99" s="99" t="s">
        <v>3407</v>
      </c>
      <c r="O99" s="99" t="s">
        <v>114</v>
      </c>
      <c r="P99" s="99" t="s">
        <v>3422</v>
      </c>
      <c r="Q99" s="99" t="s">
        <v>169</v>
      </c>
      <c r="R99" s="99" t="s">
        <v>3571</v>
      </c>
      <c r="S99" s="99" t="s">
        <v>2648</v>
      </c>
      <c r="T99" s="99" t="s">
        <v>48</v>
      </c>
      <c r="U99" s="99" t="s">
        <v>3578</v>
      </c>
      <c r="V99" s="99" t="s">
        <v>534</v>
      </c>
      <c r="W99" s="99" t="s">
        <v>3654</v>
      </c>
      <c r="X99" s="99" t="s">
        <v>3654</v>
      </c>
      <c r="Y99" s="99" t="s">
        <v>3655</v>
      </c>
      <c r="Z99" s="99" t="s">
        <v>172</v>
      </c>
      <c r="AA99" s="99" t="s">
        <v>173</v>
      </c>
      <c r="AB99" s="99" t="s">
        <v>174</v>
      </c>
      <c r="AC99" s="99" t="s">
        <v>3411</v>
      </c>
      <c r="AD99" s="99" t="s">
        <v>175</v>
      </c>
      <c r="AE99" s="99" t="s">
        <v>3411</v>
      </c>
      <c r="AF99" s="99" t="s">
        <v>3411</v>
      </c>
      <c r="AG99" s="124">
        <v>642</v>
      </c>
      <c r="AH99" s="99" t="s">
        <v>3413</v>
      </c>
      <c r="AI99" s="125">
        <v>100</v>
      </c>
      <c r="AJ99" s="99" t="s">
        <v>176</v>
      </c>
      <c r="AK99" s="99" t="s">
        <v>3654</v>
      </c>
      <c r="AL99" s="99" t="s">
        <v>3411</v>
      </c>
      <c r="AM99" s="99" t="s">
        <v>177</v>
      </c>
      <c r="AN99" s="99" t="s">
        <v>3411</v>
      </c>
      <c r="AO99" s="99" t="s">
        <v>405</v>
      </c>
      <c r="AP99" s="99" t="s">
        <v>2570</v>
      </c>
      <c r="AQ99" s="99" t="s">
        <v>3411</v>
      </c>
      <c r="AR99" s="99" t="s">
        <v>242</v>
      </c>
      <c r="AS99" s="99" t="s">
        <v>659</v>
      </c>
      <c r="AT99" s="99" t="s">
        <v>1</v>
      </c>
      <c r="AU99" s="99" t="s">
        <v>179</v>
      </c>
      <c r="AV99" s="99" t="s">
        <v>3581</v>
      </c>
      <c r="AW99" s="99" t="s">
        <v>529</v>
      </c>
      <c r="AX99" s="99" t="s">
        <v>3420</v>
      </c>
      <c r="AY99" s="99" t="s">
        <v>252</v>
      </c>
      <c r="AZ99" s="99" t="s">
        <v>3416</v>
      </c>
      <c r="BA99" s="99" t="s">
        <v>3582</v>
      </c>
      <c r="BB99" s="99" t="s">
        <v>2660</v>
      </c>
      <c r="BC99" s="125">
        <v>52</v>
      </c>
      <c r="BD99" s="99" t="s">
        <v>3135</v>
      </c>
      <c r="BE99" s="99" t="s">
        <v>3136</v>
      </c>
    </row>
    <row r="100" spans="1:57" ht="12.95" customHeight="1">
      <c r="A100" s="124">
        <v>15</v>
      </c>
      <c r="B100" s="124">
        <v>1004</v>
      </c>
      <c r="C100" s="99" t="s">
        <v>165</v>
      </c>
      <c r="D100" s="99" t="s">
        <v>389</v>
      </c>
      <c r="E100" s="99" t="s">
        <v>2888</v>
      </c>
      <c r="F100" s="99" t="s">
        <v>495</v>
      </c>
      <c r="G100" s="99" t="s">
        <v>2659</v>
      </c>
      <c r="H100" s="99" t="s">
        <v>3635</v>
      </c>
      <c r="I100" s="99" t="s">
        <v>626</v>
      </c>
      <c r="J100" s="99" t="s">
        <v>660</v>
      </c>
      <c r="K100" s="99" t="s">
        <v>661</v>
      </c>
      <c r="L100" s="99" t="s">
        <v>662</v>
      </c>
      <c r="M100" s="99" t="s">
        <v>5</v>
      </c>
      <c r="N100" s="99" t="s">
        <v>3407</v>
      </c>
      <c r="O100" s="99" t="s">
        <v>114</v>
      </c>
      <c r="P100" s="99" t="s">
        <v>3422</v>
      </c>
      <c r="Q100" s="99" t="s">
        <v>169</v>
      </c>
      <c r="R100" s="99" t="s">
        <v>3571</v>
      </c>
      <c r="S100" s="99" t="s">
        <v>2648</v>
      </c>
      <c r="T100" s="99" t="s">
        <v>48</v>
      </c>
      <c r="U100" s="99" t="s">
        <v>3578</v>
      </c>
      <c r="V100" s="99" t="s">
        <v>534</v>
      </c>
      <c r="W100" s="99" t="s">
        <v>3656</v>
      </c>
      <c r="X100" s="99" t="s">
        <v>3656</v>
      </c>
      <c r="Y100" s="99" t="s">
        <v>3657</v>
      </c>
      <c r="Z100" s="99" t="s">
        <v>172</v>
      </c>
      <c r="AA100" s="99" t="s">
        <v>173</v>
      </c>
      <c r="AB100" s="99" t="s">
        <v>174</v>
      </c>
      <c r="AC100" s="99" t="s">
        <v>3411</v>
      </c>
      <c r="AD100" s="99" t="s">
        <v>175</v>
      </c>
      <c r="AE100" s="99" t="s">
        <v>3411</v>
      </c>
      <c r="AF100" s="99" t="s">
        <v>3411</v>
      </c>
      <c r="AG100" s="124">
        <v>776</v>
      </c>
      <c r="AH100" s="99" t="s">
        <v>3413</v>
      </c>
      <c r="AI100" s="125">
        <v>100</v>
      </c>
      <c r="AJ100" s="99" t="s">
        <v>176</v>
      </c>
      <c r="AK100" s="99" t="s">
        <v>3656</v>
      </c>
      <c r="AL100" s="99" t="s">
        <v>3411</v>
      </c>
      <c r="AM100" s="99" t="s">
        <v>177</v>
      </c>
      <c r="AN100" s="99" t="s">
        <v>3411</v>
      </c>
      <c r="AO100" s="99" t="s">
        <v>405</v>
      </c>
      <c r="AP100" s="99" t="s">
        <v>2570</v>
      </c>
      <c r="AQ100" s="99" t="s">
        <v>3411</v>
      </c>
      <c r="AR100" s="99" t="s">
        <v>234</v>
      </c>
      <c r="AS100" s="99" t="s">
        <v>663</v>
      </c>
      <c r="AT100" s="99" t="s">
        <v>1</v>
      </c>
      <c r="AU100" s="99" t="s">
        <v>179</v>
      </c>
      <c r="AV100" s="99" t="s">
        <v>3581</v>
      </c>
      <c r="AW100" s="99" t="s">
        <v>529</v>
      </c>
      <c r="AX100" s="99" t="s">
        <v>3420</v>
      </c>
      <c r="AY100" s="99" t="s">
        <v>252</v>
      </c>
      <c r="AZ100" s="99" t="s">
        <v>3416</v>
      </c>
      <c r="BA100" s="99" t="s">
        <v>3582</v>
      </c>
      <c r="BB100" s="99" t="s">
        <v>2660</v>
      </c>
      <c r="BC100" s="125">
        <v>61</v>
      </c>
      <c r="BD100" s="99" t="s">
        <v>3135</v>
      </c>
      <c r="BE100" s="99" t="s">
        <v>3136</v>
      </c>
    </row>
    <row r="101" spans="1:57" ht="12.95" customHeight="1">
      <c r="A101" s="124">
        <v>15</v>
      </c>
      <c r="B101" s="124">
        <v>2247</v>
      </c>
      <c r="C101" s="99" t="s">
        <v>165</v>
      </c>
      <c r="D101" s="99" t="s">
        <v>389</v>
      </c>
      <c r="E101" s="99" t="s">
        <v>2888</v>
      </c>
      <c r="F101" s="99" t="s">
        <v>495</v>
      </c>
      <c r="G101" s="99" t="s">
        <v>2659</v>
      </c>
      <c r="H101" s="99" t="s">
        <v>3658</v>
      </c>
      <c r="I101" s="99" t="s">
        <v>664</v>
      </c>
      <c r="J101" s="99" t="s">
        <v>765</v>
      </c>
      <c r="K101" s="99" t="s">
        <v>766</v>
      </c>
      <c r="L101" s="99" t="s">
        <v>767</v>
      </c>
      <c r="M101" s="99" t="s">
        <v>5</v>
      </c>
      <c r="N101" s="99" t="s">
        <v>3407</v>
      </c>
      <c r="O101" s="99" t="s">
        <v>114</v>
      </c>
      <c r="P101" s="99" t="s">
        <v>3422</v>
      </c>
      <c r="Q101" s="99" t="s">
        <v>169</v>
      </c>
      <c r="R101" s="99" t="s">
        <v>3571</v>
      </c>
      <c r="S101" s="99" t="s">
        <v>2648</v>
      </c>
      <c r="T101" s="99" t="s">
        <v>48</v>
      </c>
      <c r="U101" s="99" t="s">
        <v>3578</v>
      </c>
      <c r="V101" s="99" t="s">
        <v>534</v>
      </c>
      <c r="W101" s="99" t="s">
        <v>3620</v>
      </c>
      <c r="X101" s="99" t="s">
        <v>3620</v>
      </c>
      <c r="Y101" s="99" t="s">
        <v>3659</v>
      </c>
      <c r="Z101" s="99" t="s">
        <v>172</v>
      </c>
      <c r="AA101" s="99" t="s">
        <v>173</v>
      </c>
      <c r="AB101" s="99" t="s">
        <v>174</v>
      </c>
      <c r="AC101" s="99" t="s">
        <v>3411</v>
      </c>
      <c r="AD101" s="99" t="s">
        <v>175</v>
      </c>
      <c r="AE101" s="99" t="s">
        <v>3411</v>
      </c>
      <c r="AF101" s="99" t="s">
        <v>3411</v>
      </c>
      <c r="AG101" s="124">
        <v>1683</v>
      </c>
      <c r="AH101" s="99" t="s">
        <v>3413</v>
      </c>
      <c r="AI101" s="125">
        <v>100</v>
      </c>
      <c r="AJ101" s="99" t="s">
        <v>176</v>
      </c>
      <c r="AK101" s="99" t="s">
        <v>3620</v>
      </c>
      <c r="AL101" s="99" t="s">
        <v>3411</v>
      </c>
      <c r="AM101" s="99" t="s">
        <v>177</v>
      </c>
      <c r="AN101" s="99" t="s">
        <v>3411</v>
      </c>
      <c r="AO101" s="99" t="s">
        <v>178</v>
      </c>
      <c r="AP101" s="99" t="s">
        <v>2570</v>
      </c>
      <c r="AQ101" s="99" t="s">
        <v>3411</v>
      </c>
      <c r="AR101" s="99" t="s">
        <v>242</v>
      </c>
      <c r="AS101" s="99" t="s">
        <v>768</v>
      </c>
      <c r="AT101" s="99" t="s">
        <v>1</v>
      </c>
      <c r="AU101" s="99" t="s">
        <v>179</v>
      </c>
      <c r="AV101" s="99" t="s">
        <v>3581</v>
      </c>
      <c r="AW101" s="99" t="s">
        <v>529</v>
      </c>
      <c r="AX101" s="99" t="s">
        <v>3420</v>
      </c>
      <c r="AY101" s="99" t="s">
        <v>252</v>
      </c>
      <c r="AZ101" s="99" t="s">
        <v>3416</v>
      </c>
      <c r="BA101" s="99" t="s">
        <v>3660</v>
      </c>
      <c r="BB101" s="99" t="s">
        <v>665</v>
      </c>
      <c r="BC101" s="125">
        <v>39</v>
      </c>
      <c r="BD101" s="99" t="s">
        <v>3135</v>
      </c>
      <c r="BE101" s="99" t="s">
        <v>3136</v>
      </c>
    </row>
    <row r="102" spans="1:57" ht="12.95" customHeight="1">
      <c r="A102" s="124">
        <v>15</v>
      </c>
      <c r="B102" s="124">
        <v>1670</v>
      </c>
      <c r="C102" s="99" t="s">
        <v>165</v>
      </c>
      <c r="D102" s="99" t="s">
        <v>389</v>
      </c>
      <c r="E102" s="99" t="s">
        <v>2888</v>
      </c>
      <c r="F102" s="99" t="s">
        <v>495</v>
      </c>
      <c r="G102" s="99" t="s">
        <v>2659</v>
      </c>
      <c r="H102" s="99" t="s">
        <v>3658</v>
      </c>
      <c r="I102" s="99" t="s">
        <v>664</v>
      </c>
      <c r="J102" s="99" t="s">
        <v>754</v>
      </c>
      <c r="K102" s="99" t="s">
        <v>230</v>
      </c>
      <c r="L102" s="99" t="s">
        <v>755</v>
      </c>
      <c r="M102" s="99" t="s">
        <v>5</v>
      </c>
      <c r="N102" s="99" t="s">
        <v>3407</v>
      </c>
      <c r="O102" s="99" t="s">
        <v>114</v>
      </c>
      <c r="P102" s="99" t="s">
        <v>3422</v>
      </c>
      <c r="Q102" s="99" t="s">
        <v>169</v>
      </c>
      <c r="R102" s="99" t="s">
        <v>3571</v>
      </c>
      <c r="S102" s="99" t="s">
        <v>2648</v>
      </c>
      <c r="T102" s="99" t="s">
        <v>48</v>
      </c>
      <c r="U102" s="99" t="s">
        <v>3578</v>
      </c>
      <c r="V102" s="99" t="s">
        <v>534</v>
      </c>
      <c r="W102" s="99" t="s">
        <v>3661</v>
      </c>
      <c r="X102" s="99" t="s">
        <v>3661</v>
      </c>
      <c r="Y102" s="99" t="s">
        <v>3662</v>
      </c>
      <c r="Z102" s="99" t="s">
        <v>172</v>
      </c>
      <c r="AA102" s="99" t="s">
        <v>173</v>
      </c>
      <c r="AB102" s="99" t="s">
        <v>174</v>
      </c>
      <c r="AC102" s="99" t="s">
        <v>3411</v>
      </c>
      <c r="AD102" s="99" t="s">
        <v>175</v>
      </c>
      <c r="AE102" s="99" t="s">
        <v>3411</v>
      </c>
      <c r="AF102" s="99" t="s">
        <v>3411</v>
      </c>
      <c r="AG102" s="124">
        <v>1330</v>
      </c>
      <c r="AH102" s="99" t="s">
        <v>3413</v>
      </c>
      <c r="AI102" s="125">
        <v>100</v>
      </c>
      <c r="AJ102" s="99" t="s">
        <v>176</v>
      </c>
      <c r="AK102" s="99" t="s">
        <v>3661</v>
      </c>
      <c r="AL102" s="99" t="s">
        <v>3411</v>
      </c>
      <c r="AM102" s="99" t="s">
        <v>177</v>
      </c>
      <c r="AN102" s="99" t="s">
        <v>3411</v>
      </c>
      <c r="AO102" s="99" t="s">
        <v>178</v>
      </c>
      <c r="AP102" s="99" t="s">
        <v>2570</v>
      </c>
      <c r="AQ102" s="99" t="s">
        <v>3411</v>
      </c>
      <c r="AR102" s="99" t="s">
        <v>242</v>
      </c>
      <c r="AS102" s="99" t="s">
        <v>756</v>
      </c>
      <c r="AT102" s="99" t="s">
        <v>1</v>
      </c>
      <c r="AU102" s="99" t="s">
        <v>179</v>
      </c>
      <c r="AV102" s="99" t="s">
        <v>3581</v>
      </c>
      <c r="AW102" s="99" t="s">
        <v>529</v>
      </c>
      <c r="AX102" s="99" t="s">
        <v>3420</v>
      </c>
      <c r="AY102" s="99" t="s">
        <v>252</v>
      </c>
      <c r="AZ102" s="99" t="s">
        <v>3416</v>
      </c>
      <c r="BA102" s="99" t="s">
        <v>3660</v>
      </c>
      <c r="BB102" s="99" t="s">
        <v>665</v>
      </c>
      <c r="BC102" s="125">
        <v>60</v>
      </c>
      <c r="BD102" s="99" t="s">
        <v>3135</v>
      </c>
      <c r="BE102" s="99" t="s">
        <v>3136</v>
      </c>
    </row>
    <row r="103" spans="1:57" ht="12.95" customHeight="1">
      <c r="A103" s="124">
        <v>15</v>
      </c>
      <c r="B103" s="124">
        <v>480</v>
      </c>
      <c r="C103" s="99" t="s">
        <v>165</v>
      </c>
      <c r="D103" s="99" t="s">
        <v>389</v>
      </c>
      <c r="E103" s="99" t="s">
        <v>2888</v>
      </c>
      <c r="F103" s="99" t="s">
        <v>495</v>
      </c>
      <c r="G103" s="99" t="s">
        <v>2659</v>
      </c>
      <c r="H103" s="99" t="s">
        <v>3658</v>
      </c>
      <c r="I103" s="99" t="s">
        <v>664</v>
      </c>
      <c r="J103" s="99" t="s">
        <v>666</v>
      </c>
      <c r="K103" s="99" t="s">
        <v>668</v>
      </c>
      <c r="L103" s="99" t="s">
        <v>669</v>
      </c>
      <c r="M103" s="99" t="s">
        <v>1</v>
      </c>
      <c r="N103" s="99" t="s">
        <v>3407</v>
      </c>
      <c r="O103" s="99" t="s">
        <v>114</v>
      </c>
      <c r="P103" s="99" t="s">
        <v>3422</v>
      </c>
      <c r="Q103" s="99" t="s">
        <v>169</v>
      </c>
      <c r="R103" s="99" t="s">
        <v>3571</v>
      </c>
      <c r="S103" s="99" t="s">
        <v>2648</v>
      </c>
      <c r="T103" s="99" t="s">
        <v>48</v>
      </c>
      <c r="U103" s="99" t="s">
        <v>3578</v>
      </c>
      <c r="V103" s="99" t="s">
        <v>534</v>
      </c>
      <c r="W103" s="99" t="s">
        <v>3663</v>
      </c>
      <c r="X103" s="99" t="s">
        <v>3664</v>
      </c>
      <c r="Y103" s="99" t="s">
        <v>3665</v>
      </c>
      <c r="Z103" s="99" t="s">
        <v>172</v>
      </c>
      <c r="AA103" s="99" t="s">
        <v>173</v>
      </c>
      <c r="AB103" s="99" t="s">
        <v>174</v>
      </c>
      <c r="AC103" s="99" t="s">
        <v>3411</v>
      </c>
      <c r="AD103" s="99" t="s">
        <v>175</v>
      </c>
      <c r="AE103" s="99" t="s">
        <v>3411</v>
      </c>
      <c r="AF103" s="99" t="s">
        <v>3411</v>
      </c>
      <c r="AG103" s="124">
        <v>342</v>
      </c>
      <c r="AH103" s="99" t="s">
        <v>3413</v>
      </c>
      <c r="AI103" s="125">
        <v>100</v>
      </c>
      <c r="AJ103" s="99" t="s">
        <v>176</v>
      </c>
      <c r="AK103" s="99" t="s">
        <v>3663</v>
      </c>
      <c r="AL103" s="99" t="s">
        <v>3411</v>
      </c>
      <c r="AM103" s="99" t="s">
        <v>177</v>
      </c>
      <c r="AN103" s="99" t="s">
        <v>3411</v>
      </c>
      <c r="AO103" s="99" t="s">
        <v>405</v>
      </c>
      <c r="AP103" s="99" t="s">
        <v>2570</v>
      </c>
      <c r="AQ103" s="99" t="s">
        <v>3411</v>
      </c>
      <c r="AR103" s="99" t="s">
        <v>242</v>
      </c>
      <c r="AS103" s="99" t="s">
        <v>670</v>
      </c>
      <c r="AT103" s="99" t="s">
        <v>1</v>
      </c>
      <c r="AU103" s="99" t="s">
        <v>179</v>
      </c>
      <c r="AV103" s="99" t="s">
        <v>3581</v>
      </c>
      <c r="AW103" s="99" t="s">
        <v>529</v>
      </c>
      <c r="AX103" s="99" t="s">
        <v>3420</v>
      </c>
      <c r="AY103" s="99" t="s">
        <v>252</v>
      </c>
      <c r="AZ103" s="99" t="s">
        <v>3416</v>
      </c>
      <c r="BA103" s="99" t="s">
        <v>3660</v>
      </c>
      <c r="BB103" s="99" t="s">
        <v>665</v>
      </c>
      <c r="BC103" s="125">
        <v>55</v>
      </c>
      <c r="BD103" s="99" t="s">
        <v>3135</v>
      </c>
      <c r="BE103" s="99" t="s">
        <v>3136</v>
      </c>
    </row>
    <row r="104" spans="1:57" ht="12.95" customHeight="1">
      <c r="A104" s="124">
        <v>15</v>
      </c>
      <c r="B104" s="124">
        <v>1970</v>
      </c>
      <c r="C104" s="99" t="s">
        <v>165</v>
      </c>
      <c r="D104" s="99" t="s">
        <v>389</v>
      </c>
      <c r="E104" s="99" t="s">
        <v>2888</v>
      </c>
      <c r="F104" s="99" t="s">
        <v>495</v>
      </c>
      <c r="G104" s="99" t="s">
        <v>2659</v>
      </c>
      <c r="H104" s="99" t="s">
        <v>3658</v>
      </c>
      <c r="I104" s="99" t="s">
        <v>664</v>
      </c>
      <c r="J104" s="99" t="s">
        <v>2306</v>
      </c>
      <c r="K104" s="99" t="s">
        <v>186</v>
      </c>
      <c r="L104" s="99" t="s">
        <v>2307</v>
      </c>
      <c r="M104" s="99" t="s">
        <v>5</v>
      </c>
      <c r="N104" s="99" t="s">
        <v>3407</v>
      </c>
      <c r="O104" s="99" t="s">
        <v>114</v>
      </c>
      <c r="P104" s="99" t="s">
        <v>3422</v>
      </c>
      <c r="Q104" s="99" t="s">
        <v>169</v>
      </c>
      <c r="R104" s="99" t="s">
        <v>3571</v>
      </c>
      <c r="S104" s="99" t="s">
        <v>2648</v>
      </c>
      <c r="T104" s="99" t="s">
        <v>48</v>
      </c>
      <c r="U104" s="99" t="s">
        <v>3578</v>
      </c>
      <c r="V104" s="99" t="s">
        <v>534</v>
      </c>
      <c r="W104" s="99" t="s">
        <v>3666</v>
      </c>
      <c r="X104" s="99" t="s">
        <v>3666</v>
      </c>
      <c r="Y104" s="99" t="s">
        <v>3667</v>
      </c>
      <c r="Z104" s="99" t="s">
        <v>172</v>
      </c>
      <c r="AA104" s="99" t="s">
        <v>173</v>
      </c>
      <c r="AB104" s="99" t="s">
        <v>174</v>
      </c>
      <c r="AC104" s="99" t="s">
        <v>3411</v>
      </c>
      <c r="AD104" s="99" t="s">
        <v>175</v>
      </c>
      <c r="AE104" s="99" t="s">
        <v>3411</v>
      </c>
      <c r="AF104" s="99" t="s">
        <v>3411</v>
      </c>
      <c r="AG104" s="124">
        <v>1536</v>
      </c>
      <c r="AH104" s="99" t="s">
        <v>3413</v>
      </c>
      <c r="AI104" s="125">
        <v>100</v>
      </c>
      <c r="AJ104" s="99" t="s">
        <v>176</v>
      </c>
      <c r="AK104" s="99" t="s">
        <v>3666</v>
      </c>
      <c r="AL104" s="99" t="s">
        <v>3411</v>
      </c>
      <c r="AM104" s="99" t="s">
        <v>177</v>
      </c>
      <c r="AN104" s="99" t="s">
        <v>3411</v>
      </c>
      <c r="AO104" s="99" t="s">
        <v>178</v>
      </c>
      <c r="AP104" s="99" t="s">
        <v>2570</v>
      </c>
      <c r="AQ104" s="99" t="s">
        <v>3411</v>
      </c>
      <c r="AR104" s="99" t="s">
        <v>242</v>
      </c>
      <c r="AS104" s="99" t="s">
        <v>2308</v>
      </c>
      <c r="AT104" s="99" t="s">
        <v>1</v>
      </c>
      <c r="AU104" s="99" t="s">
        <v>179</v>
      </c>
      <c r="AV104" s="99" t="s">
        <v>3581</v>
      </c>
      <c r="AW104" s="99" t="s">
        <v>529</v>
      </c>
      <c r="AX104" s="99" t="s">
        <v>3420</v>
      </c>
      <c r="AY104" s="99" t="s">
        <v>252</v>
      </c>
      <c r="AZ104" s="99" t="s">
        <v>3416</v>
      </c>
      <c r="BA104" s="99" t="s">
        <v>3660</v>
      </c>
      <c r="BB104" s="99" t="s">
        <v>665</v>
      </c>
      <c r="BC104" s="125">
        <v>46</v>
      </c>
      <c r="BD104" s="99" t="s">
        <v>3135</v>
      </c>
      <c r="BE104" s="99" t="s">
        <v>3136</v>
      </c>
    </row>
    <row r="105" spans="1:57" ht="12.95" customHeight="1">
      <c r="A105" s="124">
        <v>15</v>
      </c>
      <c r="B105" s="124">
        <v>1751</v>
      </c>
      <c r="C105" s="99" t="s">
        <v>165</v>
      </c>
      <c r="D105" s="99" t="s">
        <v>389</v>
      </c>
      <c r="E105" s="99" t="s">
        <v>2888</v>
      </c>
      <c r="F105" s="99" t="s">
        <v>495</v>
      </c>
      <c r="G105" s="99" t="s">
        <v>2659</v>
      </c>
      <c r="H105" s="99" t="s">
        <v>3658</v>
      </c>
      <c r="I105" s="99" t="s">
        <v>664</v>
      </c>
      <c r="J105" s="99" t="s">
        <v>672</v>
      </c>
      <c r="K105" s="99" t="s">
        <v>673</v>
      </c>
      <c r="L105" s="99" t="s">
        <v>674</v>
      </c>
      <c r="M105" s="99" t="s">
        <v>5</v>
      </c>
      <c r="N105" s="99" t="s">
        <v>3407</v>
      </c>
      <c r="O105" s="99" t="s">
        <v>114</v>
      </c>
      <c r="P105" s="99" t="s">
        <v>3422</v>
      </c>
      <c r="Q105" s="99" t="s">
        <v>169</v>
      </c>
      <c r="R105" s="99" t="s">
        <v>3571</v>
      </c>
      <c r="S105" s="99" t="s">
        <v>2648</v>
      </c>
      <c r="T105" s="99" t="s">
        <v>48</v>
      </c>
      <c r="U105" s="99" t="s">
        <v>3583</v>
      </c>
      <c r="V105" s="99" t="s">
        <v>513</v>
      </c>
      <c r="W105" s="99" t="s">
        <v>3668</v>
      </c>
      <c r="X105" s="99" t="s">
        <v>3668</v>
      </c>
      <c r="Y105" s="99" t="s">
        <v>3669</v>
      </c>
      <c r="Z105" s="99" t="s">
        <v>172</v>
      </c>
      <c r="AA105" s="99" t="s">
        <v>173</v>
      </c>
      <c r="AB105" s="99" t="s">
        <v>174</v>
      </c>
      <c r="AC105" s="99" t="s">
        <v>3411</v>
      </c>
      <c r="AD105" s="99" t="s">
        <v>175</v>
      </c>
      <c r="AE105" s="99" t="s">
        <v>3411</v>
      </c>
      <c r="AF105" s="99" t="s">
        <v>3411</v>
      </c>
      <c r="AG105" s="124">
        <v>1382</v>
      </c>
      <c r="AH105" s="99" t="s">
        <v>3413</v>
      </c>
      <c r="AI105" s="125">
        <v>100</v>
      </c>
      <c r="AJ105" s="99" t="s">
        <v>176</v>
      </c>
      <c r="AK105" s="99" t="s">
        <v>3668</v>
      </c>
      <c r="AL105" s="99" t="s">
        <v>3411</v>
      </c>
      <c r="AM105" s="99" t="s">
        <v>177</v>
      </c>
      <c r="AN105" s="99" t="s">
        <v>3411</v>
      </c>
      <c r="AO105" s="99" t="s">
        <v>405</v>
      </c>
      <c r="AP105" s="99" t="s">
        <v>2570</v>
      </c>
      <c r="AQ105" s="99" t="s">
        <v>3411</v>
      </c>
      <c r="AR105" s="99" t="s">
        <v>3411</v>
      </c>
      <c r="AS105" s="99" t="s">
        <v>675</v>
      </c>
      <c r="AT105" s="99" t="s">
        <v>1</v>
      </c>
      <c r="AU105" s="99" t="s">
        <v>179</v>
      </c>
      <c r="AV105" s="99" t="s">
        <v>3581</v>
      </c>
      <c r="AW105" s="99" t="s">
        <v>529</v>
      </c>
      <c r="AX105" s="99" t="s">
        <v>3420</v>
      </c>
      <c r="AY105" s="99" t="s">
        <v>252</v>
      </c>
      <c r="AZ105" s="99" t="s">
        <v>3416</v>
      </c>
      <c r="BA105" s="99" t="s">
        <v>3559</v>
      </c>
      <c r="BB105" s="99" t="s">
        <v>508</v>
      </c>
      <c r="BC105" s="125">
        <v>51</v>
      </c>
      <c r="BD105" s="99" t="s">
        <v>3135</v>
      </c>
      <c r="BE105" s="99" t="s">
        <v>3136</v>
      </c>
    </row>
    <row r="106" spans="1:57" ht="12.95" customHeight="1">
      <c r="A106" s="124">
        <v>15</v>
      </c>
      <c r="B106" s="124">
        <v>436</v>
      </c>
      <c r="C106" s="99" t="s">
        <v>165</v>
      </c>
      <c r="D106" s="99" t="s">
        <v>389</v>
      </c>
      <c r="E106" s="99" t="s">
        <v>2888</v>
      </c>
      <c r="F106" s="99" t="s">
        <v>495</v>
      </c>
      <c r="G106" s="99" t="s">
        <v>2659</v>
      </c>
      <c r="H106" s="99" t="s">
        <v>3658</v>
      </c>
      <c r="I106" s="99" t="s">
        <v>664</v>
      </c>
      <c r="J106" s="99" t="s">
        <v>676</v>
      </c>
      <c r="K106" s="99" t="s">
        <v>386</v>
      </c>
      <c r="L106" s="99" t="s">
        <v>677</v>
      </c>
      <c r="M106" s="99" t="s">
        <v>1</v>
      </c>
      <c r="N106" s="99" t="s">
        <v>3407</v>
      </c>
      <c r="O106" s="99" t="s">
        <v>114</v>
      </c>
      <c r="P106" s="99" t="s">
        <v>3422</v>
      </c>
      <c r="Q106" s="99" t="s">
        <v>169</v>
      </c>
      <c r="R106" s="99" t="s">
        <v>3571</v>
      </c>
      <c r="S106" s="99" t="s">
        <v>2648</v>
      </c>
      <c r="T106" s="99" t="s">
        <v>48</v>
      </c>
      <c r="U106" s="99" t="s">
        <v>3578</v>
      </c>
      <c r="V106" s="99" t="s">
        <v>534</v>
      </c>
      <c r="W106" s="99" t="s">
        <v>3670</v>
      </c>
      <c r="X106" s="99" t="s">
        <v>3670</v>
      </c>
      <c r="Y106" s="99" t="s">
        <v>3671</v>
      </c>
      <c r="Z106" s="99" t="s">
        <v>172</v>
      </c>
      <c r="AA106" s="99" t="s">
        <v>173</v>
      </c>
      <c r="AB106" s="99" t="s">
        <v>174</v>
      </c>
      <c r="AC106" s="99" t="s">
        <v>3411</v>
      </c>
      <c r="AD106" s="99" t="s">
        <v>175</v>
      </c>
      <c r="AE106" s="99" t="s">
        <v>3411</v>
      </c>
      <c r="AF106" s="99" t="s">
        <v>3411</v>
      </c>
      <c r="AG106" s="124">
        <v>316</v>
      </c>
      <c r="AH106" s="99" t="s">
        <v>3413</v>
      </c>
      <c r="AI106" s="125">
        <v>100</v>
      </c>
      <c r="AJ106" s="99" t="s">
        <v>176</v>
      </c>
      <c r="AK106" s="99" t="s">
        <v>3670</v>
      </c>
      <c r="AL106" s="99" t="s">
        <v>3411</v>
      </c>
      <c r="AM106" s="99" t="s">
        <v>177</v>
      </c>
      <c r="AN106" s="99" t="s">
        <v>3411</v>
      </c>
      <c r="AO106" s="99" t="s">
        <v>405</v>
      </c>
      <c r="AP106" s="99" t="s">
        <v>2570</v>
      </c>
      <c r="AQ106" s="99" t="s">
        <v>3411</v>
      </c>
      <c r="AR106" s="99" t="s">
        <v>242</v>
      </c>
      <c r="AS106" s="99" t="s">
        <v>678</v>
      </c>
      <c r="AT106" s="99" t="s">
        <v>1</v>
      </c>
      <c r="AU106" s="99" t="s">
        <v>179</v>
      </c>
      <c r="AV106" s="99" t="s">
        <v>3581</v>
      </c>
      <c r="AW106" s="99" t="s">
        <v>529</v>
      </c>
      <c r="AX106" s="99" t="s">
        <v>3420</v>
      </c>
      <c r="AY106" s="99" t="s">
        <v>252</v>
      </c>
      <c r="AZ106" s="99" t="s">
        <v>3416</v>
      </c>
      <c r="BA106" s="99" t="s">
        <v>3660</v>
      </c>
      <c r="BB106" s="99" t="s">
        <v>665</v>
      </c>
      <c r="BC106" s="125">
        <v>57</v>
      </c>
      <c r="BD106" s="99" t="s">
        <v>3135</v>
      </c>
      <c r="BE106" s="99" t="s">
        <v>3136</v>
      </c>
    </row>
    <row r="107" spans="1:57" ht="12.95" customHeight="1">
      <c r="A107" s="124">
        <v>15</v>
      </c>
      <c r="B107" s="124">
        <v>1669</v>
      </c>
      <c r="C107" s="99" t="s">
        <v>165</v>
      </c>
      <c r="D107" s="99" t="s">
        <v>389</v>
      </c>
      <c r="E107" s="99" t="s">
        <v>2888</v>
      </c>
      <c r="F107" s="99" t="s">
        <v>3175</v>
      </c>
      <c r="G107" s="99" t="s">
        <v>3176</v>
      </c>
      <c r="H107" s="99" t="s">
        <v>3672</v>
      </c>
      <c r="I107" s="99" t="s">
        <v>420</v>
      </c>
      <c r="J107" s="99" t="s">
        <v>421</v>
      </c>
      <c r="K107" s="99" t="s">
        <v>219</v>
      </c>
      <c r="L107" s="99" t="s">
        <v>422</v>
      </c>
      <c r="M107" s="99" t="s">
        <v>5</v>
      </c>
      <c r="N107" s="99" t="s">
        <v>3407</v>
      </c>
      <c r="O107" s="99" t="s">
        <v>114</v>
      </c>
      <c r="P107" s="99" t="s">
        <v>3422</v>
      </c>
      <c r="Q107" s="99" t="s">
        <v>169</v>
      </c>
      <c r="R107" s="99" t="s">
        <v>3409</v>
      </c>
      <c r="S107" s="99" t="s">
        <v>2636</v>
      </c>
      <c r="T107" s="99" t="s">
        <v>48</v>
      </c>
      <c r="U107" s="99" t="s">
        <v>410</v>
      </c>
      <c r="V107" s="99" t="s">
        <v>411</v>
      </c>
      <c r="W107" s="99" t="s">
        <v>3661</v>
      </c>
      <c r="X107" s="99" t="s">
        <v>3661</v>
      </c>
      <c r="Y107" s="99" t="s">
        <v>3673</v>
      </c>
      <c r="Z107" s="99" t="s">
        <v>172</v>
      </c>
      <c r="AA107" s="99" t="s">
        <v>173</v>
      </c>
      <c r="AB107" s="99" t="s">
        <v>174</v>
      </c>
      <c r="AC107" s="99" t="s">
        <v>3411</v>
      </c>
      <c r="AD107" s="99" t="s">
        <v>175</v>
      </c>
      <c r="AE107" s="99" t="s">
        <v>3411</v>
      </c>
      <c r="AF107" s="99" t="s">
        <v>3411</v>
      </c>
      <c r="AG107" s="124">
        <v>1329</v>
      </c>
      <c r="AH107" s="99" t="s">
        <v>3413</v>
      </c>
      <c r="AI107" s="125">
        <v>100</v>
      </c>
      <c r="AJ107" s="99" t="s">
        <v>176</v>
      </c>
      <c r="AK107" s="99" t="s">
        <v>3661</v>
      </c>
      <c r="AL107" s="99" t="s">
        <v>3411</v>
      </c>
      <c r="AM107" s="99" t="s">
        <v>177</v>
      </c>
      <c r="AN107" s="99" t="s">
        <v>3411</v>
      </c>
      <c r="AO107" s="99" t="s">
        <v>412</v>
      </c>
      <c r="AP107" s="99" t="s">
        <v>2570</v>
      </c>
      <c r="AQ107" s="99" t="s">
        <v>3411</v>
      </c>
      <c r="AR107" s="99" t="s">
        <v>242</v>
      </c>
      <c r="AS107" s="99" t="s">
        <v>423</v>
      </c>
      <c r="AT107" s="99" t="s">
        <v>1</v>
      </c>
      <c r="AU107" s="99" t="s">
        <v>179</v>
      </c>
      <c r="AV107" s="99" t="s">
        <v>3414</v>
      </c>
      <c r="AW107" s="99" t="s">
        <v>180</v>
      </c>
      <c r="AX107" s="99" t="s">
        <v>3420</v>
      </c>
      <c r="AY107" s="99" t="s">
        <v>252</v>
      </c>
      <c r="AZ107" s="99" t="s">
        <v>3416</v>
      </c>
      <c r="BA107" s="99" t="s">
        <v>3674</v>
      </c>
      <c r="BB107" s="99" t="s">
        <v>424</v>
      </c>
      <c r="BC107" s="125">
        <v>56</v>
      </c>
      <c r="BD107" s="99" t="s">
        <v>3135</v>
      </c>
      <c r="BE107" s="99" t="s">
        <v>3136</v>
      </c>
    </row>
    <row r="108" spans="1:57" ht="12.95" customHeight="1">
      <c r="A108" s="124">
        <v>15</v>
      </c>
      <c r="B108" s="124">
        <v>2158</v>
      </c>
      <c r="C108" s="99" t="s">
        <v>165</v>
      </c>
      <c r="D108" s="99" t="s">
        <v>389</v>
      </c>
      <c r="E108" s="99" t="s">
        <v>2888</v>
      </c>
      <c r="F108" s="99" t="s">
        <v>3175</v>
      </c>
      <c r="G108" s="99" t="s">
        <v>3176</v>
      </c>
      <c r="H108" s="99" t="s">
        <v>3672</v>
      </c>
      <c r="I108" s="99" t="s">
        <v>420</v>
      </c>
      <c r="J108" s="99" t="s">
        <v>425</v>
      </c>
      <c r="K108" s="99" t="s">
        <v>278</v>
      </c>
      <c r="L108" s="99" t="s">
        <v>426</v>
      </c>
      <c r="M108" s="99" t="s">
        <v>5</v>
      </c>
      <c r="N108" s="99" t="s">
        <v>3407</v>
      </c>
      <c r="O108" s="99" t="s">
        <v>114</v>
      </c>
      <c r="P108" s="99" t="s">
        <v>3422</v>
      </c>
      <c r="Q108" s="99" t="s">
        <v>169</v>
      </c>
      <c r="R108" s="99" t="s">
        <v>3409</v>
      </c>
      <c r="S108" s="99" t="s">
        <v>2636</v>
      </c>
      <c r="T108" s="99" t="s">
        <v>52</v>
      </c>
      <c r="U108" s="99" t="s">
        <v>427</v>
      </c>
      <c r="V108" s="99" t="s">
        <v>428</v>
      </c>
      <c r="W108" s="99" t="s">
        <v>3675</v>
      </c>
      <c r="X108" s="99" t="s">
        <v>3675</v>
      </c>
      <c r="Y108" s="99" t="s">
        <v>3676</v>
      </c>
      <c r="Z108" s="99" t="s">
        <v>172</v>
      </c>
      <c r="AA108" s="99" t="s">
        <v>173</v>
      </c>
      <c r="AB108" s="99" t="s">
        <v>174</v>
      </c>
      <c r="AC108" s="99" t="s">
        <v>3411</v>
      </c>
      <c r="AD108" s="99" t="s">
        <v>175</v>
      </c>
      <c r="AE108" s="99" t="s">
        <v>3411</v>
      </c>
      <c r="AF108" s="99" t="s">
        <v>3411</v>
      </c>
      <c r="AG108" s="124">
        <v>1627</v>
      </c>
      <c r="AH108" s="99" t="s">
        <v>3413</v>
      </c>
      <c r="AI108" s="125">
        <v>100</v>
      </c>
      <c r="AJ108" s="99" t="s">
        <v>176</v>
      </c>
      <c r="AK108" s="99" t="s">
        <v>3675</v>
      </c>
      <c r="AL108" s="99" t="s">
        <v>3411</v>
      </c>
      <c r="AM108" s="99" t="s">
        <v>3480</v>
      </c>
      <c r="AN108" s="99" t="s">
        <v>233</v>
      </c>
      <c r="AO108" s="99" t="s">
        <v>178</v>
      </c>
      <c r="AP108" s="99" t="s">
        <v>2570</v>
      </c>
      <c r="AQ108" s="99" t="s">
        <v>3411</v>
      </c>
      <c r="AR108" s="99" t="s">
        <v>3411</v>
      </c>
      <c r="AS108" s="99" t="s">
        <v>429</v>
      </c>
      <c r="AT108" s="99" t="s">
        <v>1</v>
      </c>
      <c r="AU108" s="99" t="s">
        <v>179</v>
      </c>
      <c r="AV108" s="99" t="s">
        <v>3414</v>
      </c>
      <c r="AW108" s="99" t="s">
        <v>180</v>
      </c>
      <c r="AX108" s="99" t="s">
        <v>3420</v>
      </c>
      <c r="AY108" s="99" t="s">
        <v>252</v>
      </c>
      <c r="AZ108" s="99" t="s">
        <v>3416</v>
      </c>
      <c r="BA108" s="99" t="s">
        <v>3539</v>
      </c>
      <c r="BB108" s="99" t="s">
        <v>396</v>
      </c>
      <c r="BC108" s="125">
        <v>46</v>
      </c>
      <c r="BD108" s="99" t="s">
        <v>3135</v>
      </c>
      <c r="BE108" s="99" t="s">
        <v>3136</v>
      </c>
    </row>
    <row r="109" spans="1:57" ht="12.95" customHeight="1">
      <c r="A109" s="124">
        <v>15</v>
      </c>
      <c r="B109" s="124">
        <v>1812</v>
      </c>
      <c r="C109" s="99" t="s">
        <v>165</v>
      </c>
      <c r="D109" s="99" t="s">
        <v>389</v>
      </c>
      <c r="E109" s="99" t="s">
        <v>2888</v>
      </c>
      <c r="F109" s="99" t="s">
        <v>3175</v>
      </c>
      <c r="G109" s="99" t="s">
        <v>3176</v>
      </c>
      <c r="H109" s="99" t="s">
        <v>3672</v>
      </c>
      <c r="I109" s="99" t="s">
        <v>420</v>
      </c>
      <c r="J109" s="99" t="s">
        <v>2281</v>
      </c>
      <c r="K109" s="99" t="s">
        <v>311</v>
      </c>
      <c r="L109" s="99" t="s">
        <v>2282</v>
      </c>
      <c r="M109" s="99" t="s">
        <v>1</v>
      </c>
      <c r="N109" s="99" t="s">
        <v>3407</v>
      </c>
      <c r="O109" s="99" t="s">
        <v>114</v>
      </c>
      <c r="P109" s="99" t="s">
        <v>3422</v>
      </c>
      <c r="Q109" s="99" t="s">
        <v>169</v>
      </c>
      <c r="R109" s="99" t="s">
        <v>3409</v>
      </c>
      <c r="S109" s="99" t="s">
        <v>2636</v>
      </c>
      <c r="T109" s="99" t="s">
        <v>52</v>
      </c>
      <c r="U109" s="99" t="s">
        <v>427</v>
      </c>
      <c r="V109" s="99" t="s">
        <v>428</v>
      </c>
      <c r="W109" s="99" t="s">
        <v>3677</v>
      </c>
      <c r="X109" s="99" t="s">
        <v>3677</v>
      </c>
      <c r="Y109" s="99" t="s">
        <v>3678</v>
      </c>
      <c r="Z109" s="99" t="s">
        <v>172</v>
      </c>
      <c r="AA109" s="99" t="s">
        <v>173</v>
      </c>
      <c r="AB109" s="99" t="s">
        <v>174</v>
      </c>
      <c r="AC109" s="99" t="s">
        <v>3411</v>
      </c>
      <c r="AD109" s="99" t="s">
        <v>175</v>
      </c>
      <c r="AE109" s="99" t="s">
        <v>3411</v>
      </c>
      <c r="AF109" s="99" t="s">
        <v>3411</v>
      </c>
      <c r="AG109" s="124">
        <v>1432</v>
      </c>
      <c r="AH109" s="99" t="s">
        <v>3413</v>
      </c>
      <c r="AI109" s="125">
        <v>100</v>
      </c>
      <c r="AJ109" s="99" t="s">
        <v>176</v>
      </c>
      <c r="AK109" s="99" t="s">
        <v>3677</v>
      </c>
      <c r="AL109" s="99" t="s">
        <v>3411</v>
      </c>
      <c r="AM109" s="99" t="s">
        <v>177</v>
      </c>
      <c r="AN109" s="99" t="s">
        <v>3411</v>
      </c>
      <c r="AO109" s="99" t="s">
        <v>178</v>
      </c>
      <c r="AP109" s="99" t="s">
        <v>2570</v>
      </c>
      <c r="AQ109" s="99" t="s">
        <v>3411</v>
      </c>
      <c r="AR109" s="99" t="s">
        <v>3411</v>
      </c>
      <c r="AS109" s="99" t="s">
        <v>2283</v>
      </c>
      <c r="AT109" s="99" t="s">
        <v>1</v>
      </c>
      <c r="AU109" s="99" t="s">
        <v>179</v>
      </c>
      <c r="AV109" s="99" t="s">
        <v>3414</v>
      </c>
      <c r="AW109" s="99" t="s">
        <v>180</v>
      </c>
      <c r="AX109" s="99" t="s">
        <v>3420</v>
      </c>
      <c r="AY109" s="99" t="s">
        <v>252</v>
      </c>
      <c r="AZ109" s="99" t="s">
        <v>3416</v>
      </c>
      <c r="BA109" s="99" t="s">
        <v>3674</v>
      </c>
      <c r="BB109" s="99" t="s">
        <v>424</v>
      </c>
      <c r="BC109" s="125">
        <v>55</v>
      </c>
      <c r="BD109" s="99" t="s">
        <v>3135</v>
      </c>
      <c r="BE109" s="99" t="s">
        <v>3136</v>
      </c>
    </row>
    <row r="110" spans="1:57" ht="12.95" customHeight="1">
      <c r="A110" s="124">
        <v>15</v>
      </c>
      <c r="B110" s="124">
        <v>2103</v>
      </c>
      <c r="C110" s="99" t="s">
        <v>165</v>
      </c>
      <c r="D110" s="99" t="s">
        <v>389</v>
      </c>
      <c r="E110" s="99" t="s">
        <v>2888</v>
      </c>
      <c r="F110" s="99" t="s">
        <v>3175</v>
      </c>
      <c r="G110" s="99" t="s">
        <v>3176</v>
      </c>
      <c r="H110" s="99" t="s">
        <v>3679</v>
      </c>
      <c r="I110" s="99" t="s">
        <v>430</v>
      </c>
      <c r="J110" s="99" t="s">
        <v>750</v>
      </c>
      <c r="K110" s="99" t="s">
        <v>751</v>
      </c>
      <c r="L110" s="99" t="s">
        <v>752</v>
      </c>
      <c r="M110" s="99" t="s">
        <v>1</v>
      </c>
      <c r="N110" s="99" t="s">
        <v>3407</v>
      </c>
      <c r="O110" s="99" t="s">
        <v>114</v>
      </c>
      <c r="P110" s="99" t="s">
        <v>3422</v>
      </c>
      <c r="Q110" s="99" t="s">
        <v>169</v>
      </c>
      <c r="R110" s="99" t="s">
        <v>3409</v>
      </c>
      <c r="S110" s="99" t="s">
        <v>2636</v>
      </c>
      <c r="T110" s="99" t="s">
        <v>48</v>
      </c>
      <c r="U110" s="99" t="s">
        <v>410</v>
      </c>
      <c r="V110" s="99" t="s">
        <v>411</v>
      </c>
      <c r="W110" s="99" t="s">
        <v>3467</v>
      </c>
      <c r="X110" s="99" t="s">
        <v>3467</v>
      </c>
      <c r="Y110" s="99" t="s">
        <v>3680</v>
      </c>
      <c r="Z110" s="99" t="s">
        <v>172</v>
      </c>
      <c r="AA110" s="99" t="s">
        <v>173</v>
      </c>
      <c r="AB110" s="99" t="s">
        <v>174</v>
      </c>
      <c r="AC110" s="99" t="s">
        <v>3411</v>
      </c>
      <c r="AD110" s="99" t="s">
        <v>175</v>
      </c>
      <c r="AE110" s="99" t="s">
        <v>3411</v>
      </c>
      <c r="AF110" s="99" t="s">
        <v>3411</v>
      </c>
      <c r="AG110" s="124">
        <v>1591</v>
      </c>
      <c r="AH110" s="99" t="s">
        <v>3413</v>
      </c>
      <c r="AI110" s="125">
        <v>100</v>
      </c>
      <c r="AJ110" s="99" t="s">
        <v>176</v>
      </c>
      <c r="AK110" s="99" t="s">
        <v>3681</v>
      </c>
      <c r="AL110" s="99" t="s">
        <v>3411</v>
      </c>
      <c r="AM110" s="99" t="s">
        <v>177</v>
      </c>
      <c r="AN110" s="99" t="s">
        <v>3411</v>
      </c>
      <c r="AO110" s="99" t="s">
        <v>178</v>
      </c>
      <c r="AP110" s="99" t="s">
        <v>2570</v>
      </c>
      <c r="AQ110" s="99" t="s">
        <v>3411</v>
      </c>
      <c r="AR110" s="99" t="s">
        <v>242</v>
      </c>
      <c r="AS110" s="99" t="s">
        <v>753</v>
      </c>
      <c r="AT110" s="99" t="s">
        <v>1</v>
      </c>
      <c r="AU110" s="99" t="s">
        <v>179</v>
      </c>
      <c r="AV110" s="99" t="s">
        <v>3414</v>
      </c>
      <c r="AW110" s="99" t="s">
        <v>180</v>
      </c>
      <c r="AX110" s="99" t="s">
        <v>3420</v>
      </c>
      <c r="AY110" s="99" t="s">
        <v>252</v>
      </c>
      <c r="AZ110" s="99" t="s">
        <v>3416</v>
      </c>
      <c r="BA110" s="99" t="s">
        <v>3674</v>
      </c>
      <c r="BB110" s="99" t="s">
        <v>424</v>
      </c>
      <c r="BC110" s="125">
        <v>53</v>
      </c>
      <c r="BD110" s="99" t="s">
        <v>3135</v>
      </c>
      <c r="BE110" s="99" t="s">
        <v>3136</v>
      </c>
    </row>
    <row r="111" spans="1:57" ht="12.95" customHeight="1">
      <c r="A111" s="124">
        <v>15</v>
      </c>
      <c r="B111" s="124">
        <v>1313</v>
      </c>
      <c r="C111" s="99" t="s">
        <v>165</v>
      </c>
      <c r="D111" s="99" t="s">
        <v>389</v>
      </c>
      <c r="E111" s="99" t="s">
        <v>2888</v>
      </c>
      <c r="F111" s="99" t="s">
        <v>3175</v>
      </c>
      <c r="G111" s="99" t="s">
        <v>3176</v>
      </c>
      <c r="H111" s="99" t="s">
        <v>3679</v>
      </c>
      <c r="I111" s="99" t="s">
        <v>430</v>
      </c>
      <c r="J111" s="99" t="s">
        <v>432</v>
      </c>
      <c r="K111" s="99" t="s">
        <v>433</v>
      </c>
      <c r="L111" s="99" t="s">
        <v>434</v>
      </c>
      <c r="M111" s="99" t="s">
        <v>5</v>
      </c>
      <c r="N111" s="99" t="s">
        <v>3407</v>
      </c>
      <c r="O111" s="99" t="s">
        <v>114</v>
      </c>
      <c r="P111" s="99" t="s">
        <v>3682</v>
      </c>
      <c r="Q111" s="99" t="s">
        <v>169</v>
      </c>
      <c r="R111" s="99" t="s">
        <v>3409</v>
      </c>
      <c r="S111" s="99" t="s">
        <v>2636</v>
      </c>
      <c r="T111" s="99" t="s">
        <v>48</v>
      </c>
      <c r="U111" s="99" t="s">
        <v>170</v>
      </c>
      <c r="V111" s="99" t="s">
        <v>171</v>
      </c>
      <c r="W111" s="99" t="s">
        <v>3683</v>
      </c>
      <c r="X111" s="99" t="s">
        <v>3683</v>
      </c>
      <c r="Y111" s="99" t="s">
        <v>3684</v>
      </c>
      <c r="Z111" s="99" t="s">
        <v>172</v>
      </c>
      <c r="AA111" s="99" t="s">
        <v>173</v>
      </c>
      <c r="AB111" s="99" t="s">
        <v>174</v>
      </c>
      <c r="AC111" s="99" t="s">
        <v>3411</v>
      </c>
      <c r="AD111" s="99" t="s">
        <v>175</v>
      </c>
      <c r="AE111" s="99" t="s">
        <v>3411</v>
      </c>
      <c r="AF111" s="99" t="s">
        <v>3411</v>
      </c>
      <c r="AG111" s="124">
        <v>1040</v>
      </c>
      <c r="AH111" s="99" t="s">
        <v>3413</v>
      </c>
      <c r="AI111" s="125">
        <v>100</v>
      </c>
      <c r="AJ111" s="99" t="s">
        <v>176</v>
      </c>
      <c r="AK111" s="99" t="s">
        <v>3683</v>
      </c>
      <c r="AL111" s="99" t="s">
        <v>3411</v>
      </c>
      <c r="AM111" s="99" t="s">
        <v>177</v>
      </c>
      <c r="AN111" s="99" t="s">
        <v>3411</v>
      </c>
      <c r="AO111" s="99" t="s">
        <v>403</v>
      </c>
      <c r="AP111" s="99" t="s">
        <v>2570</v>
      </c>
      <c r="AQ111" s="99" t="s">
        <v>3411</v>
      </c>
      <c r="AR111" s="99" t="s">
        <v>3411</v>
      </c>
      <c r="AS111" s="99" t="s">
        <v>435</v>
      </c>
      <c r="AT111" s="99" t="s">
        <v>1</v>
      </c>
      <c r="AU111" s="99" t="s">
        <v>179</v>
      </c>
      <c r="AV111" s="99" t="s">
        <v>3414</v>
      </c>
      <c r="AW111" s="99" t="s">
        <v>180</v>
      </c>
      <c r="AX111" s="99" t="s">
        <v>3420</v>
      </c>
      <c r="AY111" s="99" t="s">
        <v>252</v>
      </c>
      <c r="AZ111" s="99" t="s">
        <v>3416</v>
      </c>
      <c r="BA111" s="99" t="s">
        <v>3674</v>
      </c>
      <c r="BB111" s="99" t="s">
        <v>424</v>
      </c>
      <c r="BC111" s="125">
        <v>53</v>
      </c>
      <c r="BD111" s="99" t="s">
        <v>3135</v>
      </c>
      <c r="BE111" s="99" t="s">
        <v>3136</v>
      </c>
    </row>
    <row r="112" spans="1:57" ht="12.95" customHeight="1">
      <c r="A112" s="124">
        <v>15</v>
      </c>
      <c r="B112" s="124">
        <v>414</v>
      </c>
      <c r="C112" s="99" t="s">
        <v>165</v>
      </c>
      <c r="D112" s="99" t="s">
        <v>389</v>
      </c>
      <c r="E112" s="99" t="s">
        <v>2888</v>
      </c>
      <c r="F112" s="99" t="s">
        <v>3175</v>
      </c>
      <c r="G112" s="99" t="s">
        <v>3176</v>
      </c>
      <c r="H112" s="99" t="s">
        <v>3679</v>
      </c>
      <c r="I112" s="99" t="s">
        <v>430</v>
      </c>
      <c r="J112" s="99" t="s">
        <v>437</v>
      </c>
      <c r="K112" s="99" t="s">
        <v>438</v>
      </c>
      <c r="L112" s="99" t="s">
        <v>439</v>
      </c>
      <c r="M112" s="99" t="s">
        <v>1</v>
      </c>
      <c r="N112" s="99" t="s">
        <v>3407</v>
      </c>
      <c r="O112" s="99" t="s">
        <v>114</v>
      </c>
      <c r="P112" s="99" t="s">
        <v>3422</v>
      </c>
      <c r="Q112" s="99" t="s">
        <v>169</v>
      </c>
      <c r="R112" s="99" t="s">
        <v>3409</v>
      </c>
      <c r="S112" s="99" t="s">
        <v>2636</v>
      </c>
      <c r="T112" s="99" t="s">
        <v>48</v>
      </c>
      <c r="U112" s="99" t="s">
        <v>440</v>
      </c>
      <c r="V112" s="99" t="s">
        <v>441</v>
      </c>
      <c r="W112" s="99" t="s">
        <v>3685</v>
      </c>
      <c r="X112" s="99" t="s">
        <v>3685</v>
      </c>
      <c r="Y112" s="99" t="s">
        <v>3686</v>
      </c>
      <c r="Z112" s="99" t="s">
        <v>172</v>
      </c>
      <c r="AA112" s="99" t="s">
        <v>173</v>
      </c>
      <c r="AB112" s="99" t="s">
        <v>174</v>
      </c>
      <c r="AC112" s="99" t="s">
        <v>3411</v>
      </c>
      <c r="AD112" s="99" t="s">
        <v>175</v>
      </c>
      <c r="AE112" s="99" t="s">
        <v>3411</v>
      </c>
      <c r="AF112" s="99" t="s">
        <v>3411</v>
      </c>
      <c r="AG112" s="124">
        <v>297</v>
      </c>
      <c r="AH112" s="99" t="s">
        <v>3413</v>
      </c>
      <c r="AI112" s="125">
        <v>100</v>
      </c>
      <c r="AJ112" s="99" t="s">
        <v>176</v>
      </c>
      <c r="AK112" s="99" t="s">
        <v>3685</v>
      </c>
      <c r="AL112" s="99" t="s">
        <v>3411</v>
      </c>
      <c r="AM112" s="99" t="s">
        <v>177</v>
      </c>
      <c r="AN112" s="99" t="s">
        <v>3411</v>
      </c>
      <c r="AO112" s="99" t="s">
        <v>178</v>
      </c>
      <c r="AP112" s="99" t="s">
        <v>2570</v>
      </c>
      <c r="AQ112" s="99" t="s">
        <v>3411</v>
      </c>
      <c r="AR112" s="99" t="s">
        <v>242</v>
      </c>
      <c r="AS112" s="99" t="s">
        <v>442</v>
      </c>
      <c r="AT112" s="99" t="s">
        <v>235</v>
      </c>
      <c r="AU112" s="99" t="s">
        <v>236</v>
      </c>
      <c r="AV112" s="99" t="s">
        <v>3414</v>
      </c>
      <c r="AW112" s="99" t="s">
        <v>180</v>
      </c>
      <c r="AX112" s="99" t="s">
        <v>3420</v>
      </c>
      <c r="AY112" s="99" t="s">
        <v>252</v>
      </c>
      <c r="AZ112" s="99" t="s">
        <v>3416</v>
      </c>
      <c r="BA112" s="99" t="s">
        <v>3674</v>
      </c>
      <c r="BB112" s="99" t="s">
        <v>424</v>
      </c>
      <c r="BC112" s="125">
        <v>56</v>
      </c>
      <c r="BD112" s="99" t="s">
        <v>3135</v>
      </c>
      <c r="BE112" s="99" t="s">
        <v>3136</v>
      </c>
    </row>
    <row r="113" spans="1:57" ht="12.95" customHeight="1">
      <c r="A113" s="124">
        <v>15</v>
      </c>
      <c r="B113" s="124">
        <v>2876</v>
      </c>
      <c r="C113" s="99" t="s">
        <v>165</v>
      </c>
      <c r="D113" s="99" t="s">
        <v>389</v>
      </c>
      <c r="E113" s="99" t="s">
        <v>2888</v>
      </c>
      <c r="F113" s="99" t="s">
        <v>3175</v>
      </c>
      <c r="G113" s="99" t="s">
        <v>3176</v>
      </c>
      <c r="H113" s="99" t="s">
        <v>3687</v>
      </c>
      <c r="I113" s="99" t="s">
        <v>443</v>
      </c>
      <c r="J113" s="99" t="s">
        <v>408</v>
      </c>
      <c r="K113" s="99" t="s">
        <v>445</v>
      </c>
      <c r="L113" s="99" t="s">
        <v>446</v>
      </c>
      <c r="M113" s="99" t="s">
        <v>1</v>
      </c>
      <c r="N113" s="99" t="s">
        <v>3407</v>
      </c>
      <c r="O113" s="99" t="s">
        <v>114</v>
      </c>
      <c r="P113" s="99" t="s">
        <v>3422</v>
      </c>
      <c r="Q113" s="99" t="s">
        <v>169</v>
      </c>
      <c r="R113" s="99" t="s">
        <v>3409</v>
      </c>
      <c r="S113" s="99" t="s">
        <v>2636</v>
      </c>
      <c r="T113" s="99" t="s">
        <v>48</v>
      </c>
      <c r="U113" s="99" t="s">
        <v>170</v>
      </c>
      <c r="V113" s="99" t="s">
        <v>171</v>
      </c>
      <c r="W113" s="99" t="s">
        <v>3688</v>
      </c>
      <c r="X113" s="99" t="s">
        <v>3688</v>
      </c>
      <c r="Y113" s="99" t="s">
        <v>3689</v>
      </c>
      <c r="Z113" s="99" t="s">
        <v>172</v>
      </c>
      <c r="AA113" s="99" t="s">
        <v>173</v>
      </c>
      <c r="AB113" s="99" t="s">
        <v>174</v>
      </c>
      <c r="AC113" s="99" t="s">
        <v>3411</v>
      </c>
      <c r="AD113" s="99" t="s">
        <v>175</v>
      </c>
      <c r="AE113" s="99" t="s">
        <v>3411</v>
      </c>
      <c r="AF113" s="99" t="s">
        <v>3411</v>
      </c>
      <c r="AG113" s="124">
        <v>2876</v>
      </c>
      <c r="AH113" s="99" t="s">
        <v>3413</v>
      </c>
      <c r="AI113" s="125">
        <v>100</v>
      </c>
      <c r="AJ113" s="99" t="s">
        <v>176</v>
      </c>
      <c r="AK113" s="99" t="s">
        <v>3688</v>
      </c>
      <c r="AL113" s="99" t="s">
        <v>3411</v>
      </c>
      <c r="AM113" s="99" t="s">
        <v>177</v>
      </c>
      <c r="AN113" s="99" t="s">
        <v>3411</v>
      </c>
      <c r="AO113" s="99" t="s">
        <v>412</v>
      </c>
      <c r="AP113" s="99" t="s">
        <v>2570</v>
      </c>
      <c r="AQ113" s="99" t="s">
        <v>3411</v>
      </c>
      <c r="AR113" s="99" t="s">
        <v>3411</v>
      </c>
      <c r="AS113" s="99" t="s">
        <v>447</v>
      </c>
      <c r="AT113" s="99" t="s">
        <v>1</v>
      </c>
      <c r="AU113" s="99" t="s">
        <v>179</v>
      </c>
      <c r="AV113" s="99" t="s">
        <v>3414</v>
      </c>
      <c r="AW113" s="99" t="s">
        <v>180</v>
      </c>
      <c r="AX113" s="99" t="s">
        <v>3420</v>
      </c>
      <c r="AY113" s="99" t="s">
        <v>252</v>
      </c>
      <c r="AZ113" s="99" t="s">
        <v>3416</v>
      </c>
      <c r="BA113" s="99" t="s">
        <v>3674</v>
      </c>
      <c r="BB113" s="99" t="s">
        <v>424</v>
      </c>
      <c r="BC113" s="125">
        <v>38</v>
      </c>
      <c r="BD113" s="99" t="s">
        <v>3135</v>
      </c>
      <c r="BE113" s="99" t="s">
        <v>3136</v>
      </c>
    </row>
    <row r="114" spans="1:57" ht="12.95" customHeight="1">
      <c r="A114" s="124">
        <v>15</v>
      </c>
      <c r="B114" s="124">
        <v>744</v>
      </c>
      <c r="C114" s="99" t="s">
        <v>165</v>
      </c>
      <c r="D114" s="99" t="s">
        <v>389</v>
      </c>
      <c r="E114" s="99" t="s">
        <v>2888</v>
      </c>
      <c r="F114" s="99" t="s">
        <v>3175</v>
      </c>
      <c r="G114" s="99" t="s">
        <v>3176</v>
      </c>
      <c r="H114" s="99" t="s">
        <v>3690</v>
      </c>
      <c r="I114" s="99" t="s">
        <v>448</v>
      </c>
      <c r="J114" s="99" t="s">
        <v>449</v>
      </c>
      <c r="K114" s="99" t="s">
        <v>450</v>
      </c>
      <c r="L114" s="99" t="s">
        <v>451</v>
      </c>
      <c r="M114" s="99" t="s">
        <v>1</v>
      </c>
      <c r="N114" s="99" t="s">
        <v>3407</v>
      </c>
      <c r="O114" s="99" t="s">
        <v>114</v>
      </c>
      <c r="P114" s="99" t="s">
        <v>3422</v>
      </c>
      <c r="Q114" s="99" t="s">
        <v>169</v>
      </c>
      <c r="R114" s="99" t="s">
        <v>3571</v>
      </c>
      <c r="S114" s="99" t="s">
        <v>2648</v>
      </c>
      <c r="T114" s="99" t="s">
        <v>48</v>
      </c>
      <c r="U114" s="99" t="s">
        <v>3572</v>
      </c>
      <c r="V114" s="99" t="s">
        <v>404</v>
      </c>
      <c r="W114" s="99" t="s">
        <v>3691</v>
      </c>
      <c r="X114" s="99" t="s">
        <v>3691</v>
      </c>
      <c r="Y114" s="99" t="s">
        <v>3692</v>
      </c>
      <c r="Z114" s="99" t="s">
        <v>172</v>
      </c>
      <c r="AA114" s="99" t="s">
        <v>173</v>
      </c>
      <c r="AB114" s="99" t="s">
        <v>174</v>
      </c>
      <c r="AC114" s="99" t="s">
        <v>3411</v>
      </c>
      <c r="AD114" s="99" t="s">
        <v>175</v>
      </c>
      <c r="AE114" s="99" t="s">
        <v>3411</v>
      </c>
      <c r="AF114" s="99" t="s">
        <v>3411</v>
      </c>
      <c r="AG114" s="124">
        <v>555</v>
      </c>
      <c r="AH114" s="99" t="s">
        <v>3413</v>
      </c>
      <c r="AI114" s="125">
        <v>100</v>
      </c>
      <c r="AJ114" s="99" t="s">
        <v>176</v>
      </c>
      <c r="AK114" s="99" t="s">
        <v>3691</v>
      </c>
      <c r="AL114" s="99" t="s">
        <v>3411</v>
      </c>
      <c r="AM114" s="99" t="s">
        <v>177</v>
      </c>
      <c r="AN114" s="99" t="s">
        <v>3411</v>
      </c>
      <c r="AO114" s="99" t="s">
        <v>405</v>
      </c>
      <c r="AP114" s="99" t="s">
        <v>2570</v>
      </c>
      <c r="AQ114" s="99" t="s">
        <v>3411</v>
      </c>
      <c r="AR114" s="99" t="s">
        <v>3411</v>
      </c>
      <c r="AS114" s="99" t="s">
        <v>452</v>
      </c>
      <c r="AT114" s="99" t="s">
        <v>235</v>
      </c>
      <c r="AU114" s="99" t="s">
        <v>236</v>
      </c>
      <c r="AV114" s="99" t="s">
        <v>3570</v>
      </c>
      <c r="AW114" s="99" t="s">
        <v>406</v>
      </c>
      <c r="AX114" s="99" t="s">
        <v>3420</v>
      </c>
      <c r="AY114" s="99" t="s">
        <v>252</v>
      </c>
      <c r="AZ114" s="99" t="s">
        <v>3416</v>
      </c>
      <c r="BA114" s="99" t="s">
        <v>3674</v>
      </c>
      <c r="BB114" s="99" t="s">
        <v>424</v>
      </c>
      <c r="BC114" s="125">
        <v>57</v>
      </c>
      <c r="BD114" s="99" t="s">
        <v>3135</v>
      </c>
      <c r="BE114" s="99" t="s">
        <v>3136</v>
      </c>
    </row>
    <row r="115" spans="1:57" ht="12.95" customHeight="1">
      <c r="A115" s="124">
        <v>15</v>
      </c>
      <c r="B115" s="124">
        <v>800</v>
      </c>
      <c r="C115" s="99" t="s">
        <v>165</v>
      </c>
      <c r="D115" s="99" t="s">
        <v>389</v>
      </c>
      <c r="E115" s="99" t="s">
        <v>2888</v>
      </c>
      <c r="F115" s="99" t="s">
        <v>3175</v>
      </c>
      <c r="G115" s="99" t="s">
        <v>3176</v>
      </c>
      <c r="H115" s="99" t="s">
        <v>3690</v>
      </c>
      <c r="I115" s="99" t="s">
        <v>448</v>
      </c>
      <c r="J115" s="99" t="s">
        <v>453</v>
      </c>
      <c r="K115" s="99" t="s">
        <v>454</v>
      </c>
      <c r="L115" s="99" t="s">
        <v>455</v>
      </c>
      <c r="M115" s="99" t="s">
        <v>5</v>
      </c>
      <c r="N115" s="99" t="s">
        <v>3407</v>
      </c>
      <c r="O115" s="99" t="s">
        <v>114</v>
      </c>
      <c r="P115" s="99" t="s">
        <v>3422</v>
      </c>
      <c r="Q115" s="99" t="s">
        <v>169</v>
      </c>
      <c r="R115" s="99" t="s">
        <v>3571</v>
      </c>
      <c r="S115" s="99" t="s">
        <v>2648</v>
      </c>
      <c r="T115" s="99" t="s">
        <v>48</v>
      </c>
      <c r="U115" s="99" t="s">
        <v>3572</v>
      </c>
      <c r="V115" s="99" t="s">
        <v>404</v>
      </c>
      <c r="W115" s="99" t="s">
        <v>3693</v>
      </c>
      <c r="X115" s="99" t="s">
        <v>3693</v>
      </c>
      <c r="Y115" s="99" t="s">
        <v>3694</v>
      </c>
      <c r="Z115" s="99" t="s">
        <v>172</v>
      </c>
      <c r="AA115" s="99" t="s">
        <v>173</v>
      </c>
      <c r="AB115" s="99" t="s">
        <v>174</v>
      </c>
      <c r="AC115" s="99" t="s">
        <v>3411</v>
      </c>
      <c r="AD115" s="99" t="s">
        <v>175</v>
      </c>
      <c r="AE115" s="99" t="s">
        <v>3411</v>
      </c>
      <c r="AF115" s="99" t="s">
        <v>3411</v>
      </c>
      <c r="AG115" s="124">
        <v>604</v>
      </c>
      <c r="AH115" s="99" t="s">
        <v>3413</v>
      </c>
      <c r="AI115" s="125">
        <v>100</v>
      </c>
      <c r="AJ115" s="99" t="s">
        <v>176</v>
      </c>
      <c r="AK115" s="99" t="s">
        <v>3693</v>
      </c>
      <c r="AL115" s="99" t="s">
        <v>3411</v>
      </c>
      <c r="AM115" s="99" t="s">
        <v>177</v>
      </c>
      <c r="AN115" s="99" t="s">
        <v>3411</v>
      </c>
      <c r="AO115" s="99" t="s">
        <v>405</v>
      </c>
      <c r="AP115" s="99" t="s">
        <v>2570</v>
      </c>
      <c r="AQ115" s="99" t="s">
        <v>3411</v>
      </c>
      <c r="AR115" s="99" t="s">
        <v>242</v>
      </c>
      <c r="AS115" s="99" t="s">
        <v>456</v>
      </c>
      <c r="AT115" s="99" t="s">
        <v>235</v>
      </c>
      <c r="AU115" s="99" t="s">
        <v>236</v>
      </c>
      <c r="AV115" s="99" t="s">
        <v>3570</v>
      </c>
      <c r="AW115" s="99" t="s">
        <v>406</v>
      </c>
      <c r="AX115" s="99" t="s">
        <v>3420</v>
      </c>
      <c r="AY115" s="99" t="s">
        <v>252</v>
      </c>
      <c r="AZ115" s="99" t="s">
        <v>3416</v>
      </c>
      <c r="BA115" s="99" t="s">
        <v>3674</v>
      </c>
      <c r="BB115" s="99" t="s">
        <v>424</v>
      </c>
      <c r="BC115" s="125">
        <v>59</v>
      </c>
      <c r="BD115" s="99" t="s">
        <v>3135</v>
      </c>
      <c r="BE115" s="99" t="s">
        <v>3136</v>
      </c>
    </row>
    <row r="116" spans="1:57" ht="12.95" customHeight="1">
      <c r="A116" s="124">
        <v>15</v>
      </c>
      <c r="B116" s="124">
        <v>1882</v>
      </c>
      <c r="C116" s="99" t="s">
        <v>165</v>
      </c>
      <c r="D116" s="99" t="s">
        <v>389</v>
      </c>
      <c r="E116" s="99" t="s">
        <v>2888</v>
      </c>
      <c r="F116" s="99" t="s">
        <v>3177</v>
      </c>
      <c r="G116" s="99" t="s">
        <v>3178</v>
      </c>
      <c r="H116" s="99" t="s">
        <v>3695</v>
      </c>
      <c r="I116" s="99" t="s">
        <v>457</v>
      </c>
      <c r="J116" s="99" t="s">
        <v>458</v>
      </c>
      <c r="K116" s="99" t="s">
        <v>278</v>
      </c>
      <c r="L116" s="99" t="s">
        <v>459</v>
      </c>
      <c r="M116" s="99" t="s">
        <v>5</v>
      </c>
      <c r="N116" s="99" t="s">
        <v>3407</v>
      </c>
      <c r="O116" s="99" t="s">
        <v>114</v>
      </c>
      <c r="P116" s="99" t="s">
        <v>3422</v>
      </c>
      <c r="Q116" s="99" t="s">
        <v>169</v>
      </c>
      <c r="R116" s="99" t="s">
        <v>3409</v>
      </c>
      <c r="S116" s="99" t="s">
        <v>2636</v>
      </c>
      <c r="T116" s="99" t="s">
        <v>48</v>
      </c>
      <c r="U116" s="99" t="s">
        <v>184</v>
      </c>
      <c r="V116" s="99" t="s">
        <v>185</v>
      </c>
      <c r="W116" s="99" t="s">
        <v>3696</v>
      </c>
      <c r="X116" s="99" t="s">
        <v>3696</v>
      </c>
      <c r="Y116" s="99" t="s">
        <v>3697</v>
      </c>
      <c r="Z116" s="99" t="s">
        <v>172</v>
      </c>
      <c r="AA116" s="99" t="s">
        <v>173</v>
      </c>
      <c r="AB116" s="99" t="s">
        <v>174</v>
      </c>
      <c r="AC116" s="99" t="s">
        <v>3411</v>
      </c>
      <c r="AD116" s="99" t="s">
        <v>175</v>
      </c>
      <c r="AE116" s="99" t="s">
        <v>3411</v>
      </c>
      <c r="AF116" s="99" t="s">
        <v>3411</v>
      </c>
      <c r="AG116" s="124">
        <v>1491</v>
      </c>
      <c r="AH116" s="99" t="s">
        <v>3413</v>
      </c>
      <c r="AI116" s="125">
        <v>100</v>
      </c>
      <c r="AJ116" s="99" t="s">
        <v>176</v>
      </c>
      <c r="AK116" s="99" t="s">
        <v>3696</v>
      </c>
      <c r="AL116" s="99" t="s">
        <v>3411</v>
      </c>
      <c r="AM116" s="99" t="s">
        <v>177</v>
      </c>
      <c r="AN116" s="99" t="s">
        <v>3411</v>
      </c>
      <c r="AO116" s="99" t="s">
        <v>178</v>
      </c>
      <c r="AP116" s="99" t="s">
        <v>2570</v>
      </c>
      <c r="AQ116" s="99" t="s">
        <v>3411</v>
      </c>
      <c r="AR116" s="99" t="s">
        <v>3411</v>
      </c>
      <c r="AS116" s="99" t="s">
        <v>460</v>
      </c>
      <c r="AT116" s="99" t="s">
        <v>1</v>
      </c>
      <c r="AU116" s="99" t="s">
        <v>179</v>
      </c>
      <c r="AV116" s="99" t="s">
        <v>3414</v>
      </c>
      <c r="AW116" s="99" t="s">
        <v>180</v>
      </c>
      <c r="AX116" s="99" t="s">
        <v>3420</v>
      </c>
      <c r="AY116" s="99" t="s">
        <v>252</v>
      </c>
      <c r="AZ116" s="99" t="s">
        <v>3416</v>
      </c>
      <c r="BA116" s="99" t="s">
        <v>3698</v>
      </c>
      <c r="BB116" s="99" t="s">
        <v>461</v>
      </c>
      <c r="BC116" s="125">
        <v>50</v>
      </c>
      <c r="BD116" s="99" t="s">
        <v>3135</v>
      </c>
      <c r="BE116" s="99" t="s">
        <v>3136</v>
      </c>
    </row>
    <row r="117" spans="1:57" ht="12.95" customHeight="1">
      <c r="A117" s="124">
        <v>15</v>
      </c>
      <c r="B117" s="124">
        <v>1674</v>
      </c>
      <c r="C117" s="99" t="s">
        <v>165</v>
      </c>
      <c r="D117" s="99" t="s">
        <v>389</v>
      </c>
      <c r="E117" s="99" t="s">
        <v>2888</v>
      </c>
      <c r="F117" s="99" t="s">
        <v>3177</v>
      </c>
      <c r="G117" s="99" t="s">
        <v>3178</v>
      </c>
      <c r="H117" s="99" t="s">
        <v>3695</v>
      </c>
      <c r="I117" s="99" t="s">
        <v>457</v>
      </c>
      <c r="J117" s="99" t="s">
        <v>462</v>
      </c>
      <c r="K117" s="99" t="s">
        <v>271</v>
      </c>
      <c r="L117" s="99" t="s">
        <v>463</v>
      </c>
      <c r="M117" s="99" t="s">
        <v>1</v>
      </c>
      <c r="N117" s="99" t="s">
        <v>3407</v>
      </c>
      <c r="O117" s="99" t="s">
        <v>114</v>
      </c>
      <c r="P117" s="99" t="s">
        <v>3422</v>
      </c>
      <c r="Q117" s="99" t="s">
        <v>169</v>
      </c>
      <c r="R117" s="99" t="s">
        <v>3571</v>
      </c>
      <c r="S117" s="99" t="s">
        <v>2648</v>
      </c>
      <c r="T117" s="99" t="s">
        <v>48</v>
      </c>
      <c r="U117" s="99" t="s">
        <v>3572</v>
      </c>
      <c r="V117" s="99" t="s">
        <v>404</v>
      </c>
      <c r="W117" s="99" t="s">
        <v>3661</v>
      </c>
      <c r="X117" s="99" t="s">
        <v>3661</v>
      </c>
      <c r="Y117" s="99" t="s">
        <v>3699</v>
      </c>
      <c r="Z117" s="99" t="s">
        <v>172</v>
      </c>
      <c r="AA117" s="99" t="s">
        <v>173</v>
      </c>
      <c r="AB117" s="99" t="s">
        <v>174</v>
      </c>
      <c r="AC117" s="99" t="s">
        <v>3411</v>
      </c>
      <c r="AD117" s="99" t="s">
        <v>175</v>
      </c>
      <c r="AE117" s="99" t="s">
        <v>3411</v>
      </c>
      <c r="AF117" s="99" t="s">
        <v>3411</v>
      </c>
      <c r="AG117" s="124">
        <v>1334</v>
      </c>
      <c r="AH117" s="99" t="s">
        <v>3413</v>
      </c>
      <c r="AI117" s="125">
        <v>100</v>
      </c>
      <c r="AJ117" s="99" t="s">
        <v>176</v>
      </c>
      <c r="AK117" s="99" t="s">
        <v>3661</v>
      </c>
      <c r="AL117" s="99" t="s">
        <v>3411</v>
      </c>
      <c r="AM117" s="99" t="s">
        <v>177</v>
      </c>
      <c r="AN117" s="99" t="s">
        <v>3411</v>
      </c>
      <c r="AO117" s="99" t="s">
        <v>405</v>
      </c>
      <c r="AP117" s="99" t="s">
        <v>2570</v>
      </c>
      <c r="AQ117" s="99" t="s">
        <v>3411</v>
      </c>
      <c r="AR117" s="99" t="s">
        <v>242</v>
      </c>
      <c r="AS117" s="99" t="s">
        <v>464</v>
      </c>
      <c r="AT117" s="99" t="s">
        <v>235</v>
      </c>
      <c r="AU117" s="99" t="s">
        <v>236</v>
      </c>
      <c r="AV117" s="99" t="s">
        <v>3570</v>
      </c>
      <c r="AW117" s="99" t="s">
        <v>406</v>
      </c>
      <c r="AX117" s="99" t="s">
        <v>3420</v>
      </c>
      <c r="AY117" s="99" t="s">
        <v>252</v>
      </c>
      <c r="AZ117" s="99" t="s">
        <v>3416</v>
      </c>
      <c r="BA117" s="99" t="s">
        <v>3698</v>
      </c>
      <c r="BB117" s="99" t="s">
        <v>461</v>
      </c>
      <c r="BC117" s="125">
        <v>58</v>
      </c>
      <c r="BD117" s="99" t="s">
        <v>3135</v>
      </c>
      <c r="BE117" s="99" t="s">
        <v>3136</v>
      </c>
    </row>
    <row r="118" spans="1:57" ht="12.95" customHeight="1">
      <c r="A118" s="124">
        <v>15</v>
      </c>
      <c r="B118" s="124">
        <v>3070</v>
      </c>
      <c r="C118" s="99" t="s">
        <v>165</v>
      </c>
      <c r="D118" s="99" t="s">
        <v>389</v>
      </c>
      <c r="E118" s="99" t="s">
        <v>2888</v>
      </c>
      <c r="F118" s="99" t="s">
        <v>3177</v>
      </c>
      <c r="G118" s="99" t="s">
        <v>3178</v>
      </c>
      <c r="H118" s="99" t="s">
        <v>3695</v>
      </c>
      <c r="I118" s="99" t="s">
        <v>457</v>
      </c>
      <c r="J118" s="99" t="s">
        <v>2867</v>
      </c>
      <c r="K118" s="99" t="s">
        <v>278</v>
      </c>
      <c r="L118" s="99" t="s">
        <v>2868</v>
      </c>
      <c r="M118" s="99" t="s">
        <v>5</v>
      </c>
      <c r="N118" s="99" t="s">
        <v>3407</v>
      </c>
      <c r="O118" s="99" t="s">
        <v>114</v>
      </c>
      <c r="P118" s="99" t="s">
        <v>3700</v>
      </c>
      <c r="Q118" s="99" t="s">
        <v>169</v>
      </c>
      <c r="R118" s="99" t="s">
        <v>3409</v>
      </c>
      <c r="S118" s="99" t="s">
        <v>2636</v>
      </c>
      <c r="T118" s="99" t="s">
        <v>48</v>
      </c>
      <c r="U118" s="99" t="s">
        <v>440</v>
      </c>
      <c r="V118" s="99" t="s">
        <v>441</v>
      </c>
      <c r="W118" s="99" t="s">
        <v>3700</v>
      </c>
      <c r="X118" s="99" t="s">
        <v>3700</v>
      </c>
      <c r="Y118" s="99" t="s">
        <v>3701</v>
      </c>
      <c r="Z118" s="99" t="s">
        <v>172</v>
      </c>
      <c r="AA118" s="99" t="s">
        <v>173</v>
      </c>
      <c r="AB118" s="99" t="s">
        <v>174</v>
      </c>
      <c r="AC118" s="99" t="s">
        <v>3411</v>
      </c>
      <c r="AD118" s="99" t="s">
        <v>175</v>
      </c>
      <c r="AE118" s="99" t="s">
        <v>3411</v>
      </c>
      <c r="AF118" s="99" t="s">
        <v>3411</v>
      </c>
      <c r="AG118" s="124">
        <v>3070</v>
      </c>
      <c r="AH118" s="99" t="s">
        <v>3413</v>
      </c>
      <c r="AI118" s="125">
        <v>100</v>
      </c>
      <c r="AJ118" s="99" t="s">
        <v>176</v>
      </c>
      <c r="AK118" s="99" t="s">
        <v>3700</v>
      </c>
      <c r="AL118" s="99" t="s">
        <v>3411</v>
      </c>
      <c r="AM118" s="99" t="s">
        <v>177</v>
      </c>
      <c r="AN118" s="99" t="s">
        <v>3411</v>
      </c>
      <c r="AO118" s="99" t="s">
        <v>412</v>
      </c>
      <c r="AP118" s="99" t="s">
        <v>2570</v>
      </c>
      <c r="AQ118" s="99" t="s">
        <v>3411</v>
      </c>
      <c r="AR118" s="99" t="s">
        <v>3411</v>
      </c>
      <c r="AS118" s="99" t="s">
        <v>2869</v>
      </c>
      <c r="AT118" s="99" t="s">
        <v>235</v>
      </c>
      <c r="AU118" s="99" t="s">
        <v>236</v>
      </c>
      <c r="AV118" s="99" t="s">
        <v>3414</v>
      </c>
      <c r="AW118" s="99" t="s">
        <v>180</v>
      </c>
      <c r="AX118" s="99" t="s">
        <v>3420</v>
      </c>
      <c r="AY118" s="99" t="s">
        <v>252</v>
      </c>
      <c r="AZ118" s="99" t="s">
        <v>3416</v>
      </c>
      <c r="BA118" s="99" t="s">
        <v>3698</v>
      </c>
      <c r="BB118" s="99" t="s">
        <v>461</v>
      </c>
      <c r="BC118" s="125">
        <v>30</v>
      </c>
      <c r="BD118" s="99" t="s">
        <v>3135</v>
      </c>
      <c r="BE118" s="99" t="s">
        <v>3136</v>
      </c>
    </row>
    <row r="119" spans="1:57" ht="12.95" customHeight="1">
      <c r="A119" s="124">
        <v>15</v>
      </c>
      <c r="B119" s="124">
        <v>1695</v>
      </c>
      <c r="C119" s="99" t="s">
        <v>165</v>
      </c>
      <c r="D119" s="99" t="s">
        <v>389</v>
      </c>
      <c r="E119" s="99" t="s">
        <v>2888</v>
      </c>
      <c r="F119" s="99" t="s">
        <v>3177</v>
      </c>
      <c r="G119" s="99" t="s">
        <v>3178</v>
      </c>
      <c r="H119" s="99" t="s">
        <v>3695</v>
      </c>
      <c r="I119" s="99" t="s">
        <v>457</v>
      </c>
      <c r="J119" s="99" t="s">
        <v>465</v>
      </c>
      <c r="K119" s="99" t="s">
        <v>466</v>
      </c>
      <c r="L119" s="99" t="s">
        <v>467</v>
      </c>
      <c r="M119" s="99" t="s">
        <v>1</v>
      </c>
      <c r="N119" s="99" t="s">
        <v>3407</v>
      </c>
      <c r="O119" s="99" t="s">
        <v>114</v>
      </c>
      <c r="P119" s="99" t="s">
        <v>3422</v>
      </c>
      <c r="Q119" s="99" t="s">
        <v>169</v>
      </c>
      <c r="R119" s="99" t="s">
        <v>3409</v>
      </c>
      <c r="S119" s="99" t="s">
        <v>2636</v>
      </c>
      <c r="T119" s="99" t="s">
        <v>52</v>
      </c>
      <c r="U119" s="99" t="s">
        <v>427</v>
      </c>
      <c r="V119" s="99" t="s">
        <v>428</v>
      </c>
      <c r="W119" s="99" t="s">
        <v>3702</v>
      </c>
      <c r="X119" s="99" t="s">
        <v>3702</v>
      </c>
      <c r="Y119" s="99" t="s">
        <v>3703</v>
      </c>
      <c r="Z119" s="99" t="s">
        <v>172</v>
      </c>
      <c r="AA119" s="99" t="s">
        <v>173</v>
      </c>
      <c r="AB119" s="99" t="s">
        <v>174</v>
      </c>
      <c r="AC119" s="99" t="s">
        <v>3411</v>
      </c>
      <c r="AD119" s="99" t="s">
        <v>175</v>
      </c>
      <c r="AE119" s="99" t="s">
        <v>3411</v>
      </c>
      <c r="AF119" s="99" t="s">
        <v>3411</v>
      </c>
      <c r="AG119" s="124">
        <v>1351</v>
      </c>
      <c r="AH119" s="99" t="s">
        <v>3413</v>
      </c>
      <c r="AI119" s="125">
        <v>100</v>
      </c>
      <c r="AJ119" s="99" t="s">
        <v>176</v>
      </c>
      <c r="AK119" s="99" t="s">
        <v>3702</v>
      </c>
      <c r="AL119" s="99" t="s">
        <v>3411</v>
      </c>
      <c r="AM119" s="99" t="s">
        <v>177</v>
      </c>
      <c r="AN119" s="99" t="s">
        <v>3411</v>
      </c>
      <c r="AO119" s="99" t="s">
        <v>403</v>
      </c>
      <c r="AP119" s="99" t="s">
        <v>2570</v>
      </c>
      <c r="AQ119" s="99" t="s">
        <v>3411</v>
      </c>
      <c r="AR119" s="99" t="s">
        <v>3411</v>
      </c>
      <c r="AS119" s="99" t="s">
        <v>468</v>
      </c>
      <c r="AT119" s="99" t="s">
        <v>1</v>
      </c>
      <c r="AU119" s="99" t="s">
        <v>179</v>
      </c>
      <c r="AV119" s="99" t="s">
        <v>3414</v>
      </c>
      <c r="AW119" s="99" t="s">
        <v>180</v>
      </c>
      <c r="AX119" s="99" t="s">
        <v>3420</v>
      </c>
      <c r="AY119" s="99" t="s">
        <v>252</v>
      </c>
      <c r="AZ119" s="99" t="s">
        <v>3416</v>
      </c>
      <c r="BA119" s="99" t="s">
        <v>3539</v>
      </c>
      <c r="BB119" s="99" t="s">
        <v>396</v>
      </c>
      <c r="BC119" s="125">
        <v>57</v>
      </c>
      <c r="BD119" s="99" t="s">
        <v>3135</v>
      </c>
      <c r="BE119" s="99" t="s">
        <v>3136</v>
      </c>
    </row>
    <row r="120" spans="1:57" ht="12.95" customHeight="1">
      <c r="A120" s="124">
        <v>15</v>
      </c>
      <c r="B120" s="124">
        <v>2616</v>
      </c>
      <c r="C120" s="99" t="s">
        <v>165</v>
      </c>
      <c r="D120" s="99" t="s">
        <v>389</v>
      </c>
      <c r="E120" s="99" t="s">
        <v>2888</v>
      </c>
      <c r="F120" s="99" t="s">
        <v>3180</v>
      </c>
      <c r="G120" s="99" t="s">
        <v>3174</v>
      </c>
      <c r="H120" s="99" t="s">
        <v>481</v>
      </c>
      <c r="I120" s="99" t="s">
        <v>482</v>
      </c>
      <c r="J120" s="99" t="s">
        <v>484</v>
      </c>
      <c r="K120" s="99" t="s">
        <v>485</v>
      </c>
      <c r="L120" s="99" t="s">
        <v>486</v>
      </c>
      <c r="M120" s="99" t="s">
        <v>1</v>
      </c>
      <c r="N120" s="99" t="s">
        <v>3407</v>
      </c>
      <c r="O120" s="99" t="s">
        <v>114</v>
      </c>
      <c r="P120" s="99" t="s">
        <v>3422</v>
      </c>
      <c r="Q120" s="99" t="s">
        <v>169</v>
      </c>
      <c r="R120" s="99" t="s">
        <v>3409</v>
      </c>
      <c r="S120" s="99" t="s">
        <v>2636</v>
      </c>
      <c r="T120" s="99" t="s">
        <v>48</v>
      </c>
      <c r="U120" s="99" t="s">
        <v>184</v>
      </c>
      <c r="V120" s="99" t="s">
        <v>185</v>
      </c>
      <c r="W120" s="99" t="s">
        <v>3704</v>
      </c>
      <c r="X120" s="99" t="s">
        <v>3704</v>
      </c>
      <c r="Y120" s="99" t="s">
        <v>3705</v>
      </c>
      <c r="Z120" s="99" t="s">
        <v>172</v>
      </c>
      <c r="AA120" s="99" t="s">
        <v>173</v>
      </c>
      <c r="AB120" s="99" t="s">
        <v>174</v>
      </c>
      <c r="AC120" s="99" t="s">
        <v>3411</v>
      </c>
      <c r="AD120" s="99" t="s">
        <v>175</v>
      </c>
      <c r="AE120" s="99" t="s">
        <v>3411</v>
      </c>
      <c r="AF120" s="99" t="s">
        <v>3411</v>
      </c>
      <c r="AG120" s="124">
        <v>2616</v>
      </c>
      <c r="AH120" s="99" t="s">
        <v>3706</v>
      </c>
      <c r="AI120" s="125">
        <v>87.5</v>
      </c>
      <c r="AJ120" s="99" t="s">
        <v>3284</v>
      </c>
      <c r="AK120" s="99" t="s">
        <v>3707</v>
      </c>
      <c r="AL120" s="99" t="s">
        <v>3708</v>
      </c>
      <c r="AM120" s="99" t="s">
        <v>177</v>
      </c>
      <c r="AN120" s="99" t="s">
        <v>3411</v>
      </c>
      <c r="AO120" s="99" t="s">
        <v>178</v>
      </c>
      <c r="AP120" s="99" t="s">
        <v>2570</v>
      </c>
      <c r="AQ120" s="99" t="s">
        <v>3411</v>
      </c>
      <c r="AR120" s="99" t="s">
        <v>3411</v>
      </c>
      <c r="AS120" s="99" t="s">
        <v>487</v>
      </c>
      <c r="AT120" s="99" t="s">
        <v>1</v>
      </c>
      <c r="AU120" s="99" t="s">
        <v>179</v>
      </c>
      <c r="AV120" s="99" t="s">
        <v>3414</v>
      </c>
      <c r="AW120" s="99" t="s">
        <v>180</v>
      </c>
      <c r="AX120" s="99" t="s">
        <v>3420</v>
      </c>
      <c r="AY120" s="99" t="s">
        <v>252</v>
      </c>
      <c r="AZ120" s="99" t="s">
        <v>3416</v>
      </c>
      <c r="BA120" s="99" t="s">
        <v>3709</v>
      </c>
      <c r="BB120" s="99" t="s">
        <v>2743</v>
      </c>
      <c r="BC120" s="125">
        <v>40</v>
      </c>
      <c r="BD120" s="99" t="s">
        <v>3135</v>
      </c>
      <c r="BE120" s="99" t="s">
        <v>3136</v>
      </c>
    </row>
    <row r="121" spans="1:57" ht="12.95" customHeight="1">
      <c r="A121" s="124">
        <v>15</v>
      </c>
      <c r="B121" s="124">
        <v>3058</v>
      </c>
      <c r="C121" s="99" t="s">
        <v>165</v>
      </c>
      <c r="D121" s="99" t="s">
        <v>389</v>
      </c>
      <c r="E121" s="99" t="s">
        <v>2888</v>
      </c>
      <c r="F121" s="99" t="s">
        <v>3180</v>
      </c>
      <c r="G121" s="99" t="s">
        <v>3174</v>
      </c>
      <c r="H121" s="99" t="s">
        <v>481</v>
      </c>
      <c r="I121" s="99" t="s">
        <v>482</v>
      </c>
      <c r="J121" s="99" t="s">
        <v>2653</v>
      </c>
      <c r="K121" s="99" t="s">
        <v>634</v>
      </c>
      <c r="L121" s="99" t="s">
        <v>2654</v>
      </c>
      <c r="M121" s="99" t="s">
        <v>1</v>
      </c>
      <c r="N121" s="99" t="s">
        <v>3407</v>
      </c>
      <c r="O121" s="99" t="s">
        <v>114</v>
      </c>
      <c r="P121" s="99" t="s">
        <v>3710</v>
      </c>
      <c r="Q121" s="99" t="s">
        <v>169</v>
      </c>
      <c r="R121" s="99" t="s">
        <v>3409</v>
      </c>
      <c r="S121" s="99" t="s">
        <v>2636</v>
      </c>
      <c r="T121" s="99" t="s">
        <v>48</v>
      </c>
      <c r="U121" s="99" t="s">
        <v>440</v>
      </c>
      <c r="V121" s="99" t="s">
        <v>441</v>
      </c>
      <c r="W121" s="99" t="s">
        <v>3710</v>
      </c>
      <c r="X121" s="99" t="s">
        <v>3710</v>
      </c>
      <c r="Y121" s="99" t="s">
        <v>3711</v>
      </c>
      <c r="Z121" s="99" t="s">
        <v>172</v>
      </c>
      <c r="AA121" s="99" t="s">
        <v>173</v>
      </c>
      <c r="AB121" s="99" t="s">
        <v>174</v>
      </c>
      <c r="AC121" s="99" t="s">
        <v>3411</v>
      </c>
      <c r="AD121" s="99" t="s">
        <v>175</v>
      </c>
      <c r="AE121" s="99" t="s">
        <v>3411</v>
      </c>
      <c r="AF121" s="99" t="s">
        <v>3411</v>
      </c>
      <c r="AG121" s="124">
        <v>3058</v>
      </c>
      <c r="AH121" s="99" t="s">
        <v>3413</v>
      </c>
      <c r="AI121" s="125">
        <v>100</v>
      </c>
      <c r="AJ121" s="99" t="s">
        <v>176</v>
      </c>
      <c r="AK121" s="99" t="s">
        <v>3710</v>
      </c>
      <c r="AL121" s="99" t="s">
        <v>3411</v>
      </c>
      <c r="AM121" s="99" t="s">
        <v>177</v>
      </c>
      <c r="AN121" s="99" t="s">
        <v>3411</v>
      </c>
      <c r="AO121" s="99" t="s">
        <v>412</v>
      </c>
      <c r="AP121" s="99" t="s">
        <v>2570</v>
      </c>
      <c r="AQ121" s="99" t="s">
        <v>3411</v>
      </c>
      <c r="AR121" s="99" t="s">
        <v>3411</v>
      </c>
      <c r="AS121" s="99" t="s">
        <v>2655</v>
      </c>
      <c r="AT121" s="99" t="s">
        <v>1</v>
      </c>
      <c r="AU121" s="99" t="s">
        <v>179</v>
      </c>
      <c r="AV121" s="99" t="s">
        <v>3414</v>
      </c>
      <c r="AW121" s="99" t="s">
        <v>180</v>
      </c>
      <c r="AX121" s="99" t="s">
        <v>3420</v>
      </c>
      <c r="AY121" s="99" t="s">
        <v>252</v>
      </c>
      <c r="AZ121" s="99" t="s">
        <v>3416</v>
      </c>
      <c r="BA121" s="99" t="s">
        <v>3709</v>
      </c>
      <c r="BB121" s="99" t="s">
        <v>2743</v>
      </c>
      <c r="BC121" s="125">
        <v>32</v>
      </c>
      <c r="BD121" s="99" t="s">
        <v>3135</v>
      </c>
      <c r="BE121" s="99" t="s">
        <v>3136</v>
      </c>
    </row>
    <row r="122" spans="1:57" ht="12.95" customHeight="1">
      <c r="A122" s="124">
        <v>15</v>
      </c>
      <c r="B122" s="124">
        <v>3117</v>
      </c>
      <c r="C122" s="99" t="s">
        <v>165</v>
      </c>
      <c r="D122" s="99" t="s">
        <v>389</v>
      </c>
      <c r="E122" s="99" t="s">
        <v>2888</v>
      </c>
      <c r="F122" s="99" t="s">
        <v>3180</v>
      </c>
      <c r="G122" s="99" t="s">
        <v>3174</v>
      </c>
      <c r="H122" s="99" t="s">
        <v>481</v>
      </c>
      <c r="I122" s="99" t="s">
        <v>482</v>
      </c>
      <c r="J122" s="99" t="s">
        <v>3069</v>
      </c>
      <c r="K122" s="99" t="s">
        <v>489</v>
      </c>
      <c r="L122" s="99" t="s">
        <v>3070</v>
      </c>
      <c r="M122" s="99" t="s">
        <v>5</v>
      </c>
      <c r="N122" s="99" t="s">
        <v>3407</v>
      </c>
      <c r="O122" s="99" t="s">
        <v>114</v>
      </c>
      <c r="P122" s="99" t="s">
        <v>3712</v>
      </c>
      <c r="Q122" s="99" t="s">
        <v>169</v>
      </c>
      <c r="R122" s="99" t="s">
        <v>3409</v>
      </c>
      <c r="S122" s="99" t="s">
        <v>2636</v>
      </c>
      <c r="T122" s="99" t="s">
        <v>48</v>
      </c>
      <c r="U122" s="99" t="s">
        <v>184</v>
      </c>
      <c r="V122" s="99" t="s">
        <v>185</v>
      </c>
      <c r="W122" s="99" t="s">
        <v>3712</v>
      </c>
      <c r="X122" s="99" t="s">
        <v>3712</v>
      </c>
      <c r="Y122" s="99" t="s">
        <v>3713</v>
      </c>
      <c r="Z122" s="99" t="s">
        <v>172</v>
      </c>
      <c r="AA122" s="99" t="s">
        <v>173</v>
      </c>
      <c r="AB122" s="99" t="s">
        <v>174</v>
      </c>
      <c r="AC122" s="99" t="s">
        <v>3411</v>
      </c>
      <c r="AD122" s="99" t="s">
        <v>175</v>
      </c>
      <c r="AE122" s="99" t="s">
        <v>3411</v>
      </c>
      <c r="AF122" s="99" t="s">
        <v>3411</v>
      </c>
      <c r="AG122" s="124">
        <v>3117</v>
      </c>
      <c r="AH122" s="99" t="s">
        <v>3413</v>
      </c>
      <c r="AI122" s="125">
        <v>100</v>
      </c>
      <c r="AJ122" s="99" t="s">
        <v>176</v>
      </c>
      <c r="AK122" s="99" t="s">
        <v>3712</v>
      </c>
      <c r="AL122" s="99" t="s">
        <v>3411</v>
      </c>
      <c r="AM122" s="99" t="s">
        <v>177</v>
      </c>
      <c r="AN122" s="99" t="s">
        <v>3411</v>
      </c>
      <c r="AO122" s="99" t="s">
        <v>412</v>
      </c>
      <c r="AP122" s="99" t="s">
        <v>2570</v>
      </c>
      <c r="AQ122" s="99" t="s">
        <v>3411</v>
      </c>
      <c r="AR122" s="99" t="s">
        <v>3411</v>
      </c>
      <c r="AS122" s="99" t="s">
        <v>3071</v>
      </c>
      <c r="AT122" s="99" t="s">
        <v>1</v>
      </c>
      <c r="AU122" s="99" t="s">
        <v>179</v>
      </c>
      <c r="AV122" s="99" t="s">
        <v>3414</v>
      </c>
      <c r="AW122" s="99" t="s">
        <v>180</v>
      </c>
      <c r="AX122" s="99" t="s">
        <v>3420</v>
      </c>
      <c r="AY122" s="99" t="s">
        <v>252</v>
      </c>
      <c r="AZ122" s="99" t="s">
        <v>3416</v>
      </c>
      <c r="BA122" s="99" t="s">
        <v>3709</v>
      </c>
      <c r="BB122" s="99" t="s">
        <v>2743</v>
      </c>
      <c r="BC122" s="125">
        <v>42</v>
      </c>
      <c r="BD122" s="99" t="s">
        <v>3135</v>
      </c>
      <c r="BE122" s="99" t="s">
        <v>3136</v>
      </c>
    </row>
    <row r="123" spans="1:57" ht="12.95" customHeight="1">
      <c r="A123" s="124">
        <v>15</v>
      </c>
      <c r="B123" s="124">
        <v>3106</v>
      </c>
      <c r="C123" s="99" t="s">
        <v>165</v>
      </c>
      <c r="D123" s="99" t="s">
        <v>389</v>
      </c>
      <c r="E123" s="99" t="s">
        <v>2888</v>
      </c>
      <c r="F123" s="99" t="s">
        <v>3180</v>
      </c>
      <c r="G123" s="99" t="s">
        <v>3174</v>
      </c>
      <c r="H123" s="99" t="s">
        <v>481</v>
      </c>
      <c r="I123" s="99" t="s">
        <v>482</v>
      </c>
      <c r="J123" s="99" t="s">
        <v>3026</v>
      </c>
      <c r="K123" s="99" t="s">
        <v>212</v>
      </c>
      <c r="L123" s="99" t="s">
        <v>3027</v>
      </c>
      <c r="M123" s="99" t="s">
        <v>1</v>
      </c>
      <c r="N123" s="99" t="s">
        <v>3407</v>
      </c>
      <c r="O123" s="99" t="s">
        <v>114</v>
      </c>
      <c r="P123" s="99" t="s">
        <v>3714</v>
      </c>
      <c r="Q123" s="99" t="s">
        <v>169</v>
      </c>
      <c r="R123" s="99" t="s">
        <v>3409</v>
      </c>
      <c r="S123" s="99" t="s">
        <v>2636</v>
      </c>
      <c r="T123" s="99" t="s">
        <v>48</v>
      </c>
      <c r="U123" s="99" t="s">
        <v>170</v>
      </c>
      <c r="V123" s="99" t="s">
        <v>171</v>
      </c>
      <c r="W123" s="99" t="s">
        <v>3714</v>
      </c>
      <c r="X123" s="99" t="s">
        <v>3714</v>
      </c>
      <c r="Y123" s="99" t="s">
        <v>3715</v>
      </c>
      <c r="Z123" s="99" t="s">
        <v>172</v>
      </c>
      <c r="AA123" s="99" t="s">
        <v>173</v>
      </c>
      <c r="AB123" s="99" t="s">
        <v>174</v>
      </c>
      <c r="AC123" s="99" t="s">
        <v>3411</v>
      </c>
      <c r="AD123" s="99" t="s">
        <v>175</v>
      </c>
      <c r="AE123" s="99" t="s">
        <v>3411</v>
      </c>
      <c r="AF123" s="99" t="s">
        <v>3411</v>
      </c>
      <c r="AG123" s="124">
        <v>3106</v>
      </c>
      <c r="AH123" s="99" t="s">
        <v>3413</v>
      </c>
      <c r="AI123" s="125">
        <v>100</v>
      </c>
      <c r="AJ123" s="99" t="s">
        <v>176</v>
      </c>
      <c r="AK123" s="99" t="s">
        <v>3714</v>
      </c>
      <c r="AL123" s="99" t="s">
        <v>3411</v>
      </c>
      <c r="AM123" s="99" t="s">
        <v>177</v>
      </c>
      <c r="AN123" s="99" t="s">
        <v>3411</v>
      </c>
      <c r="AO123" s="99" t="s">
        <v>412</v>
      </c>
      <c r="AP123" s="99" t="s">
        <v>2570</v>
      </c>
      <c r="AQ123" s="99" t="s">
        <v>3411</v>
      </c>
      <c r="AR123" s="99" t="s">
        <v>242</v>
      </c>
      <c r="AS123" s="99" t="s">
        <v>3028</v>
      </c>
      <c r="AT123" s="99" t="s">
        <v>1</v>
      </c>
      <c r="AU123" s="99" t="s">
        <v>179</v>
      </c>
      <c r="AV123" s="99" t="s">
        <v>3414</v>
      </c>
      <c r="AW123" s="99" t="s">
        <v>180</v>
      </c>
      <c r="AX123" s="99" t="s">
        <v>3420</v>
      </c>
      <c r="AY123" s="99" t="s">
        <v>252</v>
      </c>
      <c r="AZ123" s="99" t="s">
        <v>3416</v>
      </c>
      <c r="BA123" s="99" t="s">
        <v>3709</v>
      </c>
      <c r="BB123" s="99" t="s">
        <v>2743</v>
      </c>
      <c r="BC123" s="125">
        <v>40</v>
      </c>
      <c r="BD123" s="99" t="s">
        <v>3135</v>
      </c>
      <c r="BE123" s="99" t="s">
        <v>3136</v>
      </c>
    </row>
    <row r="124" spans="1:57" ht="12.95" customHeight="1">
      <c r="A124" s="124">
        <v>15</v>
      </c>
      <c r="B124" s="124">
        <v>1844</v>
      </c>
      <c r="C124" s="99" t="s">
        <v>165</v>
      </c>
      <c r="D124" s="99" t="s">
        <v>389</v>
      </c>
      <c r="E124" s="99" t="s">
        <v>2888</v>
      </c>
      <c r="F124" s="99" t="s">
        <v>3180</v>
      </c>
      <c r="G124" s="99" t="s">
        <v>3174</v>
      </c>
      <c r="H124" s="99" t="s">
        <v>481</v>
      </c>
      <c r="I124" s="99" t="s">
        <v>482</v>
      </c>
      <c r="J124" s="99" t="s">
        <v>488</v>
      </c>
      <c r="K124" s="99" t="s">
        <v>489</v>
      </c>
      <c r="L124" s="99" t="s">
        <v>490</v>
      </c>
      <c r="M124" s="99" t="s">
        <v>5</v>
      </c>
      <c r="N124" s="99" t="s">
        <v>3407</v>
      </c>
      <c r="O124" s="99" t="s">
        <v>114</v>
      </c>
      <c r="P124" s="99" t="s">
        <v>3422</v>
      </c>
      <c r="Q124" s="99" t="s">
        <v>169</v>
      </c>
      <c r="R124" s="99" t="s">
        <v>3409</v>
      </c>
      <c r="S124" s="99" t="s">
        <v>2636</v>
      </c>
      <c r="T124" s="99" t="s">
        <v>52</v>
      </c>
      <c r="U124" s="99" t="s">
        <v>427</v>
      </c>
      <c r="V124" s="99" t="s">
        <v>428</v>
      </c>
      <c r="W124" s="99" t="s">
        <v>3563</v>
      </c>
      <c r="X124" s="99" t="s">
        <v>3716</v>
      </c>
      <c r="Y124" s="99" t="s">
        <v>3717</v>
      </c>
      <c r="Z124" s="99" t="s">
        <v>172</v>
      </c>
      <c r="AA124" s="99" t="s">
        <v>173</v>
      </c>
      <c r="AB124" s="99" t="s">
        <v>400</v>
      </c>
      <c r="AC124" s="99" t="s">
        <v>3411</v>
      </c>
      <c r="AD124" s="99" t="s">
        <v>175</v>
      </c>
      <c r="AE124" s="99" t="s">
        <v>3411</v>
      </c>
      <c r="AF124" s="99" t="s">
        <v>3411</v>
      </c>
      <c r="AG124" s="124">
        <v>1464</v>
      </c>
      <c r="AH124" s="99" t="s">
        <v>3413</v>
      </c>
      <c r="AI124" s="125">
        <v>100</v>
      </c>
      <c r="AJ124" s="99" t="s">
        <v>176</v>
      </c>
      <c r="AK124" s="99" t="s">
        <v>3563</v>
      </c>
      <c r="AL124" s="99" t="s">
        <v>3411</v>
      </c>
      <c r="AM124" s="99" t="s">
        <v>177</v>
      </c>
      <c r="AN124" s="99" t="s">
        <v>3411</v>
      </c>
      <c r="AO124" s="99" t="s">
        <v>178</v>
      </c>
      <c r="AP124" s="99" t="s">
        <v>2570</v>
      </c>
      <c r="AQ124" s="99" t="s">
        <v>3411</v>
      </c>
      <c r="AR124" s="99" t="s">
        <v>3411</v>
      </c>
      <c r="AS124" s="99" t="s">
        <v>491</v>
      </c>
      <c r="AT124" s="99" t="s">
        <v>1</v>
      </c>
      <c r="AU124" s="99" t="s">
        <v>179</v>
      </c>
      <c r="AV124" s="99" t="s">
        <v>3414</v>
      </c>
      <c r="AW124" s="99" t="s">
        <v>180</v>
      </c>
      <c r="AX124" s="99" t="s">
        <v>3420</v>
      </c>
      <c r="AY124" s="99" t="s">
        <v>252</v>
      </c>
      <c r="AZ124" s="99" t="s">
        <v>3416</v>
      </c>
      <c r="BA124" s="99" t="s">
        <v>3709</v>
      </c>
      <c r="BB124" s="99" t="s">
        <v>2743</v>
      </c>
      <c r="BC124" s="125">
        <v>61</v>
      </c>
      <c r="BD124" s="99" t="s">
        <v>3135</v>
      </c>
      <c r="BE124" s="99" t="s">
        <v>3136</v>
      </c>
    </row>
    <row r="125" spans="1:57" ht="12.95" customHeight="1">
      <c r="A125" s="124">
        <v>15</v>
      </c>
      <c r="B125" s="124">
        <v>3020</v>
      </c>
      <c r="C125" s="99" t="s">
        <v>165</v>
      </c>
      <c r="D125" s="99" t="s">
        <v>389</v>
      </c>
      <c r="E125" s="99" t="s">
        <v>2888</v>
      </c>
      <c r="F125" s="99" t="s">
        <v>3180</v>
      </c>
      <c r="G125" s="99" t="s">
        <v>3174</v>
      </c>
      <c r="H125" s="99" t="s">
        <v>481</v>
      </c>
      <c r="I125" s="99" t="s">
        <v>482</v>
      </c>
      <c r="J125" s="99" t="s">
        <v>2591</v>
      </c>
      <c r="K125" s="99" t="s">
        <v>2459</v>
      </c>
      <c r="L125" s="99" t="s">
        <v>2592</v>
      </c>
      <c r="M125" s="99" t="s">
        <v>1</v>
      </c>
      <c r="N125" s="99" t="s">
        <v>3407</v>
      </c>
      <c r="O125" s="99" t="s">
        <v>114</v>
      </c>
      <c r="P125" s="99" t="s">
        <v>3719</v>
      </c>
      <c r="Q125" s="99" t="s">
        <v>169</v>
      </c>
      <c r="R125" s="99" t="s">
        <v>3409</v>
      </c>
      <c r="S125" s="99" t="s">
        <v>2636</v>
      </c>
      <c r="T125" s="99" t="s">
        <v>48</v>
      </c>
      <c r="U125" s="99" t="s">
        <v>440</v>
      </c>
      <c r="V125" s="99" t="s">
        <v>441</v>
      </c>
      <c r="W125" s="99" t="s">
        <v>3719</v>
      </c>
      <c r="X125" s="99" t="s">
        <v>3719</v>
      </c>
      <c r="Y125" s="99" t="s">
        <v>3720</v>
      </c>
      <c r="Z125" s="99" t="s">
        <v>172</v>
      </c>
      <c r="AA125" s="99" t="s">
        <v>173</v>
      </c>
      <c r="AB125" s="99" t="s">
        <v>316</v>
      </c>
      <c r="AC125" s="99" t="s">
        <v>3520</v>
      </c>
      <c r="AD125" s="99" t="s">
        <v>175</v>
      </c>
      <c r="AE125" s="99" t="s">
        <v>3411</v>
      </c>
      <c r="AF125" s="99" t="s">
        <v>3411</v>
      </c>
      <c r="AG125" s="124">
        <v>3020</v>
      </c>
      <c r="AH125" s="99" t="s">
        <v>3413</v>
      </c>
      <c r="AI125" s="125">
        <v>100</v>
      </c>
      <c r="AJ125" s="99" t="s">
        <v>176</v>
      </c>
      <c r="AK125" s="99" t="s">
        <v>3719</v>
      </c>
      <c r="AL125" s="99" t="s">
        <v>3411</v>
      </c>
      <c r="AM125" s="99" t="s">
        <v>177</v>
      </c>
      <c r="AN125" s="99" t="s">
        <v>3411</v>
      </c>
      <c r="AO125" s="99" t="s">
        <v>412</v>
      </c>
      <c r="AP125" s="99" t="s">
        <v>2570</v>
      </c>
      <c r="AQ125" s="99" t="s">
        <v>3411</v>
      </c>
      <c r="AR125" s="99" t="s">
        <v>3411</v>
      </c>
      <c r="AS125" s="99" t="s">
        <v>2593</v>
      </c>
      <c r="AT125" s="99" t="s">
        <v>1</v>
      </c>
      <c r="AU125" s="99" t="s">
        <v>179</v>
      </c>
      <c r="AV125" s="99" t="s">
        <v>3414</v>
      </c>
      <c r="AW125" s="99" t="s">
        <v>180</v>
      </c>
      <c r="AX125" s="99" t="s">
        <v>3420</v>
      </c>
      <c r="AY125" s="99" t="s">
        <v>252</v>
      </c>
      <c r="AZ125" s="99" t="s">
        <v>3416</v>
      </c>
      <c r="BA125" s="99" t="s">
        <v>3709</v>
      </c>
      <c r="BB125" s="99" t="s">
        <v>2743</v>
      </c>
      <c r="BC125" s="125">
        <v>34</v>
      </c>
      <c r="BD125" s="99" t="s">
        <v>3135</v>
      </c>
      <c r="BE125" s="99" t="s">
        <v>3136</v>
      </c>
    </row>
    <row r="126" spans="1:57" ht="12.95" customHeight="1">
      <c r="A126" s="124">
        <v>15</v>
      </c>
      <c r="B126" s="124">
        <v>3030</v>
      </c>
      <c r="C126" s="99" t="s">
        <v>165</v>
      </c>
      <c r="D126" s="99" t="s">
        <v>389</v>
      </c>
      <c r="E126" s="99" t="s">
        <v>2888</v>
      </c>
      <c r="F126" s="99" t="s">
        <v>3181</v>
      </c>
      <c r="G126" s="99" t="s">
        <v>3182</v>
      </c>
      <c r="H126" s="99" t="s">
        <v>492</v>
      </c>
      <c r="I126" s="99" t="s">
        <v>493</v>
      </c>
      <c r="J126" s="99" t="s">
        <v>2656</v>
      </c>
      <c r="K126" s="99" t="s">
        <v>275</v>
      </c>
      <c r="L126" s="99" t="s">
        <v>2657</v>
      </c>
      <c r="M126" s="99" t="s">
        <v>5</v>
      </c>
      <c r="N126" s="99" t="s">
        <v>3407</v>
      </c>
      <c r="O126" s="99" t="s">
        <v>114</v>
      </c>
      <c r="P126" s="99" t="s">
        <v>3721</v>
      </c>
      <c r="Q126" s="99" t="s">
        <v>169</v>
      </c>
      <c r="R126" s="99" t="s">
        <v>3409</v>
      </c>
      <c r="S126" s="99" t="s">
        <v>2636</v>
      </c>
      <c r="T126" s="99" t="s">
        <v>52</v>
      </c>
      <c r="U126" s="99" t="s">
        <v>427</v>
      </c>
      <c r="V126" s="99" t="s">
        <v>428</v>
      </c>
      <c r="W126" s="99" t="s">
        <v>3721</v>
      </c>
      <c r="X126" s="99" t="s">
        <v>3721</v>
      </c>
      <c r="Y126" s="99" t="s">
        <v>3722</v>
      </c>
      <c r="Z126" s="99" t="s">
        <v>172</v>
      </c>
      <c r="AA126" s="99" t="s">
        <v>173</v>
      </c>
      <c r="AB126" s="99" t="s">
        <v>174</v>
      </c>
      <c r="AC126" s="99" t="s">
        <v>3411</v>
      </c>
      <c r="AD126" s="99" t="s">
        <v>175</v>
      </c>
      <c r="AE126" s="99" t="s">
        <v>3411</v>
      </c>
      <c r="AF126" s="99" t="s">
        <v>3411</v>
      </c>
      <c r="AG126" s="124">
        <v>3030</v>
      </c>
      <c r="AH126" s="99" t="s">
        <v>3413</v>
      </c>
      <c r="AI126" s="125">
        <v>100</v>
      </c>
      <c r="AJ126" s="99" t="s">
        <v>176</v>
      </c>
      <c r="AK126" s="99" t="s">
        <v>3721</v>
      </c>
      <c r="AL126" s="99" t="s">
        <v>3411</v>
      </c>
      <c r="AM126" s="99" t="s">
        <v>177</v>
      </c>
      <c r="AN126" s="99" t="s">
        <v>3411</v>
      </c>
      <c r="AO126" s="99" t="s">
        <v>412</v>
      </c>
      <c r="AP126" s="99" t="s">
        <v>2570</v>
      </c>
      <c r="AQ126" s="99" t="s">
        <v>3411</v>
      </c>
      <c r="AR126" s="99" t="s">
        <v>242</v>
      </c>
      <c r="AS126" s="99" t="s">
        <v>2658</v>
      </c>
      <c r="AT126" s="99" t="s">
        <v>1</v>
      </c>
      <c r="AU126" s="99" t="s">
        <v>179</v>
      </c>
      <c r="AV126" s="99" t="s">
        <v>3414</v>
      </c>
      <c r="AW126" s="99" t="s">
        <v>180</v>
      </c>
      <c r="AX126" s="99" t="s">
        <v>3420</v>
      </c>
      <c r="AY126" s="99" t="s">
        <v>252</v>
      </c>
      <c r="AZ126" s="99" t="s">
        <v>3416</v>
      </c>
      <c r="BA126" s="99" t="s">
        <v>3709</v>
      </c>
      <c r="BB126" s="99" t="s">
        <v>2743</v>
      </c>
      <c r="BC126" s="125">
        <v>49</v>
      </c>
      <c r="BD126" s="99" t="s">
        <v>3135</v>
      </c>
      <c r="BE126" s="99" t="s">
        <v>3136</v>
      </c>
    </row>
    <row r="127" spans="1:57" ht="12.95" customHeight="1">
      <c r="A127" s="124">
        <v>15</v>
      </c>
      <c r="B127" s="124">
        <v>2423</v>
      </c>
      <c r="C127" s="99" t="s">
        <v>165</v>
      </c>
      <c r="D127" s="99" t="s">
        <v>389</v>
      </c>
      <c r="E127" s="99" t="s">
        <v>2888</v>
      </c>
      <c r="F127" s="99" t="s">
        <v>3378</v>
      </c>
      <c r="G127" s="99" t="s">
        <v>3198</v>
      </c>
      <c r="H127" s="99" t="s">
        <v>3723</v>
      </c>
      <c r="I127" s="99" t="s">
        <v>3252</v>
      </c>
      <c r="J127" s="99" t="s">
        <v>2414</v>
      </c>
      <c r="K127" s="99" t="s">
        <v>2415</v>
      </c>
      <c r="L127" s="99" t="s">
        <v>2416</v>
      </c>
      <c r="M127" s="99" t="s">
        <v>5</v>
      </c>
      <c r="N127" s="99" t="s">
        <v>3407</v>
      </c>
      <c r="O127" s="99" t="s">
        <v>114</v>
      </c>
      <c r="P127" s="99" t="s">
        <v>3422</v>
      </c>
      <c r="Q127" s="99" t="s">
        <v>169</v>
      </c>
      <c r="R127" s="99" t="s">
        <v>3409</v>
      </c>
      <c r="S127" s="99" t="s">
        <v>2636</v>
      </c>
      <c r="T127" s="99" t="s">
        <v>48</v>
      </c>
      <c r="U127" s="99" t="s">
        <v>170</v>
      </c>
      <c r="V127" s="99" t="s">
        <v>171</v>
      </c>
      <c r="W127" s="99" t="s">
        <v>3724</v>
      </c>
      <c r="X127" s="99" t="s">
        <v>3724</v>
      </c>
      <c r="Y127" s="99" t="s">
        <v>3725</v>
      </c>
      <c r="Z127" s="99" t="s">
        <v>172</v>
      </c>
      <c r="AA127" s="99" t="s">
        <v>173</v>
      </c>
      <c r="AB127" s="99" t="s">
        <v>174</v>
      </c>
      <c r="AC127" s="99" t="s">
        <v>3411</v>
      </c>
      <c r="AD127" s="99" t="s">
        <v>175</v>
      </c>
      <c r="AE127" s="99" t="s">
        <v>3411</v>
      </c>
      <c r="AF127" s="99" t="s">
        <v>3411</v>
      </c>
      <c r="AG127" s="124">
        <v>2423</v>
      </c>
      <c r="AH127" s="99" t="s">
        <v>3413</v>
      </c>
      <c r="AI127" s="125">
        <v>100</v>
      </c>
      <c r="AJ127" s="99" t="s">
        <v>176</v>
      </c>
      <c r="AK127" s="99" t="s">
        <v>3726</v>
      </c>
      <c r="AL127" s="99" t="s">
        <v>3411</v>
      </c>
      <c r="AM127" s="99" t="s">
        <v>177</v>
      </c>
      <c r="AN127" s="99" t="s">
        <v>3411</v>
      </c>
      <c r="AO127" s="99" t="s">
        <v>412</v>
      </c>
      <c r="AP127" s="99" t="s">
        <v>2570</v>
      </c>
      <c r="AQ127" s="99" t="s">
        <v>3411</v>
      </c>
      <c r="AR127" s="99" t="s">
        <v>3411</v>
      </c>
      <c r="AS127" s="99" t="s">
        <v>2417</v>
      </c>
      <c r="AT127" s="99" t="s">
        <v>1</v>
      </c>
      <c r="AU127" s="99" t="s">
        <v>179</v>
      </c>
      <c r="AV127" s="99" t="s">
        <v>3414</v>
      </c>
      <c r="AW127" s="99" t="s">
        <v>180</v>
      </c>
      <c r="AX127" s="99" t="s">
        <v>3420</v>
      </c>
      <c r="AY127" s="99" t="s">
        <v>252</v>
      </c>
      <c r="AZ127" s="99" t="s">
        <v>3416</v>
      </c>
      <c r="BA127" s="99" t="s">
        <v>3709</v>
      </c>
      <c r="BB127" s="99" t="s">
        <v>2743</v>
      </c>
      <c r="BC127" s="125">
        <v>56</v>
      </c>
      <c r="BD127" s="99" t="s">
        <v>3135</v>
      </c>
      <c r="BE127" s="99" t="s">
        <v>3136</v>
      </c>
    </row>
    <row r="128" spans="1:57" ht="12.95" customHeight="1">
      <c r="A128" s="124">
        <v>15</v>
      </c>
      <c r="B128" s="124">
        <v>3081</v>
      </c>
      <c r="C128" s="99" t="s">
        <v>165</v>
      </c>
      <c r="D128" s="99" t="s">
        <v>389</v>
      </c>
      <c r="E128" s="99" t="s">
        <v>2888</v>
      </c>
      <c r="F128" s="99" t="s">
        <v>3378</v>
      </c>
      <c r="G128" s="99" t="s">
        <v>3198</v>
      </c>
      <c r="H128" s="99" t="s">
        <v>3723</v>
      </c>
      <c r="I128" s="99" t="s">
        <v>3252</v>
      </c>
      <c r="J128" s="99" t="s">
        <v>2930</v>
      </c>
      <c r="K128" s="99" t="s">
        <v>607</v>
      </c>
      <c r="L128" s="99" t="s">
        <v>2931</v>
      </c>
      <c r="M128" s="99" t="s">
        <v>5</v>
      </c>
      <c r="N128" s="99" t="s">
        <v>3407</v>
      </c>
      <c r="O128" s="99" t="s">
        <v>114</v>
      </c>
      <c r="P128" s="99" t="s">
        <v>3727</v>
      </c>
      <c r="Q128" s="99" t="s">
        <v>169</v>
      </c>
      <c r="R128" s="99" t="s">
        <v>3409</v>
      </c>
      <c r="S128" s="99" t="s">
        <v>2636</v>
      </c>
      <c r="T128" s="99" t="s">
        <v>48</v>
      </c>
      <c r="U128" s="99" t="s">
        <v>440</v>
      </c>
      <c r="V128" s="99" t="s">
        <v>441</v>
      </c>
      <c r="W128" s="99" t="s">
        <v>3727</v>
      </c>
      <c r="X128" s="99" t="s">
        <v>3727</v>
      </c>
      <c r="Y128" s="99" t="s">
        <v>3728</v>
      </c>
      <c r="Z128" s="99" t="s">
        <v>172</v>
      </c>
      <c r="AA128" s="99" t="s">
        <v>173</v>
      </c>
      <c r="AB128" s="99" t="s">
        <v>174</v>
      </c>
      <c r="AC128" s="99" t="s">
        <v>3411</v>
      </c>
      <c r="AD128" s="99" t="s">
        <v>175</v>
      </c>
      <c r="AE128" s="99" t="s">
        <v>3411</v>
      </c>
      <c r="AF128" s="99" t="s">
        <v>3411</v>
      </c>
      <c r="AG128" s="124">
        <v>3081</v>
      </c>
      <c r="AH128" s="99" t="s">
        <v>3413</v>
      </c>
      <c r="AI128" s="125">
        <v>100</v>
      </c>
      <c r="AJ128" s="99" t="s">
        <v>176</v>
      </c>
      <c r="AK128" s="99" t="s">
        <v>3727</v>
      </c>
      <c r="AL128" s="99" t="s">
        <v>3411</v>
      </c>
      <c r="AM128" s="99" t="s">
        <v>177</v>
      </c>
      <c r="AN128" s="99" t="s">
        <v>3411</v>
      </c>
      <c r="AO128" s="99" t="s">
        <v>412</v>
      </c>
      <c r="AP128" s="99" t="s">
        <v>2570</v>
      </c>
      <c r="AQ128" s="99" t="s">
        <v>3411</v>
      </c>
      <c r="AR128" s="99" t="s">
        <v>3411</v>
      </c>
      <c r="AS128" s="99" t="s">
        <v>2932</v>
      </c>
      <c r="AT128" s="99" t="s">
        <v>1</v>
      </c>
      <c r="AU128" s="99" t="s">
        <v>179</v>
      </c>
      <c r="AV128" s="99" t="s">
        <v>3414</v>
      </c>
      <c r="AW128" s="99" t="s">
        <v>180</v>
      </c>
      <c r="AX128" s="99" t="s">
        <v>3420</v>
      </c>
      <c r="AY128" s="99" t="s">
        <v>252</v>
      </c>
      <c r="AZ128" s="99" t="s">
        <v>3416</v>
      </c>
      <c r="BA128" s="99" t="s">
        <v>3709</v>
      </c>
      <c r="BB128" s="99" t="s">
        <v>2743</v>
      </c>
      <c r="BC128" s="125">
        <v>28</v>
      </c>
      <c r="BD128" s="99" t="s">
        <v>3135</v>
      </c>
      <c r="BE128" s="99" t="s">
        <v>3136</v>
      </c>
    </row>
    <row r="129" spans="1:57" ht="12.95" customHeight="1">
      <c r="A129" s="124">
        <v>15</v>
      </c>
      <c r="B129" s="124">
        <v>2972</v>
      </c>
      <c r="C129" s="99" t="s">
        <v>165</v>
      </c>
      <c r="D129" s="99" t="s">
        <v>389</v>
      </c>
      <c r="E129" s="99" t="s">
        <v>2888</v>
      </c>
      <c r="F129" s="99" t="s">
        <v>3378</v>
      </c>
      <c r="G129" s="99" t="s">
        <v>3198</v>
      </c>
      <c r="H129" s="99" t="s">
        <v>3723</v>
      </c>
      <c r="I129" s="99" t="s">
        <v>3252</v>
      </c>
      <c r="J129" s="99" t="s">
        <v>2418</v>
      </c>
      <c r="K129" s="99" t="s">
        <v>1735</v>
      </c>
      <c r="L129" s="99" t="s">
        <v>2419</v>
      </c>
      <c r="M129" s="99" t="s">
        <v>1</v>
      </c>
      <c r="N129" s="99" t="s">
        <v>3407</v>
      </c>
      <c r="O129" s="99" t="s">
        <v>114</v>
      </c>
      <c r="P129" s="99" t="s">
        <v>3422</v>
      </c>
      <c r="Q129" s="99" t="s">
        <v>169</v>
      </c>
      <c r="R129" s="99" t="s">
        <v>3409</v>
      </c>
      <c r="S129" s="99" t="s">
        <v>2636</v>
      </c>
      <c r="T129" s="99" t="s">
        <v>52</v>
      </c>
      <c r="U129" s="99" t="s">
        <v>427</v>
      </c>
      <c r="V129" s="99" t="s">
        <v>428</v>
      </c>
      <c r="W129" s="99" t="s">
        <v>3729</v>
      </c>
      <c r="X129" s="99" t="s">
        <v>3729</v>
      </c>
      <c r="Y129" s="99" t="s">
        <v>3730</v>
      </c>
      <c r="Z129" s="99" t="s">
        <v>172</v>
      </c>
      <c r="AA129" s="99" t="s">
        <v>173</v>
      </c>
      <c r="AB129" s="99" t="s">
        <v>174</v>
      </c>
      <c r="AC129" s="99" t="s">
        <v>3411</v>
      </c>
      <c r="AD129" s="99" t="s">
        <v>175</v>
      </c>
      <c r="AE129" s="99" t="s">
        <v>3411</v>
      </c>
      <c r="AF129" s="99" t="s">
        <v>3411</v>
      </c>
      <c r="AG129" s="124">
        <v>2972</v>
      </c>
      <c r="AH129" s="99" t="s">
        <v>3413</v>
      </c>
      <c r="AI129" s="125">
        <v>100</v>
      </c>
      <c r="AJ129" s="99" t="s">
        <v>176</v>
      </c>
      <c r="AK129" s="99" t="s">
        <v>3729</v>
      </c>
      <c r="AL129" s="99" t="s">
        <v>3411</v>
      </c>
      <c r="AM129" s="99" t="s">
        <v>177</v>
      </c>
      <c r="AN129" s="99" t="s">
        <v>3411</v>
      </c>
      <c r="AO129" s="99" t="s">
        <v>178</v>
      </c>
      <c r="AP129" s="99" t="s">
        <v>2570</v>
      </c>
      <c r="AQ129" s="99" t="s">
        <v>3411</v>
      </c>
      <c r="AR129" s="99" t="s">
        <v>3411</v>
      </c>
      <c r="AS129" s="99" t="s">
        <v>2420</v>
      </c>
      <c r="AT129" s="99" t="s">
        <v>1</v>
      </c>
      <c r="AU129" s="99" t="s">
        <v>179</v>
      </c>
      <c r="AV129" s="99" t="s">
        <v>3414</v>
      </c>
      <c r="AW129" s="99" t="s">
        <v>180</v>
      </c>
      <c r="AX129" s="99" t="s">
        <v>3420</v>
      </c>
      <c r="AY129" s="99" t="s">
        <v>252</v>
      </c>
      <c r="AZ129" s="99" t="s">
        <v>3416</v>
      </c>
      <c r="BA129" s="99" t="s">
        <v>3421</v>
      </c>
      <c r="BB129" s="99" t="s">
        <v>381</v>
      </c>
      <c r="BC129" s="125">
        <v>43</v>
      </c>
      <c r="BD129" s="99" t="s">
        <v>3135</v>
      </c>
      <c r="BE129" s="99" t="s">
        <v>3136</v>
      </c>
    </row>
    <row r="130" spans="1:57" ht="12.95" customHeight="1">
      <c r="A130" s="124">
        <v>15</v>
      </c>
      <c r="B130" s="124">
        <v>3010</v>
      </c>
      <c r="C130" s="99" t="s">
        <v>165</v>
      </c>
      <c r="D130" s="99" t="s">
        <v>389</v>
      </c>
      <c r="E130" s="99" t="s">
        <v>2888</v>
      </c>
      <c r="F130" s="99" t="s">
        <v>3378</v>
      </c>
      <c r="G130" s="99" t="s">
        <v>3198</v>
      </c>
      <c r="H130" s="99" t="s">
        <v>3723</v>
      </c>
      <c r="I130" s="99" t="s">
        <v>3252</v>
      </c>
      <c r="J130" s="99" t="s">
        <v>2421</v>
      </c>
      <c r="K130" s="99" t="s">
        <v>255</v>
      </c>
      <c r="L130" s="99" t="s">
        <v>2422</v>
      </c>
      <c r="M130" s="99" t="s">
        <v>5</v>
      </c>
      <c r="N130" s="99" t="s">
        <v>3407</v>
      </c>
      <c r="O130" s="99" t="s">
        <v>114</v>
      </c>
      <c r="P130" s="99" t="s">
        <v>3422</v>
      </c>
      <c r="Q130" s="99" t="s">
        <v>169</v>
      </c>
      <c r="R130" s="99" t="s">
        <v>3409</v>
      </c>
      <c r="S130" s="99" t="s">
        <v>2636</v>
      </c>
      <c r="T130" s="99" t="s">
        <v>48</v>
      </c>
      <c r="U130" s="99" t="s">
        <v>184</v>
      </c>
      <c r="V130" s="99" t="s">
        <v>185</v>
      </c>
      <c r="W130" s="99" t="s">
        <v>3731</v>
      </c>
      <c r="X130" s="99" t="s">
        <v>3731</v>
      </c>
      <c r="Y130" s="99" t="s">
        <v>3732</v>
      </c>
      <c r="Z130" s="99" t="s">
        <v>172</v>
      </c>
      <c r="AA130" s="99" t="s">
        <v>173</v>
      </c>
      <c r="AB130" s="99" t="s">
        <v>174</v>
      </c>
      <c r="AC130" s="99" t="s">
        <v>3411</v>
      </c>
      <c r="AD130" s="99" t="s">
        <v>175</v>
      </c>
      <c r="AE130" s="99" t="s">
        <v>3411</v>
      </c>
      <c r="AF130" s="99" t="s">
        <v>3411</v>
      </c>
      <c r="AG130" s="124">
        <v>3010</v>
      </c>
      <c r="AH130" s="99" t="s">
        <v>3413</v>
      </c>
      <c r="AI130" s="125">
        <v>100</v>
      </c>
      <c r="AJ130" s="99" t="s">
        <v>176</v>
      </c>
      <c r="AK130" s="99" t="s">
        <v>3731</v>
      </c>
      <c r="AL130" s="99" t="s">
        <v>3411</v>
      </c>
      <c r="AM130" s="99" t="s">
        <v>177</v>
      </c>
      <c r="AN130" s="99" t="s">
        <v>3411</v>
      </c>
      <c r="AO130" s="99" t="s">
        <v>412</v>
      </c>
      <c r="AP130" s="99" t="s">
        <v>2570</v>
      </c>
      <c r="AQ130" s="99" t="s">
        <v>3411</v>
      </c>
      <c r="AR130" s="99" t="s">
        <v>3411</v>
      </c>
      <c r="AS130" s="99" t="s">
        <v>2423</v>
      </c>
      <c r="AT130" s="99" t="s">
        <v>1</v>
      </c>
      <c r="AU130" s="99" t="s">
        <v>179</v>
      </c>
      <c r="AV130" s="99" t="s">
        <v>3414</v>
      </c>
      <c r="AW130" s="99" t="s">
        <v>180</v>
      </c>
      <c r="AX130" s="99" t="s">
        <v>3420</v>
      </c>
      <c r="AY130" s="99" t="s">
        <v>252</v>
      </c>
      <c r="AZ130" s="99" t="s">
        <v>3416</v>
      </c>
      <c r="BA130" s="99" t="s">
        <v>3709</v>
      </c>
      <c r="BB130" s="99" t="s">
        <v>2743</v>
      </c>
      <c r="BC130" s="125">
        <v>44</v>
      </c>
      <c r="BD130" s="99" t="s">
        <v>3135</v>
      </c>
      <c r="BE130" s="99" t="s">
        <v>3136</v>
      </c>
    </row>
    <row r="131" spans="1:57" ht="12.95" customHeight="1">
      <c r="A131" s="124">
        <v>15</v>
      </c>
      <c r="B131" s="124">
        <v>2206</v>
      </c>
      <c r="C131" s="99" t="s">
        <v>165</v>
      </c>
      <c r="D131" s="99" t="s">
        <v>680</v>
      </c>
      <c r="E131" s="99" t="s">
        <v>3293</v>
      </c>
      <c r="F131" s="99" t="s">
        <v>682</v>
      </c>
      <c r="G131" s="99" t="s">
        <v>3006</v>
      </c>
      <c r="H131" s="99" t="s">
        <v>3733</v>
      </c>
      <c r="I131" s="99" t="s">
        <v>683</v>
      </c>
      <c r="J131" s="99" t="s">
        <v>769</v>
      </c>
      <c r="K131" s="99" t="s">
        <v>476</v>
      </c>
      <c r="L131" s="99" t="s">
        <v>770</v>
      </c>
      <c r="M131" s="99" t="s">
        <v>5</v>
      </c>
      <c r="N131" s="99" t="s">
        <v>3407</v>
      </c>
      <c r="O131" s="99" t="s">
        <v>114</v>
      </c>
      <c r="P131" s="99" t="s">
        <v>3422</v>
      </c>
      <c r="Q131" s="99" t="s">
        <v>169</v>
      </c>
      <c r="R131" s="99" t="s">
        <v>3409</v>
      </c>
      <c r="S131" s="99" t="s">
        <v>2636</v>
      </c>
      <c r="T131" s="99" t="s">
        <v>48</v>
      </c>
      <c r="U131" s="99" t="s">
        <v>410</v>
      </c>
      <c r="V131" s="99" t="s">
        <v>411</v>
      </c>
      <c r="W131" s="99" t="s">
        <v>3548</v>
      </c>
      <c r="X131" s="99" t="s">
        <v>3548</v>
      </c>
      <c r="Y131" s="99" t="s">
        <v>3734</v>
      </c>
      <c r="Z131" s="99" t="s">
        <v>172</v>
      </c>
      <c r="AA131" s="99" t="s">
        <v>173</v>
      </c>
      <c r="AB131" s="99" t="s">
        <v>174</v>
      </c>
      <c r="AC131" s="99" t="s">
        <v>3411</v>
      </c>
      <c r="AD131" s="99" t="s">
        <v>175</v>
      </c>
      <c r="AE131" s="99" t="s">
        <v>3411</v>
      </c>
      <c r="AF131" s="99" t="s">
        <v>3411</v>
      </c>
      <c r="AG131" s="124">
        <v>1658</v>
      </c>
      <c r="AH131" s="99" t="s">
        <v>3413</v>
      </c>
      <c r="AI131" s="125">
        <v>100</v>
      </c>
      <c r="AJ131" s="99" t="s">
        <v>176</v>
      </c>
      <c r="AK131" s="99" t="s">
        <v>3548</v>
      </c>
      <c r="AL131" s="99" t="s">
        <v>3411</v>
      </c>
      <c r="AM131" s="99" t="s">
        <v>177</v>
      </c>
      <c r="AN131" s="99" t="s">
        <v>3411</v>
      </c>
      <c r="AO131" s="99" t="s">
        <v>178</v>
      </c>
      <c r="AP131" s="99" t="s">
        <v>2570</v>
      </c>
      <c r="AQ131" s="99" t="s">
        <v>3411</v>
      </c>
      <c r="AR131" s="99" t="s">
        <v>242</v>
      </c>
      <c r="AS131" s="99" t="s">
        <v>771</v>
      </c>
      <c r="AT131" s="99" t="s">
        <v>1</v>
      </c>
      <c r="AU131" s="99" t="s">
        <v>179</v>
      </c>
      <c r="AV131" s="99" t="s">
        <v>3414</v>
      </c>
      <c r="AW131" s="99" t="s">
        <v>180</v>
      </c>
      <c r="AX131" s="99" t="s">
        <v>3420</v>
      </c>
      <c r="AY131" s="99" t="s">
        <v>252</v>
      </c>
      <c r="AZ131" s="99" t="s">
        <v>3416</v>
      </c>
      <c r="BA131" s="99" t="s">
        <v>3735</v>
      </c>
      <c r="BB131" s="99" t="s">
        <v>3007</v>
      </c>
      <c r="BC131" s="125">
        <v>51</v>
      </c>
      <c r="BD131" s="99" t="s">
        <v>3135</v>
      </c>
      <c r="BE131" s="99" t="s">
        <v>3136</v>
      </c>
    </row>
    <row r="132" spans="1:57" ht="12.95" customHeight="1">
      <c r="A132" s="124">
        <v>15</v>
      </c>
      <c r="B132" s="124">
        <v>3160</v>
      </c>
      <c r="C132" s="99" t="s">
        <v>165</v>
      </c>
      <c r="D132" s="99" t="s">
        <v>680</v>
      </c>
      <c r="E132" s="99" t="s">
        <v>3293</v>
      </c>
      <c r="F132" s="99" t="s">
        <v>682</v>
      </c>
      <c r="G132" s="99" t="s">
        <v>3006</v>
      </c>
      <c r="H132" s="99" t="s">
        <v>3733</v>
      </c>
      <c r="I132" s="99" t="s">
        <v>683</v>
      </c>
      <c r="J132" s="99" t="s">
        <v>3359</v>
      </c>
      <c r="K132" s="99" t="s">
        <v>967</v>
      </c>
      <c r="L132" s="99" t="s">
        <v>3360</v>
      </c>
      <c r="M132" s="99" t="s">
        <v>1</v>
      </c>
      <c r="N132" s="99" t="s">
        <v>3407</v>
      </c>
      <c r="O132" s="99" t="s">
        <v>114</v>
      </c>
      <c r="P132" s="99" t="s">
        <v>3481</v>
      </c>
      <c r="Q132" s="99" t="s">
        <v>169</v>
      </c>
      <c r="R132" s="99" t="s">
        <v>3409</v>
      </c>
      <c r="S132" s="99" t="s">
        <v>2636</v>
      </c>
      <c r="T132" s="99" t="s">
        <v>48</v>
      </c>
      <c r="U132" s="99" t="s">
        <v>697</v>
      </c>
      <c r="V132" s="99" t="s">
        <v>698</v>
      </c>
      <c r="W132" s="99" t="s">
        <v>3481</v>
      </c>
      <c r="X132" s="99" t="s">
        <v>3481</v>
      </c>
      <c r="Y132" s="99" t="s">
        <v>3736</v>
      </c>
      <c r="Z132" s="99" t="s">
        <v>172</v>
      </c>
      <c r="AA132" s="99" t="s">
        <v>173</v>
      </c>
      <c r="AB132" s="99" t="s">
        <v>263</v>
      </c>
      <c r="AC132" s="99" t="s">
        <v>3411</v>
      </c>
      <c r="AD132" s="99" t="s">
        <v>264</v>
      </c>
      <c r="AE132" s="99" t="s">
        <v>3737</v>
      </c>
      <c r="AF132" s="99" t="s">
        <v>3411</v>
      </c>
      <c r="AG132" s="124">
        <v>3160</v>
      </c>
      <c r="AH132" s="99" t="s">
        <v>3413</v>
      </c>
      <c r="AI132" s="125">
        <v>100</v>
      </c>
      <c r="AJ132" s="99" t="s">
        <v>176</v>
      </c>
      <c r="AK132" s="99" t="s">
        <v>3481</v>
      </c>
      <c r="AL132" s="99" t="s">
        <v>3411</v>
      </c>
      <c r="AM132" s="99" t="s">
        <v>177</v>
      </c>
      <c r="AN132" s="99" t="s">
        <v>3411</v>
      </c>
      <c r="AO132" s="99" t="s">
        <v>412</v>
      </c>
      <c r="AP132" s="99" t="s">
        <v>2570</v>
      </c>
      <c r="AQ132" s="99" t="s">
        <v>3411</v>
      </c>
      <c r="AR132" s="99" t="s">
        <v>3411</v>
      </c>
      <c r="AS132" s="99" t="s">
        <v>3361</v>
      </c>
      <c r="AT132" s="99" t="s">
        <v>1</v>
      </c>
      <c r="AU132" s="99" t="s">
        <v>179</v>
      </c>
      <c r="AV132" s="99" t="s">
        <v>3414</v>
      </c>
      <c r="AW132" s="99" t="s">
        <v>180</v>
      </c>
      <c r="AX132" s="99" t="s">
        <v>3738</v>
      </c>
      <c r="AY132" s="99" t="s">
        <v>252</v>
      </c>
      <c r="AZ132" s="99" t="s">
        <v>3416</v>
      </c>
      <c r="BA132" s="99" t="s">
        <v>3735</v>
      </c>
      <c r="BB132" s="99" t="s">
        <v>3007</v>
      </c>
      <c r="BC132" s="125">
        <v>25</v>
      </c>
      <c r="BD132" s="99" t="s">
        <v>3135</v>
      </c>
      <c r="BE132" s="99" t="s">
        <v>3136</v>
      </c>
    </row>
    <row r="133" spans="1:57" ht="12.95" customHeight="1">
      <c r="A133" s="124">
        <v>15</v>
      </c>
      <c r="B133" s="124">
        <v>2284</v>
      </c>
      <c r="C133" s="99" t="s">
        <v>165</v>
      </c>
      <c r="D133" s="99" t="s">
        <v>680</v>
      </c>
      <c r="E133" s="99" t="s">
        <v>3293</v>
      </c>
      <c r="F133" s="99" t="s">
        <v>682</v>
      </c>
      <c r="G133" s="99" t="s">
        <v>3006</v>
      </c>
      <c r="H133" s="99" t="s">
        <v>3733</v>
      </c>
      <c r="I133" s="99" t="s">
        <v>683</v>
      </c>
      <c r="J133" s="99" t="s">
        <v>684</v>
      </c>
      <c r="K133" s="99" t="s">
        <v>634</v>
      </c>
      <c r="L133" s="99" t="s">
        <v>685</v>
      </c>
      <c r="M133" s="99" t="s">
        <v>1</v>
      </c>
      <c r="N133" s="99" t="s">
        <v>3407</v>
      </c>
      <c r="O133" s="99" t="s">
        <v>114</v>
      </c>
      <c r="P133" s="99" t="s">
        <v>3422</v>
      </c>
      <c r="Q133" s="99" t="s">
        <v>169</v>
      </c>
      <c r="R133" s="99" t="s">
        <v>3409</v>
      </c>
      <c r="S133" s="99" t="s">
        <v>2636</v>
      </c>
      <c r="T133" s="99" t="s">
        <v>48</v>
      </c>
      <c r="U133" s="99" t="s">
        <v>170</v>
      </c>
      <c r="V133" s="99" t="s">
        <v>171</v>
      </c>
      <c r="W133" s="99" t="s">
        <v>3739</v>
      </c>
      <c r="X133" s="99" t="s">
        <v>3739</v>
      </c>
      <c r="Y133" s="99" t="s">
        <v>3740</v>
      </c>
      <c r="Z133" s="99" t="s">
        <v>172</v>
      </c>
      <c r="AA133" s="99" t="s">
        <v>173</v>
      </c>
      <c r="AB133" s="99" t="s">
        <v>174</v>
      </c>
      <c r="AC133" s="99" t="s">
        <v>3411</v>
      </c>
      <c r="AD133" s="99" t="s">
        <v>175</v>
      </c>
      <c r="AE133" s="99" t="s">
        <v>3411</v>
      </c>
      <c r="AF133" s="99" t="s">
        <v>3411</v>
      </c>
      <c r="AG133" s="124">
        <v>1709</v>
      </c>
      <c r="AH133" s="99" t="s">
        <v>3413</v>
      </c>
      <c r="AI133" s="125">
        <v>100</v>
      </c>
      <c r="AJ133" s="99" t="s">
        <v>176</v>
      </c>
      <c r="AK133" s="99" t="s">
        <v>3739</v>
      </c>
      <c r="AL133" s="99" t="s">
        <v>3411</v>
      </c>
      <c r="AM133" s="99" t="s">
        <v>177</v>
      </c>
      <c r="AN133" s="99" t="s">
        <v>3411</v>
      </c>
      <c r="AO133" s="99" t="s">
        <v>178</v>
      </c>
      <c r="AP133" s="99" t="s">
        <v>2570</v>
      </c>
      <c r="AQ133" s="99" t="s">
        <v>3411</v>
      </c>
      <c r="AR133" s="99" t="s">
        <v>3411</v>
      </c>
      <c r="AS133" s="99" t="s">
        <v>686</v>
      </c>
      <c r="AT133" s="99" t="s">
        <v>1</v>
      </c>
      <c r="AU133" s="99" t="s">
        <v>179</v>
      </c>
      <c r="AV133" s="99" t="s">
        <v>3414</v>
      </c>
      <c r="AW133" s="99" t="s">
        <v>180</v>
      </c>
      <c r="AX133" s="99" t="s">
        <v>3420</v>
      </c>
      <c r="AY133" s="99" t="s">
        <v>252</v>
      </c>
      <c r="AZ133" s="99" t="s">
        <v>3416</v>
      </c>
      <c r="BA133" s="99" t="s">
        <v>3735</v>
      </c>
      <c r="BB133" s="99" t="s">
        <v>3007</v>
      </c>
      <c r="BC133" s="125">
        <v>50</v>
      </c>
      <c r="BD133" s="99" t="s">
        <v>3135</v>
      </c>
      <c r="BE133" s="99" t="s">
        <v>3136</v>
      </c>
    </row>
    <row r="134" spans="1:57" ht="12.95" customHeight="1">
      <c r="A134" s="124">
        <v>15</v>
      </c>
      <c r="B134" s="124">
        <v>3076</v>
      </c>
      <c r="C134" s="99" t="s">
        <v>165</v>
      </c>
      <c r="D134" s="99" t="s">
        <v>680</v>
      </c>
      <c r="E134" s="99" t="s">
        <v>3293</v>
      </c>
      <c r="F134" s="99" t="s">
        <v>682</v>
      </c>
      <c r="G134" s="99" t="s">
        <v>3006</v>
      </c>
      <c r="H134" s="99" t="s">
        <v>3741</v>
      </c>
      <c r="I134" s="99" t="s">
        <v>690</v>
      </c>
      <c r="J134" s="99" t="s">
        <v>2889</v>
      </c>
      <c r="K134" s="99" t="s">
        <v>2890</v>
      </c>
      <c r="L134" s="99" t="s">
        <v>2891</v>
      </c>
      <c r="M134" s="99" t="s">
        <v>1</v>
      </c>
      <c r="N134" s="99" t="s">
        <v>3407</v>
      </c>
      <c r="O134" s="99" t="s">
        <v>114</v>
      </c>
      <c r="P134" s="99" t="s">
        <v>3742</v>
      </c>
      <c r="Q134" s="99" t="s">
        <v>169</v>
      </c>
      <c r="R134" s="99" t="s">
        <v>3409</v>
      </c>
      <c r="S134" s="99" t="s">
        <v>2636</v>
      </c>
      <c r="T134" s="99" t="s">
        <v>52</v>
      </c>
      <c r="U134" s="99" t="s">
        <v>427</v>
      </c>
      <c r="V134" s="99" t="s">
        <v>428</v>
      </c>
      <c r="W134" s="99" t="s">
        <v>3742</v>
      </c>
      <c r="X134" s="99" t="s">
        <v>3742</v>
      </c>
      <c r="Y134" s="99" t="s">
        <v>3535</v>
      </c>
      <c r="Z134" s="99" t="s">
        <v>172</v>
      </c>
      <c r="AA134" s="99" t="s">
        <v>173</v>
      </c>
      <c r="AB134" s="99" t="s">
        <v>174</v>
      </c>
      <c r="AC134" s="99" t="s">
        <v>3411</v>
      </c>
      <c r="AD134" s="99" t="s">
        <v>175</v>
      </c>
      <c r="AE134" s="99" t="s">
        <v>3411</v>
      </c>
      <c r="AF134" s="99" t="s">
        <v>3411</v>
      </c>
      <c r="AG134" s="124">
        <v>3076</v>
      </c>
      <c r="AH134" s="99" t="s">
        <v>3413</v>
      </c>
      <c r="AI134" s="125">
        <v>100</v>
      </c>
      <c r="AJ134" s="99" t="s">
        <v>176</v>
      </c>
      <c r="AK134" s="99" t="s">
        <v>3742</v>
      </c>
      <c r="AL134" s="99" t="s">
        <v>3411</v>
      </c>
      <c r="AM134" s="99" t="s">
        <v>177</v>
      </c>
      <c r="AN134" s="99" t="s">
        <v>3411</v>
      </c>
      <c r="AO134" s="99" t="s">
        <v>412</v>
      </c>
      <c r="AP134" s="99" t="s">
        <v>2570</v>
      </c>
      <c r="AQ134" s="99" t="s">
        <v>3411</v>
      </c>
      <c r="AR134" s="99" t="s">
        <v>3411</v>
      </c>
      <c r="AS134" s="99" t="s">
        <v>2892</v>
      </c>
      <c r="AT134" s="99" t="s">
        <v>1</v>
      </c>
      <c r="AU134" s="99" t="s">
        <v>179</v>
      </c>
      <c r="AV134" s="99" t="s">
        <v>3414</v>
      </c>
      <c r="AW134" s="99" t="s">
        <v>180</v>
      </c>
      <c r="AX134" s="99" t="s">
        <v>3420</v>
      </c>
      <c r="AY134" s="99" t="s">
        <v>252</v>
      </c>
      <c r="AZ134" s="99" t="s">
        <v>3416</v>
      </c>
      <c r="BA134" s="99" t="s">
        <v>3743</v>
      </c>
      <c r="BB134" s="99" t="s">
        <v>3379</v>
      </c>
      <c r="BC134" s="125">
        <v>50</v>
      </c>
      <c r="BD134" s="99" t="s">
        <v>3135</v>
      </c>
      <c r="BE134" s="99" t="s">
        <v>3136</v>
      </c>
    </row>
    <row r="135" spans="1:57" ht="12.95" customHeight="1">
      <c r="A135" s="124">
        <v>15</v>
      </c>
      <c r="B135" s="124">
        <v>2214</v>
      </c>
      <c r="C135" s="99" t="s">
        <v>165</v>
      </c>
      <c r="D135" s="99" t="s">
        <v>680</v>
      </c>
      <c r="E135" s="99" t="s">
        <v>3293</v>
      </c>
      <c r="F135" s="99" t="s">
        <v>682</v>
      </c>
      <c r="G135" s="99" t="s">
        <v>3006</v>
      </c>
      <c r="H135" s="99" t="s">
        <v>3744</v>
      </c>
      <c r="I135" s="99" t="s">
        <v>694</v>
      </c>
      <c r="J135" s="99" t="s">
        <v>543</v>
      </c>
      <c r="K135" s="99" t="s">
        <v>695</v>
      </c>
      <c r="L135" s="99" t="s">
        <v>696</v>
      </c>
      <c r="M135" s="99" t="s">
        <v>1</v>
      </c>
      <c r="N135" s="99" t="s">
        <v>3407</v>
      </c>
      <c r="O135" s="99" t="s">
        <v>114</v>
      </c>
      <c r="P135" s="99" t="s">
        <v>3422</v>
      </c>
      <c r="Q135" s="99" t="s">
        <v>169</v>
      </c>
      <c r="R135" s="99" t="s">
        <v>3409</v>
      </c>
      <c r="S135" s="99" t="s">
        <v>2636</v>
      </c>
      <c r="T135" s="99" t="s">
        <v>48</v>
      </c>
      <c r="U135" s="99" t="s">
        <v>440</v>
      </c>
      <c r="V135" s="99" t="s">
        <v>441</v>
      </c>
      <c r="W135" s="99" t="s">
        <v>3745</v>
      </c>
      <c r="X135" s="99" t="s">
        <v>3745</v>
      </c>
      <c r="Y135" s="99" t="s">
        <v>3746</v>
      </c>
      <c r="Z135" s="99" t="s">
        <v>172</v>
      </c>
      <c r="AA135" s="99" t="s">
        <v>173</v>
      </c>
      <c r="AB135" s="99" t="s">
        <v>174</v>
      </c>
      <c r="AC135" s="99" t="s">
        <v>3411</v>
      </c>
      <c r="AD135" s="99" t="s">
        <v>175</v>
      </c>
      <c r="AE135" s="99" t="s">
        <v>3411</v>
      </c>
      <c r="AF135" s="99" t="s">
        <v>3411</v>
      </c>
      <c r="AG135" s="124">
        <v>1666</v>
      </c>
      <c r="AH135" s="99" t="s">
        <v>3413</v>
      </c>
      <c r="AI135" s="125">
        <v>100</v>
      </c>
      <c r="AJ135" s="99" t="s">
        <v>176</v>
      </c>
      <c r="AK135" s="99" t="s">
        <v>3745</v>
      </c>
      <c r="AL135" s="99" t="s">
        <v>3411</v>
      </c>
      <c r="AM135" s="99" t="s">
        <v>177</v>
      </c>
      <c r="AN135" s="99" t="s">
        <v>3411</v>
      </c>
      <c r="AO135" s="99" t="s">
        <v>178</v>
      </c>
      <c r="AP135" s="99" t="s">
        <v>2570</v>
      </c>
      <c r="AQ135" s="99" t="s">
        <v>3411</v>
      </c>
      <c r="AR135" s="99" t="s">
        <v>3411</v>
      </c>
      <c r="AS135" s="99" t="s">
        <v>699</v>
      </c>
      <c r="AT135" s="99" t="s">
        <v>235</v>
      </c>
      <c r="AU135" s="99" t="s">
        <v>236</v>
      </c>
      <c r="AV135" s="99" t="s">
        <v>3414</v>
      </c>
      <c r="AW135" s="99" t="s">
        <v>180</v>
      </c>
      <c r="AX135" s="99" t="s">
        <v>3420</v>
      </c>
      <c r="AY135" s="99" t="s">
        <v>252</v>
      </c>
      <c r="AZ135" s="99" t="s">
        <v>3416</v>
      </c>
      <c r="BA135" s="99" t="s">
        <v>3735</v>
      </c>
      <c r="BB135" s="99" t="s">
        <v>3007</v>
      </c>
      <c r="BC135" s="125">
        <v>46</v>
      </c>
      <c r="BD135" s="99" t="s">
        <v>3135</v>
      </c>
      <c r="BE135" s="99" t="s">
        <v>3136</v>
      </c>
    </row>
    <row r="136" spans="1:57" ht="12.95" customHeight="1">
      <c r="A136" s="124">
        <v>15</v>
      </c>
      <c r="B136" s="124">
        <v>1567</v>
      </c>
      <c r="C136" s="99" t="s">
        <v>165</v>
      </c>
      <c r="D136" s="99" t="s">
        <v>680</v>
      </c>
      <c r="E136" s="99" t="s">
        <v>3293</v>
      </c>
      <c r="F136" s="99" t="s">
        <v>682</v>
      </c>
      <c r="G136" s="99" t="s">
        <v>3006</v>
      </c>
      <c r="H136" s="99" t="s">
        <v>3744</v>
      </c>
      <c r="I136" s="99" t="s">
        <v>694</v>
      </c>
      <c r="J136" s="99" t="s">
        <v>700</v>
      </c>
      <c r="K136" s="99" t="s">
        <v>701</v>
      </c>
      <c r="L136" s="99" t="s">
        <v>702</v>
      </c>
      <c r="M136" s="99" t="s">
        <v>1</v>
      </c>
      <c r="N136" s="99" t="s">
        <v>3407</v>
      </c>
      <c r="O136" s="99" t="s">
        <v>114</v>
      </c>
      <c r="P136" s="99" t="s">
        <v>3422</v>
      </c>
      <c r="Q136" s="99" t="s">
        <v>169</v>
      </c>
      <c r="R136" s="99" t="s">
        <v>3409</v>
      </c>
      <c r="S136" s="99" t="s">
        <v>2636</v>
      </c>
      <c r="T136" s="99" t="s">
        <v>48</v>
      </c>
      <c r="U136" s="99" t="s">
        <v>440</v>
      </c>
      <c r="V136" s="99" t="s">
        <v>441</v>
      </c>
      <c r="W136" s="99" t="s">
        <v>3648</v>
      </c>
      <c r="X136" s="99" t="s">
        <v>3648</v>
      </c>
      <c r="Y136" s="99" t="s">
        <v>3747</v>
      </c>
      <c r="Z136" s="99" t="s">
        <v>172</v>
      </c>
      <c r="AA136" s="99" t="s">
        <v>173</v>
      </c>
      <c r="AB136" s="99" t="s">
        <v>174</v>
      </c>
      <c r="AC136" s="99" t="s">
        <v>3411</v>
      </c>
      <c r="AD136" s="99" t="s">
        <v>175</v>
      </c>
      <c r="AE136" s="99" t="s">
        <v>3411</v>
      </c>
      <c r="AF136" s="99" t="s">
        <v>3411</v>
      </c>
      <c r="AG136" s="124">
        <v>1237</v>
      </c>
      <c r="AH136" s="99" t="s">
        <v>3413</v>
      </c>
      <c r="AI136" s="125">
        <v>100</v>
      </c>
      <c r="AJ136" s="99" t="s">
        <v>176</v>
      </c>
      <c r="AK136" s="99" t="s">
        <v>3648</v>
      </c>
      <c r="AL136" s="99" t="s">
        <v>3411</v>
      </c>
      <c r="AM136" s="99" t="s">
        <v>177</v>
      </c>
      <c r="AN136" s="99" t="s">
        <v>3411</v>
      </c>
      <c r="AO136" s="99" t="s">
        <v>178</v>
      </c>
      <c r="AP136" s="99" t="s">
        <v>2570</v>
      </c>
      <c r="AQ136" s="99" t="s">
        <v>3411</v>
      </c>
      <c r="AR136" s="99" t="s">
        <v>234</v>
      </c>
      <c r="AS136" s="99" t="s">
        <v>703</v>
      </c>
      <c r="AT136" s="99" t="s">
        <v>235</v>
      </c>
      <c r="AU136" s="99" t="s">
        <v>236</v>
      </c>
      <c r="AV136" s="99" t="s">
        <v>3414</v>
      </c>
      <c r="AW136" s="99" t="s">
        <v>180</v>
      </c>
      <c r="AX136" s="99" t="s">
        <v>3420</v>
      </c>
      <c r="AY136" s="99" t="s">
        <v>252</v>
      </c>
      <c r="AZ136" s="99" t="s">
        <v>3416</v>
      </c>
      <c r="BA136" s="99" t="s">
        <v>3735</v>
      </c>
      <c r="BB136" s="99" t="s">
        <v>3007</v>
      </c>
      <c r="BC136" s="125">
        <v>48</v>
      </c>
      <c r="BD136" s="99" t="s">
        <v>3135</v>
      </c>
      <c r="BE136" s="99" t="s">
        <v>3136</v>
      </c>
    </row>
    <row r="137" spans="1:57" ht="12.95" customHeight="1">
      <c r="A137" s="124">
        <v>15</v>
      </c>
      <c r="B137" s="124">
        <v>1274</v>
      </c>
      <c r="C137" s="99" t="s">
        <v>165</v>
      </c>
      <c r="D137" s="99" t="s">
        <v>680</v>
      </c>
      <c r="E137" s="99" t="s">
        <v>3293</v>
      </c>
      <c r="F137" s="99" t="s">
        <v>682</v>
      </c>
      <c r="G137" s="99" t="s">
        <v>3006</v>
      </c>
      <c r="H137" s="99" t="s">
        <v>3744</v>
      </c>
      <c r="I137" s="99" t="s">
        <v>694</v>
      </c>
      <c r="J137" s="99" t="s">
        <v>704</v>
      </c>
      <c r="K137" s="99" t="s">
        <v>230</v>
      </c>
      <c r="L137" s="99" t="s">
        <v>705</v>
      </c>
      <c r="M137" s="99" t="s">
        <v>5</v>
      </c>
      <c r="N137" s="99" t="s">
        <v>3407</v>
      </c>
      <c r="O137" s="99" t="s">
        <v>114</v>
      </c>
      <c r="P137" s="99" t="s">
        <v>3422</v>
      </c>
      <c r="Q137" s="99" t="s">
        <v>169</v>
      </c>
      <c r="R137" s="99" t="s">
        <v>3409</v>
      </c>
      <c r="S137" s="99" t="s">
        <v>2636</v>
      </c>
      <c r="T137" s="99" t="s">
        <v>52</v>
      </c>
      <c r="U137" s="99" t="s">
        <v>427</v>
      </c>
      <c r="V137" s="99" t="s">
        <v>428</v>
      </c>
      <c r="W137" s="99" t="s">
        <v>3748</v>
      </c>
      <c r="X137" s="99" t="s">
        <v>3748</v>
      </c>
      <c r="Y137" s="99" t="s">
        <v>3749</v>
      </c>
      <c r="Z137" s="99" t="s">
        <v>172</v>
      </c>
      <c r="AA137" s="99" t="s">
        <v>173</v>
      </c>
      <c r="AB137" s="99" t="s">
        <v>174</v>
      </c>
      <c r="AC137" s="99" t="s">
        <v>3411</v>
      </c>
      <c r="AD137" s="99" t="s">
        <v>175</v>
      </c>
      <c r="AE137" s="99" t="s">
        <v>3411</v>
      </c>
      <c r="AF137" s="99" t="s">
        <v>3411</v>
      </c>
      <c r="AG137" s="124">
        <v>1006</v>
      </c>
      <c r="AH137" s="99" t="s">
        <v>3413</v>
      </c>
      <c r="AI137" s="125">
        <v>100</v>
      </c>
      <c r="AJ137" s="99" t="s">
        <v>176</v>
      </c>
      <c r="AK137" s="99" t="s">
        <v>3748</v>
      </c>
      <c r="AL137" s="99" t="s">
        <v>3411</v>
      </c>
      <c r="AM137" s="99" t="s">
        <v>177</v>
      </c>
      <c r="AN137" s="99" t="s">
        <v>3411</v>
      </c>
      <c r="AO137" s="99" t="s">
        <v>178</v>
      </c>
      <c r="AP137" s="99" t="s">
        <v>2570</v>
      </c>
      <c r="AQ137" s="99" t="s">
        <v>3411</v>
      </c>
      <c r="AR137" s="99" t="s">
        <v>3411</v>
      </c>
      <c r="AS137" s="99" t="s">
        <v>706</v>
      </c>
      <c r="AT137" s="99" t="s">
        <v>1</v>
      </c>
      <c r="AU137" s="99" t="s">
        <v>179</v>
      </c>
      <c r="AV137" s="99" t="s">
        <v>3414</v>
      </c>
      <c r="AW137" s="99" t="s">
        <v>180</v>
      </c>
      <c r="AX137" s="99" t="s">
        <v>3420</v>
      </c>
      <c r="AY137" s="99" t="s">
        <v>252</v>
      </c>
      <c r="AZ137" s="99" t="s">
        <v>3416</v>
      </c>
      <c r="BA137" s="99" t="s">
        <v>3735</v>
      </c>
      <c r="BB137" s="99" t="s">
        <v>3007</v>
      </c>
      <c r="BC137" s="125">
        <v>59</v>
      </c>
      <c r="BD137" s="99" t="s">
        <v>3135</v>
      </c>
      <c r="BE137" s="99" t="s">
        <v>3136</v>
      </c>
    </row>
    <row r="138" spans="1:57" ht="12.95" customHeight="1">
      <c r="A138" s="124">
        <v>15</v>
      </c>
      <c r="B138" s="124">
        <v>1690</v>
      </c>
      <c r="C138" s="99" t="s">
        <v>165</v>
      </c>
      <c r="D138" s="99" t="s">
        <v>680</v>
      </c>
      <c r="E138" s="99" t="s">
        <v>3293</v>
      </c>
      <c r="F138" s="99" t="s">
        <v>707</v>
      </c>
      <c r="G138" s="99" t="s">
        <v>708</v>
      </c>
      <c r="H138" s="99" t="s">
        <v>3750</v>
      </c>
      <c r="I138" s="99" t="s">
        <v>714</v>
      </c>
      <c r="J138" s="99" t="s">
        <v>691</v>
      </c>
      <c r="K138" s="99" t="s">
        <v>212</v>
      </c>
      <c r="L138" s="99" t="s">
        <v>692</v>
      </c>
      <c r="M138" s="99" t="s">
        <v>1</v>
      </c>
      <c r="N138" s="99" t="s">
        <v>3407</v>
      </c>
      <c r="O138" s="99" t="s">
        <v>114</v>
      </c>
      <c r="P138" s="99" t="s">
        <v>3422</v>
      </c>
      <c r="Q138" s="99" t="s">
        <v>169</v>
      </c>
      <c r="R138" s="99" t="s">
        <v>3409</v>
      </c>
      <c r="S138" s="99" t="s">
        <v>2636</v>
      </c>
      <c r="T138" s="99" t="s">
        <v>52</v>
      </c>
      <c r="U138" s="99" t="s">
        <v>427</v>
      </c>
      <c r="V138" s="99" t="s">
        <v>428</v>
      </c>
      <c r="W138" s="99" t="s">
        <v>3751</v>
      </c>
      <c r="X138" s="99" t="s">
        <v>3751</v>
      </c>
      <c r="Y138" s="99" t="s">
        <v>3752</v>
      </c>
      <c r="Z138" s="99" t="s">
        <v>172</v>
      </c>
      <c r="AA138" s="99" t="s">
        <v>173</v>
      </c>
      <c r="AB138" s="99" t="s">
        <v>174</v>
      </c>
      <c r="AC138" s="99" t="s">
        <v>3411</v>
      </c>
      <c r="AD138" s="99" t="s">
        <v>175</v>
      </c>
      <c r="AE138" s="99" t="s">
        <v>3411</v>
      </c>
      <c r="AF138" s="99" t="s">
        <v>3411</v>
      </c>
      <c r="AG138" s="124">
        <v>1346</v>
      </c>
      <c r="AH138" s="99" t="s">
        <v>3413</v>
      </c>
      <c r="AI138" s="125">
        <v>100</v>
      </c>
      <c r="AJ138" s="99" t="s">
        <v>176</v>
      </c>
      <c r="AK138" s="99" t="s">
        <v>3751</v>
      </c>
      <c r="AL138" s="99" t="s">
        <v>3411</v>
      </c>
      <c r="AM138" s="99" t="s">
        <v>177</v>
      </c>
      <c r="AN138" s="99" t="s">
        <v>3411</v>
      </c>
      <c r="AO138" s="99" t="s">
        <v>178</v>
      </c>
      <c r="AP138" s="99" t="s">
        <v>2570</v>
      </c>
      <c r="AQ138" s="99" t="s">
        <v>3411</v>
      </c>
      <c r="AR138" s="99" t="s">
        <v>3411</v>
      </c>
      <c r="AS138" s="99" t="s">
        <v>693</v>
      </c>
      <c r="AT138" s="99" t="s">
        <v>1</v>
      </c>
      <c r="AU138" s="99" t="s">
        <v>179</v>
      </c>
      <c r="AV138" s="99" t="s">
        <v>3414</v>
      </c>
      <c r="AW138" s="99" t="s">
        <v>180</v>
      </c>
      <c r="AX138" s="99" t="s">
        <v>3420</v>
      </c>
      <c r="AY138" s="99" t="s">
        <v>252</v>
      </c>
      <c r="AZ138" s="99" t="s">
        <v>3416</v>
      </c>
      <c r="BA138" s="99" t="s">
        <v>3753</v>
      </c>
      <c r="BB138" s="99" t="s">
        <v>718</v>
      </c>
      <c r="BC138" s="125">
        <v>51</v>
      </c>
      <c r="BD138" s="99" t="s">
        <v>3135</v>
      </c>
      <c r="BE138" s="99" t="s">
        <v>3136</v>
      </c>
    </row>
    <row r="139" spans="1:57" ht="12.95" customHeight="1">
      <c r="A139" s="124">
        <v>15</v>
      </c>
      <c r="B139" s="124">
        <v>2648</v>
      </c>
      <c r="C139" s="99" t="s">
        <v>165</v>
      </c>
      <c r="D139" s="99" t="s">
        <v>680</v>
      </c>
      <c r="E139" s="99" t="s">
        <v>3293</v>
      </c>
      <c r="F139" s="99" t="s">
        <v>707</v>
      </c>
      <c r="G139" s="99" t="s">
        <v>708</v>
      </c>
      <c r="H139" s="99" t="s">
        <v>3750</v>
      </c>
      <c r="I139" s="99" t="s">
        <v>714</v>
      </c>
      <c r="J139" s="99" t="s">
        <v>715</v>
      </c>
      <c r="K139" s="99" t="s">
        <v>311</v>
      </c>
      <c r="L139" s="99" t="s">
        <v>716</v>
      </c>
      <c r="M139" s="99" t="s">
        <v>1</v>
      </c>
      <c r="N139" s="99" t="s">
        <v>3407</v>
      </c>
      <c r="O139" s="99" t="s">
        <v>114</v>
      </c>
      <c r="P139" s="99" t="s">
        <v>3422</v>
      </c>
      <c r="Q139" s="99" t="s">
        <v>169</v>
      </c>
      <c r="R139" s="99" t="s">
        <v>3409</v>
      </c>
      <c r="S139" s="99" t="s">
        <v>2636</v>
      </c>
      <c r="T139" s="99" t="s">
        <v>52</v>
      </c>
      <c r="U139" s="99" t="s">
        <v>427</v>
      </c>
      <c r="V139" s="99" t="s">
        <v>428</v>
      </c>
      <c r="W139" s="99" t="s">
        <v>3754</v>
      </c>
      <c r="X139" s="99" t="s">
        <v>3755</v>
      </c>
      <c r="Y139" s="99" t="s">
        <v>3756</v>
      </c>
      <c r="Z139" s="99" t="s">
        <v>172</v>
      </c>
      <c r="AA139" s="99" t="s">
        <v>173</v>
      </c>
      <c r="AB139" s="99" t="s">
        <v>400</v>
      </c>
      <c r="AC139" s="99" t="s">
        <v>3411</v>
      </c>
      <c r="AD139" s="99" t="s">
        <v>175</v>
      </c>
      <c r="AE139" s="99" t="s">
        <v>3411</v>
      </c>
      <c r="AF139" s="99" t="s">
        <v>3411</v>
      </c>
      <c r="AG139" s="124">
        <v>2648</v>
      </c>
      <c r="AH139" s="99" t="s">
        <v>3413</v>
      </c>
      <c r="AI139" s="125">
        <v>100</v>
      </c>
      <c r="AJ139" s="99" t="s">
        <v>176</v>
      </c>
      <c r="AK139" s="99" t="s">
        <v>3755</v>
      </c>
      <c r="AL139" s="99" t="s">
        <v>3411</v>
      </c>
      <c r="AM139" s="99" t="s">
        <v>177</v>
      </c>
      <c r="AN139" s="99" t="s">
        <v>3411</v>
      </c>
      <c r="AO139" s="99" t="s">
        <v>178</v>
      </c>
      <c r="AP139" s="99" t="s">
        <v>2570</v>
      </c>
      <c r="AQ139" s="99" t="s">
        <v>3411</v>
      </c>
      <c r="AR139" s="99" t="s">
        <v>3411</v>
      </c>
      <c r="AS139" s="99" t="s">
        <v>717</v>
      </c>
      <c r="AT139" s="99" t="s">
        <v>1</v>
      </c>
      <c r="AU139" s="99" t="s">
        <v>179</v>
      </c>
      <c r="AV139" s="99" t="s">
        <v>3414</v>
      </c>
      <c r="AW139" s="99" t="s">
        <v>180</v>
      </c>
      <c r="AX139" s="99" t="s">
        <v>3420</v>
      </c>
      <c r="AY139" s="99" t="s">
        <v>252</v>
      </c>
      <c r="AZ139" s="99" t="s">
        <v>3416</v>
      </c>
      <c r="BA139" s="99" t="s">
        <v>3753</v>
      </c>
      <c r="BB139" s="99" t="s">
        <v>718</v>
      </c>
      <c r="BC139" s="125">
        <v>54</v>
      </c>
      <c r="BD139" s="99" t="s">
        <v>3135</v>
      </c>
      <c r="BE139" s="99" t="s">
        <v>3136</v>
      </c>
    </row>
    <row r="140" spans="1:57" ht="12.95" customHeight="1">
      <c r="A140" s="124">
        <v>15</v>
      </c>
      <c r="B140" s="124">
        <v>3110</v>
      </c>
      <c r="C140" s="99" t="s">
        <v>165</v>
      </c>
      <c r="D140" s="99" t="s">
        <v>680</v>
      </c>
      <c r="E140" s="99" t="s">
        <v>3293</v>
      </c>
      <c r="F140" s="99" t="s">
        <v>707</v>
      </c>
      <c r="G140" s="99" t="s">
        <v>708</v>
      </c>
      <c r="H140" s="99" t="s">
        <v>3750</v>
      </c>
      <c r="I140" s="99" t="s">
        <v>714</v>
      </c>
      <c r="J140" s="99" t="s">
        <v>3040</v>
      </c>
      <c r="K140" s="99" t="s">
        <v>3041</v>
      </c>
      <c r="L140" s="99" t="s">
        <v>3042</v>
      </c>
      <c r="M140" s="99" t="s">
        <v>1</v>
      </c>
      <c r="N140" s="99" t="s">
        <v>3407</v>
      </c>
      <c r="O140" s="99" t="s">
        <v>114</v>
      </c>
      <c r="P140" s="99" t="s">
        <v>3757</v>
      </c>
      <c r="Q140" s="99" t="s">
        <v>169</v>
      </c>
      <c r="R140" s="99" t="s">
        <v>3409</v>
      </c>
      <c r="S140" s="99" t="s">
        <v>2636</v>
      </c>
      <c r="T140" s="99" t="s">
        <v>48</v>
      </c>
      <c r="U140" s="99" t="s">
        <v>170</v>
      </c>
      <c r="V140" s="99" t="s">
        <v>171</v>
      </c>
      <c r="W140" s="99" t="s">
        <v>3757</v>
      </c>
      <c r="X140" s="99" t="s">
        <v>3757</v>
      </c>
      <c r="Y140" s="99" t="s">
        <v>3758</v>
      </c>
      <c r="Z140" s="99" t="s">
        <v>172</v>
      </c>
      <c r="AA140" s="99" t="s">
        <v>173</v>
      </c>
      <c r="AB140" s="99" t="s">
        <v>174</v>
      </c>
      <c r="AC140" s="99" t="s">
        <v>3411</v>
      </c>
      <c r="AD140" s="99" t="s">
        <v>175</v>
      </c>
      <c r="AE140" s="99" t="s">
        <v>3411</v>
      </c>
      <c r="AF140" s="99" t="s">
        <v>3411</v>
      </c>
      <c r="AG140" s="124">
        <v>3110</v>
      </c>
      <c r="AH140" s="99" t="s">
        <v>3413</v>
      </c>
      <c r="AI140" s="125">
        <v>100</v>
      </c>
      <c r="AJ140" s="99" t="s">
        <v>176</v>
      </c>
      <c r="AK140" s="99" t="s">
        <v>3757</v>
      </c>
      <c r="AL140" s="99" t="s">
        <v>3411</v>
      </c>
      <c r="AM140" s="99" t="s">
        <v>177</v>
      </c>
      <c r="AN140" s="99" t="s">
        <v>3411</v>
      </c>
      <c r="AO140" s="99" t="s">
        <v>412</v>
      </c>
      <c r="AP140" s="99" t="s">
        <v>2570</v>
      </c>
      <c r="AQ140" s="99" t="s">
        <v>3411</v>
      </c>
      <c r="AR140" s="99" t="s">
        <v>3411</v>
      </c>
      <c r="AS140" s="99" t="s">
        <v>3043</v>
      </c>
      <c r="AT140" s="99" t="s">
        <v>1</v>
      </c>
      <c r="AU140" s="99" t="s">
        <v>179</v>
      </c>
      <c r="AV140" s="99" t="s">
        <v>3414</v>
      </c>
      <c r="AW140" s="99" t="s">
        <v>180</v>
      </c>
      <c r="AX140" s="99" t="s">
        <v>3420</v>
      </c>
      <c r="AY140" s="99" t="s">
        <v>252</v>
      </c>
      <c r="AZ140" s="99" t="s">
        <v>3416</v>
      </c>
      <c r="BA140" s="99" t="s">
        <v>3753</v>
      </c>
      <c r="BB140" s="99" t="s">
        <v>718</v>
      </c>
      <c r="BC140" s="125">
        <v>32</v>
      </c>
      <c r="BD140" s="99" t="s">
        <v>3135</v>
      </c>
      <c r="BE140" s="99" t="s">
        <v>3136</v>
      </c>
    </row>
    <row r="141" spans="1:57" ht="12.95" customHeight="1">
      <c r="A141" s="124">
        <v>15</v>
      </c>
      <c r="B141" s="124">
        <v>2262</v>
      </c>
      <c r="C141" s="99" t="s">
        <v>165</v>
      </c>
      <c r="D141" s="99" t="s">
        <v>680</v>
      </c>
      <c r="E141" s="99" t="s">
        <v>3293</v>
      </c>
      <c r="F141" s="99" t="s">
        <v>707</v>
      </c>
      <c r="G141" s="99" t="s">
        <v>708</v>
      </c>
      <c r="H141" s="99" t="s">
        <v>3750</v>
      </c>
      <c r="I141" s="99" t="s">
        <v>714</v>
      </c>
      <c r="J141" s="99" t="s">
        <v>722</v>
      </c>
      <c r="K141" s="99" t="s">
        <v>723</v>
      </c>
      <c r="L141" s="99" t="s">
        <v>724</v>
      </c>
      <c r="M141" s="99" t="s">
        <v>5</v>
      </c>
      <c r="N141" s="99" t="s">
        <v>3407</v>
      </c>
      <c r="O141" s="99" t="s">
        <v>114</v>
      </c>
      <c r="P141" s="99" t="s">
        <v>3422</v>
      </c>
      <c r="Q141" s="99" t="s">
        <v>169</v>
      </c>
      <c r="R141" s="99" t="s">
        <v>3409</v>
      </c>
      <c r="S141" s="99" t="s">
        <v>2636</v>
      </c>
      <c r="T141" s="99" t="s">
        <v>48</v>
      </c>
      <c r="U141" s="99" t="s">
        <v>184</v>
      </c>
      <c r="V141" s="99" t="s">
        <v>185</v>
      </c>
      <c r="W141" s="99" t="s">
        <v>3759</v>
      </c>
      <c r="X141" s="99" t="s">
        <v>3759</v>
      </c>
      <c r="Y141" s="99" t="s">
        <v>3760</v>
      </c>
      <c r="Z141" s="99" t="s">
        <v>172</v>
      </c>
      <c r="AA141" s="99" t="s">
        <v>173</v>
      </c>
      <c r="AB141" s="99" t="s">
        <v>174</v>
      </c>
      <c r="AC141" s="99" t="s">
        <v>3411</v>
      </c>
      <c r="AD141" s="99" t="s">
        <v>175</v>
      </c>
      <c r="AE141" s="99" t="s">
        <v>3411</v>
      </c>
      <c r="AF141" s="99" t="s">
        <v>3411</v>
      </c>
      <c r="AG141" s="124">
        <v>1695</v>
      </c>
      <c r="AH141" s="99" t="s">
        <v>3413</v>
      </c>
      <c r="AI141" s="125">
        <v>100</v>
      </c>
      <c r="AJ141" s="99" t="s">
        <v>176</v>
      </c>
      <c r="AK141" s="99" t="s">
        <v>3759</v>
      </c>
      <c r="AL141" s="99" t="s">
        <v>3411</v>
      </c>
      <c r="AM141" s="99" t="s">
        <v>177</v>
      </c>
      <c r="AN141" s="99" t="s">
        <v>3411</v>
      </c>
      <c r="AO141" s="99" t="s">
        <v>178</v>
      </c>
      <c r="AP141" s="99" t="s">
        <v>2570</v>
      </c>
      <c r="AQ141" s="99" t="s">
        <v>3411</v>
      </c>
      <c r="AR141" s="99" t="s">
        <v>3411</v>
      </c>
      <c r="AS141" s="99" t="s">
        <v>725</v>
      </c>
      <c r="AT141" s="99" t="s">
        <v>1</v>
      </c>
      <c r="AU141" s="99" t="s">
        <v>179</v>
      </c>
      <c r="AV141" s="99" t="s">
        <v>3414</v>
      </c>
      <c r="AW141" s="99" t="s">
        <v>180</v>
      </c>
      <c r="AX141" s="99" t="s">
        <v>3420</v>
      </c>
      <c r="AY141" s="99" t="s">
        <v>252</v>
      </c>
      <c r="AZ141" s="99" t="s">
        <v>3416</v>
      </c>
      <c r="BA141" s="99" t="s">
        <v>3753</v>
      </c>
      <c r="BB141" s="99" t="s">
        <v>718</v>
      </c>
      <c r="BC141" s="125">
        <v>46</v>
      </c>
      <c r="BD141" s="99" t="s">
        <v>3135</v>
      </c>
      <c r="BE141" s="99" t="s">
        <v>3136</v>
      </c>
    </row>
    <row r="142" spans="1:57" ht="12.95" customHeight="1">
      <c r="A142" s="124">
        <v>15</v>
      </c>
      <c r="B142" s="124">
        <v>3054</v>
      </c>
      <c r="C142" s="99" t="s">
        <v>165</v>
      </c>
      <c r="D142" s="99" t="s">
        <v>680</v>
      </c>
      <c r="E142" s="99" t="s">
        <v>3293</v>
      </c>
      <c r="F142" s="99" t="s">
        <v>707</v>
      </c>
      <c r="G142" s="99" t="s">
        <v>708</v>
      </c>
      <c r="H142" s="99" t="s">
        <v>3750</v>
      </c>
      <c r="I142" s="99" t="s">
        <v>714</v>
      </c>
      <c r="J142" s="99" t="s">
        <v>2661</v>
      </c>
      <c r="K142" s="99" t="s">
        <v>668</v>
      </c>
      <c r="L142" s="99" t="s">
        <v>2662</v>
      </c>
      <c r="M142" s="99" t="s">
        <v>1</v>
      </c>
      <c r="N142" s="99" t="s">
        <v>3407</v>
      </c>
      <c r="O142" s="99" t="s">
        <v>114</v>
      </c>
      <c r="P142" s="99" t="s">
        <v>3460</v>
      </c>
      <c r="Q142" s="99" t="s">
        <v>169</v>
      </c>
      <c r="R142" s="99" t="s">
        <v>3409</v>
      </c>
      <c r="S142" s="99" t="s">
        <v>2636</v>
      </c>
      <c r="T142" s="99" t="s">
        <v>52</v>
      </c>
      <c r="U142" s="99" t="s">
        <v>427</v>
      </c>
      <c r="V142" s="99" t="s">
        <v>428</v>
      </c>
      <c r="W142" s="99" t="s">
        <v>3460</v>
      </c>
      <c r="X142" s="99" t="s">
        <v>3460</v>
      </c>
      <c r="Y142" s="99" t="s">
        <v>3761</v>
      </c>
      <c r="Z142" s="99" t="s">
        <v>172</v>
      </c>
      <c r="AA142" s="99" t="s">
        <v>173</v>
      </c>
      <c r="AB142" s="99" t="s">
        <v>174</v>
      </c>
      <c r="AC142" s="99" t="s">
        <v>3411</v>
      </c>
      <c r="AD142" s="99" t="s">
        <v>175</v>
      </c>
      <c r="AE142" s="99" t="s">
        <v>3411</v>
      </c>
      <c r="AF142" s="99" t="s">
        <v>3411</v>
      </c>
      <c r="AG142" s="124">
        <v>3054</v>
      </c>
      <c r="AH142" s="99" t="s">
        <v>3413</v>
      </c>
      <c r="AI142" s="125">
        <v>100</v>
      </c>
      <c r="AJ142" s="99" t="s">
        <v>176</v>
      </c>
      <c r="AK142" s="99" t="s">
        <v>3460</v>
      </c>
      <c r="AL142" s="99" t="s">
        <v>3411</v>
      </c>
      <c r="AM142" s="99" t="s">
        <v>177</v>
      </c>
      <c r="AN142" s="99" t="s">
        <v>3411</v>
      </c>
      <c r="AO142" s="99" t="s">
        <v>412</v>
      </c>
      <c r="AP142" s="99" t="s">
        <v>2570</v>
      </c>
      <c r="AQ142" s="99" t="s">
        <v>3411</v>
      </c>
      <c r="AR142" s="99" t="s">
        <v>3411</v>
      </c>
      <c r="AS142" s="99" t="s">
        <v>2663</v>
      </c>
      <c r="AT142" s="99" t="s">
        <v>1</v>
      </c>
      <c r="AU142" s="99" t="s">
        <v>179</v>
      </c>
      <c r="AV142" s="99" t="s">
        <v>3414</v>
      </c>
      <c r="AW142" s="99" t="s">
        <v>180</v>
      </c>
      <c r="AX142" s="99" t="s">
        <v>3420</v>
      </c>
      <c r="AY142" s="99" t="s">
        <v>252</v>
      </c>
      <c r="AZ142" s="99" t="s">
        <v>3416</v>
      </c>
      <c r="BA142" s="99" t="s">
        <v>3753</v>
      </c>
      <c r="BB142" s="99" t="s">
        <v>718</v>
      </c>
      <c r="BC142" s="125">
        <v>44</v>
      </c>
      <c r="BD142" s="99" t="s">
        <v>3135</v>
      </c>
      <c r="BE142" s="99" t="s">
        <v>3136</v>
      </c>
    </row>
    <row r="143" spans="1:57" ht="12.95" customHeight="1">
      <c r="A143" s="124">
        <v>15</v>
      </c>
      <c r="B143" s="124">
        <v>1284</v>
      </c>
      <c r="C143" s="99" t="s">
        <v>165</v>
      </c>
      <c r="D143" s="99" t="s">
        <v>680</v>
      </c>
      <c r="E143" s="99" t="s">
        <v>3293</v>
      </c>
      <c r="F143" s="99" t="s">
        <v>707</v>
      </c>
      <c r="G143" s="99" t="s">
        <v>708</v>
      </c>
      <c r="H143" s="99" t="s">
        <v>3750</v>
      </c>
      <c r="I143" s="99" t="s">
        <v>714</v>
      </c>
      <c r="J143" s="99" t="s">
        <v>726</v>
      </c>
      <c r="K143" s="99" t="s">
        <v>727</v>
      </c>
      <c r="L143" s="99" t="s">
        <v>728</v>
      </c>
      <c r="M143" s="99" t="s">
        <v>1</v>
      </c>
      <c r="N143" s="99" t="s">
        <v>3407</v>
      </c>
      <c r="O143" s="99" t="s">
        <v>114</v>
      </c>
      <c r="P143" s="99" t="s">
        <v>3422</v>
      </c>
      <c r="Q143" s="99" t="s">
        <v>169</v>
      </c>
      <c r="R143" s="99" t="s">
        <v>3409</v>
      </c>
      <c r="S143" s="99" t="s">
        <v>2636</v>
      </c>
      <c r="T143" s="99" t="s">
        <v>52</v>
      </c>
      <c r="U143" s="99" t="s">
        <v>427</v>
      </c>
      <c r="V143" s="99" t="s">
        <v>428</v>
      </c>
      <c r="W143" s="99" t="s">
        <v>3762</v>
      </c>
      <c r="X143" s="99" t="s">
        <v>3762</v>
      </c>
      <c r="Y143" s="99" t="s">
        <v>3763</v>
      </c>
      <c r="Z143" s="99" t="s">
        <v>172</v>
      </c>
      <c r="AA143" s="99" t="s">
        <v>173</v>
      </c>
      <c r="AB143" s="99" t="s">
        <v>174</v>
      </c>
      <c r="AC143" s="99" t="s">
        <v>3411</v>
      </c>
      <c r="AD143" s="99" t="s">
        <v>175</v>
      </c>
      <c r="AE143" s="99" t="s">
        <v>3411</v>
      </c>
      <c r="AF143" s="99" t="s">
        <v>3411</v>
      </c>
      <c r="AG143" s="124">
        <v>1013</v>
      </c>
      <c r="AH143" s="99" t="s">
        <v>3413</v>
      </c>
      <c r="AI143" s="125">
        <v>100</v>
      </c>
      <c r="AJ143" s="99" t="s">
        <v>176</v>
      </c>
      <c r="AK143" s="99" t="s">
        <v>3762</v>
      </c>
      <c r="AL143" s="99" t="s">
        <v>3411</v>
      </c>
      <c r="AM143" s="99" t="s">
        <v>177</v>
      </c>
      <c r="AN143" s="99" t="s">
        <v>3411</v>
      </c>
      <c r="AO143" s="99" t="s">
        <v>178</v>
      </c>
      <c r="AP143" s="99" t="s">
        <v>2570</v>
      </c>
      <c r="AQ143" s="99" t="s">
        <v>3411</v>
      </c>
      <c r="AR143" s="99" t="s">
        <v>3411</v>
      </c>
      <c r="AS143" s="99" t="s">
        <v>729</v>
      </c>
      <c r="AT143" s="99" t="s">
        <v>1</v>
      </c>
      <c r="AU143" s="99" t="s">
        <v>179</v>
      </c>
      <c r="AV143" s="99" t="s">
        <v>3414</v>
      </c>
      <c r="AW143" s="99" t="s">
        <v>180</v>
      </c>
      <c r="AX143" s="99" t="s">
        <v>3420</v>
      </c>
      <c r="AY143" s="99" t="s">
        <v>252</v>
      </c>
      <c r="AZ143" s="99" t="s">
        <v>3416</v>
      </c>
      <c r="BA143" s="99" t="s">
        <v>3743</v>
      </c>
      <c r="BB143" s="99" t="s">
        <v>3379</v>
      </c>
      <c r="BC143" s="125">
        <v>50</v>
      </c>
      <c r="BD143" s="99" t="s">
        <v>3135</v>
      </c>
      <c r="BE143" s="99" t="s">
        <v>3136</v>
      </c>
    </row>
    <row r="144" spans="1:57" ht="12.95" customHeight="1">
      <c r="A144" s="124">
        <v>15</v>
      </c>
      <c r="B144" s="124">
        <v>2290</v>
      </c>
      <c r="C144" s="99" t="s">
        <v>165</v>
      </c>
      <c r="D144" s="99" t="s">
        <v>680</v>
      </c>
      <c r="E144" s="99" t="s">
        <v>3293</v>
      </c>
      <c r="F144" s="99" t="s">
        <v>3008</v>
      </c>
      <c r="G144" s="99" t="s">
        <v>3009</v>
      </c>
      <c r="H144" s="99" t="s">
        <v>3764</v>
      </c>
      <c r="I144" s="99" t="s">
        <v>3010</v>
      </c>
      <c r="J144" s="99" t="s">
        <v>732</v>
      </c>
      <c r="K144" s="99" t="s">
        <v>733</v>
      </c>
      <c r="L144" s="99" t="s">
        <v>734</v>
      </c>
      <c r="M144" s="99" t="s">
        <v>5</v>
      </c>
      <c r="N144" s="99" t="s">
        <v>3407</v>
      </c>
      <c r="O144" s="99" t="s">
        <v>114</v>
      </c>
      <c r="P144" s="99" t="s">
        <v>3422</v>
      </c>
      <c r="Q144" s="99" t="s">
        <v>169</v>
      </c>
      <c r="R144" s="99" t="s">
        <v>3409</v>
      </c>
      <c r="S144" s="99" t="s">
        <v>2636</v>
      </c>
      <c r="T144" s="99" t="s">
        <v>52</v>
      </c>
      <c r="U144" s="99" t="s">
        <v>427</v>
      </c>
      <c r="V144" s="99" t="s">
        <v>428</v>
      </c>
      <c r="W144" s="99" t="s">
        <v>3765</v>
      </c>
      <c r="X144" s="99" t="s">
        <v>3765</v>
      </c>
      <c r="Y144" s="99" t="s">
        <v>3766</v>
      </c>
      <c r="Z144" s="99" t="s">
        <v>172</v>
      </c>
      <c r="AA144" s="99" t="s">
        <v>173</v>
      </c>
      <c r="AB144" s="99" t="s">
        <v>174</v>
      </c>
      <c r="AC144" s="99" t="s">
        <v>3411</v>
      </c>
      <c r="AD144" s="99" t="s">
        <v>175</v>
      </c>
      <c r="AE144" s="99" t="s">
        <v>3411</v>
      </c>
      <c r="AF144" s="99" t="s">
        <v>3411</v>
      </c>
      <c r="AG144" s="124">
        <v>1715</v>
      </c>
      <c r="AH144" s="99" t="s">
        <v>3413</v>
      </c>
      <c r="AI144" s="125">
        <v>100</v>
      </c>
      <c r="AJ144" s="99" t="s">
        <v>176</v>
      </c>
      <c r="AK144" s="99" t="s">
        <v>3765</v>
      </c>
      <c r="AL144" s="99" t="s">
        <v>3411</v>
      </c>
      <c r="AM144" s="99" t="s">
        <v>177</v>
      </c>
      <c r="AN144" s="99" t="s">
        <v>3411</v>
      </c>
      <c r="AO144" s="99" t="s">
        <v>178</v>
      </c>
      <c r="AP144" s="99" t="s">
        <v>2570</v>
      </c>
      <c r="AQ144" s="99" t="s">
        <v>3411</v>
      </c>
      <c r="AR144" s="99" t="s">
        <v>3411</v>
      </c>
      <c r="AS144" s="99" t="s">
        <v>735</v>
      </c>
      <c r="AT144" s="99" t="s">
        <v>1</v>
      </c>
      <c r="AU144" s="99" t="s">
        <v>179</v>
      </c>
      <c r="AV144" s="99" t="s">
        <v>3414</v>
      </c>
      <c r="AW144" s="99" t="s">
        <v>180</v>
      </c>
      <c r="AX144" s="99" t="s">
        <v>3420</v>
      </c>
      <c r="AY144" s="99" t="s">
        <v>252</v>
      </c>
      <c r="AZ144" s="99" t="s">
        <v>3416</v>
      </c>
      <c r="BA144" s="99" t="s">
        <v>3743</v>
      </c>
      <c r="BB144" s="99" t="s">
        <v>3379</v>
      </c>
      <c r="BC144" s="125">
        <v>53</v>
      </c>
      <c r="BD144" s="99" t="s">
        <v>3135</v>
      </c>
      <c r="BE144" s="99" t="s">
        <v>3136</v>
      </c>
    </row>
    <row r="145" spans="1:57" ht="12.95" customHeight="1">
      <c r="A145" s="124">
        <v>15</v>
      </c>
      <c r="B145" s="124">
        <v>1099</v>
      </c>
      <c r="C145" s="99" t="s">
        <v>165</v>
      </c>
      <c r="D145" s="99" t="s">
        <v>680</v>
      </c>
      <c r="E145" s="99" t="s">
        <v>3293</v>
      </c>
      <c r="F145" s="99" t="s">
        <v>2664</v>
      </c>
      <c r="G145" s="99" t="s">
        <v>2665</v>
      </c>
      <c r="H145" s="99" t="s">
        <v>3767</v>
      </c>
      <c r="I145" s="99" t="s">
        <v>709</v>
      </c>
      <c r="J145" s="99" t="s">
        <v>710</v>
      </c>
      <c r="K145" s="99" t="s">
        <v>711</v>
      </c>
      <c r="L145" s="99" t="s">
        <v>712</v>
      </c>
      <c r="M145" s="99" t="s">
        <v>1</v>
      </c>
      <c r="N145" s="99" t="s">
        <v>3407</v>
      </c>
      <c r="O145" s="99" t="s">
        <v>114</v>
      </c>
      <c r="P145" s="99" t="s">
        <v>3422</v>
      </c>
      <c r="Q145" s="99" t="s">
        <v>169</v>
      </c>
      <c r="R145" s="99" t="s">
        <v>3409</v>
      </c>
      <c r="S145" s="99" t="s">
        <v>2636</v>
      </c>
      <c r="T145" s="99" t="s">
        <v>48</v>
      </c>
      <c r="U145" s="99" t="s">
        <v>184</v>
      </c>
      <c r="V145" s="99" t="s">
        <v>185</v>
      </c>
      <c r="W145" s="99" t="s">
        <v>3768</v>
      </c>
      <c r="X145" s="99" t="s">
        <v>3768</v>
      </c>
      <c r="Y145" s="99" t="s">
        <v>3769</v>
      </c>
      <c r="Z145" s="99" t="s">
        <v>172</v>
      </c>
      <c r="AA145" s="99" t="s">
        <v>173</v>
      </c>
      <c r="AB145" s="99" t="s">
        <v>174</v>
      </c>
      <c r="AC145" s="99" t="s">
        <v>3411</v>
      </c>
      <c r="AD145" s="99" t="s">
        <v>175</v>
      </c>
      <c r="AE145" s="99" t="s">
        <v>3411</v>
      </c>
      <c r="AF145" s="99" t="s">
        <v>3411</v>
      </c>
      <c r="AG145" s="124">
        <v>863</v>
      </c>
      <c r="AH145" s="99" t="s">
        <v>3413</v>
      </c>
      <c r="AI145" s="125">
        <v>100</v>
      </c>
      <c r="AJ145" s="99" t="s">
        <v>176</v>
      </c>
      <c r="AK145" s="99" t="s">
        <v>3768</v>
      </c>
      <c r="AL145" s="99" t="s">
        <v>3411</v>
      </c>
      <c r="AM145" s="99" t="s">
        <v>177</v>
      </c>
      <c r="AN145" s="99" t="s">
        <v>3411</v>
      </c>
      <c r="AO145" s="99" t="s">
        <v>178</v>
      </c>
      <c r="AP145" s="99" t="s">
        <v>2570</v>
      </c>
      <c r="AQ145" s="99" t="s">
        <v>3411</v>
      </c>
      <c r="AR145" s="99" t="s">
        <v>3411</v>
      </c>
      <c r="AS145" s="99" t="s">
        <v>713</v>
      </c>
      <c r="AT145" s="99" t="s">
        <v>1</v>
      </c>
      <c r="AU145" s="99" t="s">
        <v>179</v>
      </c>
      <c r="AV145" s="99" t="s">
        <v>3414</v>
      </c>
      <c r="AW145" s="99" t="s">
        <v>180</v>
      </c>
      <c r="AX145" s="99" t="s">
        <v>3420</v>
      </c>
      <c r="AY145" s="99" t="s">
        <v>252</v>
      </c>
      <c r="AZ145" s="99" t="s">
        <v>3416</v>
      </c>
      <c r="BA145" s="99" t="s">
        <v>3743</v>
      </c>
      <c r="BB145" s="99" t="s">
        <v>3379</v>
      </c>
      <c r="BC145" s="125">
        <v>57</v>
      </c>
      <c r="BD145" s="99" t="s">
        <v>3135</v>
      </c>
      <c r="BE145" s="99" t="s">
        <v>3136</v>
      </c>
    </row>
    <row r="146" spans="1:57" ht="12.95" customHeight="1">
      <c r="A146" s="124">
        <v>15</v>
      </c>
      <c r="B146" s="124">
        <v>3163</v>
      </c>
      <c r="C146" s="99" t="s">
        <v>165</v>
      </c>
      <c r="D146" s="99" t="s">
        <v>680</v>
      </c>
      <c r="E146" s="99" t="s">
        <v>3293</v>
      </c>
      <c r="F146" s="99" t="s">
        <v>730</v>
      </c>
      <c r="G146" s="99" t="s">
        <v>731</v>
      </c>
      <c r="H146" s="99" t="s">
        <v>3770</v>
      </c>
      <c r="I146" s="99" t="s">
        <v>3380</v>
      </c>
      <c r="J146" s="99" t="s">
        <v>3381</v>
      </c>
      <c r="K146" s="99" t="s">
        <v>196</v>
      </c>
      <c r="L146" s="99" t="s">
        <v>3382</v>
      </c>
      <c r="M146" s="99" t="s">
        <v>1</v>
      </c>
      <c r="N146" s="99" t="s">
        <v>3407</v>
      </c>
      <c r="O146" s="99" t="s">
        <v>114</v>
      </c>
      <c r="P146" s="99" t="s">
        <v>3771</v>
      </c>
      <c r="Q146" s="99" t="s">
        <v>169</v>
      </c>
      <c r="R146" s="99" t="s">
        <v>3427</v>
      </c>
      <c r="S146" s="99" t="s">
        <v>2635</v>
      </c>
      <c r="T146" s="99" t="s">
        <v>58</v>
      </c>
      <c r="U146" s="99" t="s">
        <v>187</v>
      </c>
      <c r="V146" s="99" t="s">
        <v>188</v>
      </c>
      <c r="W146" s="99" t="s">
        <v>3771</v>
      </c>
      <c r="X146" s="99" t="s">
        <v>3771</v>
      </c>
      <c r="Y146" s="99" t="s">
        <v>3772</v>
      </c>
      <c r="Z146" s="99" t="s">
        <v>172</v>
      </c>
      <c r="AA146" s="99" t="s">
        <v>173</v>
      </c>
      <c r="AB146" s="99" t="s">
        <v>174</v>
      </c>
      <c r="AC146" s="99" t="s">
        <v>3411</v>
      </c>
      <c r="AD146" s="99" t="s">
        <v>175</v>
      </c>
      <c r="AE146" s="99" t="s">
        <v>3411</v>
      </c>
      <c r="AF146" s="99" t="s">
        <v>3411</v>
      </c>
      <c r="AG146" s="124">
        <v>3163</v>
      </c>
      <c r="AH146" s="99" t="s">
        <v>3413</v>
      </c>
      <c r="AI146" s="125">
        <v>100</v>
      </c>
      <c r="AJ146" s="99" t="s">
        <v>176</v>
      </c>
      <c r="AK146" s="99" t="s">
        <v>3771</v>
      </c>
      <c r="AL146" s="99" t="s">
        <v>3411</v>
      </c>
      <c r="AM146" s="99" t="s">
        <v>177</v>
      </c>
      <c r="AN146" s="99" t="s">
        <v>3411</v>
      </c>
      <c r="AO146" s="99" t="s">
        <v>189</v>
      </c>
      <c r="AP146" s="99" t="s">
        <v>2570</v>
      </c>
      <c r="AQ146" s="99" t="s">
        <v>3411</v>
      </c>
      <c r="AR146" s="99" t="s">
        <v>3411</v>
      </c>
      <c r="AS146" s="99" t="s">
        <v>3383</v>
      </c>
      <c r="AT146" s="99" t="s">
        <v>190</v>
      </c>
      <c r="AU146" s="99" t="s">
        <v>191</v>
      </c>
      <c r="AV146" s="99" t="s">
        <v>3414</v>
      </c>
      <c r="AW146" s="99" t="s">
        <v>180</v>
      </c>
      <c r="AX146" s="99" t="s">
        <v>3773</v>
      </c>
      <c r="AY146" s="99" t="s">
        <v>252</v>
      </c>
      <c r="AZ146" s="99" t="s">
        <v>3430</v>
      </c>
      <c r="BA146" s="99" t="s">
        <v>3421</v>
      </c>
      <c r="BB146" s="99" t="s">
        <v>381</v>
      </c>
      <c r="BC146" s="125">
        <v>40</v>
      </c>
      <c r="BD146" s="99" t="s">
        <v>3135</v>
      </c>
      <c r="BE146" s="99" t="s">
        <v>3136</v>
      </c>
    </row>
    <row r="147" spans="1:57" ht="12.95" customHeight="1">
      <c r="A147" s="124">
        <v>15</v>
      </c>
      <c r="B147" s="124">
        <v>3105</v>
      </c>
      <c r="C147" s="99" t="s">
        <v>165</v>
      </c>
      <c r="D147" s="99" t="s">
        <v>680</v>
      </c>
      <c r="E147" s="99" t="s">
        <v>3293</v>
      </c>
      <c r="F147" s="99" t="s">
        <v>730</v>
      </c>
      <c r="G147" s="99" t="s">
        <v>731</v>
      </c>
      <c r="H147" s="99" t="s">
        <v>3774</v>
      </c>
      <c r="I147" s="99" t="s">
        <v>3011</v>
      </c>
      <c r="J147" s="99" t="s">
        <v>3029</v>
      </c>
      <c r="K147" s="99" t="s">
        <v>2248</v>
      </c>
      <c r="L147" s="99" t="s">
        <v>3030</v>
      </c>
      <c r="M147" s="99" t="s">
        <v>1</v>
      </c>
      <c r="N147" s="99" t="s">
        <v>3407</v>
      </c>
      <c r="O147" s="99" t="s">
        <v>114</v>
      </c>
      <c r="P147" s="99" t="s">
        <v>3775</v>
      </c>
      <c r="Q147" s="99" t="s">
        <v>169</v>
      </c>
      <c r="R147" s="99" t="s">
        <v>3409</v>
      </c>
      <c r="S147" s="99" t="s">
        <v>2636</v>
      </c>
      <c r="T147" s="99" t="s">
        <v>52</v>
      </c>
      <c r="U147" s="99" t="s">
        <v>427</v>
      </c>
      <c r="V147" s="99" t="s">
        <v>428</v>
      </c>
      <c r="W147" s="99" t="s">
        <v>3775</v>
      </c>
      <c r="X147" s="99" t="s">
        <v>3775</v>
      </c>
      <c r="Y147" s="99" t="s">
        <v>3776</v>
      </c>
      <c r="Z147" s="99" t="s">
        <v>172</v>
      </c>
      <c r="AA147" s="99" t="s">
        <v>173</v>
      </c>
      <c r="AB147" s="99" t="s">
        <v>174</v>
      </c>
      <c r="AC147" s="99" t="s">
        <v>3411</v>
      </c>
      <c r="AD147" s="99" t="s">
        <v>175</v>
      </c>
      <c r="AE147" s="99" t="s">
        <v>3411</v>
      </c>
      <c r="AF147" s="99" t="s">
        <v>3411</v>
      </c>
      <c r="AG147" s="124">
        <v>3105</v>
      </c>
      <c r="AH147" s="99" t="s">
        <v>3413</v>
      </c>
      <c r="AI147" s="125">
        <v>100</v>
      </c>
      <c r="AJ147" s="99" t="s">
        <v>176</v>
      </c>
      <c r="AK147" s="99" t="s">
        <v>3775</v>
      </c>
      <c r="AL147" s="99" t="s">
        <v>3411</v>
      </c>
      <c r="AM147" s="99" t="s">
        <v>177</v>
      </c>
      <c r="AN147" s="99" t="s">
        <v>3411</v>
      </c>
      <c r="AO147" s="99" t="s">
        <v>412</v>
      </c>
      <c r="AP147" s="99" t="s">
        <v>2570</v>
      </c>
      <c r="AQ147" s="99" t="s">
        <v>3411</v>
      </c>
      <c r="AR147" s="99" t="s">
        <v>3411</v>
      </c>
      <c r="AS147" s="99" t="s">
        <v>3031</v>
      </c>
      <c r="AT147" s="99" t="s">
        <v>1</v>
      </c>
      <c r="AU147" s="99" t="s">
        <v>179</v>
      </c>
      <c r="AV147" s="99" t="s">
        <v>3414</v>
      </c>
      <c r="AW147" s="99" t="s">
        <v>180</v>
      </c>
      <c r="AX147" s="99" t="s">
        <v>3420</v>
      </c>
      <c r="AY147" s="99" t="s">
        <v>252</v>
      </c>
      <c r="AZ147" s="99" t="s">
        <v>3416</v>
      </c>
      <c r="BA147" s="99" t="s">
        <v>3777</v>
      </c>
      <c r="BB147" s="99" t="s">
        <v>3012</v>
      </c>
      <c r="BC147" s="125">
        <v>55</v>
      </c>
      <c r="BD147" s="99" t="s">
        <v>3135</v>
      </c>
      <c r="BE147" s="99" t="s">
        <v>3136</v>
      </c>
    </row>
    <row r="148" spans="1:57" ht="12.95" customHeight="1">
      <c r="A148" s="124">
        <v>15</v>
      </c>
      <c r="B148" s="124">
        <v>2329</v>
      </c>
      <c r="C148" s="99" t="s">
        <v>165</v>
      </c>
      <c r="D148" s="99" t="s">
        <v>680</v>
      </c>
      <c r="E148" s="99" t="s">
        <v>3293</v>
      </c>
      <c r="F148" s="99" t="s">
        <v>730</v>
      </c>
      <c r="G148" s="99" t="s">
        <v>731</v>
      </c>
      <c r="H148" s="99" t="s">
        <v>3774</v>
      </c>
      <c r="I148" s="99" t="s">
        <v>3011</v>
      </c>
      <c r="J148" s="99" t="s">
        <v>736</v>
      </c>
      <c r="K148" s="99" t="s">
        <v>695</v>
      </c>
      <c r="L148" s="99" t="s">
        <v>737</v>
      </c>
      <c r="M148" s="99" t="s">
        <v>1</v>
      </c>
      <c r="N148" s="99" t="s">
        <v>3407</v>
      </c>
      <c r="O148" s="99" t="s">
        <v>114</v>
      </c>
      <c r="P148" s="99" t="s">
        <v>3422</v>
      </c>
      <c r="Q148" s="99" t="s">
        <v>169</v>
      </c>
      <c r="R148" s="99" t="s">
        <v>3409</v>
      </c>
      <c r="S148" s="99" t="s">
        <v>2636</v>
      </c>
      <c r="T148" s="99" t="s">
        <v>52</v>
      </c>
      <c r="U148" s="99" t="s">
        <v>427</v>
      </c>
      <c r="V148" s="99" t="s">
        <v>428</v>
      </c>
      <c r="W148" s="99" t="s">
        <v>3778</v>
      </c>
      <c r="X148" s="99" t="s">
        <v>3778</v>
      </c>
      <c r="Y148" s="99" t="s">
        <v>3779</v>
      </c>
      <c r="Z148" s="99" t="s">
        <v>172</v>
      </c>
      <c r="AA148" s="99" t="s">
        <v>173</v>
      </c>
      <c r="AB148" s="99" t="s">
        <v>174</v>
      </c>
      <c r="AC148" s="99" t="s">
        <v>3411</v>
      </c>
      <c r="AD148" s="99" t="s">
        <v>175</v>
      </c>
      <c r="AE148" s="99" t="s">
        <v>3411</v>
      </c>
      <c r="AF148" s="99" t="s">
        <v>3411</v>
      </c>
      <c r="AG148" s="124">
        <v>1734</v>
      </c>
      <c r="AH148" s="99" t="s">
        <v>3413</v>
      </c>
      <c r="AI148" s="125">
        <v>100</v>
      </c>
      <c r="AJ148" s="99" t="s">
        <v>176</v>
      </c>
      <c r="AK148" s="99" t="s">
        <v>3778</v>
      </c>
      <c r="AL148" s="99" t="s">
        <v>3411</v>
      </c>
      <c r="AM148" s="99" t="s">
        <v>177</v>
      </c>
      <c r="AN148" s="99" t="s">
        <v>3411</v>
      </c>
      <c r="AO148" s="99" t="s">
        <v>178</v>
      </c>
      <c r="AP148" s="99" t="s">
        <v>2570</v>
      </c>
      <c r="AQ148" s="99" t="s">
        <v>3411</v>
      </c>
      <c r="AR148" s="99" t="s">
        <v>207</v>
      </c>
      <c r="AS148" s="99" t="s">
        <v>738</v>
      </c>
      <c r="AT148" s="99" t="s">
        <v>1</v>
      </c>
      <c r="AU148" s="99" t="s">
        <v>179</v>
      </c>
      <c r="AV148" s="99" t="s">
        <v>3414</v>
      </c>
      <c r="AW148" s="99" t="s">
        <v>180</v>
      </c>
      <c r="AX148" s="99" t="s">
        <v>3420</v>
      </c>
      <c r="AY148" s="99" t="s">
        <v>252</v>
      </c>
      <c r="AZ148" s="99" t="s">
        <v>3416</v>
      </c>
      <c r="BA148" s="99" t="s">
        <v>3743</v>
      </c>
      <c r="BB148" s="99" t="s">
        <v>3379</v>
      </c>
      <c r="BC148" s="125">
        <v>53</v>
      </c>
      <c r="BD148" s="99" t="s">
        <v>3135</v>
      </c>
      <c r="BE148" s="99" t="s">
        <v>3136</v>
      </c>
    </row>
    <row r="149" spans="1:57" ht="12.95" customHeight="1">
      <c r="A149" s="124">
        <v>15</v>
      </c>
      <c r="B149" s="124">
        <v>1678</v>
      </c>
      <c r="C149" s="99" t="s">
        <v>165</v>
      </c>
      <c r="D149" s="99" t="s">
        <v>680</v>
      </c>
      <c r="E149" s="99" t="s">
        <v>3293</v>
      </c>
      <c r="F149" s="99" t="s">
        <v>730</v>
      </c>
      <c r="G149" s="99" t="s">
        <v>731</v>
      </c>
      <c r="H149" s="99" t="s">
        <v>3780</v>
      </c>
      <c r="I149" s="99" t="s">
        <v>740</v>
      </c>
      <c r="J149" s="99" t="s">
        <v>742</v>
      </c>
      <c r="K149" s="99" t="s">
        <v>743</v>
      </c>
      <c r="L149" s="99" t="s">
        <v>744</v>
      </c>
      <c r="M149" s="99" t="s">
        <v>1</v>
      </c>
      <c r="N149" s="99" t="s">
        <v>3407</v>
      </c>
      <c r="O149" s="99" t="s">
        <v>114</v>
      </c>
      <c r="P149" s="99" t="s">
        <v>3422</v>
      </c>
      <c r="Q149" s="99" t="s">
        <v>169</v>
      </c>
      <c r="R149" s="99" t="s">
        <v>3409</v>
      </c>
      <c r="S149" s="99" t="s">
        <v>2636</v>
      </c>
      <c r="T149" s="99" t="s">
        <v>48</v>
      </c>
      <c r="U149" s="99" t="s">
        <v>184</v>
      </c>
      <c r="V149" s="99" t="s">
        <v>185</v>
      </c>
      <c r="W149" s="99" t="s">
        <v>3781</v>
      </c>
      <c r="X149" s="99" t="s">
        <v>3781</v>
      </c>
      <c r="Y149" s="99" t="s">
        <v>3782</v>
      </c>
      <c r="Z149" s="99" t="s">
        <v>172</v>
      </c>
      <c r="AA149" s="99" t="s">
        <v>173</v>
      </c>
      <c r="AB149" s="99" t="s">
        <v>174</v>
      </c>
      <c r="AC149" s="99" t="s">
        <v>3411</v>
      </c>
      <c r="AD149" s="99" t="s">
        <v>175</v>
      </c>
      <c r="AE149" s="99" t="s">
        <v>3411</v>
      </c>
      <c r="AF149" s="99" t="s">
        <v>3411</v>
      </c>
      <c r="AG149" s="124">
        <v>1337</v>
      </c>
      <c r="AH149" s="99" t="s">
        <v>3413</v>
      </c>
      <c r="AI149" s="125">
        <v>100</v>
      </c>
      <c r="AJ149" s="99" t="s">
        <v>176</v>
      </c>
      <c r="AK149" s="99" t="s">
        <v>3781</v>
      </c>
      <c r="AL149" s="99" t="s">
        <v>3411</v>
      </c>
      <c r="AM149" s="99" t="s">
        <v>3480</v>
      </c>
      <c r="AN149" s="99" t="s">
        <v>233</v>
      </c>
      <c r="AO149" s="99" t="s">
        <v>178</v>
      </c>
      <c r="AP149" s="99" t="s">
        <v>2570</v>
      </c>
      <c r="AQ149" s="99" t="s">
        <v>3411</v>
      </c>
      <c r="AR149" s="99" t="s">
        <v>3411</v>
      </c>
      <c r="AS149" s="99" t="s">
        <v>745</v>
      </c>
      <c r="AT149" s="99" t="s">
        <v>1</v>
      </c>
      <c r="AU149" s="99" t="s">
        <v>179</v>
      </c>
      <c r="AV149" s="99" t="s">
        <v>3414</v>
      </c>
      <c r="AW149" s="99" t="s">
        <v>180</v>
      </c>
      <c r="AX149" s="99" t="s">
        <v>3420</v>
      </c>
      <c r="AY149" s="99" t="s">
        <v>252</v>
      </c>
      <c r="AZ149" s="99" t="s">
        <v>3416</v>
      </c>
      <c r="BA149" s="99" t="s">
        <v>3783</v>
      </c>
      <c r="BB149" s="99" t="s">
        <v>2870</v>
      </c>
      <c r="BC149" s="125">
        <v>62</v>
      </c>
      <c r="BD149" s="99" t="s">
        <v>3135</v>
      </c>
      <c r="BE149" s="99" t="s">
        <v>3136</v>
      </c>
    </row>
    <row r="150" spans="1:57" ht="12.95" customHeight="1">
      <c r="A150" s="124">
        <v>15</v>
      </c>
      <c r="B150" s="124">
        <v>600</v>
      </c>
      <c r="C150" s="99" t="s">
        <v>165</v>
      </c>
      <c r="D150" s="99" t="s">
        <v>680</v>
      </c>
      <c r="E150" s="99" t="s">
        <v>3293</v>
      </c>
      <c r="F150" s="99" t="s">
        <v>730</v>
      </c>
      <c r="G150" s="99" t="s">
        <v>731</v>
      </c>
      <c r="H150" s="99" t="s">
        <v>3780</v>
      </c>
      <c r="I150" s="99" t="s">
        <v>740</v>
      </c>
      <c r="J150" s="99" t="s">
        <v>746</v>
      </c>
      <c r="K150" s="99" t="s">
        <v>255</v>
      </c>
      <c r="L150" s="99" t="s">
        <v>747</v>
      </c>
      <c r="M150" s="99" t="s">
        <v>5</v>
      </c>
      <c r="N150" s="99" t="s">
        <v>3407</v>
      </c>
      <c r="O150" s="99" t="s">
        <v>114</v>
      </c>
      <c r="P150" s="99" t="s">
        <v>3422</v>
      </c>
      <c r="Q150" s="99" t="s">
        <v>169</v>
      </c>
      <c r="R150" s="99" t="s">
        <v>3409</v>
      </c>
      <c r="S150" s="99" t="s">
        <v>2636</v>
      </c>
      <c r="T150" s="99" t="s">
        <v>48</v>
      </c>
      <c r="U150" s="99" t="s">
        <v>410</v>
      </c>
      <c r="V150" s="99" t="s">
        <v>411</v>
      </c>
      <c r="W150" s="99" t="s">
        <v>3784</v>
      </c>
      <c r="X150" s="99" t="s">
        <v>3664</v>
      </c>
      <c r="Y150" s="99" t="s">
        <v>3785</v>
      </c>
      <c r="Z150" s="99" t="s">
        <v>172</v>
      </c>
      <c r="AA150" s="99" t="s">
        <v>173</v>
      </c>
      <c r="AB150" s="99" t="s">
        <v>174</v>
      </c>
      <c r="AC150" s="99" t="s">
        <v>3411</v>
      </c>
      <c r="AD150" s="99" t="s">
        <v>175</v>
      </c>
      <c r="AE150" s="99" t="s">
        <v>3411</v>
      </c>
      <c r="AF150" s="99" t="s">
        <v>3411</v>
      </c>
      <c r="AG150" s="124">
        <v>429</v>
      </c>
      <c r="AH150" s="99" t="s">
        <v>3413</v>
      </c>
      <c r="AI150" s="125">
        <v>100</v>
      </c>
      <c r="AJ150" s="99" t="s">
        <v>176</v>
      </c>
      <c r="AK150" s="99" t="s">
        <v>3784</v>
      </c>
      <c r="AL150" s="99" t="s">
        <v>3411</v>
      </c>
      <c r="AM150" s="99" t="s">
        <v>177</v>
      </c>
      <c r="AN150" s="99" t="s">
        <v>3411</v>
      </c>
      <c r="AO150" s="99" t="s">
        <v>178</v>
      </c>
      <c r="AP150" s="99" t="s">
        <v>2570</v>
      </c>
      <c r="AQ150" s="99" t="s">
        <v>3411</v>
      </c>
      <c r="AR150" s="99" t="s">
        <v>3411</v>
      </c>
      <c r="AS150" s="99" t="s">
        <v>748</v>
      </c>
      <c r="AT150" s="99" t="s">
        <v>1</v>
      </c>
      <c r="AU150" s="99" t="s">
        <v>179</v>
      </c>
      <c r="AV150" s="99" t="s">
        <v>3414</v>
      </c>
      <c r="AW150" s="99" t="s">
        <v>180</v>
      </c>
      <c r="AX150" s="99" t="s">
        <v>3420</v>
      </c>
      <c r="AY150" s="99" t="s">
        <v>252</v>
      </c>
      <c r="AZ150" s="99" t="s">
        <v>3416</v>
      </c>
      <c r="BA150" s="99" t="s">
        <v>3783</v>
      </c>
      <c r="BB150" s="99" t="s">
        <v>2870</v>
      </c>
      <c r="BC150" s="125">
        <v>56</v>
      </c>
      <c r="BD150" s="99" t="s">
        <v>3135</v>
      </c>
      <c r="BE150" s="99" t="s">
        <v>3136</v>
      </c>
    </row>
    <row r="151" spans="1:57" ht="12.95" customHeight="1">
      <c r="A151" s="124">
        <v>15</v>
      </c>
      <c r="B151" s="124">
        <v>3052</v>
      </c>
      <c r="C151" s="99" t="s">
        <v>165</v>
      </c>
      <c r="D151" s="99" t="s">
        <v>680</v>
      </c>
      <c r="E151" s="99" t="s">
        <v>3293</v>
      </c>
      <c r="F151" s="99" t="s">
        <v>730</v>
      </c>
      <c r="G151" s="99" t="s">
        <v>731</v>
      </c>
      <c r="H151" s="99" t="s">
        <v>3780</v>
      </c>
      <c r="I151" s="99" t="s">
        <v>740</v>
      </c>
      <c r="J151" s="99" t="s">
        <v>465</v>
      </c>
      <c r="K151" s="99" t="s">
        <v>2666</v>
      </c>
      <c r="L151" s="99" t="s">
        <v>2667</v>
      </c>
      <c r="M151" s="99" t="s">
        <v>5</v>
      </c>
      <c r="N151" s="99" t="s">
        <v>3407</v>
      </c>
      <c r="O151" s="99" t="s">
        <v>114</v>
      </c>
      <c r="P151" s="99" t="s">
        <v>3786</v>
      </c>
      <c r="Q151" s="99" t="s">
        <v>169</v>
      </c>
      <c r="R151" s="99" t="s">
        <v>3409</v>
      </c>
      <c r="S151" s="99" t="s">
        <v>2636</v>
      </c>
      <c r="T151" s="99" t="s">
        <v>48</v>
      </c>
      <c r="U151" s="99" t="s">
        <v>184</v>
      </c>
      <c r="V151" s="99" t="s">
        <v>185</v>
      </c>
      <c r="W151" s="99" t="s">
        <v>3786</v>
      </c>
      <c r="X151" s="99" t="s">
        <v>3786</v>
      </c>
      <c r="Y151" s="99" t="s">
        <v>3787</v>
      </c>
      <c r="Z151" s="99" t="s">
        <v>172</v>
      </c>
      <c r="AA151" s="99" t="s">
        <v>173</v>
      </c>
      <c r="AB151" s="99" t="s">
        <v>174</v>
      </c>
      <c r="AC151" s="99" t="s">
        <v>3411</v>
      </c>
      <c r="AD151" s="99" t="s">
        <v>175</v>
      </c>
      <c r="AE151" s="99" t="s">
        <v>3411</v>
      </c>
      <c r="AF151" s="99" t="s">
        <v>3411</v>
      </c>
      <c r="AG151" s="124">
        <v>3052</v>
      </c>
      <c r="AH151" s="99" t="s">
        <v>3413</v>
      </c>
      <c r="AI151" s="125">
        <v>100</v>
      </c>
      <c r="AJ151" s="99" t="s">
        <v>176</v>
      </c>
      <c r="AK151" s="99" t="s">
        <v>3786</v>
      </c>
      <c r="AL151" s="99" t="s">
        <v>3411</v>
      </c>
      <c r="AM151" s="99" t="s">
        <v>3480</v>
      </c>
      <c r="AN151" s="99" t="s">
        <v>233</v>
      </c>
      <c r="AO151" s="99" t="s">
        <v>412</v>
      </c>
      <c r="AP151" s="99" t="s">
        <v>2570</v>
      </c>
      <c r="AQ151" s="99" t="s">
        <v>3411</v>
      </c>
      <c r="AR151" s="99" t="s">
        <v>3411</v>
      </c>
      <c r="AS151" s="99" t="s">
        <v>2668</v>
      </c>
      <c r="AT151" s="99" t="s">
        <v>1</v>
      </c>
      <c r="AU151" s="99" t="s">
        <v>179</v>
      </c>
      <c r="AV151" s="99" t="s">
        <v>3414</v>
      </c>
      <c r="AW151" s="99" t="s">
        <v>180</v>
      </c>
      <c r="AX151" s="99" t="s">
        <v>3420</v>
      </c>
      <c r="AY151" s="99" t="s">
        <v>252</v>
      </c>
      <c r="AZ151" s="99" t="s">
        <v>3416</v>
      </c>
      <c r="BA151" s="99" t="s">
        <v>3777</v>
      </c>
      <c r="BB151" s="99" t="s">
        <v>3012</v>
      </c>
      <c r="BC151" s="125">
        <v>40</v>
      </c>
      <c r="BD151" s="99" t="s">
        <v>3135</v>
      </c>
      <c r="BE151" s="99" t="s">
        <v>3136</v>
      </c>
    </row>
    <row r="152" spans="1:57" ht="12.95" customHeight="1">
      <c r="A152" s="124">
        <v>15</v>
      </c>
      <c r="B152" s="124">
        <v>2997</v>
      </c>
      <c r="C152" s="99" t="s">
        <v>165</v>
      </c>
      <c r="D152" s="99" t="s">
        <v>680</v>
      </c>
      <c r="E152" s="99" t="s">
        <v>3293</v>
      </c>
      <c r="F152" s="99" t="s">
        <v>730</v>
      </c>
      <c r="G152" s="99" t="s">
        <v>731</v>
      </c>
      <c r="H152" s="99" t="s">
        <v>3788</v>
      </c>
      <c r="I152" s="99" t="s">
        <v>749</v>
      </c>
      <c r="J152" s="99" t="s">
        <v>757</v>
      </c>
      <c r="K152" s="99" t="s">
        <v>168</v>
      </c>
      <c r="L152" s="99" t="s">
        <v>758</v>
      </c>
      <c r="M152" s="99" t="s">
        <v>1</v>
      </c>
      <c r="N152" s="99" t="s">
        <v>3407</v>
      </c>
      <c r="O152" s="99" t="s">
        <v>114</v>
      </c>
      <c r="P152" s="99" t="s">
        <v>3422</v>
      </c>
      <c r="Q152" s="99" t="s">
        <v>169</v>
      </c>
      <c r="R152" s="99" t="s">
        <v>3409</v>
      </c>
      <c r="S152" s="99" t="s">
        <v>2636</v>
      </c>
      <c r="T152" s="99" t="s">
        <v>48</v>
      </c>
      <c r="U152" s="99" t="s">
        <v>170</v>
      </c>
      <c r="V152" s="99" t="s">
        <v>171</v>
      </c>
      <c r="W152" s="99" t="s">
        <v>3789</v>
      </c>
      <c r="X152" s="99" t="s">
        <v>3789</v>
      </c>
      <c r="Y152" s="99" t="s">
        <v>3790</v>
      </c>
      <c r="Z152" s="99" t="s">
        <v>172</v>
      </c>
      <c r="AA152" s="99" t="s">
        <v>173</v>
      </c>
      <c r="AB152" s="99" t="s">
        <v>174</v>
      </c>
      <c r="AC152" s="99" t="s">
        <v>3411</v>
      </c>
      <c r="AD152" s="99" t="s">
        <v>175</v>
      </c>
      <c r="AE152" s="99" t="s">
        <v>3411</v>
      </c>
      <c r="AF152" s="99" t="s">
        <v>3411</v>
      </c>
      <c r="AG152" s="124">
        <v>2997</v>
      </c>
      <c r="AH152" s="99" t="s">
        <v>3413</v>
      </c>
      <c r="AI152" s="125">
        <v>100</v>
      </c>
      <c r="AJ152" s="99" t="s">
        <v>176</v>
      </c>
      <c r="AK152" s="99" t="s">
        <v>3789</v>
      </c>
      <c r="AL152" s="99" t="s">
        <v>3411</v>
      </c>
      <c r="AM152" s="99" t="s">
        <v>177</v>
      </c>
      <c r="AN152" s="99" t="s">
        <v>3411</v>
      </c>
      <c r="AO152" s="99" t="s">
        <v>412</v>
      </c>
      <c r="AP152" s="99" t="s">
        <v>2570</v>
      </c>
      <c r="AQ152" s="99" t="s">
        <v>3411</v>
      </c>
      <c r="AR152" s="99" t="s">
        <v>3411</v>
      </c>
      <c r="AS152" s="99" t="s">
        <v>759</v>
      </c>
      <c r="AT152" s="99" t="s">
        <v>1</v>
      </c>
      <c r="AU152" s="99" t="s">
        <v>179</v>
      </c>
      <c r="AV152" s="99" t="s">
        <v>3414</v>
      </c>
      <c r="AW152" s="99" t="s">
        <v>180</v>
      </c>
      <c r="AX152" s="99" t="s">
        <v>3420</v>
      </c>
      <c r="AY152" s="99" t="s">
        <v>252</v>
      </c>
      <c r="AZ152" s="99" t="s">
        <v>3416</v>
      </c>
      <c r="BA152" s="99" t="s">
        <v>3791</v>
      </c>
      <c r="BB152" s="99" t="s">
        <v>2871</v>
      </c>
      <c r="BC152" s="125">
        <v>40</v>
      </c>
      <c r="BD152" s="99" t="s">
        <v>3135</v>
      </c>
      <c r="BE152" s="99" t="s">
        <v>3136</v>
      </c>
    </row>
    <row r="153" spans="1:57" ht="12.95" customHeight="1">
      <c r="A153" s="124">
        <v>15</v>
      </c>
      <c r="B153" s="124">
        <v>3149</v>
      </c>
      <c r="C153" s="99" t="s">
        <v>165</v>
      </c>
      <c r="D153" s="99" t="s">
        <v>680</v>
      </c>
      <c r="E153" s="99" t="s">
        <v>3293</v>
      </c>
      <c r="F153" s="99" t="s">
        <v>730</v>
      </c>
      <c r="G153" s="99" t="s">
        <v>731</v>
      </c>
      <c r="H153" s="99" t="s">
        <v>3788</v>
      </c>
      <c r="I153" s="99" t="s">
        <v>749</v>
      </c>
      <c r="J153" s="99" t="s">
        <v>3267</v>
      </c>
      <c r="K153" s="99" t="s">
        <v>879</v>
      </c>
      <c r="L153" s="99" t="s">
        <v>3279</v>
      </c>
      <c r="M153" s="99" t="s">
        <v>1</v>
      </c>
      <c r="N153" s="99" t="s">
        <v>3407</v>
      </c>
      <c r="O153" s="99" t="s">
        <v>114</v>
      </c>
      <c r="P153" s="99" t="s">
        <v>3792</v>
      </c>
      <c r="Q153" s="99" t="s">
        <v>169</v>
      </c>
      <c r="R153" s="99" t="s">
        <v>3409</v>
      </c>
      <c r="S153" s="99" t="s">
        <v>2636</v>
      </c>
      <c r="T153" s="99" t="s">
        <v>48</v>
      </c>
      <c r="U153" s="99" t="s">
        <v>697</v>
      </c>
      <c r="V153" s="99" t="s">
        <v>698</v>
      </c>
      <c r="W153" s="99" t="s">
        <v>3792</v>
      </c>
      <c r="X153" s="99" t="s">
        <v>3792</v>
      </c>
      <c r="Y153" s="99" t="s">
        <v>3793</v>
      </c>
      <c r="Z153" s="99" t="s">
        <v>172</v>
      </c>
      <c r="AA153" s="99" t="s">
        <v>173</v>
      </c>
      <c r="AB153" s="99" t="s">
        <v>174</v>
      </c>
      <c r="AC153" s="99" t="s">
        <v>3411</v>
      </c>
      <c r="AD153" s="99" t="s">
        <v>175</v>
      </c>
      <c r="AE153" s="99" t="s">
        <v>3411</v>
      </c>
      <c r="AF153" s="99" t="s">
        <v>3411</v>
      </c>
      <c r="AG153" s="124">
        <v>3149</v>
      </c>
      <c r="AH153" s="99" t="s">
        <v>3413</v>
      </c>
      <c r="AI153" s="125">
        <v>100</v>
      </c>
      <c r="AJ153" s="99" t="s">
        <v>176</v>
      </c>
      <c r="AK153" s="99" t="s">
        <v>3792</v>
      </c>
      <c r="AL153" s="99" t="s">
        <v>3411</v>
      </c>
      <c r="AM153" s="99" t="s">
        <v>177</v>
      </c>
      <c r="AN153" s="99" t="s">
        <v>3411</v>
      </c>
      <c r="AO153" s="99" t="s">
        <v>412</v>
      </c>
      <c r="AP153" s="99" t="s">
        <v>2570</v>
      </c>
      <c r="AQ153" s="99" t="s">
        <v>3411</v>
      </c>
      <c r="AR153" s="99" t="s">
        <v>3411</v>
      </c>
      <c r="AS153" s="99" t="s">
        <v>3268</v>
      </c>
      <c r="AT153" s="99" t="s">
        <v>175</v>
      </c>
      <c r="AU153" s="99" t="s">
        <v>3411</v>
      </c>
      <c r="AV153" s="99" t="s">
        <v>177</v>
      </c>
      <c r="AW153" s="99" t="s">
        <v>3411</v>
      </c>
      <c r="AX153" s="99" t="s">
        <v>3420</v>
      </c>
      <c r="AY153" s="99" t="s">
        <v>252</v>
      </c>
      <c r="AZ153" s="99" t="s">
        <v>3416</v>
      </c>
      <c r="BA153" s="99" t="s">
        <v>3777</v>
      </c>
      <c r="BB153" s="99" t="s">
        <v>3012</v>
      </c>
      <c r="BC153" s="125">
        <v>29</v>
      </c>
      <c r="BD153" s="99" t="s">
        <v>3135</v>
      </c>
      <c r="BE153" s="99" t="s">
        <v>3136</v>
      </c>
    </row>
    <row r="154" spans="1:57" ht="12.95" customHeight="1">
      <c r="A154" s="124">
        <v>15</v>
      </c>
      <c r="B154" s="124">
        <v>3120</v>
      </c>
      <c r="C154" s="99" t="s">
        <v>165</v>
      </c>
      <c r="D154" s="99" t="s">
        <v>680</v>
      </c>
      <c r="E154" s="99" t="s">
        <v>3293</v>
      </c>
      <c r="F154" s="99" t="s">
        <v>730</v>
      </c>
      <c r="G154" s="99" t="s">
        <v>731</v>
      </c>
      <c r="H154" s="99" t="s">
        <v>3788</v>
      </c>
      <c r="I154" s="99" t="s">
        <v>749</v>
      </c>
      <c r="J154" s="99" t="s">
        <v>3088</v>
      </c>
      <c r="K154" s="99" t="s">
        <v>370</v>
      </c>
      <c r="L154" s="99" t="s">
        <v>3089</v>
      </c>
      <c r="M154" s="99" t="s">
        <v>5</v>
      </c>
      <c r="N154" s="99" t="s">
        <v>3407</v>
      </c>
      <c r="O154" s="99" t="s">
        <v>114</v>
      </c>
      <c r="P154" s="99" t="s">
        <v>3794</v>
      </c>
      <c r="Q154" s="99" t="s">
        <v>169</v>
      </c>
      <c r="R154" s="99" t="s">
        <v>3409</v>
      </c>
      <c r="S154" s="99" t="s">
        <v>2636</v>
      </c>
      <c r="T154" s="99" t="s">
        <v>48</v>
      </c>
      <c r="U154" s="99" t="s">
        <v>697</v>
      </c>
      <c r="V154" s="99" t="s">
        <v>698</v>
      </c>
      <c r="W154" s="99" t="s">
        <v>3794</v>
      </c>
      <c r="X154" s="99" t="s">
        <v>3794</v>
      </c>
      <c r="Y154" s="99" t="s">
        <v>3795</v>
      </c>
      <c r="Z154" s="99" t="s">
        <v>172</v>
      </c>
      <c r="AA154" s="99" t="s">
        <v>173</v>
      </c>
      <c r="AB154" s="99" t="s">
        <v>316</v>
      </c>
      <c r="AC154" s="99" t="s">
        <v>3411</v>
      </c>
      <c r="AD154" s="99" t="s">
        <v>175</v>
      </c>
      <c r="AE154" s="99" t="s">
        <v>3411</v>
      </c>
      <c r="AF154" s="99" t="s">
        <v>3411</v>
      </c>
      <c r="AG154" s="124">
        <v>3120</v>
      </c>
      <c r="AH154" s="99" t="s">
        <v>3413</v>
      </c>
      <c r="AI154" s="125">
        <v>100</v>
      </c>
      <c r="AJ154" s="99" t="s">
        <v>176</v>
      </c>
      <c r="AK154" s="99" t="s">
        <v>3794</v>
      </c>
      <c r="AL154" s="99" t="s">
        <v>3411</v>
      </c>
      <c r="AM154" s="99" t="s">
        <v>177</v>
      </c>
      <c r="AN154" s="99" t="s">
        <v>3411</v>
      </c>
      <c r="AO154" s="99" t="s">
        <v>412</v>
      </c>
      <c r="AP154" s="99" t="s">
        <v>2570</v>
      </c>
      <c r="AQ154" s="99" t="s">
        <v>3411</v>
      </c>
      <c r="AR154" s="99" t="s">
        <v>3411</v>
      </c>
      <c r="AS154" s="99" t="s">
        <v>3090</v>
      </c>
      <c r="AT154" s="99" t="s">
        <v>235</v>
      </c>
      <c r="AU154" s="99" t="s">
        <v>236</v>
      </c>
      <c r="AV154" s="99" t="s">
        <v>3414</v>
      </c>
      <c r="AW154" s="99" t="s">
        <v>180</v>
      </c>
      <c r="AX154" s="99" t="s">
        <v>3420</v>
      </c>
      <c r="AY154" s="99" t="s">
        <v>252</v>
      </c>
      <c r="AZ154" s="99" t="s">
        <v>3416</v>
      </c>
      <c r="BA154" s="99" t="s">
        <v>3791</v>
      </c>
      <c r="BB154" s="99" t="s">
        <v>2871</v>
      </c>
      <c r="BC154" s="125">
        <v>22</v>
      </c>
      <c r="BD154" s="99" t="s">
        <v>3135</v>
      </c>
      <c r="BE154" s="99" t="s">
        <v>3136</v>
      </c>
    </row>
    <row r="155" spans="1:57" ht="12.95" customHeight="1">
      <c r="A155" s="124">
        <v>15</v>
      </c>
      <c r="B155" s="124">
        <v>3018</v>
      </c>
      <c r="C155" s="99" t="s">
        <v>165</v>
      </c>
      <c r="D155" s="99" t="s">
        <v>680</v>
      </c>
      <c r="E155" s="99" t="s">
        <v>3293</v>
      </c>
      <c r="F155" s="99" t="s">
        <v>730</v>
      </c>
      <c r="G155" s="99" t="s">
        <v>731</v>
      </c>
      <c r="H155" s="99" t="s">
        <v>3796</v>
      </c>
      <c r="I155" s="99" t="s">
        <v>764</v>
      </c>
      <c r="J155" s="99" t="s">
        <v>772</v>
      </c>
      <c r="K155" s="99" t="s">
        <v>291</v>
      </c>
      <c r="L155" s="99" t="s">
        <v>773</v>
      </c>
      <c r="M155" s="99" t="s">
        <v>5</v>
      </c>
      <c r="N155" s="99" t="s">
        <v>3407</v>
      </c>
      <c r="O155" s="99" t="s">
        <v>114</v>
      </c>
      <c r="P155" s="99" t="s">
        <v>3797</v>
      </c>
      <c r="Q155" s="99" t="s">
        <v>169</v>
      </c>
      <c r="R155" s="99" t="s">
        <v>3409</v>
      </c>
      <c r="S155" s="99" t="s">
        <v>2636</v>
      </c>
      <c r="T155" s="99" t="s">
        <v>48</v>
      </c>
      <c r="U155" s="99" t="s">
        <v>184</v>
      </c>
      <c r="V155" s="99" t="s">
        <v>185</v>
      </c>
      <c r="W155" s="99" t="s">
        <v>3797</v>
      </c>
      <c r="X155" s="99" t="s">
        <v>3797</v>
      </c>
      <c r="Y155" s="99" t="s">
        <v>3798</v>
      </c>
      <c r="Z155" s="99" t="s">
        <v>172</v>
      </c>
      <c r="AA155" s="99" t="s">
        <v>173</v>
      </c>
      <c r="AB155" s="99" t="s">
        <v>174</v>
      </c>
      <c r="AC155" s="99" t="s">
        <v>3411</v>
      </c>
      <c r="AD155" s="99" t="s">
        <v>175</v>
      </c>
      <c r="AE155" s="99" t="s">
        <v>3411</v>
      </c>
      <c r="AF155" s="99" t="s">
        <v>3411</v>
      </c>
      <c r="AG155" s="124">
        <v>3018</v>
      </c>
      <c r="AH155" s="99" t="s">
        <v>3413</v>
      </c>
      <c r="AI155" s="125">
        <v>100</v>
      </c>
      <c r="AJ155" s="99" t="s">
        <v>176</v>
      </c>
      <c r="AK155" s="99" t="s">
        <v>3797</v>
      </c>
      <c r="AL155" s="99" t="s">
        <v>3411</v>
      </c>
      <c r="AM155" s="99" t="s">
        <v>177</v>
      </c>
      <c r="AN155" s="99" t="s">
        <v>3411</v>
      </c>
      <c r="AO155" s="99" t="s">
        <v>412</v>
      </c>
      <c r="AP155" s="99" t="s">
        <v>2570</v>
      </c>
      <c r="AQ155" s="99" t="s">
        <v>3411</v>
      </c>
      <c r="AR155" s="99" t="s">
        <v>3411</v>
      </c>
      <c r="AS155" s="99" t="s">
        <v>774</v>
      </c>
      <c r="AT155" s="99" t="s">
        <v>1</v>
      </c>
      <c r="AU155" s="99" t="s">
        <v>179</v>
      </c>
      <c r="AV155" s="99" t="s">
        <v>3414</v>
      </c>
      <c r="AW155" s="99" t="s">
        <v>180</v>
      </c>
      <c r="AX155" s="99" t="s">
        <v>3420</v>
      </c>
      <c r="AY155" s="99" t="s">
        <v>252</v>
      </c>
      <c r="AZ155" s="99" t="s">
        <v>3416</v>
      </c>
      <c r="BA155" s="99" t="s">
        <v>3777</v>
      </c>
      <c r="BB155" s="99" t="s">
        <v>3012</v>
      </c>
      <c r="BC155" s="125">
        <v>44</v>
      </c>
      <c r="BD155" s="99" t="s">
        <v>3135</v>
      </c>
      <c r="BE155" s="99" t="s">
        <v>3136</v>
      </c>
    </row>
    <row r="156" spans="1:57" ht="12.95" customHeight="1">
      <c r="A156" s="124">
        <v>15</v>
      </c>
      <c r="B156" s="124">
        <v>1111</v>
      </c>
      <c r="C156" s="99" t="s">
        <v>165</v>
      </c>
      <c r="D156" s="99" t="s">
        <v>680</v>
      </c>
      <c r="E156" s="99" t="s">
        <v>3293</v>
      </c>
      <c r="F156" s="99" t="s">
        <v>730</v>
      </c>
      <c r="G156" s="99" t="s">
        <v>731</v>
      </c>
      <c r="H156" s="99" t="s">
        <v>3796</v>
      </c>
      <c r="I156" s="99" t="s">
        <v>764</v>
      </c>
      <c r="J156" s="99" t="s">
        <v>779</v>
      </c>
      <c r="K156" s="99" t="s">
        <v>327</v>
      </c>
      <c r="L156" s="99" t="s">
        <v>780</v>
      </c>
      <c r="M156" s="99" t="s">
        <v>1</v>
      </c>
      <c r="N156" s="99" t="s">
        <v>3407</v>
      </c>
      <c r="O156" s="99" t="s">
        <v>114</v>
      </c>
      <c r="P156" s="99" t="s">
        <v>3422</v>
      </c>
      <c r="Q156" s="99" t="s">
        <v>169</v>
      </c>
      <c r="R156" s="99" t="s">
        <v>3409</v>
      </c>
      <c r="S156" s="99" t="s">
        <v>2636</v>
      </c>
      <c r="T156" s="99" t="s">
        <v>48</v>
      </c>
      <c r="U156" s="99" t="s">
        <v>170</v>
      </c>
      <c r="V156" s="99" t="s">
        <v>171</v>
      </c>
      <c r="W156" s="99" t="s">
        <v>3799</v>
      </c>
      <c r="X156" s="99" t="s">
        <v>3799</v>
      </c>
      <c r="Y156" s="99" t="s">
        <v>3800</v>
      </c>
      <c r="Z156" s="99" t="s">
        <v>172</v>
      </c>
      <c r="AA156" s="99" t="s">
        <v>173</v>
      </c>
      <c r="AB156" s="99" t="s">
        <v>174</v>
      </c>
      <c r="AC156" s="99" t="s">
        <v>3411</v>
      </c>
      <c r="AD156" s="99" t="s">
        <v>175</v>
      </c>
      <c r="AE156" s="99" t="s">
        <v>3411</v>
      </c>
      <c r="AF156" s="99" t="s">
        <v>3411</v>
      </c>
      <c r="AG156" s="124">
        <v>876</v>
      </c>
      <c r="AH156" s="99" t="s">
        <v>3413</v>
      </c>
      <c r="AI156" s="125">
        <v>100</v>
      </c>
      <c r="AJ156" s="99" t="s">
        <v>176</v>
      </c>
      <c r="AK156" s="99" t="s">
        <v>3799</v>
      </c>
      <c r="AL156" s="99" t="s">
        <v>3411</v>
      </c>
      <c r="AM156" s="99" t="s">
        <v>177</v>
      </c>
      <c r="AN156" s="99" t="s">
        <v>3411</v>
      </c>
      <c r="AO156" s="99" t="s">
        <v>178</v>
      </c>
      <c r="AP156" s="99" t="s">
        <v>2570</v>
      </c>
      <c r="AQ156" s="99" t="s">
        <v>3411</v>
      </c>
      <c r="AR156" s="99" t="s">
        <v>234</v>
      </c>
      <c r="AS156" s="99" t="s">
        <v>781</v>
      </c>
      <c r="AT156" s="99" t="s">
        <v>1</v>
      </c>
      <c r="AU156" s="99" t="s">
        <v>179</v>
      </c>
      <c r="AV156" s="99" t="s">
        <v>3414</v>
      </c>
      <c r="AW156" s="99" t="s">
        <v>180</v>
      </c>
      <c r="AX156" s="99" t="s">
        <v>3420</v>
      </c>
      <c r="AY156" s="99" t="s">
        <v>252</v>
      </c>
      <c r="AZ156" s="99" t="s">
        <v>3416</v>
      </c>
      <c r="BA156" s="99" t="s">
        <v>3791</v>
      </c>
      <c r="BB156" s="99" t="s">
        <v>2871</v>
      </c>
      <c r="BC156" s="125">
        <v>50</v>
      </c>
      <c r="BD156" s="99" t="s">
        <v>3135</v>
      </c>
      <c r="BE156" s="99" t="s">
        <v>3136</v>
      </c>
    </row>
    <row r="157" spans="1:57" ht="12.95" customHeight="1">
      <c r="A157" s="124">
        <v>15</v>
      </c>
      <c r="B157" s="124">
        <v>1667</v>
      </c>
      <c r="C157" s="99" t="s">
        <v>165</v>
      </c>
      <c r="D157" s="99" t="s">
        <v>680</v>
      </c>
      <c r="E157" s="99" t="s">
        <v>3293</v>
      </c>
      <c r="F157" s="99" t="s">
        <v>730</v>
      </c>
      <c r="G157" s="99" t="s">
        <v>731</v>
      </c>
      <c r="H157" s="99" t="s">
        <v>3796</v>
      </c>
      <c r="I157" s="99" t="s">
        <v>764</v>
      </c>
      <c r="J157" s="99" t="s">
        <v>782</v>
      </c>
      <c r="K157" s="99" t="s">
        <v>783</v>
      </c>
      <c r="L157" s="99" t="s">
        <v>784</v>
      </c>
      <c r="M157" s="99" t="s">
        <v>1</v>
      </c>
      <c r="N157" s="99" t="s">
        <v>3407</v>
      </c>
      <c r="O157" s="99" t="s">
        <v>114</v>
      </c>
      <c r="P157" s="99" t="s">
        <v>3422</v>
      </c>
      <c r="Q157" s="99" t="s">
        <v>169</v>
      </c>
      <c r="R157" s="99" t="s">
        <v>3409</v>
      </c>
      <c r="S157" s="99" t="s">
        <v>2636</v>
      </c>
      <c r="T157" s="99" t="s">
        <v>48</v>
      </c>
      <c r="U157" s="99" t="s">
        <v>410</v>
      </c>
      <c r="V157" s="99" t="s">
        <v>411</v>
      </c>
      <c r="W157" s="99" t="s">
        <v>3423</v>
      </c>
      <c r="X157" s="99" t="s">
        <v>3423</v>
      </c>
      <c r="Y157" s="99" t="s">
        <v>3801</v>
      </c>
      <c r="Z157" s="99" t="s">
        <v>172</v>
      </c>
      <c r="AA157" s="99" t="s">
        <v>173</v>
      </c>
      <c r="AB157" s="99" t="s">
        <v>174</v>
      </c>
      <c r="AC157" s="99" t="s">
        <v>3411</v>
      </c>
      <c r="AD157" s="99" t="s">
        <v>175</v>
      </c>
      <c r="AE157" s="99" t="s">
        <v>3411</v>
      </c>
      <c r="AF157" s="99" t="s">
        <v>3411</v>
      </c>
      <c r="AG157" s="124">
        <v>1328</v>
      </c>
      <c r="AH157" s="99" t="s">
        <v>3413</v>
      </c>
      <c r="AI157" s="125">
        <v>100</v>
      </c>
      <c r="AJ157" s="99" t="s">
        <v>176</v>
      </c>
      <c r="AK157" s="99" t="s">
        <v>3423</v>
      </c>
      <c r="AL157" s="99" t="s">
        <v>3411</v>
      </c>
      <c r="AM157" s="99" t="s">
        <v>177</v>
      </c>
      <c r="AN157" s="99" t="s">
        <v>3411</v>
      </c>
      <c r="AO157" s="99" t="s">
        <v>178</v>
      </c>
      <c r="AP157" s="99" t="s">
        <v>2570</v>
      </c>
      <c r="AQ157" s="99" t="s">
        <v>3411</v>
      </c>
      <c r="AR157" s="99" t="s">
        <v>242</v>
      </c>
      <c r="AS157" s="99" t="s">
        <v>785</v>
      </c>
      <c r="AT157" s="99" t="s">
        <v>1</v>
      </c>
      <c r="AU157" s="99" t="s">
        <v>179</v>
      </c>
      <c r="AV157" s="99" t="s">
        <v>3414</v>
      </c>
      <c r="AW157" s="99" t="s">
        <v>180</v>
      </c>
      <c r="AX157" s="99" t="s">
        <v>3420</v>
      </c>
      <c r="AY157" s="99" t="s">
        <v>252</v>
      </c>
      <c r="AZ157" s="99" t="s">
        <v>3416</v>
      </c>
      <c r="BA157" s="99" t="s">
        <v>3791</v>
      </c>
      <c r="BB157" s="99" t="s">
        <v>2871</v>
      </c>
      <c r="BC157" s="125">
        <v>54</v>
      </c>
      <c r="BD157" s="99" t="s">
        <v>3135</v>
      </c>
      <c r="BE157" s="99" t="s">
        <v>3136</v>
      </c>
    </row>
    <row r="158" spans="1:57" ht="12.95" customHeight="1">
      <c r="A158" s="124">
        <v>15</v>
      </c>
      <c r="B158" s="124">
        <v>1196</v>
      </c>
      <c r="C158" s="99" t="s">
        <v>165</v>
      </c>
      <c r="D158" s="99" t="s">
        <v>680</v>
      </c>
      <c r="E158" s="99" t="s">
        <v>3293</v>
      </c>
      <c r="F158" s="99" t="s">
        <v>730</v>
      </c>
      <c r="G158" s="99" t="s">
        <v>731</v>
      </c>
      <c r="H158" s="99" t="s">
        <v>3796</v>
      </c>
      <c r="I158" s="99" t="s">
        <v>764</v>
      </c>
      <c r="J158" s="99" t="s">
        <v>786</v>
      </c>
      <c r="K158" s="99" t="s">
        <v>787</v>
      </c>
      <c r="L158" s="99" t="s">
        <v>788</v>
      </c>
      <c r="M158" s="99" t="s">
        <v>1</v>
      </c>
      <c r="N158" s="99" t="s">
        <v>3407</v>
      </c>
      <c r="O158" s="99" t="s">
        <v>114</v>
      </c>
      <c r="P158" s="99" t="s">
        <v>3422</v>
      </c>
      <c r="Q158" s="99" t="s">
        <v>169</v>
      </c>
      <c r="R158" s="99" t="s">
        <v>3409</v>
      </c>
      <c r="S158" s="99" t="s">
        <v>2636</v>
      </c>
      <c r="T158" s="99" t="s">
        <v>48</v>
      </c>
      <c r="U158" s="99" t="s">
        <v>410</v>
      </c>
      <c r="V158" s="99" t="s">
        <v>411</v>
      </c>
      <c r="W158" s="99" t="s">
        <v>3802</v>
      </c>
      <c r="X158" s="99" t="s">
        <v>3802</v>
      </c>
      <c r="Y158" s="99" t="s">
        <v>3803</v>
      </c>
      <c r="Z158" s="99" t="s">
        <v>172</v>
      </c>
      <c r="AA158" s="99" t="s">
        <v>173</v>
      </c>
      <c r="AB158" s="99" t="s">
        <v>174</v>
      </c>
      <c r="AC158" s="99" t="s">
        <v>3411</v>
      </c>
      <c r="AD158" s="99" t="s">
        <v>175</v>
      </c>
      <c r="AE158" s="99" t="s">
        <v>3411</v>
      </c>
      <c r="AF158" s="99" t="s">
        <v>3411</v>
      </c>
      <c r="AG158" s="124">
        <v>943</v>
      </c>
      <c r="AH158" s="99" t="s">
        <v>3413</v>
      </c>
      <c r="AI158" s="125">
        <v>100</v>
      </c>
      <c r="AJ158" s="99" t="s">
        <v>176</v>
      </c>
      <c r="AK158" s="99" t="s">
        <v>3802</v>
      </c>
      <c r="AL158" s="99" t="s">
        <v>3411</v>
      </c>
      <c r="AM158" s="99" t="s">
        <v>177</v>
      </c>
      <c r="AN158" s="99" t="s">
        <v>3411</v>
      </c>
      <c r="AO158" s="99" t="s">
        <v>178</v>
      </c>
      <c r="AP158" s="99" t="s">
        <v>2570</v>
      </c>
      <c r="AQ158" s="99" t="s">
        <v>3411</v>
      </c>
      <c r="AR158" s="99" t="s">
        <v>242</v>
      </c>
      <c r="AS158" s="99" t="s">
        <v>789</v>
      </c>
      <c r="AT158" s="99" t="s">
        <v>1</v>
      </c>
      <c r="AU158" s="99" t="s">
        <v>179</v>
      </c>
      <c r="AV158" s="99" t="s">
        <v>3414</v>
      </c>
      <c r="AW158" s="99" t="s">
        <v>180</v>
      </c>
      <c r="AX158" s="99" t="s">
        <v>3420</v>
      </c>
      <c r="AY158" s="99" t="s">
        <v>252</v>
      </c>
      <c r="AZ158" s="99" t="s">
        <v>3416</v>
      </c>
      <c r="BA158" s="99" t="s">
        <v>3791</v>
      </c>
      <c r="BB158" s="99" t="s">
        <v>2871</v>
      </c>
      <c r="BC158" s="125">
        <v>54</v>
      </c>
      <c r="BD158" s="99" t="s">
        <v>3135</v>
      </c>
      <c r="BE158" s="99" t="s">
        <v>3136</v>
      </c>
    </row>
    <row r="159" spans="1:57" ht="12.95" customHeight="1">
      <c r="A159" s="124">
        <v>15</v>
      </c>
      <c r="B159" s="124">
        <v>1662</v>
      </c>
      <c r="C159" s="99" t="s">
        <v>165</v>
      </c>
      <c r="D159" s="99" t="s">
        <v>680</v>
      </c>
      <c r="E159" s="99" t="s">
        <v>3293</v>
      </c>
      <c r="F159" s="99" t="s">
        <v>730</v>
      </c>
      <c r="G159" s="99" t="s">
        <v>731</v>
      </c>
      <c r="H159" s="99" t="s">
        <v>3796</v>
      </c>
      <c r="I159" s="99" t="s">
        <v>764</v>
      </c>
      <c r="J159" s="99" t="s">
        <v>790</v>
      </c>
      <c r="K159" s="99" t="s">
        <v>402</v>
      </c>
      <c r="L159" s="99" t="s">
        <v>791</v>
      </c>
      <c r="M159" s="99" t="s">
        <v>1</v>
      </c>
      <c r="N159" s="99" t="s">
        <v>3407</v>
      </c>
      <c r="O159" s="99" t="s">
        <v>114</v>
      </c>
      <c r="P159" s="99" t="s">
        <v>3422</v>
      </c>
      <c r="Q159" s="99" t="s">
        <v>169</v>
      </c>
      <c r="R159" s="99" t="s">
        <v>3409</v>
      </c>
      <c r="S159" s="99" t="s">
        <v>2636</v>
      </c>
      <c r="T159" s="99" t="s">
        <v>48</v>
      </c>
      <c r="U159" s="99" t="s">
        <v>410</v>
      </c>
      <c r="V159" s="99" t="s">
        <v>411</v>
      </c>
      <c r="W159" s="99" t="s">
        <v>3423</v>
      </c>
      <c r="X159" s="99" t="s">
        <v>3423</v>
      </c>
      <c r="Y159" s="99" t="s">
        <v>3804</v>
      </c>
      <c r="Z159" s="99" t="s">
        <v>172</v>
      </c>
      <c r="AA159" s="99" t="s">
        <v>173</v>
      </c>
      <c r="AB159" s="99" t="s">
        <v>174</v>
      </c>
      <c r="AC159" s="99" t="s">
        <v>3411</v>
      </c>
      <c r="AD159" s="99" t="s">
        <v>175</v>
      </c>
      <c r="AE159" s="99" t="s">
        <v>3411</v>
      </c>
      <c r="AF159" s="99" t="s">
        <v>3411</v>
      </c>
      <c r="AG159" s="124">
        <v>1323</v>
      </c>
      <c r="AH159" s="99" t="s">
        <v>3490</v>
      </c>
      <c r="AI159" s="125">
        <v>75</v>
      </c>
      <c r="AJ159" s="99" t="s">
        <v>214</v>
      </c>
      <c r="AK159" s="99" t="s">
        <v>3805</v>
      </c>
      <c r="AL159" s="99" t="s">
        <v>3806</v>
      </c>
      <c r="AM159" s="99" t="s">
        <v>177</v>
      </c>
      <c r="AN159" s="99" t="s">
        <v>3411</v>
      </c>
      <c r="AO159" s="99" t="s">
        <v>178</v>
      </c>
      <c r="AP159" s="99" t="s">
        <v>2570</v>
      </c>
      <c r="AQ159" s="99" t="s">
        <v>3411</v>
      </c>
      <c r="AR159" s="99" t="s">
        <v>242</v>
      </c>
      <c r="AS159" s="99" t="s">
        <v>792</v>
      </c>
      <c r="AT159" s="99" t="s">
        <v>1</v>
      </c>
      <c r="AU159" s="99" t="s">
        <v>179</v>
      </c>
      <c r="AV159" s="99" t="s">
        <v>3414</v>
      </c>
      <c r="AW159" s="99" t="s">
        <v>180</v>
      </c>
      <c r="AX159" s="99" t="s">
        <v>3420</v>
      </c>
      <c r="AY159" s="99" t="s">
        <v>252</v>
      </c>
      <c r="AZ159" s="99" t="s">
        <v>3416</v>
      </c>
      <c r="BA159" s="99" t="s">
        <v>3791</v>
      </c>
      <c r="BB159" s="99" t="s">
        <v>2871</v>
      </c>
      <c r="BC159" s="125">
        <v>50</v>
      </c>
      <c r="BD159" s="99" t="s">
        <v>3135</v>
      </c>
      <c r="BE159" s="99" t="s">
        <v>3136</v>
      </c>
    </row>
    <row r="160" spans="1:57" ht="12.95" customHeight="1">
      <c r="A160" s="124">
        <v>15</v>
      </c>
      <c r="B160" s="124">
        <v>2848</v>
      </c>
      <c r="C160" s="99" t="s">
        <v>165</v>
      </c>
      <c r="D160" s="99" t="s">
        <v>680</v>
      </c>
      <c r="E160" s="99" t="s">
        <v>3293</v>
      </c>
      <c r="F160" s="99" t="s">
        <v>730</v>
      </c>
      <c r="G160" s="99" t="s">
        <v>731</v>
      </c>
      <c r="H160" s="99" t="s">
        <v>793</v>
      </c>
      <c r="I160" s="99" t="s">
        <v>794</v>
      </c>
      <c r="J160" s="99" t="s">
        <v>775</v>
      </c>
      <c r="K160" s="99" t="s">
        <v>776</v>
      </c>
      <c r="L160" s="99" t="s">
        <v>777</v>
      </c>
      <c r="M160" s="99" t="s">
        <v>1</v>
      </c>
      <c r="N160" s="99" t="s">
        <v>3407</v>
      </c>
      <c r="O160" s="99" t="s">
        <v>114</v>
      </c>
      <c r="P160" s="99" t="s">
        <v>3422</v>
      </c>
      <c r="Q160" s="99" t="s">
        <v>169</v>
      </c>
      <c r="R160" s="99" t="s">
        <v>3409</v>
      </c>
      <c r="S160" s="99" t="s">
        <v>2636</v>
      </c>
      <c r="T160" s="99" t="s">
        <v>52</v>
      </c>
      <c r="U160" s="99" t="s">
        <v>427</v>
      </c>
      <c r="V160" s="99" t="s">
        <v>428</v>
      </c>
      <c r="W160" s="99" t="s">
        <v>3807</v>
      </c>
      <c r="X160" s="99" t="s">
        <v>3807</v>
      </c>
      <c r="Y160" s="99" t="s">
        <v>3808</v>
      </c>
      <c r="Z160" s="99" t="s">
        <v>172</v>
      </c>
      <c r="AA160" s="99" t="s">
        <v>173</v>
      </c>
      <c r="AB160" s="99" t="s">
        <v>174</v>
      </c>
      <c r="AC160" s="99" t="s">
        <v>3411</v>
      </c>
      <c r="AD160" s="99" t="s">
        <v>175</v>
      </c>
      <c r="AE160" s="99" t="s">
        <v>3411</v>
      </c>
      <c r="AF160" s="99" t="s">
        <v>3411</v>
      </c>
      <c r="AG160" s="124">
        <v>2848</v>
      </c>
      <c r="AH160" s="99" t="s">
        <v>3413</v>
      </c>
      <c r="AI160" s="125">
        <v>100</v>
      </c>
      <c r="AJ160" s="99" t="s">
        <v>176</v>
      </c>
      <c r="AK160" s="99" t="s">
        <v>3807</v>
      </c>
      <c r="AL160" s="99" t="s">
        <v>3411</v>
      </c>
      <c r="AM160" s="99" t="s">
        <v>177</v>
      </c>
      <c r="AN160" s="99" t="s">
        <v>3411</v>
      </c>
      <c r="AO160" s="99" t="s">
        <v>178</v>
      </c>
      <c r="AP160" s="99" t="s">
        <v>2570</v>
      </c>
      <c r="AQ160" s="99" t="s">
        <v>3411</v>
      </c>
      <c r="AR160" s="99" t="s">
        <v>3411</v>
      </c>
      <c r="AS160" s="99" t="s">
        <v>778</v>
      </c>
      <c r="AT160" s="99" t="s">
        <v>1</v>
      </c>
      <c r="AU160" s="99" t="s">
        <v>179</v>
      </c>
      <c r="AV160" s="99" t="s">
        <v>3414</v>
      </c>
      <c r="AW160" s="99" t="s">
        <v>180</v>
      </c>
      <c r="AX160" s="99" t="s">
        <v>3420</v>
      </c>
      <c r="AY160" s="99" t="s">
        <v>252</v>
      </c>
      <c r="AZ160" s="99" t="s">
        <v>3416</v>
      </c>
      <c r="BA160" s="99" t="s">
        <v>3743</v>
      </c>
      <c r="BB160" s="99" t="s">
        <v>3379</v>
      </c>
      <c r="BC160" s="125">
        <v>49</v>
      </c>
      <c r="BD160" s="99" t="s">
        <v>3135</v>
      </c>
      <c r="BE160" s="99" t="s">
        <v>3136</v>
      </c>
    </row>
    <row r="161" spans="1:57" ht="12.95" customHeight="1">
      <c r="A161" s="124">
        <v>15</v>
      </c>
      <c r="B161" s="124">
        <v>1480</v>
      </c>
      <c r="C161" s="99" t="s">
        <v>165</v>
      </c>
      <c r="D161" s="99" t="s">
        <v>680</v>
      </c>
      <c r="E161" s="99" t="s">
        <v>3293</v>
      </c>
      <c r="F161" s="99" t="s">
        <v>828</v>
      </c>
      <c r="G161" s="99" t="s">
        <v>829</v>
      </c>
      <c r="H161" s="99" t="s">
        <v>3809</v>
      </c>
      <c r="I161" s="99" t="s">
        <v>830</v>
      </c>
      <c r="J161" s="99" t="s">
        <v>831</v>
      </c>
      <c r="K161" s="99" t="s">
        <v>832</v>
      </c>
      <c r="L161" s="99" t="s">
        <v>833</v>
      </c>
      <c r="M161" s="99" t="s">
        <v>5</v>
      </c>
      <c r="N161" s="99" t="s">
        <v>3407</v>
      </c>
      <c r="O161" s="99" t="s">
        <v>114</v>
      </c>
      <c r="P161" s="99" t="s">
        <v>3422</v>
      </c>
      <c r="Q161" s="99" t="s">
        <v>169</v>
      </c>
      <c r="R161" s="99" t="s">
        <v>3427</v>
      </c>
      <c r="S161" s="99" t="s">
        <v>2635</v>
      </c>
      <c r="T161" s="99" t="s">
        <v>58</v>
      </c>
      <c r="U161" s="99" t="s">
        <v>187</v>
      </c>
      <c r="V161" s="99" t="s">
        <v>188</v>
      </c>
      <c r="W161" s="99" t="s">
        <v>3810</v>
      </c>
      <c r="X161" s="99" t="s">
        <v>3810</v>
      </c>
      <c r="Y161" s="99" t="s">
        <v>3811</v>
      </c>
      <c r="Z161" s="99" t="s">
        <v>172</v>
      </c>
      <c r="AA161" s="99" t="s">
        <v>173</v>
      </c>
      <c r="AB161" s="99" t="s">
        <v>834</v>
      </c>
      <c r="AC161" s="99" t="s">
        <v>3411</v>
      </c>
      <c r="AD161" s="99" t="s">
        <v>175</v>
      </c>
      <c r="AE161" s="99" t="s">
        <v>3411</v>
      </c>
      <c r="AF161" s="99" t="s">
        <v>3411</v>
      </c>
      <c r="AG161" s="124">
        <v>825</v>
      </c>
      <c r="AH161" s="99" t="s">
        <v>3413</v>
      </c>
      <c r="AI161" s="125">
        <v>100</v>
      </c>
      <c r="AJ161" s="99" t="s">
        <v>176</v>
      </c>
      <c r="AK161" s="99" t="s">
        <v>3812</v>
      </c>
      <c r="AL161" s="99" t="s">
        <v>3411</v>
      </c>
      <c r="AM161" s="99" t="s">
        <v>3480</v>
      </c>
      <c r="AN161" s="99" t="s">
        <v>233</v>
      </c>
      <c r="AO161" s="99" t="s">
        <v>189</v>
      </c>
      <c r="AP161" s="99" t="s">
        <v>2570</v>
      </c>
      <c r="AQ161" s="99" t="s">
        <v>3411</v>
      </c>
      <c r="AR161" s="99" t="s">
        <v>3411</v>
      </c>
      <c r="AS161" s="99" t="s">
        <v>835</v>
      </c>
      <c r="AT161" s="99" t="s">
        <v>190</v>
      </c>
      <c r="AU161" s="99" t="s">
        <v>191</v>
      </c>
      <c r="AV161" s="99" t="s">
        <v>3414</v>
      </c>
      <c r="AW161" s="99" t="s">
        <v>180</v>
      </c>
      <c r="AX161" s="99" t="s">
        <v>3420</v>
      </c>
      <c r="AY161" s="99" t="s">
        <v>252</v>
      </c>
      <c r="AZ161" s="99" t="s">
        <v>3430</v>
      </c>
      <c r="BA161" s="99" t="s">
        <v>3743</v>
      </c>
      <c r="BB161" s="99" t="s">
        <v>3379</v>
      </c>
      <c r="BC161" s="125">
        <v>60</v>
      </c>
      <c r="BD161" s="99" t="s">
        <v>3135</v>
      </c>
      <c r="BE161" s="99" t="s">
        <v>3136</v>
      </c>
    </row>
    <row r="162" spans="1:57" ht="12.95" customHeight="1">
      <c r="A162" s="124">
        <v>15</v>
      </c>
      <c r="B162" s="124">
        <v>2631</v>
      </c>
      <c r="C162" s="99" t="s">
        <v>165</v>
      </c>
      <c r="D162" s="99" t="s">
        <v>680</v>
      </c>
      <c r="E162" s="99" t="s">
        <v>3293</v>
      </c>
      <c r="F162" s="99" t="s">
        <v>828</v>
      </c>
      <c r="G162" s="99" t="s">
        <v>829</v>
      </c>
      <c r="H162" s="99" t="s">
        <v>3809</v>
      </c>
      <c r="I162" s="99" t="s">
        <v>830</v>
      </c>
      <c r="J162" s="99" t="s">
        <v>836</v>
      </c>
      <c r="K162" s="99" t="s">
        <v>837</v>
      </c>
      <c r="L162" s="99" t="s">
        <v>838</v>
      </c>
      <c r="M162" s="99" t="s">
        <v>1</v>
      </c>
      <c r="N162" s="99" t="s">
        <v>3407</v>
      </c>
      <c r="O162" s="99" t="s">
        <v>114</v>
      </c>
      <c r="P162" s="99" t="s">
        <v>3422</v>
      </c>
      <c r="Q162" s="99" t="s">
        <v>169</v>
      </c>
      <c r="R162" s="99" t="s">
        <v>3409</v>
      </c>
      <c r="S162" s="99" t="s">
        <v>2636</v>
      </c>
      <c r="T162" s="99" t="s">
        <v>48</v>
      </c>
      <c r="U162" s="99" t="s">
        <v>184</v>
      </c>
      <c r="V162" s="99" t="s">
        <v>185</v>
      </c>
      <c r="W162" s="99" t="s">
        <v>3813</v>
      </c>
      <c r="X162" s="99" t="s">
        <v>3813</v>
      </c>
      <c r="Y162" s="99" t="s">
        <v>3814</v>
      </c>
      <c r="Z162" s="99" t="s">
        <v>172</v>
      </c>
      <c r="AA162" s="99" t="s">
        <v>173</v>
      </c>
      <c r="AB162" s="99" t="s">
        <v>174</v>
      </c>
      <c r="AC162" s="99" t="s">
        <v>3411</v>
      </c>
      <c r="AD162" s="99" t="s">
        <v>175</v>
      </c>
      <c r="AE162" s="99" t="s">
        <v>3411</v>
      </c>
      <c r="AF162" s="99" t="s">
        <v>3411</v>
      </c>
      <c r="AG162" s="124">
        <v>2631</v>
      </c>
      <c r="AH162" s="99" t="s">
        <v>3490</v>
      </c>
      <c r="AI162" s="125">
        <v>75</v>
      </c>
      <c r="AJ162" s="99" t="s">
        <v>214</v>
      </c>
      <c r="AK162" s="99" t="s">
        <v>3815</v>
      </c>
      <c r="AL162" s="99" t="s">
        <v>3816</v>
      </c>
      <c r="AM162" s="99" t="s">
        <v>177</v>
      </c>
      <c r="AN162" s="99" t="s">
        <v>3411</v>
      </c>
      <c r="AO162" s="99" t="s">
        <v>178</v>
      </c>
      <c r="AP162" s="99" t="s">
        <v>2570</v>
      </c>
      <c r="AQ162" s="99" t="s">
        <v>3411</v>
      </c>
      <c r="AR162" s="99" t="s">
        <v>3411</v>
      </c>
      <c r="AS162" s="99" t="s">
        <v>839</v>
      </c>
      <c r="AT162" s="99" t="s">
        <v>1</v>
      </c>
      <c r="AU162" s="99" t="s">
        <v>179</v>
      </c>
      <c r="AV162" s="99" t="s">
        <v>3414</v>
      </c>
      <c r="AW162" s="99" t="s">
        <v>180</v>
      </c>
      <c r="AX162" s="99" t="s">
        <v>3420</v>
      </c>
      <c r="AY162" s="99" t="s">
        <v>252</v>
      </c>
      <c r="AZ162" s="99" t="s">
        <v>3416</v>
      </c>
      <c r="BA162" s="99" t="s">
        <v>3817</v>
      </c>
      <c r="BB162" s="99" t="s">
        <v>840</v>
      </c>
      <c r="BC162" s="125">
        <v>42</v>
      </c>
      <c r="BD162" s="99" t="s">
        <v>3135</v>
      </c>
      <c r="BE162" s="99" t="s">
        <v>3136</v>
      </c>
    </row>
    <row r="163" spans="1:57" ht="12.95" customHeight="1">
      <c r="A163" s="124">
        <v>15</v>
      </c>
      <c r="B163" s="124">
        <v>3026</v>
      </c>
      <c r="C163" s="99" t="s">
        <v>165</v>
      </c>
      <c r="D163" s="99" t="s">
        <v>680</v>
      </c>
      <c r="E163" s="99" t="s">
        <v>3293</v>
      </c>
      <c r="F163" s="99" t="s">
        <v>3014</v>
      </c>
      <c r="G163" s="99" t="s">
        <v>3015</v>
      </c>
      <c r="H163" s="99" t="s">
        <v>793</v>
      </c>
      <c r="I163" s="99" t="s">
        <v>794</v>
      </c>
      <c r="J163" s="99" t="s">
        <v>2669</v>
      </c>
      <c r="K163" s="99" t="s">
        <v>367</v>
      </c>
      <c r="L163" s="99" t="s">
        <v>2670</v>
      </c>
      <c r="M163" s="99" t="s">
        <v>5</v>
      </c>
      <c r="N163" s="99" t="s">
        <v>3407</v>
      </c>
      <c r="O163" s="99" t="s">
        <v>114</v>
      </c>
      <c r="P163" s="99" t="s">
        <v>3818</v>
      </c>
      <c r="Q163" s="99" t="s">
        <v>169</v>
      </c>
      <c r="R163" s="99" t="s">
        <v>3409</v>
      </c>
      <c r="S163" s="99" t="s">
        <v>2636</v>
      </c>
      <c r="T163" s="99" t="s">
        <v>48</v>
      </c>
      <c r="U163" s="99" t="s">
        <v>410</v>
      </c>
      <c r="V163" s="99" t="s">
        <v>411</v>
      </c>
      <c r="W163" s="99" t="s">
        <v>3818</v>
      </c>
      <c r="X163" s="99" t="s">
        <v>3818</v>
      </c>
      <c r="Y163" s="99" t="s">
        <v>3819</v>
      </c>
      <c r="Z163" s="99" t="s">
        <v>172</v>
      </c>
      <c r="AA163" s="99" t="s">
        <v>173</v>
      </c>
      <c r="AB163" s="99" t="s">
        <v>174</v>
      </c>
      <c r="AC163" s="99" t="s">
        <v>3411</v>
      </c>
      <c r="AD163" s="99" t="s">
        <v>175</v>
      </c>
      <c r="AE163" s="99" t="s">
        <v>3411</v>
      </c>
      <c r="AF163" s="99" t="s">
        <v>3411</v>
      </c>
      <c r="AG163" s="124">
        <v>3026</v>
      </c>
      <c r="AH163" s="99" t="s">
        <v>3413</v>
      </c>
      <c r="AI163" s="125">
        <v>100</v>
      </c>
      <c r="AJ163" s="99" t="s">
        <v>176</v>
      </c>
      <c r="AK163" s="99" t="s">
        <v>3818</v>
      </c>
      <c r="AL163" s="99" t="s">
        <v>3411</v>
      </c>
      <c r="AM163" s="99" t="s">
        <v>177</v>
      </c>
      <c r="AN163" s="99" t="s">
        <v>3411</v>
      </c>
      <c r="AO163" s="99" t="s">
        <v>412</v>
      </c>
      <c r="AP163" s="99" t="s">
        <v>2570</v>
      </c>
      <c r="AQ163" s="99" t="s">
        <v>3411</v>
      </c>
      <c r="AR163" s="99" t="s">
        <v>3411</v>
      </c>
      <c r="AS163" s="99" t="s">
        <v>2671</v>
      </c>
      <c r="AT163" s="99" t="s">
        <v>1</v>
      </c>
      <c r="AU163" s="99" t="s">
        <v>179</v>
      </c>
      <c r="AV163" s="99" t="s">
        <v>3414</v>
      </c>
      <c r="AW163" s="99" t="s">
        <v>180</v>
      </c>
      <c r="AX163" s="99" t="s">
        <v>3420</v>
      </c>
      <c r="AY163" s="99" t="s">
        <v>252</v>
      </c>
      <c r="AZ163" s="99" t="s">
        <v>3416</v>
      </c>
      <c r="BA163" s="99" t="s">
        <v>3820</v>
      </c>
      <c r="BB163" s="99" t="s">
        <v>2672</v>
      </c>
      <c r="BC163" s="125">
        <v>47</v>
      </c>
      <c r="BD163" s="99" t="s">
        <v>3135</v>
      </c>
      <c r="BE163" s="99" t="s">
        <v>3136</v>
      </c>
    </row>
    <row r="164" spans="1:57" ht="12.95" customHeight="1">
      <c r="A164" s="124">
        <v>15</v>
      </c>
      <c r="B164" s="124">
        <v>3023</v>
      </c>
      <c r="C164" s="99" t="s">
        <v>165</v>
      </c>
      <c r="D164" s="99" t="s">
        <v>680</v>
      </c>
      <c r="E164" s="99" t="s">
        <v>3293</v>
      </c>
      <c r="F164" s="99" t="s">
        <v>3014</v>
      </c>
      <c r="G164" s="99" t="s">
        <v>3015</v>
      </c>
      <c r="H164" s="99" t="s">
        <v>793</v>
      </c>
      <c r="I164" s="99" t="s">
        <v>794</v>
      </c>
      <c r="J164" s="99" t="s">
        <v>2673</v>
      </c>
      <c r="K164" s="99" t="s">
        <v>341</v>
      </c>
      <c r="L164" s="99" t="s">
        <v>2674</v>
      </c>
      <c r="M164" s="99" t="s">
        <v>1</v>
      </c>
      <c r="N164" s="99" t="s">
        <v>3407</v>
      </c>
      <c r="O164" s="99" t="s">
        <v>114</v>
      </c>
      <c r="P164" s="99" t="s">
        <v>3473</v>
      </c>
      <c r="Q164" s="99" t="s">
        <v>169</v>
      </c>
      <c r="R164" s="99" t="s">
        <v>3409</v>
      </c>
      <c r="S164" s="99" t="s">
        <v>2636</v>
      </c>
      <c r="T164" s="99" t="s">
        <v>48</v>
      </c>
      <c r="U164" s="99" t="s">
        <v>410</v>
      </c>
      <c r="V164" s="99" t="s">
        <v>411</v>
      </c>
      <c r="W164" s="99" t="s">
        <v>3473</v>
      </c>
      <c r="X164" s="99" t="s">
        <v>3473</v>
      </c>
      <c r="Y164" s="99" t="s">
        <v>3821</v>
      </c>
      <c r="Z164" s="99" t="s">
        <v>172</v>
      </c>
      <c r="AA164" s="99" t="s">
        <v>173</v>
      </c>
      <c r="AB164" s="99" t="s">
        <v>174</v>
      </c>
      <c r="AC164" s="99" t="s">
        <v>3411</v>
      </c>
      <c r="AD164" s="99" t="s">
        <v>175</v>
      </c>
      <c r="AE164" s="99" t="s">
        <v>3411</v>
      </c>
      <c r="AF164" s="99" t="s">
        <v>3411</v>
      </c>
      <c r="AG164" s="124">
        <v>3023</v>
      </c>
      <c r="AH164" s="99" t="s">
        <v>3413</v>
      </c>
      <c r="AI164" s="125">
        <v>100</v>
      </c>
      <c r="AJ164" s="99" t="s">
        <v>176</v>
      </c>
      <c r="AK164" s="99" t="s">
        <v>3481</v>
      </c>
      <c r="AL164" s="99" t="s">
        <v>3411</v>
      </c>
      <c r="AM164" s="99" t="s">
        <v>177</v>
      </c>
      <c r="AN164" s="99" t="s">
        <v>3411</v>
      </c>
      <c r="AO164" s="99" t="s">
        <v>412</v>
      </c>
      <c r="AP164" s="99" t="s">
        <v>2570</v>
      </c>
      <c r="AQ164" s="99" t="s">
        <v>3411</v>
      </c>
      <c r="AR164" s="99" t="s">
        <v>3411</v>
      </c>
      <c r="AS164" s="99" t="s">
        <v>2675</v>
      </c>
      <c r="AT164" s="99" t="s">
        <v>1</v>
      </c>
      <c r="AU164" s="99" t="s">
        <v>179</v>
      </c>
      <c r="AV164" s="99" t="s">
        <v>3414</v>
      </c>
      <c r="AW164" s="99" t="s">
        <v>180</v>
      </c>
      <c r="AX164" s="99" t="s">
        <v>3420</v>
      </c>
      <c r="AY164" s="99" t="s">
        <v>252</v>
      </c>
      <c r="AZ164" s="99" t="s">
        <v>3416</v>
      </c>
      <c r="BA164" s="99" t="s">
        <v>3820</v>
      </c>
      <c r="BB164" s="99" t="s">
        <v>2672</v>
      </c>
      <c r="BC164" s="125">
        <v>45</v>
      </c>
      <c r="BD164" s="99" t="s">
        <v>3135</v>
      </c>
      <c r="BE164" s="99" t="s">
        <v>3136</v>
      </c>
    </row>
    <row r="165" spans="1:57" ht="12.95" customHeight="1">
      <c r="A165" s="124">
        <v>15</v>
      </c>
      <c r="B165" s="124">
        <v>1342</v>
      </c>
      <c r="C165" s="99" t="s">
        <v>165</v>
      </c>
      <c r="D165" s="99" t="s">
        <v>680</v>
      </c>
      <c r="E165" s="99" t="s">
        <v>3293</v>
      </c>
      <c r="F165" s="99" t="s">
        <v>3014</v>
      </c>
      <c r="G165" s="99" t="s">
        <v>3015</v>
      </c>
      <c r="H165" s="99" t="s">
        <v>793</v>
      </c>
      <c r="I165" s="99" t="s">
        <v>794</v>
      </c>
      <c r="J165" s="99" t="s">
        <v>800</v>
      </c>
      <c r="K165" s="99" t="s">
        <v>409</v>
      </c>
      <c r="L165" s="99" t="s">
        <v>801</v>
      </c>
      <c r="M165" s="99" t="s">
        <v>5</v>
      </c>
      <c r="N165" s="99" t="s">
        <v>3407</v>
      </c>
      <c r="O165" s="99" t="s">
        <v>114</v>
      </c>
      <c r="P165" s="99" t="s">
        <v>3682</v>
      </c>
      <c r="Q165" s="99" t="s">
        <v>169</v>
      </c>
      <c r="R165" s="99" t="s">
        <v>3409</v>
      </c>
      <c r="S165" s="99" t="s">
        <v>2636</v>
      </c>
      <c r="T165" s="99" t="s">
        <v>48</v>
      </c>
      <c r="U165" s="99" t="s">
        <v>170</v>
      </c>
      <c r="V165" s="99" t="s">
        <v>171</v>
      </c>
      <c r="W165" s="99" t="s">
        <v>3822</v>
      </c>
      <c r="X165" s="99" t="s">
        <v>3822</v>
      </c>
      <c r="Y165" s="99" t="s">
        <v>3823</v>
      </c>
      <c r="Z165" s="99" t="s">
        <v>172</v>
      </c>
      <c r="AA165" s="99" t="s">
        <v>173</v>
      </c>
      <c r="AB165" s="99" t="s">
        <v>174</v>
      </c>
      <c r="AC165" s="99" t="s">
        <v>3411</v>
      </c>
      <c r="AD165" s="99" t="s">
        <v>175</v>
      </c>
      <c r="AE165" s="99" t="s">
        <v>3411</v>
      </c>
      <c r="AF165" s="99" t="s">
        <v>3411</v>
      </c>
      <c r="AG165" s="124">
        <v>1063</v>
      </c>
      <c r="AH165" s="99" t="s">
        <v>3413</v>
      </c>
      <c r="AI165" s="125">
        <v>100</v>
      </c>
      <c r="AJ165" s="99" t="s">
        <v>176</v>
      </c>
      <c r="AK165" s="99" t="s">
        <v>3822</v>
      </c>
      <c r="AL165" s="99" t="s">
        <v>3411</v>
      </c>
      <c r="AM165" s="99" t="s">
        <v>177</v>
      </c>
      <c r="AN165" s="99" t="s">
        <v>3411</v>
      </c>
      <c r="AO165" s="99" t="s">
        <v>403</v>
      </c>
      <c r="AP165" s="99" t="s">
        <v>2570</v>
      </c>
      <c r="AQ165" s="99" t="s">
        <v>3411</v>
      </c>
      <c r="AR165" s="99" t="s">
        <v>3411</v>
      </c>
      <c r="AS165" s="99" t="s">
        <v>802</v>
      </c>
      <c r="AT165" s="99" t="s">
        <v>1</v>
      </c>
      <c r="AU165" s="99" t="s">
        <v>179</v>
      </c>
      <c r="AV165" s="99" t="s">
        <v>3414</v>
      </c>
      <c r="AW165" s="99" t="s">
        <v>180</v>
      </c>
      <c r="AX165" s="99" t="s">
        <v>3420</v>
      </c>
      <c r="AY165" s="99" t="s">
        <v>252</v>
      </c>
      <c r="AZ165" s="99" t="s">
        <v>3416</v>
      </c>
      <c r="BA165" s="99" t="s">
        <v>3820</v>
      </c>
      <c r="BB165" s="99" t="s">
        <v>2672</v>
      </c>
      <c r="BC165" s="125">
        <v>55</v>
      </c>
      <c r="BD165" s="99" t="s">
        <v>3135</v>
      </c>
      <c r="BE165" s="99" t="s">
        <v>3136</v>
      </c>
    </row>
    <row r="166" spans="1:57" ht="12.95" customHeight="1">
      <c r="A166" s="124">
        <v>15</v>
      </c>
      <c r="B166" s="124">
        <v>3157</v>
      </c>
      <c r="C166" s="99" t="s">
        <v>165</v>
      </c>
      <c r="D166" s="99" t="s">
        <v>680</v>
      </c>
      <c r="E166" s="99" t="s">
        <v>3293</v>
      </c>
      <c r="F166" s="99" t="s">
        <v>3014</v>
      </c>
      <c r="G166" s="99" t="s">
        <v>3015</v>
      </c>
      <c r="H166" s="99" t="s">
        <v>793</v>
      </c>
      <c r="I166" s="99" t="s">
        <v>794</v>
      </c>
      <c r="J166" s="99" t="s">
        <v>3332</v>
      </c>
      <c r="K166" s="99" t="s">
        <v>212</v>
      </c>
      <c r="L166" s="99" t="s">
        <v>3333</v>
      </c>
      <c r="M166" s="99" t="s">
        <v>1</v>
      </c>
      <c r="N166" s="99" t="s">
        <v>3407</v>
      </c>
      <c r="O166" s="99" t="s">
        <v>114</v>
      </c>
      <c r="P166" s="99" t="s">
        <v>3626</v>
      </c>
      <c r="Q166" s="99" t="s">
        <v>169</v>
      </c>
      <c r="R166" s="99" t="s">
        <v>3409</v>
      </c>
      <c r="S166" s="99" t="s">
        <v>2636</v>
      </c>
      <c r="T166" s="99" t="s">
        <v>48</v>
      </c>
      <c r="U166" s="99" t="s">
        <v>440</v>
      </c>
      <c r="V166" s="99" t="s">
        <v>441</v>
      </c>
      <c r="W166" s="99" t="s">
        <v>3626</v>
      </c>
      <c r="X166" s="99" t="s">
        <v>3626</v>
      </c>
      <c r="Y166" s="99" t="s">
        <v>3824</v>
      </c>
      <c r="Z166" s="99" t="s">
        <v>172</v>
      </c>
      <c r="AA166" s="99" t="s">
        <v>173</v>
      </c>
      <c r="AB166" s="99" t="s">
        <v>174</v>
      </c>
      <c r="AC166" s="99" t="s">
        <v>3411</v>
      </c>
      <c r="AD166" s="99" t="s">
        <v>175</v>
      </c>
      <c r="AE166" s="99" t="s">
        <v>3411</v>
      </c>
      <c r="AF166" s="99" t="s">
        <v>3411</v>
      </c>
      <c r="AG166" s="124">
        <v>3157</v>
      </c>
      <c r="AH166" s="99" t="s">
        <v>3413</v>
      </c>
      <c r="AI166" s="125">
        <v>100</v>
      </c>
      <c r="AJ166" s="99" t="s">
        <v>176</v>
      </c>
      <c r="AK166" s="99" t="s">
        <v>3626</v>
      </c>
      <c r="AL166" s="99" t="s">
        <v>3411</v>
      </c>
      <c r="AM166" s="99" t="s">
        <v>177</v>
      </c>
      <c r="AN166" s="99" t="s">
        <v>3411</v>
      </c>
      <c r="AO166" s="99" t="s">
        <v>412</v>
      </c>
      <c r="AP166" s="99" t="s">
        <v>2570</v>
      </c>
      <c r="AQ166" s="99" t="s">
        <v>3411</v>
      </c>
      <c r="AR166" s="99" t="s">
        <v>3411</v>
      </c>
      <c r="AS166" s="99" t="s">
        <v>3334</v>
      </c>
      <c r="AT166" s="99" t="s">
        <v>1</v>
      </c>
      <c r="AU166" s="99" t="s">
        <v>179</v>
      </c>
      <c r="AV166" s="99" t="s">
        <v>3414</v>
      </c>
      <c r="AW166" s="99" t="s">
        <v>180</v>
      </c>
      <c r="AX166" s="99" t="s">
        <v>3825</v>
      </c>
      <c r="AY166" s="99" t="s">
        <v>252</v>
      </c>
      <c r="AZ166" s="99" t="s">
        <v>3416</v>
      </c>
      <c r="BA166" s="99" t="s">
        <v>3820</v>
      </c>
      <c r="BB166" s="99" t="s">
        <v>2672</v>
      </c>
      <c r="BC166" s="125">
        <v>41</v>
      </c>
      <c r="BD166" s="99" t="s">
        <v>3135</v>
      </c>
      <c r="BE166" s="99" t="s">
        <v>3136</v>
      </c>
    </row>
    <row r="167" spans="1:57" ht="12.95" customHeight="1">
      <c r="A167" s="124">
        <v>15</v>
      </c>
      <c r="B167" s="124">
        <v>1387</v>
      </c>
      <c r="C167" s="99" t="s">
        <v>165</v>
      </c>
      <c r="D167" s="99" t="s">
        <v>680</v>
      </c>
      <c r="E167" s="99" t="s">
        <v>3293</v>
      </c>
      <c r="F167" s="99" t="s">
        <v>3014</v>
      </c>
      <c r="G167" s="99" t="s">
        <v>3015</v>
      </c>
      <c r="H167" s="99" t="s">
        <v>793</v>
      </c>
      <c r="I167" s="99" t="s">
        <v>794</v>
      </c>
      <c r="J167" s="99" t="s">
        <v>803</v>
      </c>
      <c r="K167" s="99" t="s">
        <v>275</v>
      </c>
      <c r="L167" s="99" t="s">
        <v>804</v>
      </c>
      <c r="M167" s="99" t="s">
        <v>5</v>
      </c>
      <c r="N167" s="99" t="s">
        <v>3407</v>
      </c>
      <c r="O167" s="99" t="s">
        <v>114</v>
      </c>
      <c r="P167" s="99" t="s">
        <v>3682</v>
      </c>
      <c r="Q167" s="99" t="s">
        <v>169</v>
      </c>
      <c r="R167" s="99" t="s">
        <v>3409</v>
      </c>
      <c r="S167" s="99" t="s">
        <v>2636</v>
      </c>
      <c r="T167" s="99" t="s">
        <v>48</v>
      </c>
      <c r="U167" s="99" t="s">
        <v>410</v>
      </c>
      <c r="V167" s="99" t="s">
        <v>411</v>
      </c>
      <c r="W167" s="99" t="s">
        <v>3826</v>
      </c>
      <c r="X167" s="99" t="s">
        <v>3826</v>
      </c>
      <c r="Y167" s="99" t="s">
        <v>3827</v>
      </c>
      <c r="Z167" s="99" t="s">
        <v>172</v>
      </c>
      <c r="AA167" s="99" t="s">
        <v>173</v>
      </c>
      <c r="AB167" s="99" t="s">
        <v>174</v>
      </c>
      <c r="AC167" s="99" t="s">
        <v>3411</v>
      </c>
      <c r="AD167" s="99" t="s">
        <v>175</v>
      </c>
      <c r="AE167" s="99" t="s">
        <v>3411</v>
      </c>
      <c r="AF167" s="99" t="s">
        <v>3411</v>
      </c>
      <c r="AG167" s="124">
        <v>1103</v>
      </c>
      <c r="AH167" s="99" t="s">
        <v>3413</v>
      </c>
      <c r="AI167" s="125">
        <v>100</v>
      </c>
      <c r="AJ167" s="99" t="s">
        <v>176</v>
      </c>
      <c r="AK167" s="99" t="s">
        <v>3826</v>
      </c>
      <c r="AL167" s="99" t="s">
        <v>3411</v>
      </c>
      <c r="AM167" s="99" t="s">
        <v>177</v>
      </c>
      <c r="AN167" s="99" t="s">
        <v>3411</v>
      </c>
      <c r="AO167" s="99" t="s">
        <v>403</v>
      </c>
      <c r="AP167" s="99" t="s">
        <v>2570</v>
      </c>
      <c r="AQ167" s="99" t="s">
        <v>3411</v>
      </c>
      <c r="AR167" s="99" t="s">
        <v>207</v>
      </c>
      <c r="AS167" s="99" t="s">
        <v>805</v>
      </c>
      <c r="AT167" s="99" t="s">
        <v>1</v>
      </c>
      <c r="AU167" s="99" t="s">
        <v>179</v>
      </c>
      <c r="AV167" s="99" t="s">
        <v>3414</v>
      </c>
      <c r="AW167" s="99" t="s">
        <v>180</v>
      </c>
      <c r="AX167" s="99" t="s">
        <v>3420</v>
      </c>
      <c r="AY167" s="99" t="s">
        <v>252</v>
      </c>
      <c r="AZ167" s="99" t="s">
        <v>3416</v>
      </c>
      <c r="BA167" s="99" t="s">
        <v>3820</v>
      </c>
      <c r="BB167" s="99" t="s">
        <v>2672</v>
      </c>
      <c r="BC167" s="125">
        <v>55</v>
      </c>
      <c r="BD167" s="99" t="s">
        <v>3135</v>
      </c>
      <c r="BE167" s="99" t="s">
        <v>3136</v>
      </c>
    </row>
    <row r="168" spans="1:57" ht="12.95" customHeight="1">
      <c r="A168" s="124">
        <v>15</v>
      </c>
      <c r="B168" s="124">
        <v>3035</v>
      </c>
      <c r="C168" s="99" t="s">
        <v>165</v>
      </c>
      <c r="D168" s="99" t="s">
        <v>680</v>
      </c>
      <c r="E168" s="99" t="s">
        <v>3293</v>
      </c>
      <c r="F168" s="99" t="s">
        <v>3014</v>
      </c>
      <c r="G168" s="99" t="s">
        <v>3015</v>
      </c>
      <c r="H168" s="99" t="s">
        <v>793</v>
      </c>
      <c r="I168" s="99" t="s">
        <v>794</v>
      </c>
      <c r="J168" s="99" t="s">
        <v>2676</v>
      </c>
      <c r="K168" s="99" t="s">
        <v>402</v>
      </c>
      <c r="L168" s="99" t="s">
        <v>2677</v>
      </c>
      <c r="M168" s="99" t="s">
        <v>1</v>
      </c>
      <c r="N168" s="99" t="s">
        <v>3407</v>
      </c>
      <c r="O168" s="99" t="s">
        <v>114</v>
      </c>
      <c r="P168" s="99" t="s">
        <v>3828</v>
      </c>
      <c r="Q168" s="99" t="s">
        <v>169</v>
      </c>
      <c r="R168" s="99" t="s">
        <v>3409</v>
      </c>
      <c r="S168" s="99" t="s">
        <v>2636</v>
      </c>
      <c r="T168" s="99" t="s">
        <v>48</v>
      </c>
      <c r="U168" s="99" t="s">
        <v>410</v>
      </c>
      <c r="V168" s="99" t="s">
        <v>411</v>
      </c>
      <c r="W168" s="99" t="s">
        <v>3828</v>
      </c>
      <c r="X168" s="99" t="s">
        <v>3828</v>
      </c>
      <c r="Y168" s="99" t="s">
        <v>3829</v>
      </c>
      <c r="Z168" s="99" t="s">
        <v>172</v>
      </c>
      <c r="AA168" s="99" t="s">
        <v>173</v>
      </c>
      <c r="AB168" s="99" t="s">
        <v>316</v>
      </c>
      <c r="AC168" s="99" t="s">
        <v>3411</v>
      </c>
      <c r="AD168" s="99" t="s">
        <v>175</v>
      </c>
      <c r="AE168" s="99" t="s">
        <v>3411</v>
      </c>
      <c r="AF168" s="99" t="s">
        <v>3411</v>
      </c>
      <c r="AG168" s="124">
        <v>3035</v>
      </c>
      <c r="AH168" s="99" t="s">
        <v>3413</v>
      </c>
      <c r="AI168" s="125">
        <v>100</v>
      </c>
      <c r="AJ168" s="99" t="s">
        <v>176</v>
      </c>
      <c r="AK168" s="99" t="s">
        <v>3771</v>
      </c>
      <c r="AL168" s="99" t="s">
        <v>3411</v>
      </c>
      <c r="AM168" s="99" t="s">
        <v>177</v>
      </c>
      <c r="AN168" s="99" t="s">
        <v>3411</v>
      </c>
      <c r="AO168" s="99" t="s">
        <v>412</v>
      </c>
      <c r="AP168" s="99" t="s">
        <v>2570</v>
      </c>
      <c r="AQ168" s="99" t="s">
        <v>3411</v>
      </c>
      <c r="AR168" s="99" t="s">
        <v>3411</v>
      </c>
      <c r="AS168" s="99" t="s">
        <v>2678</v>
      </c>
      <c r="AT168" s="99" t="s">
        <v>235</v>
      </c>
      <c r="AU168" s="99" t="s">
        <v>236</v>
      </c>
      <c r="AV168" s="99" t="s">
        <v>3414</v>
      </c>
      <c r="AW168" s="99" t="s">
        <v>180</v>
      </c>
      <c r="AX168" s="99" t="s">
        <v>3420</v>
      </c>
      <c r="AY168" s="99" t="s">
        <v>252</v>
      </c>
      <c r="AZ168" s="99" t="s">
        <v>3416</v>
      </c>
      <c r="BA168" s="99" t="s">
        <v>3820</v>
      </c>
      <c r="BB168" s="99" t="s">
        <v>2672</v>
      </c>
      <c r="BC168" s="125">
        <v>57</v>
      </c>
      <c r="BD168" s="99" t="s">
        <v>3135</v>
      </c>
      <c r="BE168" s="99" t="s">
        <v>3136</v>
      </c>
    </row>
    <row r="169" spans="1:57" ht="12.95" customHeight="1">
      <c r="A169" s="124">
        <v>15</v>
      </c>
      <c r="B169" s="124">
        <v>1390</v>
      </c>
      <c r="C169" s="99" t="s">
        <v>165</v>
      </c>
      <c r="D169" s="99" t="s">
        <v>680</v>
      </c>
      <c r="E169" s="99" t="s">
        <v>3293</v>
      </c>
      <c r="F169" s="99" t="s">
        <v>3014</v>
      </c>
      <c r="G169" s="99" t="s">
        <v>3015</v>
      </c>
      <c r="H169" s="99" t="s">
        <v>793</v>
      </c>
      <c r="I169" s="99" t="s">
        <v>794</v>
      </c>
      <c r="J169" s="99" t="s">
        <v>806</v>
      </c>
      <c r="K169" s="99" t="s">
        <v>393</v>
      </c>
      <c r="L169" s="99" t="s">
        <v>807</v>
      </c>
      <c r="M169" s="99" t="s">
        <v>1</v>
      </c>
      <c r="N169" s="99" t="s">
        <v>3407</v>
      </c>
      <c r="O169" s="99" t="s">
        <v>114</v>
      </c>
      <c r="P169" s="99" t="s">
        <v>3682</v>
      </c>
      <c r="Q169" s="99" t="s">
        <v>169</v>
      </c>
      <c r="R169" s="99" t="s">
        <v>3409</v>
      </c>
      <c r="S169" s="99" t="s">
        <v>2636</v>
      </c>
      <c r="T169" s="99" t="s">
        <v>48</v>
      </c>
      <c r="U169" s="99" t="s">
        <v>184</v>
      </c>
      <c r="V169" s="99" t="s">
        <v>185</v>
      </c>
      <c r="W169" s="99" t="s">
        <v>3654</v>
      </c>
      <c r="X169" s="99" t="s">
        <v>3654</v>
      </c>
      <c r="Y169" s="99" t="s">
        <v>3830</v>
      </c>
      <c r="Z169" s="99" t="s">
        <v>172</v>
      </c>
      <c r="AA169" s="99" t="s">
        <v>173</v>
      </c>
      <c r="AB169" s="99" t="s">
        <v>174</v>
      </c>
      <c r="AC169" s="99" t="s">
        <v>3411</v>
      </c>
      <c r="AD169" s="99" t="s">
        <v>175</v>
      </c>
      <c r="AE169" s="99" t="s">
        <v>3411</v>
      </c>
      <c r="AF169" s="99" t="s">
        <v>3411</v>
      </c>
      <c r="AG169" s="124">
        <v>1106</v>
      </c>
      <c r="AH169" s="99" t="s">
        <v>3413</v>
      </c>
      <c r="AI169" s="125">
        <v>100</v>
      </c>
      <c r="AJ169" s="99" t="s">
        <v>176</v>
      </c>
      <c r="AK169" s="99" t="s">
        <v>3654</v>
      </c>
      <c r="AL169" s="99" t="s">
        <v>3411</v>
      </c>
      <c r="AM169" s="99" t="s">
        <v>177</v>
      </c>
      <c r="AN169" s="99" t="s">
        <v>3411</v>
      </c>
      <c r="AO169" s="99" t="s">
        <v>403</v>
      </c>
      <c r="AP169" s="99" t="s">
        <v>2570</v>
      </c>
      <c r="AQ169" s="99" t="s">
        <v>3411</v>
      </c>
      <c r="AR169" s="99" t="s">
        <v>3411</v>
      </c>
      <c r="AS169" s="99" t="s">
        <v>808</v>
      </c>
      <c r="AT169" s="99" t="s">
        <v>1</v>
      </c>
      <c r="AU169" s="99" t="s">
        <v>179</v>
      </c>
      <c r="AV169" s="99" t="s">
        <v>3414</v>
      </c>
      <c r="AW169" s="99" t="s">
        <v>180</v>
      </c>
      <c r="AX169" s="99" t="s">
        <v>3420</v>
      </c>
      <c r="AY169" s="99" t="s">
        <v>252</v>
      </c>
      <c r="AZ169" s="99" t="s">
        <v>3416</v>
      </c>
      <c r="BA169" s="99" t="s">
        <v>3820</v>
      </c>
      <c r="BB169" s="99" t="s">
        <v>2672</v>
      </c>
      <c r="BC169" s="125">
        <v>60</v>
      </c>
      <c r="BD169" s="99" t="s">
        <v>3135</v>
      </c>
      <c r="BE169" s="99" t="s">
        <v>3136</v>
      </c>
    </row>
    <row r="170" spans="1:57" ht="12.95" customHeight="1">
      <c r="A170" s="124">
        <v>15</v>
      </c>
      <c r="B170" s="124">
        <v>3024</v>
      </c>
      <c r="C170" s="99" t="s">
        <v>165</v>
      </c>
      <c r="D170" s="99" t="s">
        <v>680</v>
      </c>
      <c r="E170" s="99" t="s">
        <v>3293</v>
      </c>
      <c r="F170" s="99" t="s">
        <v>3014</v>
      </c>
      <c r="G170" s="99" t="s">
        <v>3015</v>
      </c>
      <c r="H170" s="99" t="s">
        <v>793</v>
      </c>
      <c r="I170" s="99" t="s">
        <v>794</v>
      </c>
      <c r="J170" s="99" t="s">
        <v>2679</v>
      </c>
      <c r="K170" s="99" t="s">
        <v>212</v>
      </c>
      <c r="L170" s="99" t="s">
        <v>2680</v>
      </c>
      <c r="M170" s="99" t="s">
        <v>1</v>
      </c>
      <c r="N170" s="99" t="s">
        <v>3407</v>
      </c>
      <c r="O170" s="99" t="s">
        <v>114</v>
      </c>
      <c r="P170" s="99" t="s">
        <v>3473</v>
      </c>
      <c r="Q170" s="99" t="s">
        <v>169</v>
      </c>
      <c r="R170" s="99" t="s">
        <v>3409</v>
      </c>
      <c r="S170" s="99" t="s">
        <v>2636</v>
      </c>
      <c r="T170" s="99" t="s">
        <v>48</v>
      </c>
      <c r="U170" s="99" t="s">
        <v>410</v>
      </c>
      <c r="V170" s="99" t="s">
        <v>411</v>
      </c>
      <c r="W170" s="99" t="s">
        <v>3473</v>
      </c>
      <c r="X170" s="99" t="s">
        <v>3473</v>
      </c>
      <c r="Y170" s="99" t="s">
        <v>3831</v>
      </c>
      <c r="Z170" s="99" t="s">
        <v>172</v>
      </c>
      <c r="AA170" s="99" t="s">
        <v>173</v>
      </c>
      <c r="AB170" s="99" t="s">
        <v>174</v>
      </c>
      <c r="AC170" s="99" t="s">
        <v>3411</v>
      </c>
      <c r="AD170" s="99" t="s">
        <v>175</v>
      </c>
      <c r="AE170" s="99" t="s">
        <v>3411</v>
      </c>
      <c r="AF170" s="99" t="s">
        <v>3411</v>
      </c>
      <c r="AG170" s="124">
        <v>3024</v>
      </c>
      <c r="AH170" s="99" t="s">
        <v>3413</v>
      </c>
      <c r="AI170" s="125">
        <v>100</v>
      </c>
      <c r="AJ170" s="99" t="s">
        <v>176</v>
      </c>
      <c r="AK170" s="99" t="s">
        <v>3473</v>
      </c>
      <c r="AL170" s="99" t="s">
        <v>3411</v>
      </c>
      <c r="AM170" s="99" t="s">
        <v>177</v>
      </c>
      <c r="AN170" s="99" t="s">
        <v>3411</v>
      </c>
      <c r="AO170" s="99" t="s">
        <v>412</v>
      </c>
      <c r="AP170" s="99" t="s">
        <v>2570</v>
      </c>
      <c r="AQ170" s="99" t="s">
        <v>3411</v>
      </c>
      <c r="AR170" s="99" t="s">
        <v>210</v>
      </c>
      <c r="AS170" s="99" t="s">
        <v>2681</v>
      </c>
      <c r="AT170" s="99" t="s">
        <v>1</v>
      </c>
      <c r="AU170" s="99" t="s">
        <v>179</v>
      </c>
      <c r="AV170" s="99" t="s">
        <v>3414</v>
      </c>
      <c r="AW170" s="99" t="s">
        <v>180</v>
      </c>
      <c r="AX170" s="99" t="s">
        <v>3420</v>
      </c>
      <c r="AY170" s="99" t="s">
        <v>252</v>
      </c>
      <c r="AZ170" s="99" t="s">
        <v>3416</v>
      </c>
      <c r="BA170" s="99" t="s">
        <v>3820</v>
      </c>
      <c r="BB170" s="99" t="s">
        <v>2672</v>
      </c>
      <c r="BC170" s="125">
        <v>38</v>
      </c>
      <c r="BD170" s="99" t="s">
        <v>3135</v>
      </c>
      <c r="BE170" s="99" t="s">
        <v>3136</v>
      </c>
    </row>
    <row r="171" spans="1:57" ht="12.95" customHeight="1">
      <c r="A171" s="124">
        <v>15</v>
      </c>
      <c r="B171" s="124">
        <v>617</v>
      </c>
      <c r="C171" s="99" t="s">
        <v>165</v>
      </c>
      <c r="D171" s="99" t="s">
        <v>680</v>
      </c>
      <c r="E171" s="99" t="s">
        <v>3293</v>
      </c>
      <c r="F171" s="99" t="s">
        <v>3014</v>
      </c>
      <c r="G171" s="99" t="s">
        <v>3015</v>
      </c>
      <c r="H171" s="99" t="s">
        <v>793</v>
      </c>
      <c r="I171" s="99" t="s">
        <v>794</v>
      </c>
      <c r="J171" s="99" t="s">
        <v>809</v>
      </c>
      <c r="K171" s="99" t="s">
        <v>695</v>
      </c>
      <c r="L171" s="99" t="s">
        <v>810</v>
      </c>
      <c r="M171" s="99" t="s">
        <v>1</v>
      </c>
      <c r="N171" s="99" t="s">
        <v>3454</v>
      </c>
      <c r="O171" s="99" t="s">
        <v>70</v>
      </c>
      <c r="P171" s="99" t="s">
        <v>3455</v>
      </c>
      <c r="Q171" s="99" t="s">
        <v>247</v>
      </c>
      <c r="R171" s="99" t="s">
        <v>3409</v>
      </c>
      <c r="S171" s="99" t="s">
        <v>2636</v>
      </c>
      <c r="T171" s="99" t="s">
        <v>48</v>
      </c>
      <c r="U171" s="99" t="s">
        <v>410</v>
      </c>
      <c r="V171" s="99" t="s">
        <v>411</v>
      </c>
      <c r="W171" s="99" t="s">
        <v>3832</v>
      </c>
      <c r="X171" s="99" t="s">
        <v>3664</v>
      </c>
      <c r="Y171" s="99" t="s">
        <v>3833</v>
      </c>
      <c r="Z171" s="99" t="s">
        <v>172</v>
      </c>
      <c r="AA171" s="99" t="s">
        <v>173</v>
      </c>
      <c r="AB171" s="99" t="s">
        <v>174</v>
      </c>
      <c r="AC171" s="99" t="s">
        <v>3411</v>
      </c>
      <c r="AD171" s="99" t="s">
        <v>175</v>
      </c>
      <c r="AE171" s="99" t="s">
        <v>3411</v>
      </c>
      <c r="AF171" s="99" t="s">
        <v>3411</v>
      </c>
      <c r="AG171" s="124">
        <v>443</v>
      </c>
      <c r="AH171" s="99" t="s">
        <v>3413</v>
      </c>
      <c r="AI171" s="125">
        <v>100</v>
      </c>
      <c r="AJ171" s="99" t="s">
        <v>176</v>
      </c>
      <c r="AK171" s="99" t="s">
        <v>3832</v>
      </c>
      <c r="AL171" s="99" t="s">
        <v>3411</v>
      </c>
      <c r="AM171" s="99" t="s">
        <v>3480</v>
      </c>
      <c r="AN171" s="99" t="s">
        <v>233</v>
      </c>
      <c r="AO171" s="99" t="s">
        <v>178</v>
      </c>
      <c r="AP171" s="99" t="s">
        <v>2570</v>
      </c>
      <c r="AQ171" s="99" t="s">
        <v>3411</v>
      </c>
      <c r="AR171" s="99" t="s">
        <v>234</v>
      </c>
      <c r="AS171" s="99" t="s">
        <v>811</v>
      </c>
      <c r="AT171" s="99" t="s">
        <v>1</v>
      </c>
      <c r="AU171" s="99" t="s">
        <v>179</v>
      </c>
      <c r="AV171" s="99" t="s">
        <v>3414</v>
      </c>
      <c r="AW171" s="99" t="s">
        <v>180</v>
      </c>
      <c r="AX171" s="99" t="s">
        <v>3460</v>
      </c>
      <c r="AY171" s="99" t="s">
        <v>252</v>
      </c>
      <c r="AZ171" s="99" t="s">
        <v>5013</v>
      </c>
      <c r="BA171" s="99" t="s">
        <v>3820</v>
      </c>
      <c r="BB171" s="99" t="s">
        <v>2672</v>
      </c>
      <c r="BC171" s="125">
        <v>61</v>
      </c>
      <c r="BD171" s="99" t="s">
        <v>3135</v>
      </c>
      <c r="BE171" s="99" t="s">
        <v>3136</v>
      </c>
    </row>
    <row r="172" spans="1:57" ht="12.95" customHeight="1">
      <c r="A172" s="124">
        <v>15</v>
      </c>
      <c r="B172" s="124">
        <v>1353</v>
      </c>
      <c r="C172" s="99" t="s">
        <v>165</v>
      </c>
      <c r="D172" s="99" t="s">
        <v>680</v>
      </c>
      <c r="E172" s="99" t="s">
        <v>3293</v>
      </c>
      <c r="F172" s="99" t="s">
        <v>3014</v>
      </c>
      <c r="G172" s="99" t="s">
        <v>3015</v>
      </c>
      <c r="H172" s="99" t="s">
        <v>793</v>
      </c>
      <c r="I172" s="99" t="s">
        <v>794</v>
      </c>
      <c r="J172" s="99" t="s">
        <v>816</v>
      </c>
      <c r="K172" s="99" t="s">
        <v>817</v>
      </c>
      <c r="L172" s="99" t="s">
        <v>818</v>
      </c>
      <c r="M172" s="99" t="s">
        <v>1</v>
      </c>
      <c r="N172" s="99" t="s">
        <v>3407</v>
      </c>
      <c r="O172" s="99" t="s">
        <v>114</v>
      </c>
      <c r="P172" s="99" t="s">
        <v>3682</v>
      </c>
      <c r="Q172" s="99" t="s">
        <v>169</v>
      </c>
      <c r="R172" s="99" t="s">
        <v>3409</v>
      </c>
      <c r="S172" s="99" t="s">
        <v>2636</v>
      </c>
      <c r="T172" s="99" t="s">
        <v>48</v>
      </c>
      <c r="U172" s="99" t="s">
        <v>184</v>
      </c>
      <c r="V172" s="99" t="s">
        <v>185</v>
      </c>
      <c r="W172" s="99" t="s">
        <v>3834</v>
      </c>
      <c r="X172" s="99" t="s">
        <v>3834</v>
      </c>
      <c r="Y172" s="99" t="s">
        <v>3835</v>
      </c>
      <c r="Z172" s="99" t="s">
        <v>172</v>
      </c>
      <c r="AA172" s="99" t="s">
        <v>173</v>
      </c>
      <c r="AB172" s="99" t="s">
        <v>174</v>
      </c>
      <c r="AC172" s="99" t="s">
        <v>3411</v>
      </c>
      <c r="AD172" s="99" t="s">
        <v>175</v>
      </c>
      <c r="AE172" s="99" t="s">
        <v>3411</v>
      </c>
      <c r="AF172" s="99" t="s">
        <v>3411</v>
      </c>
      <c r="AG172" s="124">
        <v>1073</v>
      </c>
      <c r="AH172" s="99" t="s">
        <v>3413</v>
      </c>
      <c r="AI172" s="125">
        <v>100</v>
      </c>
      <c r="AJ172" s="99" t="s">
        <v>176</v>
      </c>
      <c r="AK172" s="99" t="s">
        <v>3626</v>
      </c>
      <c r="AL172" s="99" t="s">
        <v>3411</v>
      </c>
      <c r="AM172" s="99" t="s">
        <v>177</v>
      </c>
      <c r="AN172" s="99" t="s">
        <v>3411</v>
      </c>
      <c r="AO172" s="99" t="s">
        <v>403</v>
      </c>
      <c r="AP172" s="99" t="s">
        <v>2570</v>
      </c>
      <c r="AQ172" s="99" t="s">
        <v>3411</v>
      </c>
      <c r="AR172" s="99" t="s">
        <v>210</v>
      </c>
      <c r="AS172" s="99" t="s">
        <v>819</v>
      </c>
      <c r="AT172" s="99" t="s">
        <v>1</v>
      </c>
      <c r="AU172" s="99" t="s">
        <v>179</v>
      </c>
      <c r="AV172" s="99" t="s">
        <v>3414</v>
      </c>
      <c r="AW172" s="99" t="s">
        <v>180</v>
      </c>
      <c r="AX172" s="99" t="s">
        <v>3836</v>
      </c>
      <c r="AY172" s="99" t="s">
        <v>252</v>
      </c>
      <c r="AZ172" s="99" t="s">
        <v>3416</v>
      </c>
      <c r="BA172" s="99" t="s">
        <v>3820</v>
      </c>
      <c r="BB172" s="99" t="s">
        <v>2672</v>
      </c>
      <c r="BC172" s="125">
        <v>59</v>
      </c>
      <c r="BD172" s="99" t="s">
        <v>3135</v>
      </c>
      <c r="BE172" s="99" t="s">
        <v>3136</v>
      </c>
    </row>
    <row r="173" spans="1:57" ht="12.95" customHeight="1">
      <c r="A173" s="124">
        <v>15</v>
      </c>
      <c r="B173" s="124">
        <v>1307</v>
      </c>
      <c r="C173" s="99" t="s">
        <v>165</v>
      </c>
      <c r="D173" s="99" t="s">
        <v>680</v>
      </c>
      <c r="E173" s="99" t="s">
        <v>3293</v>
      </c>
      <c r="F173" s="99" t="s">
        <v>3014</v>
      </c>
      <c r="G173" s="99" t="s">
        <v>3015</v>
      </c>
      <c r="H173" s="99" t="s">
        <v>793</v>
      </c>
      <c r="I173" s="99" t="s">
        <v>794</v>
      </c>
      <c r="J173" s="99" t="s">
        <v>821</v>
      </c>
      <c r="K173" s="99" t="s">
        <v>820</v>
      </c>
      <c r="L173" s="99" t="s">
        <v>822</v>
      </c>
      <c r="M173" s="99" t="s">
        <v>5</v>
      </c>
      <c r="N173" s="99" t="s">
        <v>3407</v>
      </c>
      <c r="O173" s="99" t="s">
        <v>114</v>
      </c>
      <c r="P173" s="99" t="s">
        <v>3682</v>
      </c>
      <c r="Q173" s="99" t="s">
        <v>169</v>
      </c>
      <c r="R173" s="99" t="s">
        <v>3409</v>
      </c>
      <c r="S173" s="99" t="s">
        <v>2636</v>
      </c>
      <c r="T173" s="99" t="s">
        <v>48</v>
      </c>
      <c r="U173" s="99" t="s">
        <v>410</v>
      </c>
      <c r="V173" s="99" t="s">
        <v>411</v>
      </c>
      <c r="W173" s="99" t="s">
        <v>3837</v>
      </c>
      <c r="X173" s="99" t="s">
        <v>3838</v>
      </c>
      <c r="Y173" s="99" t="s">
        <v>3839</v>
      </c>
      <c r="Z173" s="99" t="s">
        <v>172</v>
      </c>
      <c r="AA173" s="99" t="s">
        <v>173</v>
      </c>
      <c r="AB173" s="99" t="s">
        <v>174</v>
      </c>
      <c r="AC173" s="99" t="s">
        <v>3411</v>
      </c>
      <c r="AD173" s="99" t="s">
        <v>175</v>
      </c>
      <c r="AE173" s="99" t="s">
        <v>3411</v>
      </c>
      <c r="AF173" s="99" t="s">
        <v>3411</v>
      </c>
      <c r="AG173" s="124">
        <v>1034</v>
      </c>
      <c r="AH173" s="99" t="s">
        <v>3413</v>
      </c>
      <c r="AI173" s="125">
        <v>100</v>
      </c>
      <c r="AJ173" s="99" t="s">
        <v>176</v>
      </c>
      <c r="AK173" s="99" t="s">
        <v>3837</v>
      </c>
      <c r="AL173" s="99" t="s">
        <v>3411</v>
      </c>
      <c r="AM173" s="99" t="s">
        <v>177</v>
      </c>
      <c r="AN173" s="99" t="s">
        <v>3411</v>
      </c>
      <c r="AO173" s="99" t="s">
        <v>403</v>
      </c>
      <c r="AP173" s="99" t="s">
        <v>2570</v>
      </c>
      <c r="AQ173" s="99" t="s">
        <v>3411</v>
      </c>
      <c r="AR173" s="99" t="s">
        <v>207</v>
      </c>
      <c r="AS173" s="99" t="s">
        <v>823</v>
      </c>
      <c r="AT173" s="99" t="s">
        <v>235</v>
      </c>
      <c r="AU173" s="99" t="s">
        <v>236</v>
      </c>
      <c r="AV173" s="99" t="s">
        <v>3414</v>
      </c>
      <c r="AW173" s="99" t="s">
        <v>180</v>
      </c>
      <c r="AX173" s="99" t="s">
        <v>3420</v>
      </c>
      <c r="AY173" s="99" t="s">
        <v>252</v>
      </c>
      <c r="AZ173" s="99" t="s">
        <v>3416</v>
      </c>
      <c r="BA173" s="99" t="s">
        <v>3820</v>
      </c>
      <c r="BB173" s="99" t="s">
        <v>2672</v>
      </c>
      <c r="BC173" s="125">
        <v>58</v>
      </c>
      <c r="BD173" s="99" t="s">
        <v>3135</v>
      </c>
      <c r="BE173" s="99" t="s">
        <v>3136</v>
      </c>
    </row>
    <row r="174" spans="1:57" ht="12.95" customHeight="1">
      <c r="A174" s="124">
        <v>15</v>
      </c>
      <c r="B174" s="124">
        <v>741</v>
      </c>
      <c r="C174" s="99" t="s">
        <v>165</v>
      </c>
      <c r="D174" s="99" t="s">
        <v>680</v>
      </c>
      <c r="E174" s="99" t="s">
        <v>3293</v>
      </c>
      <c r="F174" s="99" t="s">
        <v>3014</v>
      </c>
      <c r="G174" s="99" t="s">
        <v>3015</v>
      </c>
      <c r="H174" s="99" t="s">
        <v>793</v>
      </c>
      <c r="I174" s="99" t="s">
        <v>794</v>
      </c>
      <c r="J174" s="99" t="s">
        <v>824</v>
      </c>
      <c r="K174" s="99" t="s">
        <v>825</v>
      </c>
      <c r="L174" s="99" t="s">
        <v>826</v>
      </c>
      <c r="M174" s="99" t="s">
        <v>5</v>
      </c>
      <c r="N174" s="99" t="s">
        <v>3407</v>
      </c>
      <c r="O174" s="99" t="s">
        <v>114</v>
      </c>
      <c r="P174" s="99" t="s">
        <v>3682</v>
      </c>
      <c r="Q174" s="99" t="s">
        <v>169</v>
      </c>
      <c r="R174" s="99" t="s">
        <v>3409</v>
      </c>
      <c r="S174" s="99" t="s">
        <v>2636</v>
      </c>
      <c r="T174" s="99" t="s">
        <v>52</v>
      </c>
      <c r="U174" s="99" t="s">
        <v>427</v>
      </c>
      <c r="V174" s="99" t="s">
        <v>428</v>
      </c>
      <c r="W174" s="99" t="s">
        <v>3840</v>
      </c>
      <c r="X174" s="99" t="s">
        <v>3840</v>
      </c>
      <c r="Y174" s="99" t="s">
        <v>3841</v>
      </c>
      <c r="Z174" s="99" t="s">
        <v>172</v>
      </c>
      <c r="AA174" s="99" t="s">
        <v>173</v>
      </c>
      <c r="AB174" s="99" t="s">
        <v>174</v>
      </c>
      <c r="AC174" s="99" t="s">
        <v>3411</v>
      </c>
      <c r="AD174" s="99" t="s">
        <v>175</v>
      </c>
      <c r="AE174" s="99" t="s">
        <v>3411</v>
      </c>
      <c r="AF174" s="99" t="s">
        <v>3411</v>
      </c>
      <c r="AG174" s="124">
        <v>552</v>
      </c>
      <c r="AH174" s="99" t="s">
        <v>3413</v>
      </c>
      <c r="AI174" s="125">
        <v>100</v>
      </c>
      <c r="AJ174" s="99" t="s">
        <v>176</v>
      </c>
      <c r="AK174" s="99" t="s">
        <v>3840</v>
      </c>
      <c r="AL174" s="99" t="s">
        <v>3411</v>
      </c>
      <c r="AM174" s="99" t="s">
        <v>177</v>
      </c>
      <c r="AN174" s="99" t="s">
        <v>3411</v>
      </c>
      <c r="AO174" s="99" t="s">
        <v>403</v>
      </c>
      <c r="AP174" s="99" t="s">
        <v>2570</v>
      </c>
      <c r="AQ174" s="99" t="s">
        <v>3411</v>
      </c>
      <c r="AR174" s="99" t="s">
        <v>207</v>
      </c>
      <c r="AS174" s="99" t="s">
        <v>827</v>
      </c>
      <c r="AT174" s="99" t="s">
        <v>1</v>
      </c>
      <c r="AU174" s="99" t="s">
        <v>179</v>
      </c>
      <c r="AV174" s="99" t="s">
        <v>3414</v>
      </c>
      <c r="AW174" s="99" t="s">
        <v>180</v>
      </c>
      <c r="AX174" s="99" t="s">
        <v>3842</v>
      </c>
      <c r="AY174" s="99" t="s">
        <v>252</v>
      </c>
      <c r="AZ174" s="99" t="s">
        <v>3416</v>
      </c>
      <c r="BA174" s="99" t="s">
        <v>3820</v>
      </c>
      <c r="BB174" s="99" t="s">
        <v>2672</v>
      </c>
      <c r="BC174" s="125">
        <v>58</v>
      </c>
      <c r="BD174" s="99" t="s">
        <v>3135</v>
      </c>
      <c r="BE174" s="99" t="s">
        <v>3136</v>
      </c>
    </row>
    <row r="175" spans="1:57" ht="12.95" customHeight="1">
      <c r="A175" s="124">
        <v>15</v>
      </c>
      <c r="B175" s="124">
        <v>3123</v>
      </c>
      <c r="C175" s="99" t="s">
        <v>165</v>
      </c>
      <c r="D175" s="99" t="s">
        <v>882</v>
      </c>
      <c r="E175" s="99" t="s">
        <v>3183</v>
      </c>
      <c r="F175" s="99" t="s">
        <v>883</v>
      </c>
      <c r="G175" s="99" t="s">
        <v>884</v>
      </c>
      <c r="H175" s="99" t="s">
        <v>3844</v>
      </c>
      <c r="I175" s="99" t="s">
        <v>3308</v>
      </c>
      <c r="J175" s="99" t="s">
        <v>3091</v>
      </c>
      <c r="K175" s="99" t="s">
        <v>695</v>
      </c>
      <c r="L175" s="99" t="s">
        <v>3092</v>
      </c>
      <c r="M175" s="99" t="s">
        <v>1</v>
      </c>
      <c r="N175" s="99" t="s">
        <v>3407</v>
      </c>
      <c r="O175" s="99" t="s">
        <v>114</v>
      </c>
      <c r="P175" s="99" t="s">
        <v>3845</v>
      </c>
      <c r="Q175" s="99" t="s">
        <v>169</v>
      </c>
      <c r="R175" s="99" t="s">
        <v>3427</v>
      </c>
      <c r="S175" s="99" t="s">
        <v>2635</v>
      </c>
      <c r="T175" s="99" t="s">
        <v>58</v>
      </c>
      <c r="U175" s="99" t="s">
        <v>187</v>
      </c>
      <c r="V175" s="99" t="s">
        <v>188</v>
      </c>
      <c r="W175" s="99" t="s">
        <v>3845</v>
      </c>
      <c r="X175" s="99" t="s">
        <v>3845</v>
      </c>
      <c r="Y175" s="99" t="s">
        <v>3846</v>
      </c>
      <c r="Z175" s="99" t="s">
        <v>172</v>
      </c>
      <c r="AA175" s="99" t="s">
        <v>173</v>
      </c>
      <c r="AB175" s="99" t="s">
        <v>174</v>
      </c>
      <c r="AC175" s="99" t="s">
        <v>3411</v>
      </c>
      <c r="AD175" s="99" t="s">
        <v>175</v>
      </c>
      <c r="AE175" s="99" t="s">
        <v>3411</v>
      </c>
      <c r="AF175" s="99" t="s">
        <v>3411</v>
      </c>
      <c r="AG175" s="124">
        <v>3123</v>
      </c>
      <c r="AH175" s="99" t="s">
        <v>3413</v>
      </c>
      <c r="AI175" s="125">
        <v>100</v>
      </c>
      <c r="AJ175" s="99" t="s">
        <v>176</v>
      </c>
      <c r="AK175" s="99" t="s">
        <v>3845</v>
      </c>
      <c r="AL175" s="99" t="s">
        <v>3411</v>
      </c>
      <c r="AM175" s="99" t="s">
        <v>177</v>
      </c>
      <c r="AN175" s="99" t="s">
        <v>3411</v>
      </c>
      <c r="AO175" s="99" t="s">
        <v>189</v>
      </c>
      <c r="AP175" s="99" t="s">
        <v>2570</v>
      </c>
      <c r="AQ175" s="99" t="s">
        <v>3411</v>
      </c>
      <c r="AR175" s="99" t="s">
        <v>3411</v>
      </c>
      <c r="AS175" s="99" t="s">
        <v>3093</v>
      </c>
      <c r="AT175" s="99" t="s">
        <v>190</v>
      </c>
      <c r="AU175" s="99" t="s">
        <v>191</v>
      </c>
      <c r="AV175" s="99" t="s">
        <v>3414</v>
      </c>
      <c r="AW175" s="99" t="s">
        <v>180</v>
      </c>
      <c r="AX175" s="99" t="s">
        <v>3420</v>
      </c>
      <c r="AY175" s="99" t="s">
        <v>252</v>
      </c>
      <c r="AZ175" s="99" t="s">
        <v>3430</v>
      </c>
      <c r="BA175" s="99" t="s">
        <v>3421</v>
      </c>
      <c r="BB175" s="99" t="s">
        <v>381</v>
      </c>
      <c r="BC175" s="125">
        <v>49</v>
      </c>
      <c r="BD175" s="99" t="s">
        <v>3135</v>
      </c>
      <c r="BE175" s="99" t="s">
        <v>3136</v>
      </c>
    </row>
    <row r="176" spans="1:57" ht="12.95" customHeight="1">
      <c r="A176" s="124">
        <v>15</v>
      </c>
      <c r="B176" s="124">
        <v>2200</v>
      </c>
      <c r="C176" s="99" t="s">
        <v>165</v>
      </c>
      <c r="D176" s="99" t="s">
        <v>882</v>
      </c>
      <c r="E176" s="99" t="s">
        <v>3183</v>
      </c>
      <c r="F176" s="99" t="s">
        <v>883</v>
      </c>
      <c r="G176" s="99" t="s">
        <v>884</v>
      </c>
      <c r="H176" s="99" t="s">
        <v>3847</v>
      </c>
      <c r="I176" s="99" t="s">
        <v>3294</v>
      </c>
      <c r="J176" s="99" t="s">
        <v>885</v>
      </c>
      <c r="K176" s="99" t="s">
        <v>445</v>
      </c>
      <c r="L176" s="99" t="s">
        <v>886</v>
      </c>
      <c r="M176" s="99" t="s">
        <v>1</v>
      </c>
      <c r="N176" s="99" t="s">
        <v>3407</v>
      </c>
      <c r="O176" s="99" t="s">
        <v>114</v>
      </c>
      <c r="P176" s="99" t="s">
        <v>3422</v>
      </c>
      <c r="Q176" s="99" t="s">
        <v>169</v>
      </c>
      <c r="R176" s="99" t="s">
        <v>3409</v>
      </c>
      <c r="S176" s="99" t="s">
        <v>2636</v>
      </c>
      <c r="T176" s="99" t="s">
        <v>52</v>
      </c>
      <c r="U176" s="99" t="s">
        <v>427</v>
      </c>
      <c r="V176" s="99" t="s">
        <v>428</v>
      </c>
      <c r="W176" s="99" t="s">
        <v>3848</v>
      </c>
      <c r="X176" s="99" t="s">
        <v>3848</v>
      </c>
      <c r="Y176" s="99" t="s">
        <v>3849</v>
      </c>
      <c r="Z176" s="99" t="s">
        <v>172</v>
      </c>
      <c r="AA176" s="99" t="s">
        <v>173</v>
      </c>
      <c r="AB176" s="99" t="s">
        <v>174</v>
      </c>
      <c r="AC176" s="99" t="s">
        <v>3411</v>
      </c>
      <c r="AD176" s="99" t="s">
        <v>175</v>
      </c>
      <c r="AE176" s="99" t="s">
        <v>3411</v>
      </c>
      <c r="AF176" s="99" t="s">
        <v>3411</v>
      </c>
      <c r="AG176" s="124">
        <v>1652</v>
      </c>
      <c r="AH176" s="99" t="s">
        <v>3413</v>
      </c>
      <c r="AI176" s="125">
        <v>100</v>
      </c>
      <c r="AJ176" s="99" t="s">
        <v>176</v>
      </c>
      <c r="AK176" s="99" t="s">
        <v>3848</v>
      </c>
      <c r="AL176" s="99" t="s">
        <v>3411</v>
      </c>
      <c r="AM176" s="99" t="s">
        <v>177</v>
      </c>
      <c r="AN176" s="99" t="s">
        <v>3411</v>
      </c>
      <c r="AO176" s="99" t="s">
        <v>178</v>
      </c>
      <c r="AP176" s="99" t="s">
        <v>2570</v>
      </c>
      <c r="AQ176" s="99" t="s">
        <v>3411</v>
      </c>
      <c r="AR176" s="99" t="s">
        <v>3411</v>
      </c>
      <c r="AS176" s="99" t="s">
        <v>887</v>
      </c>
      <c r="AT176" s="99" t="s">
        <v>1</v>
      </c>
      <c r="AU176" s="99" t="s">
        <v>179</v>
      </c>
      <c r="AV176" s="99" t="s">
        <v>3414</v>
      </c>
      <c r="AW176" s="99" t="s">
        <v>180</v>
      </c>
      <c r="AX176" s="99" t="s">
        <v>3420</v>
      </c>
      <c r="AY176" s="99" t="s">
        <v>252</v>
      </c>
      <c r="AZ176" s="99" t="s">
        <v>3416</v>
      </c>
      <c r="BA176" s="99" t="s">
        <v>3417</v>
      </c>
      <c r="BB176" s="99" t="s">
        <v>3097</v>
      </c>
      <c r="BC176" s="125">
        <v>43</v>
      </c>
      <c r="BD176" s="99" t="s">
        <v>3135</v>
      </c>
      <c r="BE176" s="99" t="s">
        <v>3136</v>
      </c>
    </row>
    <row r="177" spans="1:57" ht="12.95" customHeight="1">
      <c r="A177" s="124">
        <v>15</v>
      </c>
      <c r="B177" s="124">
        <v>3153</v>
      </c>
      <c r="C177" s="99" t="s">
        <v>165</v>
      </c>
      <c r="D177" s="99" t="s">
        <v>882</v>
      </c>
      <c r="E177" s="99" t="s">
        <v>3183</v>
      </c>
      <c r="F177" s="99" t="s">
        <v>883</v>
      </c>
      <c r="G177" s="99" t="s">
        <v>884</v>
      </c>
      <c r="H177" s="99" t="s">
        <v>3850</v>
      </c>
      <c r="I177" s="99" t="s">
        <v>2682</v>
      </c>
      <c r="J177" s="99" t="s">
        <v>3288</v>
      </c>
      <c r="K177" s="99" t="s">
        <v>671</v>
      </c>
      <c r="L177" s="99" t="s">
        <v>3289</v>
      </c>
      <c r="M177" s="99" t="s">
        <v>5</v>
      </c>
      <c r="N177" s="99" t="s">
        <v>3407</v>
      </c>
      <c r="O177" s="99" t="s">
        <v>114</v>
      </c>
      <c r="P177" s="99" t="s">
        <v>3851</v>
      </c>
      <c r="Q177" s="99" t="s">
        <v>169</v>
      </c>
      <c r="R177" s="99" t="s">
        <v>3409</v>
      </c>
      <c r="S177" s="99" t="s">
        <v>2636</v>
      </c>
      <c r="T177" s="99" t="s">
        <v>52</v>
      </c>
      <c r="U177" s="99" t="s">
        <v>427</v>
      </c>
      <c r="V177" s="99" t="s">
        <v>428</v>
      </c>
      <c r="W177" s="99" t="s">
        <v>3851</v>
      </c>
      <c r="X177" s="99" t="s">
        <v>3851</v>
      </c>
      <c r="Y177" s="99" t="s">
        <v>3852</v>
      </c>
      <c r="Z177" s="99" t="s">
        <v>172</v>
      </c>
      <c r="AA177" s="99" t="s">
        <v>173</v>
      </c>
      <c r="AB177" s="99" t="s">
        <v>174</v>
      </c>
      <c r="AC177" s="99" t="s">
        <v>3411</v>
      </c>
      <c r="AD177" s="99" t="s">
        <v>175</v>
      </c>
      <c r="AE177" s="99" t="s">
        <v>3411</v>
      </c>
      <c r="AF177" s="99" t="s">
        <v>3411</v>
      </c>
      <c r="AG177" s="124">
        <v>3153</v>
      </c>
      <c r="AH177" s="99" t="s">
        <v>3413</v>
      </c>
      <c r="AI177" s="125">
        <v>100</v>
      </c>
      <c r="AJ177" s="99" t="s">
        <v>176</v>
      </c>
      <c r="AK177" s="99" t="s">
        <v>3851</v>
      </c>
      <c r="AL177" s="99" t="s">
        <v>3411</v>
      </c>
      <c r="AM177" s="99" t="s">
        <v>177</v>
      </c>
      <c r="AN177" s="99" t="s">
        <v>3411</v>
      </c>
      <c r="AO177" s="99" t="s">
        <v>412</v>
      </c>
      <c r="AP177" s="99" t="s">
        <v>2570</v>
      </c>
      <c r="AQ177" s="99" t="s">
        <v>3411</v>
      </c>
      <c r="AR177" s="99" t="s">
        <v>3411</v>
      </c>
      <c r="AS177" s="99" t="s">
        <v>3290</v>
      </c>
      <c r="AT177" s="99" t="s">
        <v>1</v>
      </c>
      <c r="AU177" s="99" t="s">
        <v>179</v>
      </c>
      <c r="AV177" s="99" t="s">
        <v>3414</v>
      </c>
      <c r="AW177" s="99" t="s">
        <v>180</v>
      </c>
      <c r="AX177" s="99" t="s">
        <v>3481</v>
      </c>
      <c r="AY177" s="99" t="s">
        <v>252</v>
      </c>
      <c r="AZ177" s="99" t="s">
        <v>3416</v>
      </c>
      <c r="BA177" s="99" t="s">
        <v>3417</v>
      </c>
      <c r="BB177" s="99" t="s">
        <v>3097</v>
      </c>
      <c r="BC177" s="125">
        <v>40</v>
      </c>
      <c r="BD177" s="99" t="s">
        <v>3135</v>
      </c>
      <c r="BE177" s="99" t="s">
        <v>3136</v>
      </c>
    </row>
    <row r="178" spans="1:57" ht="12.95" customHeight="1">
      <c r="A178" s="124">
        <v>15</v>
      </c>
      <c r="B178" s="124">
        <v>3124</v>
      </c>
      <c r="C178" s="99" t="s">
        <v>165</v>
      </c>
      <c r="D178" s="99" t="s">
        <v>882</v>
      </c>
      <c r="E178" s="99" t="s">
        <v>3183</v>
      </c>
      <c r="F178" s="99" t="s">
        <v>883</v>
      </c>
      <c r="G178" s="99" t="s">
        <v>884</v>
      </c>
      <c r="H178" s="99" t="s">
        <v>3853</v>
      </c>
      <c r="I178" s="99" t="s">
        <v>3295</v>
      </c>
      <c r="J178" s="99" t="s">
        <v>3094</v>
      </c>
      <c r="K178" s="99" t="s">
        <v>1031</v>
      </c>
      <c r="L178" s="99" t="s">
        <v>3095</v>
      </c>
      <c r="M178" s="99" t="s">
        <v>5</v>
      </c>
      <c r="N178" s="99" t="s">
        <v>3407</v>
      </c>
      <c r="O178" s="99" t="s">
        <v>114</v>
      </c>
      <c r="P178" s="99" t="s">
        <v>3854</v>
      </c>
      <c r="Q178" s="99" t="s">
        <v>169</v>
      </c>
      <c r="R178" s="99" t="s">
        <v>3409</v>
      </c>
      <c r="S178" s="99" t="s">
        <v>2636</v>
      </c>
      <c r="T178" s="99" t="s">
        <v>52</v>
      </c>
      <c r="U178" s="99" t="s">
        <v>427</v>
      </c>
      <c r="V178" s="99" t="s">
        <v>428</v>
      </c>
      <c r="W178" s="99" t="s">
        <v>3854</v>
      </c>
      <c r="X178" s="99" t="s">
        <v>3854</v>
      </c>
      <c r="Y178" s="99" t="s">
        <v>3855</v>
      </c>
      <c r="Z178" s="99" t="s">
        <v>172</v>
      </c>
      <c r="AA178" s="99" t="s">
        <v>173</v>
      </c>
      <c r="AB178" s="99" t="s">
        <v>174</v>
      </c>
      <c r="AC178" s="99" t="s">
        <v>3411</v>
      </c>
      <c r="AD178" s="99" t="s">
        <v>175</v>
      </c>
      <c r="AE178" s="99" t="s">
        <v>3411</v>
      </c>
      <c r="AF178" s="99" t="s">
        <v>3411</v>
      </c>
      <c r="AG178" s="124">
        <v>3124</v>
      </c>
      <c r="AH178" s="99" t="s">
        <v>3413</v>
      </c>
      <c r="AI178" s="125">
        <v>100</v>
      </c>
      <c r="AJ178" s="99" t="s">
        <v>176</v>
      </c>
      <c r="AK178" s="99" t="s">
        <v>3854</v>
      </c>
      <c r="AL178" s="99" t="s">
        <v>3411</v>
      </c>
      <c r="AM178" s="99" t="s">
        <v>177</v>
      </c>
      <c r="AN178" s="99" t="s">
        <v>3411</v>
      </c>
      <c r="AO178" s="99" t="s">
        <v>412</v>
      </c>
      <c r="AP178" s="99" t="s">
        <v>2570</v>
      </c>
      <c r="AQ178" s="99" t="s">
        <v>3411</v>
      </c>
      <c r="AR178" s="99" t="s">
        <v>3411</v>
      </c>
      <c r="AS178" s="99" t="s">
        <v>3096</v>
      </c>
      <c r="AT178" s="99" t="s">
        <v>1</v>
      </c>
      <c r="AU178" s="99" t="s">
        <v>179</v>
      </c>
      <c r="AV178" s="99" t="s">
        <v>3414</v>
      </c>
      <c r="AW178" s="99" t="s">
        <v>180</v>
      </c>
      <c r="AX178" s="99" t="s">
        <v>3420</v>
      </c>
      <c r="AY178" s="99" t="s">
        <v>252</v>
      </c>
      <c r="AZ178" s="99" t="s">
        <v>3416</v>
      </c>
      <c r="BA178" s="99" t="s">
        <v>3417</v>
      </c>
      <c r="BB178" s="99" t="s">
        <v>3097</v>
      </c>
      <c r="BC178" s="125">
        <v>34</v>
      </c>
      <c r="BD178" s="99" t="s">
        <v>3135</v>
      </c>
      <c r="BE178" s="99" t="s">
        <v>3136</v>
      </c>
    </row>
    <row r="179" spans="1:57" ht="12.95" customHeight="1">
      <c r="A179" s="124">
        <v>15</v>
      </c>
      <c r="B179" s="124">
        <v>3146</v>
      </c>
      <c r="C179" s="99" t="s">
        <v>165</v>
      </c>
      <c r="D179" s="99" t="s">
        <v>882</v>
      </c>
      <c r="E179" s="99" t="s">
        <v>3183</v>
      </c>
      <c r="F179" s="99" t="s">
        <v>883</v>
      </c>
      <c r="G179" s="99" t="s">
        <v>884</v>
      </c>
      <c r="H179" s="99" t="s">
        <v>3856</v>
      </c>
      <c r="I179" s="99" t="s">
        <v>3309</v>
      </c>
      <c r="J179" s="99" t="s">
        <v>3220</v>
      </c>
      <c r="K179" s="99" t="s">
        <v>3221</v>
      </c>
      <c r="L179" s="99" t="s">
        <v>3222</v>
      </c>
      <c r="M179" s="99" t="s">
        <v>1</v>
      </c>
      <c r="N179" s="99" t="s">
        <v>3407</v>
      </c>
      <c r="O179" s="99" t="s">
        <v>114</v>
      </c>
      <c r="P179" s="99" t="s">
        <v>3857</v>
      </c>
      <c r="Q179" s="99" t="s">
        <v>169</v>
      </c>
      <c r="R179" s="99" t="s">
        <v>3409</v>
      </c>
      <c r="S179" s="99" t="s">
        <v>2636</v>
      </c>
      <c r="T179" s="99" t="s">
        <v>48</v>
      </c>
      <c r="U179" s="99" t="s">
        <v>184</v>
      </c>
      <c r="V179" s="99" t="s">
        <v>185</v>
      </c>
      <c r="W179" s="99" t="s">
        <v>3857</v>
      </c>
      <c r="X179" s="99" t="s">
        <v>3857</v>
      </c>
      <c r="Y179" s="99" t="s">
        <v>3858</v>
      </c>
      <c r="Z179" s="99" t="s">
        <v>172</v>
      </c>
      <c r="AA179" s="99" t="s">
        <v>173</v>
      </c>
      <c r="AB179" s="99" t="s">
        <v>174</v>
      </c>
      <c r="AC179" s="99" t="s">
        <v>3411</v>
      </c>
      <c r="AD179" s="99" t="s">
        <v>175</v>
      </c>
      <c r="AE179" s="99" t="s">
        <v>3411</v>
      </c>
      <c r="AF179" s="99" t="s">
        <v>3411</v>
      </c>
      <c r="AG179" s="124">
        <v>3146</v>
      </c>
      <c r="AH179" s="99" t="s">
        <v>3413</v>
      </c>
      <c r="AI179" s="125">
        <v>100</v>
      </c>
      <c r="AJ179" s="99" t="s">
        <v>176</v>
      </c>
      <c r="AK179" s="99" t="s">
        <v>3857</v>
      </c>
      <c r="AL179" s="99" t="s">
        <v>3411</v>
      </c>
      <c r="AM179" s="99" t="s">
        <v>177</v>
      </c>
      <c r="AN179" s="99" t="s">
        <v>3411</v>
      </c>
      <c r="AO179" s="99" t="s">
        <v>412</v>
      </c>
      <c r="AP179" s="99" t="s">
        <v>2570</v>
      </c>
      <c r="AQ179" s="99" t="s">
        <v>3411</v>
      </c>
      <c r="AR179" s="99" t="s">
        <v>3411</v>
      </c>
      <c r="AS179" s="99" t="s">
        <v>3223</v>
      </c>
      <c r="AT179" s="99" t="s">
        <v>1</v>
      </c>
      <c r="AU179" s="99" t="s">
        <v>179</v>
      </c>
      <c r="AV179" s="99" t="s">
        <v>3414</v>
      </c>
      <c r="AW179" s="99" t="s">
        <v>180</v>
      </c>
      <c r="AX179" s="99" t="s">
        <v>3420</v>
      </c>
      <c r="AY179" s="99" t="s">
        <v>252</v>
      </c>
      <c r="AZ179" s="99" t="s">
        <v>3416</v>
      </c>
      <c r="BA179" s="99" t="s">
        <v>3417</v>
      </c>
      <c r="BB179" s="99" t="s">
        <v>3097</v>
      </c>
      <c r="BC179" s="125">
        <v>38</v>
      </c>
      <c r="BD179" s="99" t="s">
        <v>3135</v>
      </c>
      <c r="BE179" s="99" t="s">
        <v>3136</v>
      </c>
    </row>
    <row r="180" spans="1:57" ht="12.95" customHeight="1">
      <c r="A180" s="124">
        <v>15</v>
      </c>
      <c r="B180" s="124">
        <v>986</v>
      </c>
      <c r="C180" s="99" t="s">
        <v>165</v>
      </c>
      <c r="D180" s="99" t="s">
        <v>882</v>
      </c>
      <c r="E180" s="99" t="s">
        <v>3183</v>
      </c>
      <c r="F180" s="99" t="s">
        <v>883</v>
      </c>
      <c r="G180" s="99" t="s">
        <v>884</v>
      </c>
      <c r="H180" s="99" t="s">
        <v>3859</v>
      </c>
      <c r="I180" s="99" t="s">
        <v>3310</v>
      </c>
      <c r="J180" s="99" t="s">
        <v>889</v>
      </c>
      <c r="K180" s="99" t="s">
        <v>219</v>
      </c>
      <c r="L180" s="99" t="s">
        <v>890</v>
      </c>
      <c r="M180" s="99" t="s">
        <v>5</v>
      </c>
      <c r="N180" s="99" t="s">
        <v>3407</v>
      </c>
      <c r="O180" s="99" t="s">
        <v>114</v>
      </c>
      <c r="P180" s="99" t="s">
        <v>3422</v>
      </c>
      <c r="Q180" s="99" t="s">
        <v>169</v>
      </c>
      <c r="R180" s="99" t="s">
        <v>3409</v>
      </c>
      <c r="S180" s="99" t="s">
        <v>2636</v>
      </c>
      <c r="T180" s="99" t="s">
        <v>52</v>
      </c>
      <c r="U180" s="99" t="s">
        <v>427</v>
      </c>
      <c r="V180" s="99" t="s">
        <v>428</v>
      </c>
      <c r="W180" s="99" t="s">
        <v>3860</v>
      </c>
      <c r="X180" s="99" t="s">
        <v>3860</v>
      </c>
      <c r="Y180" s="99" t="s">
        <v>3861</v>
      </c>
      <c r="Z180" s="99" t="s">
        <v>172</v>
      </c>
      <c r="AA180" s="99" t="s">
        <v>173</v>
      </c>
      <c r="AB180" s="99" t="s">
        <v>174</v>
      </c>
      <c r="AC180" s="99" t="s">
        <v>3411</v>
      </c>
      <c r="AD180" s="99" t="s">
        <v>175</v>
      </c>
      <c r="AE180" s="99" t="s">
        <v>3411</v>
      </c>
      <c r="AF180" s="99" t="s">
        <v>3411</v>
      </c>
      <c r="AG180" s="124">
        <v>762</v>
      </c>
      <c r="AH180" s="99" t="s">
        <v>3413</v>
      </c>
      <c r="AI180" s="125">
        <v>100</v>
      </c>
      <c r="AJ180" s="99" t="s">
        <v>176</v>
      </c>
      <c r="AK180" s="99" t="s">
        <v>3860</v>
      </c>
      <c r="AL180" s="99" t="s">
        <v>3411</v>
      </c>
      <c r="AM180" s="99" t="s">
        <v>177</v>
      </c>
      <c r="AN180" s="99" t="s">
        <v>3411</v>
      </c>
      <c r="AO180" s="99" t="s">
        <v>403</v>
      </c>
      <c r="AP180" s="99" t="s">
        <v>2570</v>
      </c>
      <c r="AQ180" s="99" t="s">
        <v>3411</v>
      </c>
      <c r="AR180" s="99" t="s">
        <v>3411</v>
      </c>
      <c r="AS180" s="99" t="s">
        <v>891</v>
      </c>
      <c r="AT180" s="99" t="s">
        <v>1</v>
      </c>
      <c r="AU180" s="99" t="s">
        <v>179</v>
      </c>
      <c r="AV180" s="99" t="s">
        <v>3414</v>
      </c>
      <c r="AW180" s="99" t="s">
        <v>180</v>
      </c>
      <c r="AX180" s="99" t="s">
        <v>3420</v>
      </c>
      <c r="AY180" s="99" t="s">
        <v>252</v>
      </c>
      <c r="AZ180" s="99" t="s">
        <v>3416</v>
      </c>
      <c r="BA180" s="99" t="s">
        <v>3862</v>
      </c>
      <c r="BB180" s="99" t="s">
        <v>917</v>
      </c>
      <c r="BC180" s="125">
        <v>61</v>
      </c>
      <c r="BD180" s="99" t="s">
        <v>3135</v>
      </c>
      <c r="BE180" s="99" t="s">
        <v>3136</v>
      </c>
    </row>
    <row r="181" spans="1:57" ht="12.95" customHeight="1">
      <c r="A181" s="124">
        <v>15</v>
      </c>
      <c r="B181" s="124">
        <v>3022</v>
      </c>
      <c r="C181" s="99" t="s">
        <v>165</v>
      </c>
      <c r="D181" s="99" t="s">
        <v>882</v>
      </c>
      <c r="E181" s="99" t="s">
        <v>3183</v>
      </c>
      <c r="F181" s="99" t="s">
        <v>883</v>
      </c>
      <c r="G181" s="99" t="s">
        <v>884</v>
      </c>
      <c r="H181" s="99" t="s">
        <v>3863</v>
      </c>
      <c r="I181" s="99" t="s">
        <v>3296</v>
      </c>
      <c r="J181" s="99" t="s">
        <v>2683</v>
      </c>
      <c r="K181" s="99" t="s">
        <v>1714</v>
      </c>
      <c r="L181" s="99" t="s">
        <v>2684</v>
      </c>
      <c r="M181" s="99" t="s">
        <v>5</v>
      </c>
      <c r="N181" s="99" t="s">
        <v>3407</v>
      </c>
      <c r="O181" s="99" t="s">
        <v>114</v>
      </c>
      <c r="P181" s="99" t="s">
        <v>3864</v>
      </c>
      <c r="Q181" s="99" t="s">
        <v>169</v>
      </c>
      <c r="R181" s="99" t="s">
        <v>3427</v>
      </c>
      <c r="S181" s="99" t="s">
        <v>2635</v>
      </c>
      <c r="T181" s="99" t="s">
        <v>58</v>
      </c>
      <c r="U181" s="99" t="s">
        <v>187</v>
      </c>
      <c r="V181" s="99" t="s">
        <v>188</v>
      </c>
      <c r="W181" s="99" t="s">
        <v>3864</v>
      </c>
      <c r="X181" s="99" t="s">
        <v>3864</v>
      </c>
      <c r="Y181" s="99" t="s">
        <v>3865</v>
      </c>
      <c r="Z181" s="99" t="s">
        <v>172</v>
      </c>
      <c r="AA181" s="99" t="s">
        <v>173</v>
      </c>
      <c r="AB181" s="99" t="s">
        <v>174</v>
      </c>
      <c r="AC181" s="99" t="s">
        <v>3411</v>
      </c>
      <c r="AD181" s="99" t="s">
        <v>175</v>
      </c>
      <c r="AE181" s="99" t="s">
        <v>3411</v>
      </c>
      <c r="AF181" s="99" t="s">
        <v>3411</v>
      </c>
      <c r="AG181" s="124">
        <v>3022</v>
      </c>
      <c r="AH181" s="99" t="s">
        <v>3413</v>
      </c>
      <c r="AI181" s="125">
        <v>100</v>
      </c>
      <c r="AJ181" s="99" t="s">
        <v>176</v>
      </c>
      <c r="AK181" s="99" t="s">
        <v>3864</v>
      </c>
      <c r="AL181" s="99" t="s">
        <v>3411</v>
      </c>
      <c r="AM181" s="99" t="s">
        <v>177</v>
      </c>
      <c r="AN181" s="99" t="s">
        <v>3411</v>
      </c>
      <c r="AO181" s="99" t="s">
        <v>189</v>
      </c>
      <c r="AP181" s="99" t="s">
        <v>2570</v>
      </c>
      <c r="AQ181" s="99" t="s">
        <v>3411</v>
      </c>
      <c r="AR181" s="99" t="s">
        <v>3411</v>
      </c>
      <c r="AS181" s="99" t="s">
        <v>2685</v>
      </c>
      <c r="AT181" s="99" t="s">
        <v>190</v>
      </c>
      <c r="AU181" s="99" t="s">
        <v>191</v>
      </c>
      <c r="AV181" s="99" t="s">
        <v>3414</v>
      </c>
      <c r="AW181" s="99" t="s">
        <v>180</v>
      </c>
      <c r="AX181" s="99" t="s">
        <v>3866</v>
      </c>
      <c r="AY181" s="99" t="s">
        <v>252</v>
      </c>
      <c r="AZ181" s="99" t="s">
        <v>3867</v>
      </c>
      <c r="BA181" s="99" t="s">
        <v>3417</v>
      </c>
      <c r="BB181" s="99" t="s">
        <v>3097</v>
      </c>
      <c r="BC181" s="125">
        <v>62</v>
      </c>
      <c r="BD181" s="99" t="s">
        <v>3135</v>
      </c>
      <c r="BE181" s="99" t="s">
        <v>3136</v>
      </c>
    </row>
    <row r="182" spans="1:57" ht="12.95" customHeight="1">
      <c r="A182" s="124">
        <v>15</v>
      </c>
      <c r="B182" s="124">
        <v>2815</v>
      </c>
      <c r="C182" s="99" t="s">
        <v>165</v>
      </c>
      <c r="D182" s="99" t="s">
        <v>882</v>
      </c>
      <c r="E182" s="99" t="s">
        <v>3183</v>
      </c>
      <c r="F182" s="99" t="s">
        <v>883</v>
      </c>
      <c r="G182" s="99" t="s">
        <v>884</v>
      </c>
      <c r="H182" s="99" t="s">
        <v>3868</v>
      </c>
      <c r="I182" s="99" t="s">
        <v>3297</v>
      </c>
      <c r="J182" s="99" t="s">
        <v>892</v>
      </c>
      <c r="K182" s="99" t="s">
        <v>275</v>
      </c>
      <c r="L182" s="99" t="s">
        <v>893</v>
      </c>
      <c r="M182" s="99" t="s">
        <v>5</v>
      </c>
      <c r="N182" s="99" t="s">
        <v>3407</v>
      </c>
      <c r="O182" s="99" t="s">
        <v>114</v>
      </c>
      <c r="P182" s="99" t="s">
        <v>3422</v>
      </c>
      <c r="Q182" s="99" t="s">
        <v>169</v>
      </c>
      <c r="R182" s="99" t="s">
        <v>3409</v>
      </c>
      <c r="S182" s="99" t="s">
        <v>2636</v>
      </c>
      <c r="T182" s="99" t="s">
        <v>52</v>
      </c>
      <c r="U182" s="99" t="s">
        <v>427</v>
      </c>
      <c r="V182" s="99" t="s">
        <v>428</v>
      </c>
      <c r="W182" s="99" t="s">
        <v>3869</v>
      </c>
      <c r="X182" s="99" t="s">
        <v>3869</v>
      </c>
      <c r="Y182" s="99" t="s">
        <v>3870</v>
      </c>
      <c r="Z182" s="99" t="s">
        <v>172</v>
      </c>
      <c r="AA182" s="99" t="s">
        <v>173</v>
      </c>
      <c r="AB182" s="99" t="s">
        <v>174</v>
      </c>
      <c r="AC182" s="99" t="s">
        <v>3411</v>
      </c>
      <c r="AD182" s="99" t="s">
        <v>175</v>
      </c>
      <c r="AE182" s="99" t="s">
        <v>3411</v>
      </c>
      <c r="AF182" s="99" t="s">
        <v>3411</v>
      </c>
      <c r="AG182" s="124">
        <v>2815</v>
      </c>
      <c r="AH182" s="99" t="s">
        <v>3413</v>
      </c>
      <c r="AI182" s="125">
        <v>100</v>
      </c>
      <c r="AJ182" s="99" t="s">
        <v>176</v>
      </c>
      <c r="AK182" s="99" t="s">
        <v>3869</v>
      </c>
      <c r="AL182" s="99" t="s">
        <v>3411</v>
      </c>
      <c r="AM182" s="99" t="s">
        <v>177</v>
      </c>
      <c r="AN182" s="99" t="s">
        <v>3411</v>
      </c>
      <c r="AO182" s="99" t="s">
        <v>178</v>
      </c>
      <c r="AP182" s="99" t="s">
        <v>2570</v>
      </c>
      <c r="AQ182" s="99" t="s">
        <v>3411</v>
      </c>
      <c r="AR182" s="99" t="s">
        <v>3411</v>
      </c>
      <c r="AS182" s="99" t="s">
        <v>894</v>
      </c>
      <c r="AT182" s="99" t="s">
        <v>1</v>
      </c>
      <c r="AU182" s="99" t="s">
        <v>179</v>
      </c>
      <c r="AV182" s="99" t="s">
        <v>3414</v>
      </c>
      <c r="AW182" s="99" t="s">
        <v>180</v>
      </c>
      <c r="AX182" s="99" t="s">
        <v>3420</v>
      </c>
      <c r="AY182" s="99" t="s">
        <v>252</v>
      </c>
      <c r="AZ182" s="99" t="s">
        <v>3416</v>
      </c>
      <c r="BA182" s="99" t="s">
        <v>3417</v>
      </c>
      <c r="BB182" s="99" t="s">
        <v>3097</v>
      </c>
      <c r="BC182" s="125">
        <v>49</v>
      </c>
      <c r="BD182" s="99" t="s">
        <v>3135</v>
      </c>
      <c r="BE182" s="99" t="s">
        <v>3136</v>
      </c>
    </row>
    <row r="183" spans="1:57" ht="12.95" customHeight="1">
      <c r="A183" s="124">
        <v>15</v>
      </c>
      <c r="B183" s="124">
        <v>2112</v>
      </c>
      <c r="C183" s="99" t="s">
        <v>165</v>
      </c>
      <c r="D183" s="99" t="s">
        <v>882</v>
      </c>
      <c r="E183" s="99" t="s">
        <v>3183</v>
      </c>
      <c r="F183" s="99" t="s">
        <v>883</v>
      </c>
      <c r="G183" s="99" t="s">
        <v>884</v>
      </c>
      <c r="H183" s="99" t="s">
        <v>3868</v>
      </c>
      <c r="I183" s="99" t="s">
        <v>3297</v>
      </c>
      <c r="J183" s="99" t="s">
        <v>895</v>
      </c>
      <c r="K183" s="99" t="s">
        <v>245</v>
      </c>
      <c r="L183" s="99" t="s">
        <v>896</v>
      </c>
      <c r="M183" s="99" t="s">
        <v>1</v>
      </c>
      <c r="N183" s="99" t="s">
        <v>3407</v>
      </c>
      <c r="O183" s="99" t="s">
        <v>114</v>
      </c>
      <c r="P183" s="99" t="s">
        <v>3422</v>
      </c>
      <c r="Q183" s="99" t="s">
        <v>169</v>
      </c>
      <c r="R183" s="99" t="s">
        <v>3409</v>
      </c>
      <c r="S183" s="99" t="s">
        <v>2636</v>
      </c>
      <c r="T183" s="99" t="s">
        <v>52</v>
      </c>
      <c r="U183" s="99" t="s">
        <v>427</v>
      </c>
      <c r="V183" s="99" t="s">
        <v>428</v>
      </c>
      <c r="W183" s="99" t="s">
        <v>3871</v>
      </c>
      <c r="X183" s="99" t="s">
        <v>3871</v>
      </c>
      <c r="Y183" s="99" t="s">
        <v>3872</v>
      </c>
      <c r="Z183" s="99" t="s">
        <v>172</v>
      </c>
      <c r="AA183" s="99" t="s">
        <v>173</v>
      </c>
      <c r="AB183" s="99" t="s">
        <v>174</v>
      </c>
      <c r="AC183" s="99" t="s">
        <v>3411</v>
      </c>
      <c r="AD183" s="99" t="s">
        <v>175</v>
      </c>
      <c r="AE183" s="99" t="s">
        <v>3411</v>
      </c>
      <c r="AF183" s="99" t="s">
        <v>3411</v>
      </c>
      <c r="AG183" s="124">
        <v>1600</v>
      </c>
      <c r="AH183" s="99" t="s">
        <v>3413</v>
      </c>
      <c r="AI183" s="125">
        <v>100</v>
      </c>
      <c r="AJ183" s="99" t="s">
        <v>176</v>
      </c>
      <c r="AK183" s="99" t="s">
        <v>3871</v>
      </c>
      <c r="AL183" s="99" t="s">
        <v>3411</v>
      </c>
      <c r="AM183" s="99" t="s">
        <v>177</v>
      </c>
      <c r="AN183" s="99" t="s">
        <v>3411</v>
      </c>
      <c r="AO183" s="99" t="s">
        <v>178</v>
      </c>
      <c r="AP183" s="99" t="s">
        <v>2570</v>
      </c>
      <c r="AQ183" s="99" t="s">
        <v>3411</v>
      </c>
      <c r="AR183" s="99" t="s">
        <v>3411</v>
      </c>
      <c r="AS183" s="99" t="s">
        <v>897</v>
      </c>
      <c r="AT183" s="99" t="s">
        <v>1</v>
      </c>
      <c r="AU183" s="99" t="s">
        <v>179</v>
      </c>
      <c r="AV183" s="99" t="s">
        <v>3414</v>
      </c>
      <c r="AW183" s="99" t="s">
        <v>180</v>
      </c>
      <c r="AX183" s="99" t="s">
        <v>3420</v>
      </c>
      <c r="AY183" s="99" t="s">
        <v>252</v>
      </c>
      <c r="AZ183" s="99" t="s">
        <v>3416</v>
      </c>
      <c r="BA183" s="99" t="s">
        <v>3417</v>
      </c>
      <c r="BB183" s="99" t="s">
        <v>3097</v>
      </c>
      <c r="BC183" s="125">
        <v>49</v>
      </c>
      <c r="BD183" s="99" t="s">
        <v>3135</v>
      </c>
      <c r="BE183" s="99" t="s">
        <v>3136</v>
      </c>
    </row>
    <row r="184" spans="1:57" ht="12.95" customHeight="1">
      <c r="A184" s="124">
        <v>15</v>
      </c>
      <c r="B184" s="124">
        <v>2438</v>
      </c>
      <c r="C184" s="99" t="s">
        <v>165</v>
      </c>
      <c r="D184" s="99" t="s">
        <v>882</v>
      </c>
      <c r="E184" s="99" t="s">
        <v>3183</v>
      </c>
      <c r="F184" s="99" t="s">
        <v>883</v>
      </c>
      <c r="G184" s="99" t="s">
        <v>884</v>
      </c>
      <c r="H184" s="99" t="s">
        <v>3868</v>
      </c>
      <c r="I184" s="99" t="s">
        <v>3297</v>
      </c>
      <c r="J184" s="99" t="s">
        <v>898</v>
      </c>
      <c r="K184" s="99" t="s">
        <v>899</v>
      </c>
      <c r="L184" s="99" t="s">
        <v>900</v>
      </c>
      <c r="M184" s="99" t="s">
        <v>1</v>
      </c>
      <c r="N184" s="99" t="s">
        <v>3407</v>
      </c>
      <c r="O184" s="99" t="s">
        <v>114</v>
      </c>
      <c r="P184" s="99" t="s">
        <v>3422</v>
      </c>
      <c r="Q184" s="99" t="s">
        <v>169</v>
      </c>
      <c r="R184" s="99" t="s">
        <v>3409</v>
      </c>
      <c r="S184" s="99" t="s">
        <v>2636</v>
      </c>
      <c r="T184" s="99" t="s">
        <v>48</v>
      </c>
      <c r="U184" s="99" t="s">
        <v>184</v>
      </c>
      <c r="V184" s="99" t="s">
        <v>185</v>
      </c>
      <c r="W184" s="99" t="s">
        <v>3873</v>
      </c>
      <c r="X184" s="99" t="s">
        <v>3873</v>
      </c>
      <c r="Y184" s="99" t="s">
        <v>3874</v>
      </c>
      <c r="Z184" s="99" t="s">
        <v>172</v>
      </c>
      <c r="AA184" s="99" t="s">
        <v>173</v>
      </c>
      <c r="AB184" s="99" t="s">
        <v>174</v>
      </c>
      <c r="AC184" s="99" t="s">
        <v>3411</v>
      </c>
      <c r="AD184" s="99" t="s">
        <v>175</v>
      </c>
      <c r="AE184" s="99" t="s">
        <v>3411</v>
      </c>
      <c r="AF184" s="99" t="s">
        <v>3411</v>
      </c>
      <c r="AG184" s="124">
        <v>2438</v>
      </c>
      <c r="AH184" s="99" t="s">
        <v>3413</v>
      </c>
      <c r="AI184" s="125">
        <v>100</v>
      </c>
      <c r="AJ184" s="99" t="s">
        <v>176</v>
      </c>
      <c r="AK184" s="99" t="s">
        <v>3873</v>
      </c>
      <c r="AL184" s="99" t="s">
        <v>3411</v>
      </c>
      <c r="AM184" s="99" t="s">
        <v>177</v>
      </c>
      <c r="AN184" s="99" t="s">
        <v>3411</v>
      </c>
      <c r="AO184" s="99" t="s">
        <v>178</v>
      </c>
      <c r="AP184" s="99" t="s">
        <v>2570</v>
      </c>
      <c r="AQ184" s="99" t="s">
        <v>3411</v>
      </c>
      <c r="AR184" s="99" t="s">
        <v>3411</v>
      </c>
      <c r="AS184" s="99" t="s">
        <v>901</v>
      </c>
      <c r="AT184" s="99" t="s">
        <v>1</v>
      </c>
      <c r="AU184" s="99" t="s">
        <v>179</v>
      </c>
      <c r="AV184" s="99" t="s">
        <v>3414</v>
      </c>
      <c r="AW184" s="99" t="s">
        <v>180</v>
      </c>
      <c r="AX184" s="99" t="s">
        <v>3420</v>
      </c>
      <c r="AY184" s="99" t="s">
        <v>252</v>
      </c>
      <c r="AZ184" s="99" t="s">
        <v>3416</v>
      </c>
      <c r="BA184" s="99" t="s">
        <v>3875</v>
      </c>
      <c r="BB184" s="99" t="s">
        <v>2893</v>
      </c>
      <c r="BC184" s="125">
        <v>59</v>
      </c>
      <c r="BD184" s="99" t="s">
        <v>3135</v>
      </c>
      <c r="BE184" s="99" t="s">
        <v>3136</v>
      </c>
    </row>
    <row r="185" spans="1:57" ht="12.95" customHeight="1">
      <c r="A185" s="124">
        <v>15</v>
      </c>
      <c r="B185" s="124">
        <v>2114</v>
      </c>
      <c r="C185" s="99" t="s">
        <v>165</v>
      </c>
      <c r="D185" s="99" t="s">
        <v>882</v>
      </c>
      <c r="E185" s="99" t="s">
        <v>3183</v>
      </c>
      <c r="F185" s="99" t="s">
        <v>883</v>
      </c>
      <c r="G185" s="99" t="s">
        <v>884</v>
      </c>
      <c r="H185" s="99" t="s">
        <v>3868</v>
      </c>
      <c r="I185" s="99" t="s">
        <v>3297</v>
      </c>
      <c r="J185" s="99" t="s">
        <v>903</v>
      </c>
      <c r="K185" s="99" t="s">
        <v>741</v>
      </c>
      <c r="L185" s="99" t="s">
        <v>904</v>
      </c>
      <c r="M185" s="99" t="s">
        <v>1</v>
      </c>
      <c r="N185" s="99" t="s">
        <v>3407</v>
      </c>
      <c r="O185" s="99" t="s">
        <v>114</v>
      </c>
      <c r="P185" s="99" t="s">
        <v>3422</v>
      </c>
      <c r="Q185" s="99" t="s">
        <v>169</v>
      </c>
      <c r="R185" s="99" t="s">
        <v>3409</v>
      </c>
      <c r="S185" s="99" t="s">
        <v>2636</v>
      </c>
      <c r="T185" s="99" t="s">
        <v>48</v>
      </c>
      <c r="U185" s="99" t="s">
        <v>440</v>
      </c>
      <c r="V185" s="99" t="s">
        <v>441</v>
      </c>
      <c r="W185" s="99" t="s">
        <v>3876</v>
      </c>
      <c r="X185" s="99" t="s">
        <v>3876</v>
      </c>
      <c r="Y185" s="99" t="s">
        <v>3877</v>
      </c>
      <c r="Z185" s="99" t="s">
        <v>172</v>
      </c>
      <c r="AA185" s="99" t="s">
        <v>173</v>
      </c>
      <c r="AB185" s="99" t="s">
        <v>174</v>
      </c>
      <c r="AC185" s="99" t="s">
        <v>3411</v>
      </c>
      <c r="AD185" s="99" t="s">
        <v>175</v>
      </c>
      <c r="AE185" s="99" t="s">
        <v>3411</v>
      </c>
      <c r="AF185" s="99" t="s">
        <v>3411</v>
      </c>
      <c r="AG185" s="124">
        <v>1602</v>
      </c>
      <c r="AH185" s="99" t="s">
        <v>3413</v>
      </c>
      <c r="AI185" s="125">
        <v>100</v>
      </c>
      <c r="AJ185" s="99" t="s">
        <v>176</v>
      </c>
      <c r="AK185" s="99" t="s">
        <v>3876</v>
      </c>
      <c r="AL185" s="99" t="s">
        <v>3411</v>
      </c>
      <c r="AM185" s="99" t="s">
        <v>3480</v>
      </c>
      <c r="AN185" s="99" t="s">
        <v>233</v>
      </c>
      <c r="AO185" s="99" t="s">
        <v>178</v>
      </c>
      <c r="AP185" s="99" t="s">
        <v>2570</v>
      </c>
      <c r="AQ185" s="99" t="s">
        <v>3411</v>
      </c>
      <c r="AR185" s="99" t="s">
        <v>3411</v>
      </c>
      <c r="AS185" s="99" t="s">
        <v>905</v>
      </c>
      <c r="AT185" s="99" t="s">
        <v>1</v>
      </c>
      <c r="AU185" s="99" t="s">
        <v>179</v>
      </c>
      <c r="AV185" s="99" t="s">
        <v>3414</v>
      </c>
      <c r="AW185" s="99" t="s">
        <v>180</v>
      </c>
      <c r="AX185" s="99" t="s">
        <v>3420</v>
      </c>
      <c r="AY185" s="99" t="s">
        <v>252</v>
      </c>
      <c r="AZ185" s="99" t="s">
        <v>3416</v>
      </c>
      <c r="BA185" s="99" t="s">
        <v>3875</v>
      </c>
      <c r="BB185" s="99" t="s">
        <v>2893</v>
      </c>
      <c r="BC185" s="125">
        <v>54</v>
      </c>
      <c r="BD185" s="99" t="s">
        <v>3135</v>
      </c>
      <c r="BE185" s="99" t="s">
        <v>3136</v>
      </c>
    </row>
    <row r="186" spans="1:57" ht="12.95" customHeight="1">
      <c r="A186" s="124">
        <v>15</v>
      </c>
      <c r="B186" s="124">
        <v>3159</v>
      </c>
      <c r="C186" s="99" t="s">
        <v>165</v>
      </c>
      <c r="D186" s="99" t="s">
        <v>882</v>
      </c>
      <c r="E186" s="99" t="s">
        <v>3183</v>
      </c>
      <c r="F186" s="99" t="s">
        <v>883</v>
      </c>
      <c r="G186" s="99" t="s">
        <v>884</v>
      </c>
      <c r="H186" s="99" t="s">
        <v>3868</v>
      </c>
      <c r="I186" s="99" t="s">
        <v>3297</v>
      </c>
      <c r="J186" s="99" t="s">
        <v>3362</v>
      </c>
      <c r="K186" s="99" t="s">
        <v>797</v>
      </c>
      <c r="L186" s="99" t="s">
        <v>3363</v>
      </c>
      <c r="M186" s="99" t="s">
        <v>1</v>
      </c>
      <c r="N186" s="99" t="s">
        <v>3407</v>
      </c>
      <c r="O186" s="99" t="s">
        <v>114</v>
      </c>
      <c r="P186" s="99" t="s">
        <v>3481</v>
      </c>
      <c r="Q186" s="99" t="s">
        <v>169</v>
      </c>
      <c r="R186" s="99" t="s">
        <v>3409</v>
      </c>
      <c r="S186" s="99" t="s">
        <v>2636</v>
      </c>
      <c r="T186" s="99" t="s">
        <v>48</v>
      </c>
      <c r="U186" s="99" t="s">
        <v>500</v>
      </c>
      <c r="V186" s="99" t="s">
        <v>501</v>
      </c>
      <c r="W186" s="99" t="s">
        <v>3481</v>
      </c>
      <c r="X186" s="99" t="s">
        <v>3481</v>
      </c>
      <c r="Y186" s="99" t="s">
        <v>3469</v>
      </c>
      <c r="Z186" s="99" t="s">
        <v>172</v>
      </c>
      <c r="AA186" s="99" t="s">
        <v>173</v>
      </c>
      <c r="AB186" s="99" t="s">
        <v>174</v>
      </c>
      <c r="AC186" s="99" t="s">
        <v>3411</v>
      </c>
      <c r="AD186" s="99" t="s">
        <v>175</v>
      </c>
      <c r="AE186" s="99" t="s">
        <v>3411</v>
      </c>
      <c r="AF186" s="99" t="s">
        <v>3411</v>
      </c>
      <c r="AG186" s="124">
        <v>3159</v>
      </c>
      <c r="AH186" s="99" t="s">
        <v>3413</v>
      </c>
      <c r="AI186" s="125">
        <v>100</v>
      </c>
      <c r="AJ186" s="99" t="s">
        <v>176</v>
      </c>
      <c r="AK186" s="99" t="s">
        <v>3481</v>
      </c>
      <c r="AL186" s="99" t="s">
        <v>3411</v>
      </c>
      <c r="AM186" s="99" t="s">
        <v>177</v>
      </c>
      <c r="AN186" s="99" t="s">
        <v>3411</v>
      </c>
      <c r="AO186" s="99" t="s">
        <v>412</v>
      </c>
      <c r="AP186" s="99" t="s">
        <v>2570</v>
      </c>
      <c r="AQ186" s="99" t="s">
        <v>3411</v>
      </c>
      <c r="AR186" s="99" t="s">
        <v>3411</v>
      </c>
      <c r="AS186" s="99" t="s">
        <v>3364</v>
      </c>
      <c r="AT186" s="99" t="s">
        <v>1</v>
      </c>
      <c r="AU186" s="99" t="s">
        <v>179</v>
      </c>
      <c r="AV186" s="99" t="s">
        <v>3414</v>
      </c>
      <c r="AW186" s="99" t="s">
        <v>180</v>
      </c>
      <c r="AX186" s="99" t="s">
        <v>3738</v>
      </c>
      <c r="AY186" s="99" t="s">
        <v>252</v>
      </c>
      <c r="AZ186" s="99" t="s">
        <v>3416</v>
      </c>
      <c r="BA186" s="99" t="s">
        <v>3875</v>
      </c>
      <c r="BB186" s="99" t="s">
        <v>2893</v>
      </c>
      <c r="BC186" s="125">
        <v>26</v>
      </c>
      <c r="BD186" s="99" t="s">
        <v>3135</v>
      </c>
      <c r="BE186" s="99" t="s">
        <v>3136</v>
      </c>
    </row>
    <row r="187" spans="1:57" ht="12.95" customHeight="1">
      <c r="A187" s="124">
        <v>15</v>
      </c>
      <c r="B187" s="124">
        <v>2152</v>
      </c>
      <c r="C187" s="99" t="s">
        <v>165</v>
      </c>
      <c r="D187" s="99" t="s">
        <v>882</v>
      </c>
      <c r="E187" s="99" t="s">
        <v>3183</v>
      </c>
      <c r="F187" s="99" t="s">
        <v>883</v>
      </c>
      <c r="G187" s="99" t="s">
        <v>884</v>
      </c>
      <c r="H187" s="99" t="s">
        <v>3868</v>
      </c>
      <c r="I187" s="99" t="s">
        <v>3297</v>
      </c>
      <c r="J187" s="99" t="s">
        <v>906</v>
      </c>
      <c r="K187" s="99" t="s">
        <v>668</v>
      </c>
      <c r="L187" s="99" t="s">
        <v>907</v>
      </c>
      <c r="M187" s="99" t="s">
        <v>1</v>
      </c>
      <c r="N187" s="99" t="s">
        <v>3407</v>
      </c>
      <c r="O187" s="99" t="s">
        <v>114</v>
      </c>
      <c r="P187" s="99" t="s">
        <v>3422</v>
      </c>
      <c r="Q187" s="99" t="s">
        <v>169</v>
      </c>
      <c r="R187" s="99" t="s">
        <v>3409</v>
      </c>
      <c r="S187" s="99" t="s">
        <v>2636</v>
      </c>
      <c r="T187" s="99" t="s">
        <v>48</v>
      </c>
      <c r="U187" s="99" t="s">
        <v>410</v>
      </c>
      <c r="V187" s="99" t="s">
        <v>411</v>
      </c>
      <c r="W187" s="99" t="s">
        <v>3878</v>
      </c>
      <c r="X187" s="99" t="s">
        <v>3878</v>
      </c>
      <c r="Y187" s="99" t="s">
        <v>3879</v>
      </c>
      <c r="Z187" s="99" t="s">
        <v>172</v>
      </c>
      <c r="AA187" s="99" t="s">
        <v>173</v>
      </c>
      <c r="AB187" s="99" t="s">
        <v>174</v>
      </c>
      <c r="AC187" s="99" t="s">
        <v>3411</v>
      </c>
      <c r="AD187" s="99" t="s">
        <v>175</v>
      </c>
      <c r="AE187" s="99" t="s">
        <v>3411</v>
      </c>
      <c r="AF187" s="99" t="s">
        <v>3411</v>
      </c>
      <c r="AG187" s="124">
        <v>1623</v>
      </c>
      <c r="AH187" s="99" t="s">
        <v>3413</v>
      </c>
      <c r="AI187" s="125">
        <v>100</v>
      </c>
      <c r="AJ187" s="99" t="s">
        <v>176</v>
      </c>
      <c r="AK187" s="99" t="s">
        <v>3878</v>
      </c>
      <c r="AL187" s="99" t="s">
        <v>3411</v>
      </c>
      <c r="AM187" s="99" t="s">
        <v>177</v>
      </c>
      <c r="AN187" s="99" t="s">
        <v>3411</v>
      </c>
      <c r="AO187" s="99" t="s">
        <v>178</v>
      </c>
      <c r="AP187" s="99" t="s">
        <v>2570</v>
      </c>
      <c r="AQ187" s="99" t="s">
        <v>3411</v>
      </c>
      <c r="AR187" s="99" t="s">
        <v>3411</v>
      </c>
      <c r="AS187" s="99" t="s">
        <v>908</v>
      </c>
      <c r="AT187" s="99" t="s">
        <v>235</v>
      </c>
      <c r="AU187" s="99" t="s">
        <v>236</v>
      </c>
      <c r="AV187" s="99" t="s">
        <v>3414</v>
      </c>
      <c r="AW187" s="99" t="s">
        <v>180</v>
      </c>
      <c r="AX187" s="99" t="s">
        <v>3420</v>
      </c>
      <c r="AY187" s="99" t="s">
        <v>252</v>
      </c>
      <c r="AZ187" s="99" t="s">
        <v>3416</v>
      </c>
      <c r="BA187" s="99" t="s">
        <v>3875</v>
      </c>
      <c r="BB187" s="99" t="s">
        <v>2893</v>
      </c>
      <c r="BC187" s="125">
        <v>59</v>
      </c>
      <c r="BD187" s="99" t="s">
        <v>3135</v>
      </c>
      <c r="BE187" s="99" t="s">
        <v>3136</v>
      </c>
    </row>
    <row r="188" spans="1:57" ht="12.95" customHeight="1">
      <c r="A188" s="124">
        <v>15</v>
      </c>
      <c r="B188" s="124">
        <v>3012</v>
      </c>
      <c r="C188" s="99" t="s">
        <v>165</v>
      </c>
      <c r="D188" s="99" t="s">
        <v>882</v>
      </c>
      <c r="E188" s="99" t="s">
        <v>3183</v>
      </c>
      <c r="F188" s="99" t="s">
        <v>883</v>
      </c>
      <c r="G188" s="99" t="s">
        <v>884</v>
      </c>
      <c r="H188" s="99" t="s">
        <v>3880</v>
      </c>
      <c r="I188" s="99" t="s">
        <v>3311</v>
      </c>
      <c r="J188" s="99" t="s">
        <v>760</v>
      </c>
      <c r="K188" s="99" t="s">
        <v>761</v>
      </c>
      <c r="L188" s="99" t="s">
        <v>762</v>
      </c>
      <c r="M188" s="99" t="s">
        <v>5</v>
      </c>
      <c r="N188" s="99" t="s">
        <v>3407</v>
      </c>
      <c r="O188" s="99" t="s">
        <v>114</v>
      </c>
      <c r="P188" s="99" t="s">
        <v>3422</v>
      </c>
      <c r="Q188" s="99" t="s">
        <v>169</v>
      </c>
      <c r="R188" s="99" t="s">
        <v>3409</v>
      </c>
      <c r="S188" s="99" t="s">
        <v>2636</v>
      </c>
      <c r="T188" s="99" t="s">
        <v>48</v>
      </c>
      <c r="U188" s="99" t="s">
        <v>170</v>
      </c>
      <c r="V188" s="99" t="s">
        <v>171</v>
      </c>
      <c r="W188" s="99" t="s">
        <v>3881</v>
      </c>
      <c r="X188" s="99" t="s">
        <v>3881</v>
      </c>
      <c r="Y188" s="99" t="s">
        <v>3882</v>
      </c>
      <c r="Z188" s="99" t="s">
        <v>172</v>
      </c>
      <c r="AA188" s="99" t="s">
        <v>173</v>
      </c>
      <c r="AB188" s="99" t="s">
        <v>174</v>
      </c>
      <c r="AC188" s="99" t="s">
        <v>3411</v>
      </c>
      <c r="AD188" s="99" t="s">
        <v>175</v>
      </c>
      <c r="AE188" s="99" t="s">
        <v>3411</v>
      </c>
      <c r="AF188" s="99" t="s">
        <v>3411</v>
      </c>
      <c r="AG188" s="124">
        <v>3012</v>
      </c>
      <c r="AH188" s="99" t="s">
        <v>3413</v>
      </c>
      <c r="AI188" s="125">
        <v>100</v>
      </c>
      <c r="AJ188" s="99" t="s">
        <v>176</v>
      </c>
      <c r="AK188" s="99" t="s">
        <v>3881</v>
      </c>
      <c r="AL188" s="99" t="s">
        <v>3411</v>
      </c>
      <c r="AM188" s="99" t="s">
        <v>177</v>
      </c>
      <c r="AN188" s="99" t="s">
        <v>3411</v>
      </c>
      <c r="AO188" s="99" t="s">
        <v>412</v>
      </c>
      <c r="AP188" s="99" t="s">
        <v>2570</v>
      </c>
      <c r="AQ188" s="99" t="s">
        <v>3411</v>
      </c>
      <c r="AR188" s="99" t="s">
        <v>3411</v>
      </c>
      <c r="AS188" s="99" t="s">
        <v>763</v>
      </c>
      <c r="AT188" s="99" t="s">
        <v>1</v>
      </c>
      <c r="AU188" s="99" t="s">
        <v>179</v>
      </c>
      <c r="AV188" s="99" t="s">
        <v>3414</v>
      </c>
      <c r="AW188" s="99" t="s">
        <v>180</v>
      </c>
      <c r="AX188" s="99" t="s">
        <v>3420</v>
      </c>
      <c r="AY188" s="99" t="s">
        <v>252</v>
      </c>
      <c r="AZ188" s="99" t="s">
        <v>3416</v>
      </c>
      <c r="BA188" s="99" t="s">
        <v>3883</v>
      </c>
      <c r="BB188" s="99" t="s">
        <v>3280</v>
      </c>
      <c r="BC188" s="125">
        <v>52</v>
      </c>
      <c r="BD188" s="99" t="s">
        <v>3135</v>
      </c>
      <c r="BE188" s="99" t="s">
        <v>3136</v>
      </c>
    </row>
    <row r="189" spans="1:57" ht="12.95" customHeight="1">
      <c r="A189" s="124">
        <v>15</v>
      </c>
      <c r="B189" s="124">
        <v>1041</v>
      </c>
      <c r="C189" s="99" t="s">
        <v>165</v>
      </c>
      <c r="D189" s="99" t="s">
        <v>882</v>
      </c>
      <c r="E189" s="99" t="s">
        <v>3183</v>
      </c>
      <c r="F189" s="99" t="s">
        <v>909</v>
      </c>
      <c r="G189" s="99" t="s">
        <v>910</v>
      </c>
      <c r="H189" s="99" t="s">
        <v>3884</v>
      </c>
      <c r="I189" s="99" t="s">
        <v>911</v>
      </c>
      <c r="J189" s="99" t="s">
        <v>912</v>
      </c>
      <c r="K189" s="99" t="s">
        <v>913</v>
      </c>
      <c r="L189" s="99" t="s">
        <v>914</v>
      </c>
      <c r="M189" s="99" t="s">
        <v>5</v>
      </c>
      <c r="N189" s="99" t="s">
        <v>3407</v>
      </c>
      <c r="O189" s="99" t="s">
        <v>114</v>
      </c>
      <c r="P189" s="99" t="s">
        <v>3885</v>
      </c>
      <c r="Q189" s="99" t="s">
        <v>169</v>
      </c>
      <c r="R189" s="99" t="s">
        <v>3409</v>
      </c>
      <c r="S189" s="99" t="s">
        <v>2636</v>
      </c>
      <c r="T189" s="99" t="s">
        <v>52</v>
      </c>
      <c r="U189" s="99" t="s">
        <v>427</v>
      </c>
      <c r="V189" s="99" t="s">
        <v>428</v>
      </c>
      <c r="W189" s="99" t="s">
        <v>3886</v>
      </c>
      <c r="X189" s="99" t="s">
        <v>3886</v>
      </c>
      <c r="Y189" s="99" t="s">
        <v>3887</v>
      </c>
      <c r="Z189" s="99" t="s">
        <v>172</v>
      </c>
      <c r="AA189" s="99" t="s">
        <v>173</v>
      </c>
      <c r="AB189" s="99" t="s">
        <v>174</v>
      </c>
      <c r="AC189" s="99" t="s">
        <v>3411</v>
      </c>
      <c r="AD189" s="99" t="s">
        <v>175</v>
      </c>
      <c r="AE189" s="99" t="s">
        <v>3411</v>
      </c>
      <c r="AF189" s="99" t="s">
        <v>3411</v>
      </c>
      <c r="AG189" s="124">
        <v>810</v>
      </c>
      <c r="AH189" s="99" t="s">
        <v>3413</v>
      </c>
      <c r="AI189" s="125">
        <v>100</v>
      </c>
      <c r="AJ189" s="99" t="s">
        <v>176</v>
      </c>
      <c r="AK189" s="99" t="s">
        <v>3886</v>
      </c>
      <c r="AL189" s="99" t="s">
        <v>3411</v>
      </c>
      <c r="AM189" s="99" t="s">
        <v>177</v>
      </c>
      <c r="AN189" s="99" t="s">
        <v>3411</v>
      </c>
      <c r="AO189" s="99" t="s">
        <v>178</v>
      </c>
      <c r="AP189" s="99" t="s">
        <v>2570</v>
      </c>
      <c r="AQ189" s="99" t="s">
        <v>3411</v>
      </c>
      <c r="AR189" s="99" t="s">
        <v>3411</v>
      </c>
      <c r="AS189" s="99" t="s">
        <v>915</v>
      </c>
      <c r="AT189" s="99" t="s">
        <v>1</v>
      </c>
      <c r="AU189" s="99" t="s">
        <v>179</v>
      </c>
      <c r="AV189" s="99" t="s">
        <v>3414</v>
      </c>
      <c r="AW189" s="99" t="s">
        <v>180</v>
      </c>
      <c r="AX189" s="99" t="s">
        <v>3420</v>
      </c>
      <c r="AY189" s="99" t="s">
        <v>252</v>
      </c>
      <c r="AZ189" s="99" t="s">
        <v>3416</v>
      </c>
      <c r="BA189" s="99" t="s">
        <v>3417</v>
      </c>
      <c r="BB189" s="99" t="s">
        <v>3097</v>
      </c>
      <c r="BC189" s="125">
        <v>52</v>
      </c>
      <c r="BD189" s="99" t="s">
        <v>3135</v>
      </c>
      <c r="BE189" s="99" t="s">
        <v>3136</v>
      </c>
    </row>
    <row r="190" spans="1:57" ht="12.95" customHeight="1">
      <c r="A190" s="124">
        <v>15</v>
      </c>
      <c r="B190" s="124">
        <v>758</v>
      </c>
      <c r="C190" s="99" t="s">
        <v>165</v>
      </c>
      <c r="D190" s="99" t="s">
        <v>882</v>
      </c>
      <c r="E190" s="99" t="s">
        <v>3183</v>
      </c>
      <c r="F190" s="99" t="s">
        <v>909</v>
      </c>
      <c r="G190" s="99" t="s">
        <v>910</v>
      </c>
      <c r="H190" s="99" t="s">
        <v>3888</v>
      </c>
      <c r="I190" s="99" t="s">
        <v>916</v>
      </c>
      <c r="J190" s="99" t="s">
        <v>918</v>
      </c>
      <c r="K190" s="99" t="s">
        <v>919</v>
      </c>
      <c r="L190" s="99" t="s">
        <v>920</v>
      </c>
      <c r="M190" s="99" t="s">
        <v>5</v>
      </c>
      <c r="N190" s="99" t="s">
        <v>3407</v>
      </c>
      <c r="O190" s="99" t="s">
        <v>114</v>
      </c>
      <c r="P190" s="99" t="s">
        <v>3682</v>
      </c>
      <c r="Q190" s="99" t="s">
        <v>169</v>
      </c>
      <c r="R190" s="99" t="s">
        <v>3409</v>
      </c>
      <c r="S190" s="99" t="s">
        <v>2636</v>
      </c>
      <c r="T190" s="99" t="s">
        <v>48</v>
      </c>
      <c r="U190" s="99" t="s">
        <v>170</v>
      </c>
      <c r="V190" s="99" t="s">
        <v>171</v>
      </c>
      <c r="W190" s="99" t="s">
        <v>3554</v>
      </c>
      <c r="X190" s="99" t="s">
        <v>3554</v>
      </c>
      <c r="Y190" s="99" t="s">
        <v>3889</v>
      </c>
      <c r="Z190" s="99" t="s">
        <v>172</v>
      </c>
      <c r="AA190" s="99" t="s">
        <v>173</v>
      </c>
      <c r="AB190" s="99" t="s">
        <v>174</v>
      </c>
      <c r="AC190" s="99" t="s">
        <v>3411</v>
      </c>
      <c r="AD190" s="99" t="s">
        <v>175</v>
      </c>
      <c r="AE190" s="99" t="s">
        <v>3411</v>
      </c>
      <c r="AF190" s="99" t="s">
        <v>3411</v>
      </c>
      <c r="AG190" s="124">
        <v>567</v>
      </c>
      <c r="AH190" s="99" t="s">
        <v>3413</v>
      </c>
      <c r="AI190" s="125">
        <v>100</v>
      </c>
      <c r="AJ190" s="99" t="s">
        <v>176</v>
      </c>
      <c r="AK190" s="99" t="s">
        <v>3554</v>
      </c>
      <c r="AL190" s="99" t="s">
        <v>3411</v>
      </c>
      <c r="AM190" s="99" t="s">
        <v>177</v>
      </c>
      <c r="AN190" s="99" t="s">
        <v>3411</v>
      </c>
      <c r="AO190" s="99" t="s">
        <v>403</v>
      </c>
      <c r="AP190" s="99" t="s">
        <v>2570</v>
      </c>
      <c r="AQ190" s="99" t="s">
        <v>3411</v>
      </c>
      <c r="AR190" s="99" t="s">
        <v>234</v>
      </c>
      <c r="AS190" s="99" t="s">
        <v>921</v>
      </c>
      <c r="AT190" s="99" t="s">
        <v>1</v>
      </c>
      <c r="AU190" s="99" t="s">
        <v>179</v>
      </c>
      <c r="AV190" s="99" t="s">
        <v>3414</v>
      </c>
      <c r="AW190" s="99" t="s">
        <v>180</v>
      </c>
      <c r="AX190" s="99" t="s">
        <v>3420</v>
      </c>
      <c r="AY190" s="99" t="s">
        <v>252</v>
      </c>
      <c r="AZ190" s="99" t="s">
        <v>3416</v>
      </c>
      <c r="BA190" s="99" t="s">
        <v>3862</v>
      </c>
      <c r="BB190" s="99" t="s">
        <v>917</v>
      </c>
      <c r="BC190" s="125">
        <v>61</v>
      </c>
      <c r="BD190" s="99" t="s">
        <v>3135</v>
      </c>
      <c r="BE190" s="99" t="s">
        <v>3136</v>
      </c>
    </row>
    <row r="191" spans="1:57" ht="12.95" customHeight="1">
      <c r="A191" s="124">
        <v>15</v>
      </c>
      <c r="B191" s="124">
        <v>1716</v>
      </c>
      <c r="C191" s="99" t="s">
        <v>165</v>
      </c>
      <c r="D191" s="99" t="s">
        <v>882</v>
      </c>
      <c r="E191" s="99" t="s">
        <v>3183</v>
      </c>
      <c r="F191" s="99" t="s">
        <v>909</v>
      </c>
      <c r="G191" s="99" t="s">
        <v>910</v>
      </c>
      <c r="H191" s="99" t="s">
        <v>3888</v>
      </c>
      <c r="I191" s="99" t="s">
        <v>916</v>
      </c>
      <c r="J191" s="99" t="s">
        <v>984</v>
      </c>
      <c r="K191" s="99" t="s">
        <v>832</v>
      </c>
      <c r="L191" s="99" t="s">
        <v>985</v>
      </c>
      <c r="M191" s="99" t="s">
        <v>5</v>
      </c>
      <c r="N191" s="99" t="s">
        <v>3407</v>
      </c>
      <c r="O191" s="99" t="s">
        <v>114</v>
      </c>
      <c r="P191" s="99" t="s">
        <v>3422</v>
      </c>
      <c r="Q191" s="99" t="s">
        <v>169</v>
      </c>
      <c r="R191" s="99" t="s">
        <v>3409</v>
      </c>
      <c r="S191" s="99" t="s">
        <v>2636</v>
      </c>
      <c r="T191" s="99" t="s">
        <v>52</v>
      </c>
      <c r="U191" s="99" t="s">
        <v>427</v>
      </c>
      <c r="V191" s="99" t="s">
        <v>428</v>
      </c>
      <c r="W191" s="99" t="s">
        <v>3890</v>
      </c>
      <c r="X191" s="99" t="s">
        <v>3890</v>
      </c>
      <c r="Y191" s="99" t="s">
        <v>3891</v>
      </c>
      <c r="Z191" s="99" t="s">
        <v>172</v>
      </c>
      <c r="AA191" s="99" t="s">
        <v>173</v>
      </c>
      <c r="AB191" s="99" t="s">
        <v>174</v>
      </c>
      <c r="AC191" s="99" t="s">
        <v>3411</v>
      </c>
      <c r="AD191" s="99" t="s">
        <v>175</v>
      </c>
      <c r="AE191" s="99" t="s">
        <v>3411</v>
      </c>
      <c r="AF191" s="99" t="s">
        <v>3411</v>
      </c>
      <c r="AG191" s="124">
        <v>1362</v>
      </c>
      <c r="AH191" s="99" t="s">
        <v>3413</v>
      </c>
      <c r="AI191" s="125">
        <v>100</v>
      </c>
      <c r="AJ191" s="99" t="s">
        <v>176</v>
      </c>
      <c r="AK191" s="99" t="s">
        <v>3890</v>
      </c>
      <c r="AL191" s="99" t="s">
        <v>3411</v>
      </c>
      <c r="AM191" s="99" t="s">
        <v>177</v>
      </c>
      <c r="AN191" s="99" t="s">
        <v>3411</v>
      </c>
      <c r="AO191" s="99" t="s">
        <v>178</v>
      </c>
      <c r="AP191" s="99" t="s">
        <v>2570</v>
      </c>
      <c r="AQ191" s="99" t="s">
        <v>3411</v>
      </c>
      <c r="AR191" s="99" t="s">
        <v>3411</v>
      </c>
      <c r="AS191" s="99" t="s">
        <v>986</v>
      </c>
      <c r="AT191" s="99" t="s">
        <v>1</v>
      </c>
      <c r="AU191" s="99" t="s">
        <v>179</v>
      </c>
      <c r="AV191" s="99" t="s">
        <v>3414</v>
      </c>
      <c r="AW191" s="99" t="s">
        <v>180</v>
      </c>
      <c r="AX191" s="99" t="s">
        <v>3420</v>
      </c>
      <c r="AY191" s="99" t="s">
        <v>252</v>
      </c>
      <c r="AZ191" s="99" t="s">
        <v>3416</v>
      </c>
      <c r="BA191" s="99" t="s">
        <v>3862</v>
      </c>
      <c r="BB191" s="99" t="s">
        <v>917</v>
      </c>
      <c r="BC191" s="125">
        <v>59</v>
      </c>
      <c r="BD191" s="99" t="s">
        <v>3135</v>
      </c>
      <c r="BE191" s="99" t="s">
        <v>3136</v>
      </c>
    </row>
    <row r="192" spans="1:57" ht="12.95" customHeight="1">
      <c r="A192" s="124">
        <v>15</v>
      </c>
      <c r="B192" s="124">
        <v>3104</v>
      </c>
      <c r="C192" s="99" t="s">
        <v>165</v>
      </c>
      <c r="D192" s="99" t="s">
        <v>882</v>
      </c>
      <c r="E192" s="99" t="s">
        <v>3183</v>
      </c>
      <c r="F192" s="99" t="s">
        <v>909</v>
      </c>
      <c r="G192" s="99" t="s">
        <v>910</v>
      </c>
      <c r="H192" s="99" t="s">
        <v>3892</v>
      </c>
      <c r="I192" s="99" t="s">
        <v>3032</v>
      </c>
      <c r="J192" s="99" t="s">
        <v>3033</v>
      </c>
      <c r="K192" s="99" t="s">
        <v>372</v>
      </c>
      <c r="L192" s="99" t="s">
        <v>3034</v>
      </c>
      <c r="M192" s="99" t="s">
        <v>5</v>
      </c>
      <c r="N192" s="99" t="s">
        <v>3407</v>
      </c>
      <c r="O192" s="99" t="s">
        <v>114</v>
      </c>
      <c r="P192" s="99" t="s">
        <v>3893</v>
      </c>
      <c r="Q192" s="99" t="s">
        <v>169</v>
      </c>
      <c r="R192" s="99" t="s">
        <v>3409</v>
      </c>
      <c r="S192" s="99" t="s">
        <v>2636</v>
      </c>
      <c r="T192" s="99" t="s">
        <v>48</v>
      </c>
      <c r="U192" s="99" t="s">
        <v>184</v>
      </c>
      <c r="V192" s="99" t="s">
        <v>185</v>
      </c>
      <c r="W192" s="99" t="s">
        <v>3893</v>
      </c>
      <c r="X192" s="99" t="s">
        <v>3893</v>
      </c>
      <c r="Y192" s="99" t="s">
        <v>3894</v>
      </c>
      <c r="Z192" s="99" t="s">
        <v>172</v>
      </c>
      <c r="AA192" s="99" t="s">
        <v>173</v>
      </c>
      <c r="AB192" s="99" t="s">
        <v>174</v>
      </c>
      <c r="AC192" s="99" t="s">
        <v>3411</v>
      </c>
      <c r="AD192" s="99" t="s">
        <v>175</v>
      </c>
      <c r="AE192" s="99" t="s">
        <v>3411</v>
      </c>
      <c r="AF192" s="99" t="s">
        <v>3411</v>
      </c>
      <c r="AG192" s="124">
        <v>3104</v>
      </c>
      <c r="AH192" s="99" t="s">
        <v>3413</v>
      </c>
      <c r="AI192" s="125">
        <v>100</v>
      </c>
      <c r="AJ192" s="99" t="s">
        <v>176</v>
      </c>
      <c r="AK192" s="99" t="s">
        <v>3893</v>
      </c>
      <c r="AL192" s="99" t="s">
        <v>3411</v>
      </c>
      <c r="AM192" s="99" t="s">
        <v>177</v>
      </c>
      <c r="AN192" s="99" t="s">
        <v>3411</v>
      </c>
      <c r="AO192" s="99" t="s">
        <v>412</v>
      </c>
      <c r="AP192" s="99" t="s">
        <v>2570</v>
      </c>
      <c r="AQ192" s="99" t="s">
        <v>3411</v>
      </c>
      <c r="AR192" s="99" t="s">
        <v>3411</v>
      </c>
      <c r="AS192" s="99" t="s">
        <v>3035</v>
      </c>
      <c r="AT192" s="99" t="s">
        <v>1</v>
      </c>
      <c r="AU192" s="99" t="s">
        <v>179</v>
      </c>
      <c r="AV192" s="99" t="s">
        <v>3414</v>
      </c>
      <c r="AW192" s="99" t="s">
        <v>180</v>
      </c>
      <c r="AX192" s="99" t="s">
        <v>3420</v>
      </c>
      <c r="AY192" s="99" t="s">
        <v>252</v>
      </c>
      <c r="AZ192" s="99" t="s">
        <v>3416</v>
      </c>
      <c r="BA192" s="99" t="s">
        <v>3862</v>
      </c>
      <c r="BB192" s="99" t="s">
        <v>917</v>
      </c>
      <c r="BC192" s="125">
        <v>47</v>
      </c>
      <c r="BD192" s="99" t="s">
        <v>3135</v>
      </c>
      <c r="BE192" s="99" t="s">
        <v>3136</v>
      </c>
    </row>
    <row r="193" spans="1:57" ht="12.95" customHeight="1">
      <c r="A193" s="124">
        <v>15</v>
      </c>
      <c r="B193" s="124">
        <v>1171</v>
      </c>
      <c r="C193" s="99" t="s">
        <v>165</v>
      </c>
      <c r="D193" s="99" t="s">
        <v>882</v>
      </c>
      <c r="E193" s="99" t="s">
        <v>3183</v>
      </c>
      <c r="F193" s="99" t="s">
        <v>909</v>
      </c>
      <c r="G193" s="99" t="s">
        <v>910</v>
      </c>
      <c r="H193" s="99" t="s">
        <v>3895</v>
      </c>
      <c r="I193" s="99" t="s">
        <v>924</v>
      </c>
      <c r="J193" s="99" t="s">
        <v>955</v>
      </c>
      <c r="K193" s="99" t="s">
        <v>956</v>
      </c>
      <c r="L193" s="99" t="s">
        <v>957</v>
      </c>
      <c r="M193" s="99" t="s">
        <v>1</v>
      </c>
      <c r="N193" s="99" t="s">
        <v>3407</v>
      </c>
      <c r="O193" s="99" t="s">
        <v>114</v>
      </c>
      <c r="P193" s="99" t="s">
        <v>3422</v>
      </c>
      <c r="Q193" s="99" t="s">
        <v>169</v>
      </c>
      <c r="R193" s="99" t="s">
        <v>3409</v>
      </c>
      <c r="S193" s="99" t="s">
        <v>2636</v>
      </c>
      <c r="T193" s="99" t="s">
        <v>48</v>
      </c>
      <c r="U193" s="99" t="s">
        <v>184</v>
      </c>
      <c r="V193" s="99" t="s">
        <v>185</v>
      </c>
      <c r="W193" s="99" t="s">
        <v>3896</v>
      </c>
      <c r="X193" s="99" t="s">
        <v>3896</v>
      </c>
      <c r="Y193" s="99" t="s">
        <v>3897</v>
      </c>
      <c r="Z193" s="99" t="s">
        <v>172</v>
      </c>
      <c r="AA193" s="99" t="s">
        <v>173</v>
      </c>
      <c r="AB193" s="99" t="s">
        <v>174</v>
      </c>
      <c r="AC193" s="99" t="s">
        <v>3411</v>
      </c>
      <c r="AD193" s="99" t="s">
        <v>175</v>
      </c>
      <c r="AE193" s="99" t="s">
        <v>3411</v>
      </c>
      <c r="AF193" s="99" t="s">
        <v>3411</v>
      </c>
      <c r="AG193" s="124">
        <v>922</v>
      </c>
      <c r="AH193" s="99" t="s">
        <v>3413</v>
      </c>
      <c r="AI193" s="125">
        <v>100</v>
      </c>
      <c r="AJ193" s="99" t="s">
        <v>176</v>
      </c>
      <c r="AK193" s="99" t="s">
        <v>3898</v>
      </c>
      <c r="AL193" s="99" t="s">
        <v>3411</v>
      </c>
      <c r="AM193" s="99" t="s">
        <v>3480</v>
      </c>
      <c r="AN193" s="99" t="s">
        <v>233</v>
      </c>
      <c r="AO193" s="99" t="s">
        <v>178</v>
      </c>
      <c r="AP193" s="99" t="s">
        <v>2570</v>
      </c>
      <c r="AQ193" s="99" t="s">
        <v>3411</v>
      </c>
      <c r="AR193" s="99" t="s">
        <v>3411</v>
      </c>
      <c r="AS193" s="99" t="s">
        <v>958</v>
      </c>
      <c r="AT193" s="99" t="s">
        <v>1</v>
      </c>
      <c r="AU193" s="99" t="s">
        <v>179</v>
      </c>
      <c r="AV193" s="99" t="s">
        <v>3414</v>
      </c>
      <c r="AW193" s="99" t="s">
        <v>180</v>
      </c>
      <c r="AX193" s="99" t="s">
        <v>3420</v>
      </c>
      <c r="AY193" s="99" t="s">
        <v>252</v>
      </c>
      <c r="AZ193" s="99" t="s">
        <v>3416</v>
      </c>
      <c r="BA193" s="99" t="s">
        <v>3862</v>
      </c>
      <c r="BB193" s="99" t="s">
        <v>917</v>
      </c>
      <c r="BC193" s="125">
        <v>57</v>
      </c>
      <c r="BD193" s="99" t="s">
        <v>3135</v>
      </c>
      <c r="BE193" s="99" t="s">
        <v>3136</v>
      </c>
    </row>
    <row r="194" spans="1:57" ht="12.95" customHeight="1">
      <c r="A194" s="124">
        <v>15</v>
      </c>
      <c r="B194" s="124">
        <v>2382</v>
      </c>
      <c r="C194" s="99" t="s">
        <v>165</v>
      </c>
      <c r="D194" s="99" t="s">
        <v>882</v>
      </c>
      <c r="E194" s="99" t="s">
        <v>3183</v>
      </c>
      <c r="F194" s="99" t="s">
        <v>909</v>
      </c>
      <c r="G194" s="99" t="s">
        <v>910</v>
      </c>
      <c r="H194" s="99" t="s">
        <v>3899</v>
      </c>
      <c r="I194" s="99" t="s">
        <v>925</v>
      </c>
      <c r="J194" s="99" t="s">
        <v>926</v>
      </c>
      <c r="K194" s="99" t="s">
        <v>927</v>
      </c>
      <c r="L194" s="99" t="s">
        <v>928</v>
      </c>
      <c r="M194" s="99" t="s">
        <v>1</v>
      </c>
      <c r="N194" s="99" t="s">
        <v>3407</v>
      </c>
      <c r="O194" s="99" t="s">
        <v>114</v>
      </c>
      <c r="P194" s="99" t="s">
        <v>3422</v>
      </c>
      <c r="Q194" s="99" t="s">
        <v>169</v>
      </c>
      <c r="R194" s="99" t="s">
        <v>3571</v>
      </c>
      <c r="S194" s="99" t="s">
        <v>2648</v>
      </c>
      <c r="T194" s="99" t="s">
        <v>48</v>
      </c>
      <c r="U194" s="99" t="s">
        <v>3572</v>
      </c>
      <c r="V194" s="99" t="s">
        <v>404</v>
      </c>
      <c r="W194" s="99" t="s">
        <v>3900</v>
      </c>
      <c r="X194" s="99" t="s">
        <v>3900</v>
      </c>
      <c r="Y194" s="99" t="s">
        <v>3901</v>
      </c>
      <c r="Z194" s="99" t="s">
        <v>172</v>
      </c>
      <c r="AA194" s="99" t="s">
        <v>173</v>
      </c>
      <c r="AB194" s="99" t="s">
        <v>174</v>
      </c>
      <c r="AC194" s="99" t="s">
        <v>3411</v>
      </c>
      <c r="AD194" s="99" t="s">
        <v>175</v>
      </c>
      <c r="AE194" s="99" t="s">
        <v>3411</v>
      </c>
      <c r="AF194" s="99" t="s">
        <v>3411</v>
      </c>
      <c r="AG194" s="124">
        <v>1771</v>
      </c>
      <c r="AH194" s="99" t="s">
        <v>3413</v>
      </c>
      <c r="AI194" s="125">
        <v>100</v>
      </c>
      <c r="AJ194" s="99" t="s">
        <v>176</v>
      </c>
      <c r="AK194" s="99" t="s">
        <v>3900</v>
      </c>
      <c r="AL194" s="99" t="s">
        <v>3411</v>
      </c>
      <c r="AM194" s="99" t="s">
        <v>177</v>
      </c>
      <c r="AN194" s="99" t="s">
        <v>3411</v>
      </c>
      <c r="AO194" s="99" t="s">
        <v>405</v>
      </c>
      <c r="AP194" s="99" t="s">
        <v>2570</v>
      </c>
      <c r="AQ194" s="99" t="s">
        <v>3411</v>
      </c>
      <c r="AR194" s="99" t="s">
        <v>242</v>
      </c>
      <c r="AS194" s="99" t="s">
        <v>929</v>
      </c>
      <c r="AT194" s="99" t="s">
        <v>235</v>
      </c>
      <c r="AU194" s="99" t="s">
        <v>236</v>
      </c>
      <c r="AV194" s="99" t="s">
        <v>3581</v>
      </c>
      <c r="AW194" s="99" t="s">
        <v>529</v>
      </c>
      <c r="AX194" s="99" t="s">
        <v>3420</v>
      </c>
      <c r="AY194" s="99" t="s">
        <v>252</v>
      </c>
      <c r="AZ194" s="99" t="s">
        <v>3416</v>
      </c>
      <c r="BA194" s="99" t="s">
        <v>3902</v>
      </c>
      <c r="BB194" s="99" t="s">
        <v>2686</v>
      </c>
      <c r="BC194" s="125">
        <v>60</v>
      </c>
      <c r="BD194" s="99" t="s">
        <v>3135</v>
      </c>
      <c r="BE194" s="99" t="s">
        <v>3136</v>
      </c>
    </row>
    <row r="195" spans="1:57" ht="12.95" customHeight="1">
      <c r="A195" s="124">
        <v>15</v>
      </c>
      <c r="B195" s="124">
        <v>1345</v>
      </c>
      <c r="C195" s="99" t="s">
        <v>165</v>
      </c>
      <c r="D195" s="99" t="s">
        <v>882</v>
      </c>
      <c r="E195" s="99" t="s">
        <v>3183</v>
      </c>
      <c r="F195" s="99" t="s">
        <v>909</v>
      </c>
      <c r="G195" s="99" t="s">
        <v>910</v>
      </c>
      <c r="H195" s="99" t="s">
        <v>3903</v>
      </c>
      <c r="I195" s="99" t="s">
        <v>930</v>
      </c>
      <c r="J195" s="99" t="s">
        <v>931</v>
      </c>
      <c r="K195" s="99" t="s">
        <v>932</v>
      </c>
      <c r="L195" s="99" t="s">
        <v>933</v>
      </c>
      <c r="M195" s="99" t="s">
        <v>1</v>
      </c>
      <c r="N195" s="99" t="s">
        <v>3454</v>
      </c>
      <c r="O195" s="99" t="s">
        <v>70</v>
      </c>
      <c r="P195" s="99" t="s">
        <v>3904</v>
      </c>
      <c r="Q195" s="99" t="s">
        <v>247</v>
      </c>
      <c r="R195" s="99" t="s">
        <v>3571</v>
      </c>
      <c r="S195" s="99" t="s">
        <v>2648</v>
      </c>
      <c r="T195" s="99" t="s">
        <v>48</v>
      </c>
      <c r="U195" s="99" t="s">
        <v>3572</v>
      </c>
      <c r="V195" s="99" t="s">
        <v>404</v>
      </c>
      <c r="W195" s="99" t="s">
        <v>3905</v>
      </c>
      <c r="X195" s="99" t="s">
        <v>3905</v>
      </c>
      <c r="Y195" s="99" t="s">
        <v>3906</v>
      </c>
      <c r="Z195" s="99" t="s">
        <v>172</v>
      </c>
      <c r="AA195" s="99" t="s">
        <v>173</v>
      </c>
      <c r="AB195" s="99" t="s">
        <v>174</v>
      </c>
      <c r="AC195" s="99" t="s">
        <v>3411</v>
      </c>
      <c r="AD195" s="99" t="s">
        <v>175</v>
      </c>
      <c r="AE195" s="99" t="s">
        <v>3411</v>
      </c>
      <c r="AF195" s="99" t="s">
        <v>3411</v>
      </c>
      <c r="AG195" s="124">
        <v>1066</v>
      </c>
      <c r="AH195" s="99" t="s">
        <v>3413</v>
      </c>
      <c r="AI195" s="125">
        <v>100</v>
      </c>
      <c r="AJ195" s="99" t="s">
        <v>176</v>
      </c>
      <c r="AK195" s="99" t="s">
        <v>3905</v>
      </c>
      <c r="AL195" s="99" t="s">
        <v>3411</v>
      </c>
      <c r="AM195" s="99" t="s">
        <v>177</v>
      </c>
      <c r="AN195" s="99" t="s">
        <v>3411</v>
      </c>
      <c r="AO195" s="99" t="s">
        <v>405</v>
      </c>
      <c r="AP195" s="99" t="s">
        <v>2570</v>
      </c>
      <c r="AQ195" s="99" t="s">
        <v>3411</v>
      </c>
      <c r="AR195" s="99" t="s">
        <v>234</v>
      </c>
      <c r="AS195" s="99" t="s">
        <v>934</v>
      </c>
      <c r="AT195" s="99" t="s">
        <v>235</v>
      </c>
      <c r="AU195" s="99" t="s">
        <v>236</v>
      </c>
      <c r="AV195" s="99" t="s">
        <v>3581</v>
      </c>
      <c r="AW195" s="99" t="s">
        <v>529</v>
      </c>
      <c r="AX195" s="99" t="s">
        <v>3420</v>
      </c>
      <c r="AY195" s="99" t="s">
        <v>252</v>
      </c>
      <c r="AZ195" s="99" t="s">
        <v>3416</v>
      </c>
      <c r="BA195" s="99" t="s">
        <v>3902</v>
      </c>
      <c r="BB195" s="99" t="s">
        <v>2686</v>
      </c>
      <c r="BC195" s="125">
        <v>56</v>
      </c>
      <c r="BD195" s="99" t="s">
        <v>3135</v>
      </c>
      <c r="BE195" s="99" t="s">
        <v>3136</v>
      </c>
    </row>
    <row r="196" spans="1:57" ht="12.95" customHeight="1">
      <c r="A196" s="124">
        <v>15</v>
      </c>
      <c r="B196" s="124">
        <v>2107</v>
      </c>
      <c r="C196" s="99" t="s">
        <v>165</v>
      </c>
      <c r="D196" s="99" t="s">
        <v>882</v>
      </c>
      <c r="E196" s="99" t="s">
        <v>3183</v>
      </c>
      <c r="F196" s="99" t="s">
        <v>909</v>
      </c>
      <c r="G196" s="99" t="s">
        <v>910</v>
      </c>
      <c r="H196" s="99" t="s">
        <v>3903</v>
      </c>
      <c r="I196" s="99" t="s">
        <v>930</v>
      </c>
      <c r="J196" s="99" t="s">
        <v>935</v>
      </c>
      <c r="K196" s="99" t="s">
        <v>414</v>
      </c>
      <c r="L196" s="99" t="s">
        <v>936</v>
      </c>
      <c r="M196" s="99" t="s">
        <v>1</v>
      </c>
      <c r="N196" s="99" t="s">
        <v>3454</v>
      </c>
      <c r="O196" s="99" t="s">
        <v>70</v>
      </c>
      <c r="P196" s="99" t="s">
        <v>3904</v>
      </c>
      <c r="Q196" s="99" t="s">
        <v>247</v>
      </c>
      <c r="R196" s="99" t="s">
        <v>3571</v>
      </c>
      <c r="S196" s="99" t="s">
        <v>2648</v>
      </c>
      <c r="T196" s="99" t="s">
        <v>48</v>
      </c>
      <c r="U196" s="99" t="s">
        <v>3572</v>
      </c>
      <c r="V196" s="99" t="s">
        <v>404</v>
      </c>
      <c r="W196" s="99" t="s">
        <v>3467</v>
      </c>
      <c r="X196" s="99" t="s">
        <v>3467</v>
      </c>
      <c r="Y196" s="99" t="s">
        <v>3907</v>
      </c>
      <c r="Z196" s="99" t="s">
        <v>172</v>
      </c>
      <c r="AA196" s="99" t="s">
        <v>173</v>
      </c>
      <c r="AB196" s="99" t="s">
        <v>174</v>
      </c>
      <c r="AC196" s="99" t="s">
        <v>3411</v>
      </c>
      <c r="AD196" s="99" t="s">
        <v>175</v>
      </c>
      <c r="AE196" s="99" t="s">
        <v>3411</v>
      </c>
      <c r="AF196" s="99" t="s">
        <v>3411</v>
      </c>
      <c r="AG196" s="124">
        <v>1595</v>
      </c>
      <c r="AH196" s="99" t="s">
        <v>3413</v>
      </c>
      <c r="AI196" s="125">
        <v>100</v>
      </c>
      <c r="AJ196" s="99" t="s">
        <v>176</v>
      </c>
      <c r="AK196" s="99" t="s">
        <v>3467</v>
      </c>
      <c r="AL196" s="99" t="s">
        <v>3411</v>
      </c>
      <c r="AM196" s="99" t="s">
        <v>177</v>
      </c>
      <c r="AN196" s="99" t="s">
        <v>3411</v>
      </c>
      <c r="AO196" s="99" t="s">
        <v>405</v>
      </c>
      <c r="AP196" s="99" t="s">
        <v>2570</v>
      </c>
      <c r="AQ196" s="99" t="s">
        <v>3411</v>
      </c>
      <c r="AR196" s="99" t="s">
        <v>234</v>
      </c>
      <c r="AS196" s="99" t="s">
        <v>937</v>
      </c>
      <c r="AT196" s="99" t="s">
        <v>235</v>
      </c>
      <c r="AU196" s="99" t="s">
        <v>236</v>
      </c>
      <c r="AV196" s="99" t="s">
        <v>3581</v>
      </c>
      <c r="AW196" s="99" t="s">
        <v>529</v>
      </c>
      <c r="AX196" s="99" t="s">
        <v>3420</v>
      </c>
      <c r="AY196" s="99" t="s">
        <v>252</v>
      </c>
      <c r="AZ196" s="99" t="s">
        <v>3416</v>
      </c>
      <c r="BA196" s="99" t="s">
        <v>3902</v>
      </c>
      <c r="BB196" s="99" t="s">
        <v>2686</v>
      </c>
      <c r="BC196" s="125">
        <v>55</v>
      </c>
      <c r="BD196" s="99" t="s">
        <v>3135</v>
      </c>
      <c r="BE196" s="99" t="s">
        <v>3136</v>
      </c>
    </row>
    <row r="197" spans="1:57" ht="12.95" customHeight="1">
      <c r="A197" s="124">
        <v>15</v>
      </c>
      <c r="B197" s="124">
        <v>1113</v>
      </c>
      <c r="C197" s="99" t="s">
        <v>165</v>
      </c>
      <c r="D197" s="99" t="s">
        <v>882</v>
      </c>
      <c r="E197" s="99" t="s">
        <v>3183</v>
      </c>
      <c r="F197" s="99" t="s">
        <v>909</v>
      </c>
      <c r="G197" s="99" t="s">
        <v>910</v>
      </c>
      <c r="H197" s="99" t="s">
        <v>3908</v>
      </c>
      <c r="I197" s="99" t="s">
        <v>938</v>
      </c>
      <c r="J197" s="99" t="s">
        <v>944</v>
      </c>
      <c r="K197" s="99" t="s">
        <v>341</v>
      </c>
      <c r="L197" s="99" t="s">
        <v>945</v>
      </c>
      <c r="M197" s="99" t="s">
        <v>1</v>
      </c>
      <c r="N197" s="99" t="s">
        <v>3407</v>
      </c>
      <c r="O197" s="99" t="s">
        <v>114</v>
      </c>
      <c r="P197" s="99" t="s">
        <v>3422</v>
      </c>
      <c r="Q197" s="99" t="s">
        <v>169</v>
      </c>
      <c r="R197" s="99" t="s">
        <v>3571</v>
      </c>
      <c r="S197" s="99" t="s">
        <v>2648</v>
      </c>
      <c r="T197" s="99" t="s">
        <v>48</v>
      </c>
      <c r="U197" s="99" t="s">
        <v>3578</v>
      </c>
      <c r="V197" s="99" t="s">
        <v>534</v>
      </c>
      <c r="W197" s="99" t="s">
        <v>3909</v>
      </c>
      <c r="X197" s="99" t="s">
        <v>3909</v>
      </c>
      <c r="Y197" s="99" t="s">
        <v>3910</v>
      </c>
      <c r="Z197" s="99" t="s">
        <v>172</v>
      </c>
      <c r="AA197" s="99" t="s">
        <v>173</v>
      </c>
      <c r="AB197" s="99" t="s">
        <v>174</v>
      </c>
      <c r="AC197" s="99" t="s">
        <v>3411</v>
      </c>
      <c r="AD197" s="99" t="s">
        <v>175</v>
      </c>
      <c r="AE197" s="99" t="s">
        <v>3411</v>
      </c>
      <c r="AF197" s="99" t="s">
        <v>3411</v>
      </c>
      <c r="AG197" s="124">
        <v>878</v>
      </c>
      <c r="AH197" s="99" t="s">
        <v>3413</v>
      </c>
      <c r="AI197" s="125">
        <v>100</v>
      </c>
      <c r="AJ197" s="99" t="s">
        <v>176</v>
      </c>
      <c r="AK197" s="99" t="s">
        <v>3909</v>
      </c>
      <c r="AL197" s="99" t="s">
        <v>3411</v>
      </c>
      <c r="AM197" s="99" t="s">
        <v>177</v>
      </c>
      <c r="AN197" s="99" t="s">
        <v>3411</v>
      </c>
      <c r="AO197" s="99" t="s">
        <v>405</v>
      </c>
      <c r="AP197" s="99" t="s">
        <v>2570</v>
      </c>
      <c r="AQ197" s="99" t="s">
        <v>3411</v>
      </c>
      <c r="AR197" s="99" t="s">
        <v>3411</v>
      </c>
      <c r="AS197" s="99" t="s">
        <v>946</v>
      </c>
      <c r="AT197" s="99" t="s">
        <v>1</v>
      </c>
      <c r="AU197" s="99" t="s">
        <v>179</v>
      </c>
      <c r="AV197" s="99" t="s">
        <v>3581</v>
      </c>
      <c r="AW197" s="99" t="s">
        <v>529</v>
      </c>
      <c r="AX197" s="99" t="s">
        <v>3420</v>
      </c>
      <c r="AY197" s="99" t="s">
        <v>252</v>
      </c>
      <c r="AZ197" s="99" t="s">
        <v>3416</v>
      </c>
      <c r="BA197" s="99" t="s">
        <v>3902</v>
      </c>
      <c r="BB197" s="99" t="s">
        <v>2686</v>
      </c>
      <c r="BC197" s="125">
        <v>55</v>
      </c>
      <c r="BD197" s="99" t="s">
        <v>3135</v>
      </c>
      <c r="BE197" s="99" t="s">
        <v>3136</v>
      </c>
    </row>
    <row r="198" spans="1:57" ht="12.95" customHeight="1">
      <c r="A198" s="124">
        <v>15</v>
      </c>
      <c r="B198" s="124">
        <v>1319</v>
      </c>
      <c r="C198" s="99" t="s">
        <v>165</v>
      </c>
      <c r="D198" s="99" t="s">
        <v>882</v>
      </c>
      <c r="E198" s="99" t="s">
        <v>3183</v>
      </c>
      <c r="F198" s="99" t="s">
        <v>909</v>
      </c>
      <c r="G198" s="99" t="s">
        <v>910</v>
      </c>
      <c r="H198" s="99" t="s">
        <v>3911</v>
      </c>
      <c r="I198" s="99" t="s">
        <v>2687</v>
      </c>
      <c r="J198" s="99" t="s">
        <v>996</v>
      </c>
      <c r="K198" s="99" t="s">
        <v>997</v>
      </c>
      <c r="L198" s="99" t="s">
        <v>998</v>
      </c>
      <c r="M198" s="99" t="s">
        <v>1</v>
      </c>
      <c r="N198" s="99" t="s">
        <v>3454</v>
      </c>
      <c r="O198" s="99" t="s">
        <v>70</v>
      </c>
      <c r="P198" s="99" t="s">
        <v>3828</v>
      </c>
      <c r="Q198" s="99" t="s">
        <v>247</v>
      </c>
      <c r="R198" s="99" t="s">
        <v>3409</v>
      </c>
      <c r="S198" s="99" t="s">
        <v>2636</v>
      </c>
      <c r="T198" s="99" t="s">
        <v>48</v>
      </c>
      <c r="U198" s="99" t="s">
        <v>440</v>
      </c>
      <c r="V198" s="99" t="s">
        <v>441</v>
      </c>
      <c r="W198" s="99" t="s">
        <v>3912</v>
      </c>
      <c r="X198" s="99" t="s">
        <v>3912</v>
      </c>
      <c r="Y198" s="99" t="s">
        <v>3913</v>
      </c>
      <c r="Z198" s="99" t="s">
        <v>172</v>
      </c>
      <c r="AA198" s="99" t="s">
        <v>173</v>
      </c>
      <c r="AB198" s="99" t="s">
        <v>174</v>
      </c>
      <c r="AC198" s="99" t="s">
        <v>3411</v>
      </c>
      <c r="AD198" s="99" t="s">
        <v>175</v>
      </c>
      <c r="AE198" s="99" t="s">
        <v>3411</v>
      </c>
      <c r="AF198" s="99" t="s">
        <v>3411</v>
      </c>
      <c r="AG198" s="124">
        <v>1046</v>
      </c>
      <c r="AH198" s="99" t="s">
        <v>4862</v>
      </c>
      <c r="AI198" s="125">
        <v>50</v>
      </c>
      <c r="AJ198" s="99" t="s">
        <v>3044</v>
      </c>
      <c r="AK198" s="99" t="s">
        <v>5039</v>
      </c>
      <c r="AL198" s="99" t="s">
        <v>3737</v>
      </c>
      <c r="AM198" s="99" t="s">
        <v>177</v>
      </c>
      <c r="AN198" s="99" t="s">
        <v>3411</v>
      </c>
      <c r="AO198" s="99" t="s">
        <v>403</v>
      </c>
      <c r="AP198" s="99" t="s">
        <v>2570</v>
      </c>
      <c r="AQ198" s="99" t="s">
        <v>3411</v>
      </c>
      <c r="AR198" s="99" t="s">
        <v>234</v>
      </c>
      <c r="AS198" s="99" t="s">
        <v>999</v>
      </c>
      <c r="AT198" s="99" t="s">
        <v>235</v>
      </c>
      <c r="AU198" s="99" t="s">
        <v>236</v>
      </c>
      <c r="AV198" s="99" t="s">
        <v>3414</v>
      </c>
      <c r="AW198" s="99" t="s">
        <v>180</v>
      </c>
      <c r="AX198" s="99" t="s">
        <v>5039</v>
      </c>
      <c r="AY198" s="99" t="s">
        <v>252</v>
      </c>
      <c r="AZ198" s="99" t="s">
        <v>3737</v>
      </c>
      <c r="BA198" s="99" t="s">
        <v>3902</v>
      </c>
      <c r="BB198" s="99" t="s">
        <v>2686</v>
      </c>
      <c r="BC198" s="125">
        <v>62</v>
      </c>
      <c r="BD198" s="99" t="s">
        <v>3135</v>
      </c>
      <c r="BE198" s="99" t="s">
        <v>3136</v>
      </c>
    </row>
    <row r="199" spans="1:57" ht="12.95" customHeight="1">
      <c r="A199" s="124">
        <v>15</v>
      </c>
      <c r="B199" s="124">
        <v>1188</v>
      </c>
      <c r="C199" s="99" t="s">
        <v>165</v>
      </c>
      <c r="D199" s="99" t="s">
        <v>882</v>
      </c>
      <c r="E199" s="99" t="s">
        <v>3183</v>
      </c>
      <c r="F199" s="99" t="s">
        <v>909</v>
      </c>
      <c r="G199" s="99" t="s">
        <v>910</v>
      </c>
      <c r="H199" s="99" t="s">
        <v>3915</v>
      </c>
      <c r="I199" s="99" t="s">
        <v>947</v>
      </c>
      <c r="J199" s="99" t="s">
        <v>949</v>
      </c>
      <c r="K199" s="99" t="s">
        <v>950</v>
      </c>
      <c r="L199" s="99" t="s">
        <v>951</v>
      </c>
      <c r="M199" s="99" t="s">
        <v>1</v>
      </c>
      <c r="N199" s="99" t="s">
        <v>3407</v>
      </c>
      <c r="O199" s="99" t="s">
        <v>114</v>
      </c>
      <c r="P199" s="99" t="s">
        <v>3422</v>
      </c>
      <c r="Q199" s="99" t="s">
        <v>169</v>
      </c>
      <c r="R199" s="99" t="s">
        <v>3571</v>
      </c>
      <c r="S199" s="99" t="s">
        <v>2648</v>
      </c>
      <c r="T199" s="99" t="s">
        <v>48</v>
      </c>
      <c r="U199" s="99" t="s">
        <v>3572</v>
      </c>
      <c r="V199" s="99" t="s">
        <v>404</v>
      </c>
      <c r="W199" s="99" t="s">
        <v>3916</v>
      </c>
      <c r="X199" s="99" t="s">
        <v>3916</v>
      </c>
      <c r="Y199" s="99" t="s">
        <v>3917</v>
      </c>
      <c r="Z199" s="99" t="s">
        <v>172</v>
      </c>
      <c r="AA199" s="99" t="s">
        <v>173</v>
      </c>
      <c r="AB199" s="99" t="s">
        <v>174</v>
      </c>
      <c r="AC199" s="99" t="s">
        <v>3411</v>
      </c>
      <c r="AD199" s="99" t="s">
        <v>175</v>
      </c>
      <c r="AE199" s="99" t="s">
        <v>3411</v>
      </c>
      <c r="AF199" s="99" t="s">
        <v>3411</v>
      </c>
      <c r="AG199" s="124">
        <v>936</v>
      </c>
      <c r="AH199" s="99" t="s">
        <v>3413</v>
      </c>
      <c r="AI199" s="125">
        <v>100</v>
      </c>
      <c r="AJ199" s="99" t="s">
        <v>176</v>
      </c>
      <c r="AK199" s="99" t="s">
        <v>3916</v>
      </c>
      <c r="AL199" s="99" t="s">
        <v>3411</v>
      </c>
      <c r="AM199" s="99" t="s">
        <v>177</v>
      </c>
      <c r="AN199" s="99" t="s">
        <v>3411</v>
      </c>
      <c r="AO199" s="99" t="s">
        <v>667</v>
      </c>
      <c r="AP199" s="99" t="s">
        <v>2570</v>
      </c>
      <c r="AQ199" s="99" t="s">
        <v>3411</v>
      </c>
      <c r="AR199" s="99" t="s">
        <v>242</v>
      </c>
      <c r="AS199" s="99" t="s">
        <v>952</v>
      </c>
      <c r="AT199" s="99" t="s">
        <v>1</v>
      </c>
      <c r="AU199" s="99" t="s">
        <v>179</v>
      </c>
      <c r="AV199" s="99" t="s">
        <v>3581</v>
      </c>
      <c r="AW199" s="99" t="s">
        <v>529</v>
      </c>
      <c r="AX199" s="99" t="s">
        <v>3420</v>
      </c>
      <c r="AY199" s="99" t="s">
        <v>252</v>
      </c>
      <c r="AZ199" s="99" t="s">
        <v>3416</v>
      </c>
      <c r="BA199" s="99" t="s">
        <v>3902</v>
      </c>
      <c r="BB199" s="99" t="s">
        <v>2686</v>
      </c>
      <c r="BC199" s="125">
        <v>60</v>
      </c>
      <c r="BD199" s="99" t="s">
        <v>3135</v>
      </c>
      <c r="BE199" s="99" t="s">
        <v>3136</v>
      </c>
    </row>
    <row r="200" spans="1:57" ht="12.95" customHeight="1">
      <c r="A200" s="124">
        <v>15</v>
      </c>
      <c r="B200" s="124">
        <v>1657</v>
      </c>
      <c r="C200" s="99" t="s">
        <v>165</v>
      </c>
      <c r="D200" s="99" t="s">
        <v>882</v>
      </c>
      <c r="E200" s="99" t="s">
        <v>3183</v>
      </c>
      <c r="F200" s="99" t="s">
        <v>909</v>
      </c>
      <c r="G200" s="99" t="s">
        <v>910</v>
      </c>
      <c r="H200" s="99" t="s">
        <v>3918</v>
      </c>
      <c r="I200" s="99" t="s">
        <v>954</v>
      </c>
      <c r="J200" s="99" t="s">
        <v>959</v>
      </c>
      <c r="K200" s="99" t="s">
        <v>564</v>
      </c>
      <c r="L200" s="99" t="s">
        <v>960</v>
      </c>
      <c r="M200" s="99" t="s">
        <v>5</v>
      </c>
      <c r="N200" s="99" t="s">
        <v>3407</v>
      </c>
      <c r="O200" s="99" t="s">
        <v>114</v>
      </c>
      <c r="P200" s="99" t="s">
        <v>3422</v>
      </c>
      <c r="Q200" s="99" t="s">
        <v>169</v>
      </c>
      <c r="R200" s="99" t="s">
        <v>3409</v>
      </c>
      <c r="S200" s="99" t="s">
        <v>2636</v>
      </c>
      <c r="T200" s="99" t="s">
        <v>48</v>
      </c>
      <c r="U200" s="99" t="s">
        <v>440</v>
      </c>
      <c r="V200" s="99" t="s">
        <v>441</v>
      </c>
      <c r="W200" s="99" t="s">
        <v>3423</v>
      </c>
      <c r="X200" s="99" t="s">
        <v>3423</v>
      </c>
      <c r="Y200" s="99" t="s">
        <v>3919</v>
      </c>
      <c r="Z200" s="99" t="s">
        <v>172</v>
      </c>
      <c r="AA200" s="99" t="s">
        <v>173</v>
      </c>
      <c r="AB200" s="99" t="s">
        <v>174</v>
      </c>
      <c r="AC200" s="99" t="s">
        <v>3411</v>
      </c>
      <c r="AD200" s="99" t="s">
        <v>175</v>
      </c>
      <c r="AE200" s="99" t="s">
        <v>3411</v>
      </c>
      <c r="AF200" s="99" t="s">
        <v>3411</v>
      </c>
      <c r="AG200" s="124">
        <v>1318</v>
      </c>
      <c r="AH200" s="99" t="s">
        <v>3413</v>
      </c>
      <c r="AI200" s="125">
        <v>100</v>
      </c>
      <c r="AJ200" s="99" t="s">
        <v>176</v>
      </c>
      <c r="AK200" s="99" t="s">
        <v>3423</v>
      </c>
      <c r="AL200" s="99" t="s">
        <v>3411</v>
      </c>
      <c r="AM200" s="99" t="s">
        <v>177</v>
      </c>
      <c r="AN200" s="99" t="s">
        <v>3411</v>
      </c>
      <c r="AO200" s="99" t="s">
        <v>178</v>
      </c>
      <c r="AP200" s="99" t="s">
        <v>2570</v>
      </c>
      <c r="AQ200" s="99" t="s">
        <v>3411</v>
      </c>
      <c r="AR200" s="99" t="s">
        <v>242</v>
      </c>
      <c r="AS200" s="99" t="s">
        <v>961</v>
      </c>
      <c r="AT200" s="99" t="s">
        <v>1</v>
      </c>
      <c r="AU200" s="99" t="s">
        <v>179</v>
      </c>
      <c r="AV200" s="99" t="s">
        <v>3414</v>
      </c>
      <c r="AW200" s="99" t="s">
        <v>180</v>
      </c>
      <c r="AX200" s="99" t="s">
        <v>3420</v>
      </c>
      <c r="AY200" s="99" t="s">
        <v>252</v>
      </c>
      <c r="AZ200" s="99" t="s">
        <v>3416</v>
      </c>
      <c r="BA200" s="99" t="s">
        <v>3902</v>
      </c>
      <c r="BB200" s="99" t="s">
        <v>2686</v>
      </c>
      <c r="BC200" s="125">
        <v>48</v>
      </c>
      <c r="BD200" s="99" t="s">
        <v>3135</v>
      </c>
      <c r="BE200" s="99" t="s">
        <v>3136</v>
      </c>
    </row>
    <row r="201" spans="1:57" ht="12.95" customHeight="1">
      <c r="A201" s="124">
        <v>15</v>
      </c>
      <c r="B201" s="124">
        <v>2364</v>
      </c>
      <c r="C201" s="99" t="s">
        <v>165</v>
      </c>
      <c r="D201" s="99" t="s">
        <v>882</v>
      </c>
      <c r="E201" s="99" t="s">
        <v>3183</v>
      </c>
      <c r="F201" s="99" t="s">
        <v>909</v>
      </c>
      <c r="G201" s="99" t="s">
        <v>910</v>
      </c>
      <c r="H201" s="99" t="s">
        <v>3918</v>
      </c>
      <c r="I201" s="99" t="s">
        <v>954</v>
      </c>
      <c r="J201" s="99" t="s">
        <v>962</v>
      </c>
      <c r="K201" s="99" t="s">
        <v>963</v>
      </c>
      <c r="L201" s="99" t="s">
        <v>964</v>
      </c>
      <c r="M201" s="99" t="s">
        <v>1</v>
      </c>
      <c r="N201" s="99" t="s">
        <v>3407</v>
      </c>
      <c r="O201" s="99" t="s">
        <v>114</v>
      </c>
      <c r="P201" s="99" t="s">
        <v>3422</v>
      </c>
      <c r="Q201" s="99" t="s">
        <v>169</v>
      </c>
      <c r="R201" s="99" t="s">
        <v>3409</v>
      </c>
      <c r="S201" s="99" t="s">
        <v>2636</v>
      </c>
      <c r="T201" s="99" t="s">
        <v>48</v>
      </c>
      <c r="U201" s="99" t="s">
        <v>500</v>
      </c>
      <c r="V201" s="99" t="s">
        <v>501</v>
      </c>
      <c r="W201" s="99" t="s">
        <v>3642</v>
      </c>
      <c r="X201" s="99" t="s">
        <v>3642</v>
      </c>
      <c r="Y201" s="99" t="s">
        <v>3920</v>
      </c>
      <c r="Z201" s="99" t="s">
        <v>172</v>
      </c>
      <c r="AA201" s="99" t="s">
        <v>173</v>
      </c>
      <c r="AB201" s="99" t="s">
        <v>174</v>
      </c>
      <c r="AC201" s="99" t="s">
        <v>3411</v>
      </c>
      <c r="AD201" s="99" t="s">
        <v>175</v>
      </c>
      <c r="AE201" s="99" t="s">
        <v>3411</v>
      </c>
      <c r="AF201" s="99" t="s">
        <v>3411</v>
      </c>
      <c r="AG201" s="124">
        <v>1761</v>
      </c>
      <c r="AH201" s="99" t="s">
        <v>3413</v>
      </c>
      <c r="AI201" s="125">
        <v>100</v>
      </c>
      <c r="AJ201" s="99" t="s">
        <v>176</v>
      </c>
      <c r="AK201" s="99" t="s">
        <v>3642</v>
      </c>
      <c r="AL201" s="99" t="s">
        <v>3411</v>
      </c>
      <c r="AM201" s="99" t="s">
        <v>177</v>
      </c>
      <c r="AN201" s="99" t="s">
        <v>3411</v>
      </c>
      <c r="AO201" s="99" t="s">
        <v>178</v>
      </c>
      <c r="AP201" s="99" t="s">
        <v>2570</v>
      </c>
      <c r="AQ201" s="99" t="s">
        <v>3411</v>
      </c>
      <c r="AR201" s="99" t="s">
        <v>3411</v>
      </c>
      <c r="AS201" s="99" t="s">
        <v>965</v>
      </c>
      <c r="AT201" s="99" t="s">
        <v>1</v>
      </c>
      <c r="AU201" s="99" t="s">
        <v>179</v>
      </c>
      <c r="AV201" s="99" t="s">
        <v>3414</v>
      </c>
      <c r="AW201" s="99" t="s">
        <v>180</v>
      </c>
      <c r="AX201" s="99" t="s">
        <v>3420</v>
      </c>
      <c r="AY201" s="99" t="s">
        <v>252</v>
      </c>
      <c r="AZ201" s="99" t="s">
        <v>3416</v>
      </c>
      <c r="BA201" s="99" t="s">
        <v>3902</v>
      </c>
      <c r="BB201" s="99" t="s">
        <v>2686</v>
      </c>
      <c r="BC201" s="125">
        <v>54</v>
      </c>
      <c r="BD201" s="99" t="s">
        <v>3135</v>
      </c>
      <c r="BE201" s="99" t="s">
        <v>3136</v>
      </c>
    </row>
    <row r="202" spans="1:57" ht="12.95" customHeight="1">
      <c r="A202" s="124">
        <v>15</v>
      </c>
      <c r="B202" s="124">
        <v>1046</v>
      </c>
      <c r="C202" s="99" t="s">
        <v>165</v>
      </c>
      <c r="D202" s="99" t="s">
        <v>882</v>
      </c>
      <c r="E202" s="99" t="s">
        <v>3183</v>
      </c>
      <c r="F202" s="99" t="s">
        <v>994</v>
      </c>
      <c r="G202" s="99" t="s">
        <v>69</v>
      </c>
      <c r="H202" s="99" t="s">
        <v>3921</v>
      </c>
      <c r="I202" s="99" t="s">
        <v>995</v>
      </c>
      <c r="J202" s="99" t="s">
        <v>1000</v>
      </c>
      <c r="K202" s="99" t="s">
        <v>540</v>
      </c>
      <c r="L202" s="99" t="s">
        <v>1001</v>
      </c>
      <c r="M202" s="99" t="s">
        <v>1</v>
      </c>
      <c r="N202" s="99" t="s">
        <v>3922</v>
      </c>
      <c r="O202" s="99" t="s">
        <v>3212</v>
      </c>
      <c r="P202" s="99" t="s">
        <v>3923</v>
      </c>
      <c r="Q202" s="99" t="s">
        <v>247</v>
      </c>
      <c r="R202" s="99" t="s">
        <v>3409</v>
      </c>
      <c r="S202" s="99" t="s">
        <v>2636</v>
      </c>
      <c r="T202" s="99" t="s">
        <v>48</v>
      </c>
      <c r="U202" s="99" t="s">
        <v>170</v>
      </c>
      <c r="V202" s="99" t="s">
        <v>171</v>
      </c>
      <c r="W202" s="99" t="s">
        <v>3924</v>
      </c>
      <c r="X202" s="99" t="s">
        <v>3924</v>
      </c>
      <c r="Y202" s="99" t="s">
        <v>3925</v>
      </c>
      <c r="Z202" s="99" t="s">
        <v>172</v>
      </c>
      <c r="AA202" s="99" t="s">
        <v>173</v>
      </c>
      <c r="AB202" s="99" t="s">
        <v>174</v>
      </c>
      <c r="AC202" s="99" t="s">
        <v>3411</v>
      </c>
      <c r="AD202" s="99" t="s">
        <v>175</v>
      </c>
      <c r="AE202" s="99" t="s">
        <v>3411</v>
      </c>
      <c r="AF202" s="99" t="s">
        <v>3411</v>
      </c>
      <c r="AG202" s="124">
        <v>815</v>
      </c>
      <c r="AH202" s="99" t="s">
        <v>3413</v>
      </c>
      <c r="AI202" s="125">
        <v>100</v>
      </c>
      <c r="AJ202" s="99" t="s">
        <v>176</v>
      </c>
      <c r="AK202" s="99" t="s">
        <v>3924</v>
      </c>
      <c r="AL202" s="99" t="s">
        <v>3411</v>
      </c>
      <c r="AM202" s="99" t="s">
        <v>177</v>
      </c>
      <c r="AN202" s="99" t="s">
        <v>3411</v>
      </c>
      <c r="AO202" s="99" t="s">
        <v>403</v>
      </c>
      <c r="AP202" s="99" t="s">
        <v>2570</v>
      </c>
      <c r="AQ202" s="99" t="s">
        <v>3411</v>
      </c>
      <c r="AR202" s="99" t="s">
        <v>207</v>
      </c>
      <c r="AS202" s="99" t="s">
        <v>1002</v>
      </c>
      <c r="AT202" s="99" t="s">
        <v>1</v>
      </c>
      <c r="AU202" s="99" t="s">
        <v>179</v>
      </c>
      <c r="AV202" s="99" t="s">
        <v>3414</v>
      </c>
      <c r="AW202" s="99" t="s">
        <v>180</v>
      </c>
      <c r="AX202" s="99" t="s">
        <v>3420</v>
      </c>
      <c r="AY202" s="99" t="s">
        <v>252</v>
      </c>
      <c r="AZ202" s="99" t="s">
        <v>3416</v>
      </c>
      <c r="BA202" s="99" t="s">
        <v>3566</v>
      </c>
      <c r="BB202" s="99" t="s">
        <v>2688</v>
      </c>
      <c r="BC202" s="125">
        <v>49</v>
      </c>
      <c r="BD202" s="99" t="s">
        <v>3135</v>
      </c>
      <c r="BE202" s="99" t="s">
        <v>3136</v>
      </c>
    </row>
    <row r="203" spans="1:57" ht="12.95" customHeight="1">
      <c r="A203" s="124">
        <v>15</v>
      </c>
      <c r="B203" s="124">
        <v>1960</v>
      </c>
      <c r="C203" s="99" t="s">
        <v>165</v>
      </c>
      <c r="D203" s="99" t="s">
        <v>882</v>
      </c>
      <c r="E203" s="99" t="s">
        <v>3183</v>
      </c>
      <c r="F203" s="99" t="s">
        <v>994</v>
      </c>
      <c r="G203" s="99" t="s">
        <v>69</v>
      </c>
      <c r="H203" s="99" t="s">
        <v>3921</v>
      </c>
      <c r="I203" s="99" t="s">
        <v>995</v>
      </c>
      <c r="J203" s="99" t="s">
        <v>1006</v>
      </c>
      <c r="K203" s="99" t="s">
        <v>454</v>
      </c>
      <c r="L203" s="99" t="s">
        <v>1007</v>
      </c>
      <c r="M203" s="99" t="s">
        <v>5</v>
      </c>
      <c r="N203" s="99" t="s">
        <v>3922</v>
      </c>
      <c r="O203" s="99" t="s">
        <v>3212</v>
      </c>
      <c r="P203" s="99" t="s">
        <v>3923</v>
      </c>
      <c r="Q203" s="99" t="s">
        <v>247</v>
      </c>
      <c r="R203" s="99" t="s">
        <v>71</v>
      </c>
      <c r="S203" s="99" t="s">
        <v>2691</v>
      </c>
      <c r="T203" s="99" t="s">
        <v>49</v>
      </c>
      <c r="U203" s="99" t="s">
        <v>1008</v>
      </c>
      <c r="V203" s="99" t="s">
        <v>53</v>
      </c>
      <c r="W203" s="99" t="s">
        <v>3926</v>
      </c>
      <c r="X203" s="99" t="s">
        <v>3926</v>
      </c>
      <c r="Y203" s="99" t="s">
        <v>3927</v>
      </c>
      <c r="Z203" s="99" t="s">
        <v>172</v>
      </c>
      <c r="AA203" s="99" t="s">
        <v>173</v>
      </c>
      <c r="AB203" s="99" t="s">
        <v>174</v>
      </c>
      <c r="AC203" s="99" t="s">
        <v>3411</v>
      </c>
      <c r="AD203" s="99" t="s">
        <v>175</v>
      </c>
      <c r="AE203" s="99" t="s">
        <v>3411</v>
      </c>
      <c r="AF203" s="99" t="s">
        <v>3411</v>
      </c>
      <c r="AG203" s="124">
        <v>402</v>
      </c>
      <c r="AH203" s="99" t="s">
        <v>3413</v>
      </c>
      <c r="AI203" s="125">
        <v>100</v>
      </c>
      <c r="AJ203" s="99" t="s">
        <v>176</v>
      </c>
      <c r="AK203" s="99" t="s">
        <v>3926</v>
      </c>
      <c r="AL203" s="99" t="s">
        <v>3411</v>
      </c>
      <c r="AM203" s="99" t="s">
        <v>177</v>
      </c>
      <c r="AN203" s="99" t="s">
        <v>3411</v>
      </c>
      <c r="AO203" s="99" t="s">
        <v>1009</v>
      </c>
      <c r="AP203" s="99" t="s">
        <v>2570</v>
      </c>
      <c r="AQ203" s="99" t="s">
        <v>3411</v>
      </c>
      <c r="AR203" s="99" t="s">
        <v>1010</v>
      </c>
      <c r="AS203" s="99" t="s">
        <v>1011</v>
      </c>
      <c r="AT203" s="99" t="s">
        <v>190</v>
      </c>
      <c r="AU203" s="99" t="s">
        <v>191</v>
      </c>
      <c r="AV203" s="99" t="s">
        <v>3928</v>
      </c>
      <c r="AW203" s="99" t="s">
        <v>519</v>
      </c>
      <c r="AX203" s="99" t="s">
        <v>3626</v>
      </c>
      <c r="AY203" s="99" t="s">
        <v>252</v>
      </c>
      <c r="AZ203" s="99" t="s">
        <v>3416</v>
      </c>
      <c r="BA203" s="99" t="s">
        <v>3929</v>
      </c>
      <c r="BB203" s="99" t="s">
        <v>3411</v>
      </c>
      <c r="BC203" s="125">
        <v>56</v>
      </c>
      <c r="BD203" s="99" t="s">
        <v>3135</v>
      </c>
      <c r="BE203" s="99" t="s">
        <v>3136</v>
      </c>
    </row>
    <row r="204" spans="1:57" ht="12.95" customHeight="1">
      <c r="A204" s="124">
        <v>15</v>
      </c>
      <c r="B204" s="124">
        <v>3133</v>
      </c>
      <c r="C204" s="99" t="s">
        <v>165</v>
      </c>
      <c r="D204" s="99" t="s">
        <v>1012</v>
      </c>
      <c r="E204" s="99" t="s">
        <v>3298</v>
      </c>
      <c r="F204" s="99" t="s">
        <v>1013</v>
      </c>
      <c r="G204" s="99" t="s">
        <v>2894</v>
      </c>
      <c r="H204" s="99" t="s">
        <v>3930</v>
      </c>
      <c r="I204" s="99" t="s">
        <v>2895</v>
      </c>
      <c r="J204" s="99" t="s">
        <v>3141</v>
      </c>
      <c r="K204" s="99" t="s">
        <v>3142</v>
      </c>
      <c r="L204" s="99" t="s">
        <v>3143</v>
      </c>
      <c r="M204" s="99" t="s">
        <v>1</v>
      </c>
      <c r="N204" s="99" t="s">
        <v>3407</v>
      </c>
      <c r="O204" s="99" t="s">
        <v>114</v>
      </c>
      <c r="P204" s="99" t="s">
        <v>3545</v>
      </c>
      <c r="Q204" s="99" t="s">
        <v>169</v>
      </c>
      <c r="R204" s="99" t="s">
        <v>3409</v>
      </c>
      <c r="S204" s="99" t="s">
        <v>2636</v>
      </c>
      <c r="T204" s="99" t="s">
        <v>48</v>
      </c>
      <c r="U204" s="99" t="s">
        <v>170</v>
      </c>
      <c r="V204" s="99" t="s">
        <v>171</v>
      </c>
      <c r="W204" s="99" t="s">
        <v>3545</v>
      </c>
      <c r="X204" s="99" t="s">
        <v>3545</v>
      </c>
      <c r="Y204" s="99" t="s">
        <v>3931</v>
      </c>
      <c r="Z204" s="99" t="s">
        <v>172</v>
      </c>
      <c r="AA204" s="99" t="s">
        <v>173</v>
      </c>
      <c r="AB204" s="99" t="s">
        <v>174</v>
      </c>
      <c r="AC204" s="99" t="s">
        <v>3411</v>
      </c>
      <c r="AD204" s="99" t="s">
        <v>175</v>
      </c>
      <c r="AE204" s="99" t="s">
        <v>3411</v>
      </c>
      <c r="AF204" s="99" t="s">
        <v>3411</v>
      </c>
      <c r="AG204" s="124">
        <v>3133</v>
      </c>
      <c r="AH204" s="99" t="s">
        <v>3413</v>
      </c>
      <c r="AI204" s="125">
        <v>100</v>
      </c>
      <c r="AJ204" s="99" t="s">
        <v>176</v>
      </c>
      <c r="AK204" s="99" t="s">
        <v>3545</v>
      </c>
      <c r="AL204" s="99" t="s">
        <v>3411</v>
      </c>
      <c r="AM204" s="99" t="s">
        <v>177</v>
      </c>
      <c r="AN204" s="99" t="s">
        <v>3411</v>
      </c>
      <c r="AO204" s="99" t="s">
        <v>412</v>
      </c>
      <c r="AP204" s="99" t="s">
        <v>2570</v>
      </c>
      <c r="AQ204" s="99" t="s">
        <v>3411</v>
      </c>
      <c r="AR204" s="99" t="s">
        <v>3411</v>
      </c>
      <c r="AS204" s="99" t="s">
        <v>3144</v>
      </c>
      <c r="AT204" s="99" t="s">
        <v>1</v>
      </c>
      <c r="AU204" s="99" t="s">
        <v>179</v>
      </c>
      <c r="AV204" s="99" t="s">
        <v>3414</v>
      </c>
      <c r="AW204" s="99" t="s">
        <v>180</v>
      </c>
      <c r="AX204" s="99" t="s">
        <v>3420</v>
      </c>
      <c r="AY204" s="99" t="s">
        <v>252</v>
      </c>
      <c r="AZ204" s="99" t="s">
        <v>3416</v>
      </c>
      <c r="BA204" s="99" t="s">
        <v>3417</v>
      </c>
      <c r="BB204" s="99" t="s">
        <v>3097</v>
      </c>
      <c r="BC204" s="125">
        <v>31</v>
      </c>
      <c r="BD204" s="99" t="s">
        <v>3135</v>
      </c>
      <c r="BE204" s="99" t="s">
        <v>3136</v>
      </c>
    </row>
    <row r="205" spans="1:57" ht="12.95" customHeight="1">
      <c r="A205" s="124">
        <v>15</v>
      </c>
      <c r="B205" s="124">
        <v>1584</v>
      </c>
      <c r="C205" s="99" t="s">
        <v>165</v>
      </c>
      <c r="D205" s="99" t="s">
        <v>1012</v>
      </c>
      <c r="E205" s="99" t="s">
        <v>3298</v>
      </c>
      <c r="F205" s="99" t="s">
        <v>1013</v>
      </c>
      <c r="G205" s="99" t="s">
        <v>2894</v>
      </c>
      <c r="H205" s="99" t="s">
        <v>3932</v>
      </c>
      <c r="I205" s="99" t="s">
        <v>2696</v>
      </c>
      <c r="J205" s="99" t="s">
        <v>795</v>
      </c>
      <c r="K205" s="99" t="s">
        <v>1071</v>
      </c>
      <c r="L205" s="99" t="s">
        <v>1072</v>
      </c>
      <c r="M205" s="99" t="s">
        <v>5</v>
      </c>
      <c r="N205" s="99" t="s">
        <v>3454</v>
      </c>
      <c r="O205" s="99" t="s">
        <v>70</v>
      </c>
      <c r="P205" s="99" t="s">
        <v>3933</v>
      </c>
      <c r="Q205" s="99" t="s">
        <v>247</v>
      </c>
      <c r="R205" s="99" t="s">
        <v>3409</v>
      </c>
      <c r="S205" s="99" t="s">
        <v>2636</v>
      </c>
      <c r="T205" s="99" t="s">
        <v>48</v>
      </c>
      <c r="U205" s="99" t="s">
        <v>170</v>
      </c>
      <c r="V205" s="99" t="s">
        <v>171</v>
      </c>
      <c r="W205" s="99" t="s">
        <v>3541</v>
      </c>
      <c r="X205" s="99" t="s">
        <v>3541</v>
      </c>
      <c r="Y205" s="99" t="s">
        <v>3934</v>
      </c>
      <c r="Z205" s="99" t="s">
        <v>172</v>
      </c>
      <c r="AA205" s="99" t="s">
        <v>173</v>
      </c>
      <c r="AB205" s="99" t="s">
        <v>174</v>
      </c>
      <c r="AC205" s="99" t="s">
        <v>3411</v>
      </c>
      <c r="AD205" s="99" t="s">
        <v>175</v>
      </c>
      <c r="AE205" s="99" t="s">
        <v>3411</v>
      </c>
      <c r="AF205" s="99" t="s">
        <v>3411</v>
      </c>
      <c r="AG205" s="124">
        <v>1254</v>
      </c>
      <c r="AH205" s="99" t="s">
        <v>3413</v>
      </c>
      <c r="AI205" s="125">
        <v>100</v>
      </c>
      <c r="AJ205" s="99" t="s">
        <v>176</v>
      </c>
      <c r="AK205" s="99" t="s">
        <v>3541</v>
      </c>
      <c r="AL205" s="99" t="s">
        <v>3411</v>
      </c>
      <c r="AM205" s="99" t="s">
        <v>177</v>
      </c>
      <c r="AN205" s="99" t="s">
        <v>3411</v>
      </c>
      <c r="AO205" s="99" t="s">
        <v>403</v>
      </c>
      <c r="AP205" s="99" t="s">
        <v>2570</v>
      </c>
      <c r="AQ205" s="99" t="s">
        <v>3411</v>
      </c>
      <c r="AR205" s="99" t="s">
        <v>207</v>
      </c>
      <c r="AS205" s="99" t="s">
        <v>1073</v>
      </c>
      <c r="AT205" s="99" t="s">
        <v>1</v>
      </c>
      <c r="AU205" s="99" t="s">
        <v>179</v>
      </c>
      <c r="AV205" s="99" t="s">
        <v>3414</v>
      </c>
      <c r="AW205" s="99" t="s">
        <v>180</v>
      </c>
      <c r="AX205" s="99" t="s">
        <v>3420</v>
      </c>
      <c r="AY205" s="99" t="s">
        <v>252</v>
      </c>
      <c r="AZ205" s="99" t="s">
        <v>3416</v>
      </c>
      <c r="BA205" s="99" t="s">
        <v>3935</v>
      </c>
      <c r="BB205" s="99" t="s">
        <v>2697</v>
      </c>
      <c r="BC205" s="125">
        <v>57</v>
      </c>
      <c r="BD205" s="99" t="s">
        <v>3135</v>
      </c>
      <c r="BE205" s="99" t="s">
        <v>3136</v>
      </c>
    </row>
    <row r="206" spans="1:57" ht="12.95" customHeight="1">
      <c r="A206" s="124">
        <v>15</v>
      </c>
      <c r="B206" s="124">
        <v>1855</v>
      </c>
      <c r="C206" s="99" t="s">
        <v>165</v>
      </c>
      <c r="D206" s="99" t="s">
        <v>1012</v>
      </c>
      <c r="E206" s="99" t="s">
        <v>3298</v>
      </c>
      <c r="F206" s="99" t="s">
        <v>1013</v>
      </c>
      <c r="G206" s="99" t="s">
        <v>2894</v>
      </c>
      <c r="H206" s="99" t="s">
        <v>3932</v>
      </c>
      <c r="I206" s="99" t="s">
        <v>2696</v>
      </c>
      <c r="J206" s="99" t="s">
        <v>1014</v>
      </c>
      <c r="K206" s="99" t="s">
        <v>872</v>
      </c>
      <c r="L206" s="99" t="s">
        <v>1015</v>
      </c>
      <c r="M206" s="99" t="s">
        <v>5</v>
      </c>
      <c r="N206" s="99" t="s">
        <v>3454</v>
      </c>
      <c r="O206" s="99" t="s">
        <v>70</v>
      </c>
      <c r="P206" s="99" t="s">
        <v>3936</v>
      </c>
      <c r="Q206" s="99" t="s">
        <v>247</v>
      </c>
      <c r="R206" s="99" t="s">
        <v>3409</v>
      </c>
      <c r="S206" s="99" t="s">
        <v>2636</v>
      </c>
      <c r="T206" s="99" t="s">
        <v>52</v>
      </c>
      <c r="U206" s="99" t="s">
        <v>427</v>
      </c>
      <c r="V206" s="99" t="s">
        <v>428</v>
      </c>
      <c r="W206" s="99" t="s">
        <v>3563</v>
      </c>
      <c r="X206" s="99" t="s">
        <v>3937</v>
      </c>
      <c r="Y206" s="99" t="s">
        <v>3938</v>
      </c>
      <c r="Z206" s="99" t="s">
        <v>172</v>
      </c>
      <c r="AA206" s="99" t="s">
        <v>173</v>
      </c>
      <c r="AB206" s="99" t="s">
        <v>400</v>
      </c>
      <c r="AC206" s="99" t="s">
        <v>3411</v>
      </c>
      <c r="AD206" s="99" t="s">
        <v>175</v>
      </c>
      <c r="AE206" s="99" t="s">
        <v>3411</v>
      </c>
      <c r="AF206" s="99" t="s">
        <v>3411</v>
      </c>
      <c r="AG206" s="124">
        <v>1475</v>
      </c>
      <c r="AH206" s="99" t="s">
        <v>3413</v>
      </c>
      <c r="AI206" s="125">
        <v>100</v>
      </c>
      <c r="AJ206" s="99" t="s">
        <v>176</v>
      </c>
      <c r="AK206" s="99" t="s">
        <v>3563</v>
      </c>
      <c r="AL206" s="99" t="s">
        <v>3411</v>
      </c>
      <c r="AM206" s="99" t="s">
        <v>177</v>
      </c>
      <c r="AN206" s="99" t="s">
        <v>3411</v>
      </c>
      <c r="AO206" s="99" t="s">
        <v>178</v>
      </c>
      <c r="AP206" s="99" t="s">
        <v>2570</v>
      </c>
      <c r="AQ206" s="99" t="s">
        <v>3411</v>
      </c>
      <c r="AR206" s="99" t="s">
        <v>3411</v>
      </c>
      <c r="AS206" s="99" t="s">
        <v>1016</v>
      </c>
      <c r="AT206" s="99" t="s">
        <v>1</v>
      </c>
      <c r="AU206" s="99" t="s">
        <v>179</v>
      </c>
      <c r="AV206" s="99" t="s">
        <v>3414</v>
      </c>
      <c r="AW206" s="99" t="s">
        <v>180</v>
      </c>
      <c r="AX206" s="99" t="s">
        <v>3420</v>
      </c>
      <c r="AY206" s="99" t="s">
        <v>252</v>
      </c>
      <c r="AZ206" s="99" t="s">
        <v>3416</v>
      </c>
      <c r="BA206" s="99" t="s">
        <v>3417</v>
      </c>
      <c r="BB206" s="99" t="s">
        <v>3097</v>
      </c>
      <c r="BC206" s="125">
        <v>64</v>
      </c>
      <c r="BD206" s="99" t="s">
        <v>3135</v>
      </c>
      <c r="BE206" s="99" t="s">
        <v>3136</v>
      </c>
    </row>
    <row r="207" spans="1:57" ht="12.95" customHeight="1">
      <c r="A207" s="124">
        <v>15</v>
      </c>
      <c r="B207" s="124">
        <v>772</v>
      </c>
      <c r="C207" s="99" t="s">
        <v>165</v>
      </c>
      <c r="D207" s="99" t="s">
        <v>1012</v>
      </c>
      <c r="E207" s="99" t="s">
        <v>3298</v>
      </c>
      <c r="F207" s="99" t="s">
        <v>2780</v>
      </c>
      <c r="G207" s="99" t="s">
        <v>841</v>
      </c>
      <c r="H207" s="99" t="s">
        <v>3939</v>
      </c>
      <c r="I207" s="99" t="s">
        <v>842</v>
      </c>
      <c r="J207" s="99" t="s">
        <v>844</v>
      </c>
      <c r="K207" s="99" t="s">
        <v>409</v>
      </c>
      <c r="L207" s="99" t="s">
        <v>845</v>
      </c>
      <c r="M207" s="99" t="s">
        <v>5</v>
      </c>
      <c r="N207" s="99" t="s">
        <v>3407</v>
      </c>
      <c r="O207" s="99" t="s">
        <v>114</v>
      </c>
      <c r="P207" s="99" t="s">
        <v>3422</v>
      </c>
      <c r="Q207" s="99" t="s">
        <v>169</v>
      </c>
      <c r="R207" s="99" t="s">
        <v>3409</v>
      </c>
      <c r="S207" s="99" t="s">
        <v>2636</v>
      </c>
      <c r="T207" s="99" t="s">
        <v>52</v>
      </c>
      <c r="U207" s="99" t="s">
        <v>427</v>
      </c>
      <c r="V207" s="99" t="s">
        <v>428</v>
      </c>
      <c r="W207" s="99" t="s">
        <v>3940</v>
      </c>
      <c r="X207" s="99" t="s">
        <v>3940</v>
      </c>
      <c r="Y207" s="99" t="s">
        <v>3941</v>
      </c>
      <c r="Z207" s="99" t="s">
        <v>172</v>
      </c>
      <c r="AA207" s="99" t="s">
        <v>173</v>
      </c>
      <c r="AB207" s="99" t="s">
        <v>174</v>
      </c>
      <c r="AC207" s="99" t="s">
        <v>3411</v>
      </c>
      <c r="AD207" s="99" t="s">
        <v>175</v>
      </c>
      <c r="AE207" s="99" t="s">
        <v>3411</v>
      </c>
      <c r="AF207" s="99" t="s">
        <v>3411</v>
      </c>
      <c r="AG207" s="124">
        <v>578</v>
      </c>
      <c r="AH207" s="99" t="s">
        <v>3413</v>
      </c>
      <c r="AI207" s="125">
        <v>100</v>
      </c>
      <c r="AJ207" s="99" t="s">
        <v>176</v>
      </c>
      <c r="AK207" s="99" t="s">
        <v>3940</v>
      </c>
      <c r="AL207" s="99" t="s">
        <v>3411</v>
      </c>
      <c r="AM207" s="99" t="s">
        <v>177</v>
      </c>
      <c r="AN207" s="99" t="s">
        <v>3411</v>
      </c>
      <c r="AO207" s="99" t="s">
        <v>178</v>
      </c>
      <c r="AP207" s="99" t="s">
        <v>2570</v>
      </c>
      <c r="AQ207" s="99" t="s">
        <v>3411</v>
      </c>
      <c r="AR207" s="99" t="s">
        <v>3411</v>
      </c>
      <c r="AS207" s="99" t="s">
        <v>846</v>
      </c>
      <c r="AT207" s="99" t="s">
        <v>1</v>
      </c>
      <c r="AU207" s="99" t="s">
        <v>179</v>
      </c>
      <c r="AV207" s="99" t="s">
        <v>3414</v>
      </c>
      <c r="AW207" s="99" t="s">
        <v>180</v>
      </c>
      <c r="AX207" s="99" t="s">
        <v>3420</v>
      </c>
      <c r="AY207" s="99" t="s">
        <v>252</v>
      </c>
      <c r="AZ207" s="99" t="s">
        <v>3416</v>
      </c>
      <c r="BA207" s="99" t="s">
        <v>3942</v>
      </c>
      <c r="BB207" s="99" t="s">
        <v>843</v>
      </c>
      <c r="BC207" s="125">
        <v>59</v>
      </c>
      <c r="BD207" s="99" t="s">
        <v>3135</v>
      </c>
      <c r="BE207" s="99" t="s">
        <v>3136</v>
      </c>
    </row>
    <row r="208" spans="1:57" ht="12.95" customHeight="1">
      <c r="A208" s="124">
        <v>15</v>
      </c>
      <c r="B208" s="124">
        <v>3074</v>
      </c>
      <c r="C208" s="99" t="s">
        <v>165</v>
      </c>
      <c r="D208" s="99" t="s">
        <v>1012</v>
      </c>
      <c r="E208" s="99" t="s">
        <v>3298</v>
      </c>
      <c r="F208" s="99" t="s">
        <v>2780</v>
      </c>
      <c r="G208" s="99" t="s">
        <v>841</v>
      </c>
      <c r="H208" s="99" t="s">
        <v>3939</v>
      </c>
      <c r="I208" s="99" t="s">
        <v>842</v>
      </c>
      <c r="J208" s="99" t="s">
        <v>2896</v>
      </c>
      <c r="K208" s="99" t="s">
        <v>2897</v>
      </c>
      <c r="L208" s="99" t="s">
        <v>2898</v>
      </c>
      <c r="M208" s="99" t="s">
        <v>5</v>
      </c>
      <c r="N208" s="99" t="s">
        <v>3407</v>
      </c>
      <c r="O208" s="99" t="s">
        <v>114</v>
      </c>
      <c r="P208" s="99" t="s">
        <v>3943</v>
      </c>
      <c r="Q208" s="99" t="s">
        <v>169</v>
      </c>
      <c r="R208" s="99" t="s">
        <v>3409</v>
      </c>
      <c r="S208" s="99" t="s">
        <v>2636</v>
      </c>
      <c r="T208" s="99" t="s">
        <v>52</v>
      </c>
      <c r="U208" s="99" t="s">
        <v>427</v>
      </c>
      <c r="V208" s="99" t="s">
        <v>428</v>
      </c>
      <c r="W208" s="99" t="s">
        <v>3943</v>
      </c>
      <c r="X208" s="99" t="s">
        <v>3943</v>
      </c>
      <c r="Y208" s="99" t="s">
        <v>3944</v>
      </c>
      <c r="Z208" s="99" t="s">
        <v>172</v>
      </c>
      <c r="AA208" s="99" t="s">
        <v>173</v>
      </c>
      <c r="AB208" s="99" t="s">
        <v>174</v>
      </c>
      <c r="AC208" s="99" t="s">
        <v>3411</v>
      </c>
      <c r="AD208" s="99" t="s">
        <v>175</v>
      </c>
      <c r="AE208" s="99" t="s">
        <v>3411</v>
      </c>
      <c r="AF208" s="99" t="s">
        <v>3411</v>
      </c>
      <c r="AG208" s="124">
        <v>3074</v>
      </c>
      <c r="AH208" s="99" t="s">
        <v>3413</v>
      </c>
      <c r="AI208" s="125">
        <v>100</v>
      </c>
      <c r="AJ208" s="99" t="s">
        <v>176</v>
      </c>
      <c r="AK208" s="99" t="s">
        <v>3943</v>
      </c>
      <c r="AL208" s="99" t="s">
        <v>3411</v>
      </c>
      <c r="AM208" s="99" t="s">
        <v>177</v>
      </c>
      <c r="AN208" s="99" t="s">
        <v>3411</v>
      </c>
      <c r="AO208" s="99" t="s">
        <v>412</v>
      </c>
      <c r="AP208" s="99" t="s">
        <v>2570</v>
      </c>
      <c r="AQ208" s="99" t="s">
        <v>3411</v>
      </c>
      <c r="AR208" s="99" t="s">
        <v>3411</v>
      </c>
      <c r="AS208" s="99" t="s">
        <v>2899</v>
      </c>
      <c r="AT208" s="99" t="s">
        <v>1</v>
      </c>
      <c r="AU208" s="99" t="s">
        <v>179</v>
      </c>
      <c r="AV208" s="99" t="s">
        <v>3414</v>
      </c>
      <c r="AW208" s="99" t="s">
        <v>180</v>
      </c>
      <c r="AX208" s="99" t="s">
        <v>3420</v>
      </c>
      <c r="AY208" s="99" t="s">
        <v>252</v>
      </c>
      <c r="AZ208" s="99" t="s">
        <v>3416</v>
      </c>
      <c r="BA208" s="99" t="s">
        <v>3942</v>
      </c>
      <c r="BB208" s="99" t="s">
        <v>843</v>
      </c>
      <c r="BC208" s="125">
        <v>37</v>
      </c>
      <c r="BD208" s="99" t="s">
        <v>3135</v>
      </c>
      <c r="BE208" s="99" t="s">
        <v>3136</v>
      </c>
    </row>
    <row r="209" spans="1:57" ht="12.95" customHeight="1">
      <c r="A209" s="124">
        <v>15</v>
      </c>
      <c r="B209" s="124">
        <v>2865</v>
      </c>
      <c r="C209" s="99" t="s">
        <v>165</v>
      </c>
      <c r="D209" s="99" t="s">
        <v>1012</v>
      </c>
      <c r="E209" s="99" t="s">
        <v>3298</v>
      </c>
      <c r="F209" s="99" t="s">
        <v>2780</v>
      </c>
      <c r="G209" s="99" t="s">
        <v>841</v>
      </c>
      <c r="H209" s="99" t="s">
        <v>3939</v>
      </c>
      <c r="I209" s="99" t="s">
        <v>842</v>
      </c>
      <c r="J209" s="99" t="s">
        <v>847</v>
      </c>
      <c r="K209" s="99" t="s">
        <v>848</v>
      </c>
      <c r="L209" s="99" t="s">
        <v>849</v>
      </c>
      <c r="M209" s="99" t="s">
        <v>1</v>
      </c>
      <c r="N209" s="99" t="s">
        <v>3407</v>
      </c>
      <c r="O209" s="99" t="s">
        <v>114</v>
      </c>
      <c r="P209" s="99" t="s">
        <v>3422</v>
      </c>
      <c r="Q209" s="99" t="s">
        <v>169</v>
      </c>
      <c r="R209" s="99" t="s">
        <v>3409</v>
      </c>
      <c r="S209" s="99" t="s">
        <v>2636</v>
      </c>
      <c r="T209" s="99" t="s">
        <v>52</v>
      </c>
      <c r="U209" s="99" t="s">
        <v>427</v>
      </c>
      <c r="V209" s="99" t="s">
        <v>428</v>
      </c>
      <c r="W209" s="99" t="s">
        <v>3493</v>
      </c>
      <c r="X209" s="99" t="s">
        <v>3945</v>
      </c>
      <c r="Y209" s="99" t="s">
        <v>3946</v>
      </c>
      <c r="Z209" s="99" t="s">
        <v>172</v>
      </c>
      <c r="AA209" s="99" t="s">
        <v>173</v>
      </c>
      <c r="AB209" s="99" t="s">
        <v>174</v>
      </c>
      <c r="AC209" s="99" t="s">
        <v>3411</v>
      </c>
      <c r="AD209" s="99" t="s">
        <v>175</v>
      </c>
      <c r="AE209" s="99" t="s">
        <v>3411</v>
      </c>
      <c r="AF209" s="99" t="s">
        <v>3411</v>
      </c>
      <c r="AG209" s="124">
        <v>2865</v>
      </c>
      <c r="AH209" s="99" t="s">
        <v>3413</v>
      </c>
      <c r="AI209" s="125">
        <v>100</v>
      </c>
      <c r="AJ209" s="99" t="s">
        <v>176</v>
      </c>
      <c r="AK209" s="99" t="s">
        <v>3945</v>
      </c>
      <c r="AL209" s="99" t="s">
        <v>3411</v>
      </c>
      <c r="AM209" s="99" t="s">
        <v>177</v>
      </c>
      <c r="AN209" s="99" t="s">
        <v>3411</v>
      </c>
      <c r="AO209" s="99" t="s">
        <v>178</v>
      </c>
      <c r="AP209" s="99" t="s">
        <v>2570</v>
      </c>
      <c r="AQ209" s="99" t="s">
        <v>3411</v>
      </c>
      <c r="AR209" s="99" t="s">
        <v>3411</v>
      </c>
      <c r="AS209" s="99" t="s">
        <v>850</v>
      </c>
      <c r="AT209" s="99" t="s">
        <v>1</v>
      </c>
      <c r="AU209" s="99" t="s">
        <v>179</v>
      </c>
      <c r="AV209" s="99" t="s">
        <v>3414</v>
      </c>
      <c r="AW209" s="99" t="s">
        <v>180</v>
      </c>
      <c r="AX209" s="99" t="s">
        <v>3947</v>
      </c>
      <c r="AY209" s="99" t="s">
        <v>252</v>
      </c>
      <c r="AZ209" s="99" t="s">
        <v>5013</v>
      </c>
      <c r="BA209" s="99" t="s">
        <v>3417</v>
      </c>
      <c r="BB209" s="99" t="s">
        <v>3097</v>
      </c>
      <c r="BC209" s="125">
        <v>56</v>
      </c>
      <c r="BD209" s="99" t="s">
        <v>3135</v>
      </c>
      <c r="BE209" s="99" t="s">
        <v>3136</v>
      </c>
    </row>
    <row r="210" spans="1:57" ht="12.95" customHeight="1">
      <c r="A210" s="124">
        <v>15</v>
      </c>
      <c r="B210" s="124">
        <v>2327</v>
      </c>
      <c r="C210" s="99" t="s">
        <v>165</v>
      </c>
      <c r="D210" s="99" t="s">
        <v>1012</v>
      </c>
      <c r="E210" s="99" t="s">
        <v>3298</v>
      </c>
      <c r="F210" s="99" t="s">
        <v>2780</v>
      </c>
      <c r="G210" s="99" t="s">
        <v>841</v>
      </c>
      <c r="H210" s="99" t="s">
        <v>3939</v>
      </c>
      <c r="I210" s="99" t="s">
        <v>842</v>
      </c>
      <c r="J210" s="99" t="s">
        <v>851</v>
      </c>
      <c r="K210" s="99" t="s">
        <v>348</v>
      </c>
      <c r="L210" s="99" t="s">
        <v>852</v>
      </c>
      <c r="M210" s="99" t="s">
        <v>5</v>
      </c>
      <c r="N210" s="99" t="s">
        <v>3407</v>
      </c>
      <c r="O210" s="99" t="s">
        <v>114</v>
      </c>
      <c r="P210" s="99" t="s">
        <v>3422</v>
      </c>
      <c r="Q210" s="99" t="s">
        <v>169</v>
      </c>
      <c r="R210" s="99" t="s">
        <v>3409</v>
      </c>
      <c r="S210" s="99" t="s">
        <v>2636</v>
      </c>
      <c r="T210" s="99" t="s">
        <v>52</v>
      </c>
      <c r="U210" s="99" t="s">
        <v>427</v>
      </c>
      <c r="V210" s="99" t="s">
        <v>428</v>
      </c>
      <c r="W210" s="99" t="s">
        <v>3948</v>
      </c>
      <c r="X210" s="99" t="s">
        <v>3948</v>
      </c>
      <c r="Y210" s="99" t="s">
        <v>3949</v>
      </c>
      <c r="Z210" s="99" t="s">
        <v>172</v>
      </c>
      <c r="AA210" s="99" t="s">
        <v>173</v>
      </c>
      <c r="AB210" s="99" t="s">
        <v>174</v>
      </c>
      <c r="AC210" s="99" t="s">
        <v>3411</v>
      </c>
      <c r="AD210" s="99" t="s">
        <v>175</v>
      </c>
      <c r="AE210" s="99" t="s">
        <v>3411</v>
      </c>
      <c r="AF210" s="99" t="s">
        <v>3411</v>
      </c>
      <c r="AG210" s="124">
        <v>1732</v>
      </c>
      <c r="AH210" s="99" t="s">
        <v>3413</v>
      </c>
      <c r="AI210" s="125">
        <v>100</v>
      </c>
      <c r="AJ210" s="99" t="s">
        <v>176</v>
      </c>
      <c r="AK210" s="99" t="s">
        <v>3948</v>
      </c>
      <c r="AL210" s="99" t="s">
        <v>3411</v>
      </c>
      <c r="AM210" s="99" t="s">
        <v>177</v>
      </c>
      <c r="AN210" s="99" t="s">
        <v>3411</v>
      </c>
      <c r="AO210" s="99" t="s">
        <v>178</v>
      </c>
      <c r="AP210" s="99" t="s">
        <v>2570</v>
      </c>
      <c r="AQ210" s="99" t="s">
        <v>3411</v>
      </c>
      <c r="AR210" s="99" t="s">
        <v>3411</v>
      </c>
      <c r="AS210" s="99" t="s">
        <v>853</v>
      </c>
      <c r="AT210" s="99" t="s">
        <v>1</v>
      </c>
      <c r="AU210" s="99" t="s">
        <v>179</v>
      </c>
      <c r="AV210" s="99" t="s">
        <v>3414</v>
      </c>
      <c r="AW210" s="99" t="s">
        <v>180</v>
      </c>
      <c r="AX210" s="99" t="s">
        <v>3950</v>
      </c>
      <c r="AY210" s="99" t="s">
        <v>252</v>
      </c>
      <c r="AZ210" s="99" t="s">
        <v>3416</v>
      </c>
      <c r="BA210" s="99" t="s">
        <v>3942</v>
      </c>
      <c r="BB210" s="99" t="s">
        <v>843</v>
      </c>
      <c r="BC210" s="125">
        <v>57</v>
      </c>
      <c r="BD210" s="99" t="s">
        <v>3135</v>
      </c>
      <c r="BE210" s="99" t="s">
        <v>3136</v>
      </c>
    </row>
    <row r="211" spans="1:57" ht="12.95" customHeight="1">
      <c r="A211" s="124">
        <v>15</v>
      </c>
      <c r="B211" s="124">
        <v>1150</v>
      </c>
      <c r="C211" s="99" t="s">
        <v>165</v>
      </c>
      <c r="D211" s="99" t="s">
        <v>1012</v>
      </c>
      <c r="E211" s="99" t="s">
        <v>3298</v>
      </c>
      <c r="F211" s="99" t="s">
        <v>2780</v>
      </c>
      <c r="G211" s="99" t="s">
        <v>841</v>
      </c>
      <c r="H211" s="99" t="s">
        <v>3939</v>
      </c>
      <c r="I211" s="99" t="s">
        <v>842</v>
      </c>
      <c r="J211" s="99" t="s">
        <v>854</v>
      </c>
      <c r="K211" s="99" t="s">
        <v>855</v>
      </c>
      <c r="L211" s="99" t="s">
        <v>856</v>
      </c>
      <c r="M211" s="99" t="s">
        <v>1</v>
      </c>
      <c r="N211" s="99" t="s">
        <v>3407</v>
      </c>
      <c r="O211" s="99" t="s">
        <v>114</v>
      </c>
      <c r="P211" s="99" t="s">
        <v>3422</v>
      </c>
      <c r="Q211" s="99" t="s">
        <v>169</v>
      </c>
      <c r="R211" s="99" t="s">
        <v>3409</v>
      </c>
      <c r="S211" s="99" t="s">
        <v>2636</v>
      </c>
      <c r="T211" s="99" t="s">
        <v>48</v>
      </c>
      <c r="U211" s="99" t="s">
        <v>184</v>
      </c>
      <c r="V211" s="99" t="s">
        <v>185</v>
      </c>
      <c r="W211" s="99" t="s">
        <v>3951</v>
      </c>
      <c r="X211" s="99" t="s">
        <v>3951</v>
      </c>
      <c r="Y211" s="99" t="s">
        <v>3952</v>
      </c>
      <c r="Z211" s="99" t="s">
        <v>172</v>
      </c>
      <c r="AA211" s="99" t="s">
        <v>173</v>
      </c>
      <c r="AB211" s="99" t="s">
        <v>174</v>
      </c>
      <c r="AC211" s="99" t="s">
        <v>3411</v>
      </c>
      <c r="AD211" s="99" t="s">
        <v>175</v>
      </c>
      <c r="AE211" s="99" t="s">
        <v>3411</v>
      </c>
      <c r="AF211" s="99" t="s">
        <v>3411</v>
      </c>
      <c r="AG211" s="124">
        <v>907</v>
      </c>
      <c r="AH211" s="99" t="s">
        <v>3413</v>
      </c>
      <c r="AI211" s="125">
        <v>100</v>
      </c>
      <c r="AJ211" s="99" t="s">
        <v>176</v>
      </c>
      <c r="AK211" s="99" t="s">
        <v>3898</v>
      </c>
      <c r="AL211" s="99" t="s">
        <v>3411</v>
      </c>
      <c r="AM211" s="99" t="s">
        <v>177</v>
      </c>
      <c r="AN211" s="99" t="s">
        <v>3411</v>
      </c>
      <c r="AO211" s="99" t="s">
        <v>178</v>
      </c>
      <c r="AP211" s="99" t="s">
        <v>2570</v>
      </c>
      <c r="AQ211" s="99" t="s">
        <v>3411</v>
      </c>
      <c r="AR211" s="99" t="s">
        <v>3411</v>
      </c>
      <c r="AS211" s="99" t="s">
        <v>3002</v>
      </c>
      <c r="AT211" s="99" t="s">
        <v>1</v>
      </c>
      <c r="AU211" s="99" t="s">
        <v>179</v>
      </c>
      <c r="AV211" s="99" t="s">
        <v>3414</v>
      </c>
      <c r="AW211" s="99" t="s">
        <v>180</v>
      </c>
      <c r="AX211" s="99" t="s">
        <v>3420</v>
      </c>
      <c r="AY211" s="99" t="s">
        <v>252</v>
      </c>
      <c r="AZ211" s="99" t="s">
        <v>3416</v>
      </c>
      <c r="BA211" s="99" t="s">
        <v>3942</v>
      </c>
      <c r="BB211" s="99" t="s">
        <v>843</v>
      </c>
      <c r="BC211" s="125">
        <v>55</v>
      </c>
      <c r="BD211" s="99" t="s">
        <v>3135</v>
      </c>
      <c r="BE211" s="99" t="s">
        <v>3136</v>
      </c>
    </row>
    <row r="212" spans="1:57" ht="12.95" customHeight="1">
      <c r="A212" s="124">
        <v>15</v>
      </c>
      <c r="B212" s="124">
        <v>3075</v>
      </c>
      <c r="C212" s="99" t="s">
        <v>165</v>
      </c>
      <c r="D212" s="99" t="s">
        <v>1012</v>
      </c>
      <c r="E212" s="99" t="s">
        <v>3298</v>
      </c>
      <c r="F212" s="99" t="s">
        <v>2780</v>
      </c>
      <c r="G212" s="99" t="s">
        <v>841</v>
      </c>
      <c r="H212" s="99" t="s">
        <v>3939</v>
      </c>
      <c r="I212" s="99" t="s">
        <v>842</v>
      </c>
      <c r="J212" s="99" t="s">
        <v>2900</v>
      </c>
      <c r="K212" s="99" t="s">
        <v>2901</v>
      </c>
      <c r="L212" s="99" t="s">
        <v>2902</v>
      </c>
      <c r="M212" s="99" t="s">
        <v>5</v>
      </c>
      <c r="N212" s="99" t="s">
        <v>3407</v>
      </c>
      <c r="O212" s="99" t="s">
        <v>114</v>
      </c>
      <c r="P212" s="99" t="s">
        <v>3742</v>
      </c>
      <c r="Q212" s="99" t="s">
        <v>169</v>
      </c>
      <c r="R212" s="99" t="s">
        <v>3409</v>
      </c>
      <c r="S212" s="99" t="s">
        <v>2636</v>
      </c>
      <c r="T212" s="99" t="s">
        <v>52</v>
      </c>
      <c r="U212" s="99" t="s">
        <v>427</v>
      </c>
      <c r="V212" s="99" t="s">
        <v>428</v>
      </c>
      <c r="W212" s="99" t="s">
        <v>3742</v>
      </c>
      <c r="X212" s="99" t="s">
        <v>3742</v>
      </c>
      <c r="Y212" s="99" t="s">
        <v>3953</v>
      </c>
      <c r="Z212" s="99" t="s">
        <v>172</v>
      </c>
      <c r="AA212" s="99" t="s">
        <v>173</v>
      </c>
      <c r="AB212" s="99" t="s">
        <v>174</v>
      </c>
      <c r="AC212" s="99" t="s">
        <v>3411</v>
      </c>
      <c r="AD212" s="99" t="s">
        <v>175</v>
      </c>
      <c r="AE212" s="99" t="s">
        <v>3411</v>
      </c>
      <c r="AF212" s="99" t="s">
        <v>3411</v>
      </c>
      <c r="AG212" s="124">
        <v>3075</v>
      </c>
      <c r="AH212" s="99" t="s">
        <v>3413</v>
      </c>
      <c r="AI212" s="125">
        <v>100</v>
      </c>
      <c r="AJ212" s="99" t="s">
        <v>176</v>
      </c>
      <c r="AK212" s="99" t="s">
        <v>3742</v>
      </c>
      <c r="AL212" s="99" t="s">
        <v>3411</v>
      </c>
      <c r="AM212" s="99" t="s">
        <v>177</v>
      </c>
      <c r="AN212" s="99" t="s">
        <v>3411</v>
      </c>
      <c r="AO212" s="99" t="s">
        <v>412</v>
      </c>
      <c r="AP212" s="99" t="s">
        <v>2570</v>
      </c>
      <c r="AQ212" s="99" t="s">
        <v>3411</v>
      </c>
      <c r="AR212" s="99" t="s">
        <v>3411</v>
      </c>
      <c r="AS212" s="99" t="s">
        <v>2903</v>
      </c>
      <c r="AT212" s="99" t="s">
        <v>1</v>
      </c>
      <c r="AU212" s="99" t="s">
        <v>179</v>
      </c>
      <c r="AV212" s="99" t="s">
        <v>3414</v>
      </c>
      <c r="AW212" s="99" t="s">
        <v>180</v>
      </c>
      <c r="AX212" s="99" t="s">
        <v>3420</v>
      </c>
      <c r="AY212" s="99" t="s">
        <v>252</v>
      </c>
      <c r="AZ212" s="99" t="s">
        <v>3416</v>
      </c>
      <c r="BA212" s="99" t="s">
        <v>3942</v>
      </c>
      <c r="BB212" s="99" t="s">
        <v>843</v>
      </c>
      <c r="BC212" s="125">
        <v>40</v>
      </c>
      <c r="BD212" s="99" t="s">
        <v>3135</v>
      </c>
      <c r="BE212" s="99" t="s">
        <v>3136</v>
      </c>
    </row>
    <row r="213" spans="1:57" ht="12.95" customHeight="1">
      <c r="A213" s="124">
        <v>15</v>
      </c>
      <c r="B213" s="124">
        <v>2996</v>
      </c>
      <c r="C213" s="99" t="s">
        <v>165</v>
      </c>
      <c r="D213" s="99" t="s">
        <v>1012</v>
      </c>
      <c r="E213" s="99" t="s">
        <v>3298</v>
      </c>
      <c r="F213" s="99" t="s">
        <v>2780</v>
      </c>
      <c r="G213" s="99" t="s">
        <v>841</v>
      </c>
      <c r="H213" s="99" t="s">
        <v>3939</v>
      </c>
      <c r="I213" s="99" t="s">
        <v>842</v>
      </c>
      <c r="J213" s="99" t="s">
        <v>857</v>
      </c>
      <c r="K213" s="99" t="s">
        <v>409</v>
      </c>
      <c r="L213" s="99" t="s">
        <v>858</v>
      </c>
      <c r="M213" s="99" t="s">
        <v>5</v>
      </c>
      <c r="N213" s="99" t="s">
        <v>3407</v>
      </c>
      <c r="O213" s="99" t="s">
        <v>114</v>
      </c>
      <c r="P213" s="99" t="s">
        <v>3422</v>
      </c>
      <c r="Q213" s="99" t="s">
        <v>169</v>
      </c>
      <c r="R213" s="99" t="s">
        <v>3409</v>
      </c>
      <c r="S213" s="99" t="s">
        <v>2636</v>
      </c>
      <c r="T213" s="99" t="s">
        <v>52</v>
      </c>
      <c r="U213" s="99" t="s">
        <v>427</v>
      </c>
      <c r="V213" s="99" t="s">
        <v>428</v>
      </c>
      <c r="W213" s="99" t="s">
        <v>3789</v>
      </c>
      <c r="X213" s="99" t="s">
        <v>3789</v>
      </c>
      <c r="Y213" s="99" t="s">
        <v>3954</v>
      </c>
      <c r="Z213" s="99" t="s">
        <v>172</v>
      </c>
      <c r="AA213" s="99" t="s">
        <v>173</v>
      </c>
      <c r="AB213" s="99" t="s">
        <v>174</v>
      </c>
      <c r="AC213" s="99" t="s">
        <v>3411</v>
      </c>
      <c r="AD213" s="99" t="s">
        <v>175</v>
      </c>
      <c r="AE213" s="99" t="s">
        <v>3411</v>
      </c>
      <c r="AF213" s="99" t="s">
        <v>3411</v>
      </c>
      <c r="AG213" s="124">
        <v>2996</v>
      </c>
      <c r="AH213" s="99" t="s">
        <v>3413</v>
      </c>
      <c r="AI213" s="125">
        <v>100</v>
      </c>
      <c r="AJ213" s="99" t="s">
        <v>176</v>
      </c>
      <c r="AK213" s="99" t="s">
        <v>3789</v>
      </c>
      <c r="AL213" s="99" t="s">
        <v>3411</v>
      </c>
      <c r="AM213" s="99" t="s">
        <v>177</v>
      </c>
      <c r="AN213" s="99" t="s">
        <v>3411</v>
      </c>
      <c r="AO213" s="99" t="s">
        <v>178</v>
      </c>
      <c r="AP213" s="99" t="s">
        <v>2570</v>
      </c>
      <c r="AQ213" s="99" t="s">
        <v>3411</v>
      </c>
      <c r="AR213" s="99" t="s">
        <v>3411</v>
      </c>
      <c r="AS213" s="99" t="s">
        <v>859</v>
      </c>
      <c r="AT213" s="99" t="s">
        <v>1</v>
      </c>
      <c r="AU213" s="99" t="s">
        <v>179</v>
      </c>
      <c r="AV213" s="99" t="s">
        <v>3414</v>
      </c>
      <c r="AW213" s="99" t="s">
        <v>180</v>
      </c>
      <c r="AX213" s="99" t="s">
        <v>3420</v>
      </c>
      <c r="AY213" s="99" t="s">
        <v>252</v>
      </c>
      <c r="AZ213" s="99" t="s">
        <v>3416</v>
      </c>
      <c r="BA213" s="99" t="s">
        <v>3942</v>
      </c>
      <c r="BB213" s="99" t="s">
        <v>843</v>
      </c>
      <c r="BC213" s="125">
        <v>38</v>
      </c>
      <c r="BD213" s="99" t="s">
        <v>3135</v>
      </c>
      <c r="BE213" s="99" t="s">
        <v>3136</v>
      </c>
    </row>
    <row r="214" spans="1:57" ht="12.95" customHeight="1">
      <c r="A214" s="124">
        <v>15</v>
      </c>
      <c r="B214" s="124">
        <v>1672</v>
      </c>
      <c r="C214" s="99" t="s">
        <v>165</v>
      </c>
      <c r="D214" s="99" t="s">
        <v>1012</v>
      </c>
      <c r="E214" s="99" t="s">
        <v>3298</v>
      </c>
      <c r="F214" s="99" t="s">
        <v>2780</v>
      </c>
      <c r="G214" s="99" t="s">
        <v>841</v>
      </c>
      <c r="H214" s="99" t="s">
        <v>3939</v>
      </c>
      <c r="I214" s="99" t="s">
        <v>842</v>
      </c>
      <c r="J214" s="99" t="s">
        <v>860</v>
      </c>
      <c r="K214" s="99" t="s">
        <v>579</v>
      </c>
      <c r="L214" s="99" t="s">
        <v>861</v>
      </c>
      <c r="M214" s="99" t="s">
        <v>5</v>
      </c>
      <c r="N214" s="99" t="s">
        <v>3407</v>
      </c>
      <c r="O214" s="99" t="s">
        <v>114</v>
      </c>
      <c r="P214" s="99" t="s">
        <v>3422</v>
      </c>
      <c r="Q214" s="99" t="s">
        <v>169</v>
      </c>
      <c r="R214" s="99" t="s">
        <v>3409</v>
      </c>
      <c r="S214" s="99" t="s">
        <v>2636</v>
      </c>
      <c r="T214" s="99" t="s">
        <v>48</v>
      </c>
      <c r="U214" s="99" t="s">
        <v>170</v>
      </c>
      <c r="V214" s="99" t="s">
        <v>171</v>
      </c>
      <c r="W214" s="99" t="s">
        <v>3661</v>
      </c>
      <c r="X214" s="99" t="s">
        <v>3661</v>
      </c>
      <c r="Y214" s="99" t="s">
        <v>3769</v>
      </c>
      <c r="Z214" s="99" t="s">
        <v>172</v>
      </c>
      <c r="AA214" s="99" t="s">
        <v>173</v>
      </c>
      <c r="AB214" s="99" t="s">
        <v>174</v>
      </c>
      <c r="AC214" s="99" t="s">
        <v>3411</v>
      </c>
      <c r="AD214" s="99" t="s">
        <v>175</v>
      </c>
      <c r="AE214" s="99" t="s">
        <v>3411</v>
      </c>
      <c r="AF214" s="99" t="s">
        <v>3411</v>
      </c>
      <c r="AG214" s="124">
        <v>1332</v>
      </c>
      <c r="AH214" s="99" t="s">
        <v>3413</v>
      </c>
      <c r="AI214" s="125">
        <v>100</v>
      </c>
      <c r="AJ214" s="99" t="s">
        <v>176</v>
      </c>
      <c r="AK214" s="99" t="s">
        <v>3661</v>
      </c>
      <c r="AL214" s="99" t="s">
        <v>3411</v>
      </c>
      <c r="AM214" s="99" t="s">
        <v>177</v>
      </c>
      <c r="AN214" s="99" t="s">
        <v>3411</v>
      </c>
      <c r="AO214" s="99" t="s">
        <v>178</v>
      </c>
      <c r="AP214" s="99" t="s">
        <v>2570</v>
      </c>
      <c r="AQ214" s="99" t="s">
        <v>3411</v>
      </c>
      <c r="AR214" s="99" t="s">
        <v>210</v>
      </c>
      <c r="AS214" s="99" t="s">
        <v>862</v>
      </c>
      <c r="AT214" s="99" t="s">
        <v>1</v>
      </c>
      <c r="AU214" s="99" t="s">
        <v>179</v>
      </c>
      <c r="AV214" s="99" t="s">
        <v>3414</v>
      </c>
      <c r="AW214" s="99" t="s">
        <v>180</v>
      </c>
      <c r="AX214" s="99" t="s">
        <v>3420</v>
      </c>
      <c r="AY214" s="99" t="s">
        <v>252</v>
      </c>
      <c r="AZ214" s="99" t="s">
        <v>3416</v>
      </c>
      <c r="BA214" s="99" t="s">
        <v>3942</v>
      </c>
      <c r="BB214" s="99" t="s">
        <v>843</v>
      </c>
      <c r="BC214" s="125">
        <v>57</v>
      </c>
      <c r="BD214" s="99" t="s">
        <v>3135</v>
      </c>
      <c r="BE214" s="99" t="s">
        <v>3136</v>
      </c>
    </row>
    <row r="215" spans="1:57" ht="12.95" customHeight="1">
      <c r="A215" s="124">
        <v>15</v>
      </c>
      <c r="B215" s="124">
        <v>1848</v>
      </c>
      <c r="C215" s="99" t="s">
        <v>165</v>
      </c>
      <c r="D215" s="99" t="s">
        <v>1012</v>
      </c>
      <c r="E215" s="99" t="s">
        <v>3298</v>
      </c>
      <c r="F215" s="99" t="s">
        <v>2780</v>
      </c>
      <c r="G215" s="99" t="s">
        <v>841</v>
      </c>
      <c r="H215" s="99" t="s">
        <v>3939</v>
      </c>
      <c r="I215" s="99" t="s">
        <v>842</v>
      </c>
      <c r="J215" s="99" t="s">
        <v>863</v>
      </c>
      <c r="K215" s="99" t="s">
        <v>671</v>
      </c>
      <c r="L215" s="99" t="s">
        <v>864</v>
      </c>
      <c r="M215" s="99" t="s">
        <v>5</v>
      </c>
      <c r="N215" s="99" t="s">
        <v>3407</v>
      </c>
      <c r="O215" s="99" t="s">
        <v>114</v>
      </c>
      <c r="P215" s="99" t="s">
        <v>3422</v>
      </c>
      <c r="Q215" s="99" t="s">
        <v>169</v>
      </c>
      <c r="R215" s="99" t="s">
        <v>3409</v>
      </c>
      <c r="S215" s="99" t="s">
        <v>2636</v>
      </c>
      <c r="T215" s="99" t="s">
        <v>52</v>
      </c>
      <c r="U215" s="99" t="s">
        <v>427</v>
      </c>
      <c r="V215" s="99" t="s">
        <v>428</v>
      </c>
      <c r="W215" s="99" t="s">
        <v>3563</v>
      </c>
      <c r="X215" s="99" t="s">
        <v>3955</v>
      </c>
      <c r="Y215" s="99" t="s">
        <v>3956</v>
      </c>
      <c r="Z215" s="99" t="s">
        <v>172</v>
      </c>
      <c r="AA215" s="99" t="s">
        <v>173</v>
      </c>
      <c r="AB215" s="99" t="s">
        <v>400</v>
      </c>
      <c r="AC215" s="99" t="s">
        <v>3411</v>
      </c>
      <c r="AD215" s="99" t="s">
        <v>175</v>
      </c>
      <c r="AE215" s="99" t="s">
        <v>3411</v>
      </c>
      <c r="AF215" s="99" t="s">
        <v>3411</v>
      </c>
      <c r="AG215" s="124">
        <v>1468</v>
      </c>
      <c r="AH215" s="99" t="s">
        <v>3413</v>
      </c>
      <c r="AI215" s="125">
        <v>100</v>
      </c>
      <c r="AJ215" s="99" t="s">
        <v>176</v>
      </c>
      <c r="AK215" s="99" t="s">
        <v>3563</v>
      </c>
      <c r="AL215" s="99" t="s">
        <v>3411</v>
      </c>
      <c r="AM215" s="99" t="s">
        <v>177</v>
      </c>
      <c r="AN215" s="99" t="s">
        <v>3411</v>
      </c>
      <c r="AO215" s="99" t="s">
        <v>178</v>
      </c>
      <c r="AP215" s="99" t="s">
        <v>2570</v>
      </c>
      <c r="AQ215" s="99" t="s">
        <v>3411</v>
      </c>
      <c r="AR215" s="99" t="s">
        <v>3411</v>
      </c>
      <c r="AS215" s="99" t="s">
        <v>865</v>
      </c>
      <c r="AT215" s="99" t="s">
        <v>1</v>
      </c>
      <c r="AU215" s="99" t="s">
        <v>179</v>
      </c>
      <c r="AV215" s="99" t="s">
        <v>3414</v>
      </c>
      <c r="AW215" s="99" t="s">
        <v>180</v>
      </c>
      <c r="AX215" s="99" t="s">
        <v>3836</v>
      </c>
      <c r="AY215" s="99" t="s">
        <v>252</v>
      </c>
      <c r="AZ215" s="99" t="s">
        <v>5013</v>
      </c>
      <c r="BA215" s="99" t="s">
        <v>3942</v>
      </c>
      <c r="BB215" s="99" t="s">
        <v>843</v>
      </c>
      <c r="BC215" s="125">
        <v>56</v>
      </c>
      <c r="BD215" s="99" t="s">
        <v>3135</v>
      </c>
      <c r="BE215" s="99" t="s">
        <v>3136</v>
      </c>
    </row>
    <row r="216" spans="1:57" ht="12.95" customHeight="1">
      <c r="A216" s="124">
        <v>15</v>
      </c>
      <c r="B216" s="124">
        <v>659</v>
      </c>
      <c r="C216" s="99" t="s">
        <v>165</v>
      </c>
      <c r="D216" s="99" t="s">
        <v>1012</v>
      </c>
      <c r="E216" s="99" t="s">
        <v>3298</v>
      </c>
      <c r="F216" s="99" t="s">
        <v>2780</v>
      </c>
      <c r="G216" s="99" t="s">
        <v>841</v>
      </c>
      <c r="H216" s="99" t="s">
        <v>3939</v>
      </c>
      <c r="I216" s="99" t="s">
        <v>842</v>
      </c>
      <c r="J216" s="99" t="s">
        <v>866</v>
      </c>
      <c r="K216" s="99" t="s">
        <v>867</v>
      </c>
      <c r="L216" s="99" t="s">
        <v>868</v>
      </c>
      <c r="M216" s="99" t="s">
        <v>1</v>
      </c>
      <c r="N216" s="99" t="s">
        <v>3407</v>
      </c>
      <c r="O216" s="99" t="s">
        <v>114</v>
      </c>
      <c r="P216" s="99" t="s">
        <v>3422</v>
      </c>
      <c r="Q216" s="99" t="s">
        <v>169</v>
      </c>
      <c r="R216" s="99" t="s">
        <v>3409</v>
      </c>
      <c r="S216" s="99" t="s">
        <v>2636</v>
      </c>
      <c r="T216" s="99" t="s">
        <v>48</v>
      </c>
      <c r="U216" s="99" t="s">
        <v>184</v>
      </c>
      <c r="V216" s="99" t="s">
        <v>185</v>
      </c>
      <c r="W216" s="99" t="s">
        <v>3957</v>
      </c>
      <c r="X216" s="99" t="s">
        <v>3957</v>
      </c>
      <c r="Y216" s="99" t="s">
        <v>3958</v>
      </c>
      <c r="Z216" s="99" t="s">
        <v>172</v>
      </c>
      <c r="AA216" s="99" t="s">
        <v>173</v>
      </c>
      <c r="AB216" s="99" t="s">
        <v>174</v>
      </c>
      <c r="AC216" s="99" t="s">
        <v>3411</v>
      </c>
      <c r="AD216" s="99" t="s">
        <v>175</v>
      </c>
      <c r="AE216" s="99" t="s">
        <v>3411</v>
      </c>
      <c r="AF216" s="99" t="s">
        <v>3411</v>
      </c>
      <c r="AG216" s="124">
        <v>482</v>
      </c>
      <c r="AH216" s="99" t="s">
        <v>3413</v>
      </c>
      <c r="AI216" s="125">
        <v>100</v>
      </c>
      <c r="AJ216" s="99" t="s">
        <v>176</v>
      </c>
      <c r="AK216" s="99" t="s">
        <v>3957</v>
      </c>
      <c r="AL216" s="99" t="s">
        <v>3411</v>
      </c>
      <c r="AM216" s="99" t="s">
        <v>177</v>
      </c>
      <c r="AN216" s="99" t="s">
        <v>3411</v>
      </c>
      <c r="AO216" s="99" t="s">
        <v>178</v>
      </c>
      <c r="AP216" s="99" t="s">
        <v>2570</v>
      </c>
      <c r="AQ216" s="99" t="s">
        <v>3411</v>
      </c>
      <c r="AR216" s="99" t="s">
        <v>3411</v>
      </c>
      <c r="AS216" s="99" t="s">
        <v>869</v>
      </c>
      <c r="AT216" s="99" t="s">
        <v>1</v>
      </c>
      <c r="AU216" s="99" t="s">
        <v>179</v>
      </c>
      <c r="AV216" s="99" t="s">
        <v>3414</v>
      </c>
      <c r="AW216" s="99" t="s">
        <v>180</v>
      </c>
      <c r="AX216" s="99" t="s">
        <v>3481</v>
      </c>
      <c r="AY216" s="99" t="s">
        <v>252</v>
      </c>
      <c r="AZ216" s="99" t="s">
        <v>3416</v>
      </c>
      <c r="BA216" s="99" t="s">
        <v>3942</v>
      </c>
      <c r="BB216" s="99" t="s">
        <v>843</v>
      </c>
      <c r="BC216" s="125">
        <v>56</v>
      </c>
      <c r="BD216" s="99" t="s">
        <v>3135</v>
      </c>
      <c r="BE216" s="99" t="s">
        <v>3136</v>
      </c>
    </row>
    <row r="217" spans="1:57" ht="12.95" customHeight="1">
      <c r="A217" s="124">
        <v>15</v>
      </c>
      <c r="B217" s="124">
        <v>1822</v>
      </c>
      <c r="C217" s="99" t="s">
        <v>165</v>
      </c>
      <c r="D217" s="99" t="s">
        <v>1012</v>
      </c>
      <c r="E217" s="99" t="s">
        <v>3298</v>
      </c>
      <c r="F217" s="99" t="s">
        <v>1019</v>
      </c>
      <c r="G217" s="99" t="s">
        <v>3299</v>
      </c>
      <c r="H217" s="99" t="s">
        <v>3959</v>
      </c>
      <c r="I217" s="99" t="s">
        <v>2698</v>
      </c>
      <c r="J217" s="99" t="s">
        <v>1021</v>
      </c>
      <c r="K217" s="99" t="s">
        <v>291</v>
      </c>
      <c r="L217" s="99" t="s">
        <v>1022</v>
      </c>
      <c r="M217" s="99" t="s">
        <v>5</v>
      </c>
      <c r="N217" s="99" t="s">
        <v>3407</v>
      </c>
      <c r="O217" s="99" t="s">
        <v>114</v>
      </c>
      <c r="P217" s="99" t="s">
        <v>3422</v>
      </c>
      <c r="Q217" s="99" t="s">
        <v>169</v>
      </c>
      <c r="R217" s="99" t="s">
        <v>3409</v>
      </c>
      <c r="S217" s="99" t="s">
        <v>2636</v>
      </c>
      <c r="T217" s="99" t="s">
        <v>48</v>
      </c>
      <c r="U217" s="99" t="s">
        <v>184</v>
      </c>
      <c r="V217" s="99" t="s">
        <v>185</v>
      </c>
      <c r="W217" s="99" t="s">
        <v>3563</v>
      </c>
      <c r="X217" s="99" t="s">
        <v>3724</v>
      </c>
      <c r="Y217" s="99" t="s">
        <v>3960</v>
      </c>
      <c r="Z217" s="99" t="s">
        <v>172</v>
      </c>
      <c r="AA217" s="99" t="s">
        <v>173</v>
      </c>
      <c r="AB217" s="99" t="s">
        <v>400</v>
      </c>
      <c r="AC217" s="99" t="s">
        <v>3411</v>
      </c>
      <c r="AD217" s="99" t="s">
        <v>175</v>
      </c>
      <c r="AE217" s="99" t="s">
        <v>3411</v>
      </c>
      <c r="AF217" s="99" t="s">
        <v>3411</v>
      </c>
      <c r="AG217" s="124">
        <v>1442</v>
      </c>
      <c r="AH217" s="99" t="s">
        <v>3413</v>
      </c>
      <c r="AI217" s="125">
        <v>100</v>
      </c>
      <c r="AJ217" s="99" t="s">
        <v>176</v>
      </c>
      <c r="AK217" s="99" t="s">
        <v>3563</v>
      </c>
      <c r="AL217" s="99" t="s">
        <v>3411</v>
      </c>
      <c r="AM217" s="99" t="s">
        <v>177</v>
      </c>
      <c r="AN217" s="99" t="s">
        <v>3411</v>
      </c>
      <c r="AO217" s="99" t="s">
        <v>178</v>
      </c>
      <c r="AP217" s="99" t="s">
        <v>2570</v>
      </c>
      <c r="AQ217" s="99" t="s">
        <v>3411</v>
      </c>
      <c r="AR217" s="99" t="s">
        <v>210</v>
      </c>
      <c r="AS217" s="99" t="s">
        <v>1023</v>
      </c>
      <c r="AT217" s="99" t="s">
        <v>1</v>
      </c>
      <c r="AU217" s="99" t="s">
        <v>179</v>
      </c>
      <c r="AV217" s="99" t="s">
        <v>3414</v>
      </c>
      <c r="AW217" s="99" t="s">
        <v>180</v>
      </c>
      <c r="AX217" s="99" t="s">
        <v>3420</v>
      </c>
      <c r="AY217" s="99" t="s">
        <v>252</v>
      </c>
      <c r="AZ217" s="99" t="s">
        <v>3416</v>
      </c>
      <c r="BA217" s="99" t="s">
        <v>3961</v>
      </c>
      <c r="BB217" s="99" t="s">
        <v>3335</v>
      </c>
      <c r="BC217" s="125">
        <v>54</v>
      </c>
      <c r="BD217" s="99" t="s">
        <v>3135</v>
      </c>
      <c r="BE217" s="99" t="s">
        <v>3136</v>
      </c>
    </row>
    <row r="218" spans="1:57" ht="12.95" customHeight="1">
      <c r="A218" s="124">
        <v>15</v>
      </c>
      <c r="B218" s="124">
        <v>3056</v>
      </c>
      <c r="C218" s="99" t="s">
        <v>165</v>
      </c>
      <c r="D218" s="99" t="s">
        <v>1012</v>
      </c>
      <c r="E218" s="99" t="s">
        <v>3298</v>
      </c>
      <c r="F218" s="99" t="s">
        <v>1019</v>
      </c>
      <c r="G218" s="99" t="s">
        <v>3299</v>
      </c>
      <c r="H218" s="99" t="s">
        <v>3959</v>
      </c>
      <c r="I218" s="99" t="s">
        <v>2698</v>
      </c>
      <c r="J218" s="99" t="s">
        <v>2699</v>
      </c>
      <c r="K218" s="99" t="s">
        <v>203</v>
      </c>
      <c r="L218" s="99" t="s">
        <v>2700</v>
      </c>
      <c r="M218" s="99" t="s">
        <v>5</v>
      </c>
      <c r="N218" s="99" t="s">
        <v>3407</v>
      </c>
      <c r="O218" s="99" t="s">
        <v>114</v>
      </c>
      <c r="P218" s="99" t="s">
        <v>3962</v>
      </c>
      <c r="Q218" s="99" t="s">
        <v>169</v>
      </c>
      <c r="R218" s="99" t="s">
        <v>3409</v>
      </c>
      <c r="S218" s="99" t="s">
        <v>2636</v>
      </c>
      <c r="T218" s="99" t="s">
        <v>48</v>
      </c>
      <c r="U218" s="99" t="s">
        <v>170</v>
      </c>
      <c r="V218" s="99" t="s">
        <v>171</v>
      </c>
      <c r="W218" s="99" t="s">
        <v>3962</v>
      </c>
      <c r="X218" s="99" t="s">
        <v>3962</v>
      </c>
      <c r="Y218" s="99" t="s">
        <v>3963</v>
      </c>
      <c r="Z218" s="99" t="s">
        <v>172</v>
      </c>
      <c r="AA218" s="99" t="s">
        <v>173</v>
      </c>
      <c r="AB218" s="99" t="s">
        <v>174</v>
      </c>
      <c r="AC218" s="99" t="s">
        <v>3411</v>
      </c>
      <c r="AD218" s="99" t="s">
        <v>175</v>
      </c>
      <c r="AE218" s="99" t="s">
        <v>3411</v>
      </c>
      <c r="AF218" s="99" t="s">
        <v>3411</v>
      </c>
      <c r="AG218" s="124">
        <v>3056</v>
      </c>
      <c r="AH218" s="99" t="s">
        <v>3413</v>
      </c>
      <c r="AI218" s="125">
        <v>100</v>
      </c>
      <c r="AJ218" s="99" t="s">
        <v>176</v>
      </c>
      <c r="AK218" s="99" t="s">
        <v>3962</v>
      </c>
      <c r="AL218" s="99" t="s">
        <v>3411</v>
      </c>
      <c r="AM218" s="99" t="s">
        <v>177</v>
      </c>
      <c r="AN218" s="99" t="s">
        <v>3411</v>
      </c>
      <c r="AO218" s="99" t="s">
        <v>412</v>
      </c>
      <c r="AP218" s="99" t="s">
        <v>2570</v>
      </c>
      <c r="AQ218" s="99" t="s">
        <v>3411</v>
      </c>
      <c r="AR218" s="99" t="s">
        <v>3411</v>
      </c>
      <c r="AS218" s="99" t="s">
        <v>2701</v>
      </c>
      <c r="AT218" s="99" t="s">
        <v>1</v>
      </c>
      <c r="AU218" s="99" t="s">
        <v>179</v>
      </c>
      <c r="AV218" s="99" t="s">
        <v>3414</v>
      </c>
      <c r="AW218" s="99" t="s">
        <v>180</v>
      </c>
      <c r="AX218" s="99" t="s">
        <v>3420</v>
      </c>
      <c r="AY218" s="99" t="s">
        <v>252</v>
      </c>
      <c r="AZ218" s="99" t="s">
        <v>3416</v>
      </c>
      <c r="BA218" s="99" t="s">
        <v>3964</v>
      </c>
      <c r="BB218" s="99" t="s">
        <v>1086</v>
      </c>
      <c r="BC218" s="125">
        <v>39</v>
      </c>
      <c r="BD218" s="99" t="s">
        <v>3135</v>
      </c>
      <c r="BE218" s="99" t="s">
        <v>3136</v>
      </c>
    </row>
    <row r="219" spans="1:57" ht="12.95" customHeight="1">
      <c r="A219" s="124">
        <v>15</v>
      </c>
      <c r="B219" s="124">
        <v>1310</v>
      </c>
      <c r="C219" s="99" t="s">
        <v>165</v>
      </c>
      <c r="D219" s="99" t="s">
        <v>1012</v>
      </c>
      <c r="E219" s="99" t="s">
        <v>3298</v>
      </c>
      <c r="F219" s="99" t="s">
        <v>1019</v>
      </c>
      <c r="G219" s="99" t="s">
        <v>3299</v>
      </c>
      <c r="H219" s="99" t="s">
        <v>3959</v>
      </c>
      <c r="I219" s="99" t="s">
        <v>2698</v>
      </c>
      <c r="J219" s="99" t="s">
        <v>1034</v>
      </c>
      <c r="K219" s="99" t="s">
        <v>304</v>
      </c>
      <c r="L219" s="99" t="s">
        <v>1035</v>
      </c>
      <c r="M219" s="99" t="s">
        <v>5</v>
      </c>
      <c r="N219" s="99" t="s">
        <v>3407</v>
      </c>
      <c r="O219" s="99" t="s">
        <v>114</v>
      </c>
      <c r="P219" s="99" t="s">
        <v>3422</v>
      </c>
      <c r="Q219" s="99" t="s">
        <v>169</v>
      </c>
      <c r="R219" s="99" t="s">
        <v>3409</v>
      </c>
      <c r="S219" s="99" t="s">
        <v>2636</v>
      </c>
      <c r="T219" s="99" t="s">
        <v>48</v>
      </c>
      <c r="U219" s="99" t="s">
        <v>184</v>
      </c>
      <c r="V219" s="99" t="s">
        <v>185</v>
      </c>
      <c r="W219" s="99" t="s">
        <v>3683</v>
      </c>
      <c r="X219" s="99" t="s">
        <v>3683</v>
      </c>
      <c r="Y219" s="99" t="s">
        <v>3965</v>
      </c>
      <c r="Z219" s="99" t="s">
        <v>172</v>
      </c>
      <c r="AA219" s="99" t="s">
        <v>173</v>
      </c>
      <c r="AB219" s="99" t="s">
        <v>174</v>
      </c>
      <c r="AC219" s="99" t="s">
        <v>3411</v>
      </c>
      <c r="AD219" s="99" t="s">
        <v>175</v>
      </c>
      <c r="AE219" s="99" t="s">
        <v>3411</v>
      </c>
      <c r="AF219" s="99" t="s">
        <v>3411</v>
      </c>
      <c r="AG219" s="124">
        <v>1037</v>
      </c>
      <c r="AH219" s="99" t="s">
        <v>3413</v>
      </c>
      <c r="AI219" s="125">
        <v>100</v>
      </c>
      <c r="AJ219" s="99" t="s">
        <v>176</v>
      </c>
      <c r="AK219" s="99" t="s">
        <v>3683</v>
      </c>
      <c r="AL219" s="99" t="s">
        <v>3411</v>
      </c>
      <c r="AM219" s="99" t="s">
        <v>177</v>
      </c>
      <c r="AN219" s="99" t="s">
        <v>3411</v>
      </c>
      <c r="AO219" s="99" t="s">
        <v>178</v>
      </c>
      <c r="AP219" s="99" t="s">
        <v>2570</v>
      </c>
      <c r="AQ219" s="99" t="s">
        <v>3411</v>
      </c>
      <c r="AR219" s="99" t="s">
        <v>3411</v>
      </c>
      <c r="AS219" s="99" t="s">
        <v>1036</v>
      </c>
      <c r="AT219" s="99" t="s">
        <v>1</v>
      </c>
      <c r="AU219" s="99" t="s">
        <v>179</v>
      </c>
      <c r="AV219" s="99" t="s">
        <v>3414</v>
      </c>
      <c r="AW219" s="99" t="s">
        <v>180</v>
      </c>
      <c r="AX219" s="99" t="s">
        <v>3420</v>
      </c>
      <c r="AY219" s="99" t="s">
        <v>252</v>
      </c>
      <c r="AZ219" s="99" t="s">
        <v>3416</v>
      </c>
      <c r="BA219" s="99" t="s">
        <v>3964</v>
      </c>
      <c r="BB219" s="99" t="s">
        <v>1086</v>
      </c>
      <c r="BC219" s="125">
        <v>53</v>
      </c>
      <c r="BD219" s="99" t="s">
        <v>3135</v>
      </c>
      <c r="BE219" s="99" t="s">
        <v>3136</v>
      </c>
    </row>
    <row r="220" spans="1:57" ht="12.95" customHeight="1">
      <c r="A220" s="124">
        <v>15</v>
      </c>
      <c r="B220" s="124">
        <v>2429</v>
      </c>
      <c r="C220" s="99" t="s">
        <v>165</v>
      </c>
      <c r="D220" s="99" t="s">
        <v>1012</v>
      </c>
      <c r="E220" s="99" t="s">
        <v>3298</v>
      </c>
      <c r="F220" s="99" t="s">
        <v>1019</v>
      </c>
      <c r="G220" s="99" t="s">
        <v>3299</v>
      </c>
      <c r="H220" s="99" t="s">
        <v>3959</v>
      </c>
      <c r="I220" s="99" t="s">
        <v>2698</v>
      </c>
      <c r="J220" s="99" t="s">
        <v>431</v>
      </c>
      <c r="K220" s="99" t="s">
        <v>483</v>
      </c>
      <c r="L220" s="99" t="s">
        <v>1025</v>
      </c>
      <c r="M220" s="99" t="s">
        <v>5</v>
      </c>
      <c r="N220" s="99" t="s">
        <v>3407</v>
      </c>
      <c r="O220" s="99" t="s">
        <v>114</v>
      </c>
      <c r="P220" s="99" t="s">
        <v>3422</v>
      </c>
      <c r="Q220" s="99" t="s">
        <v>169</v>
      </c>
      <c r="R220" s="99" t="s">
        <v>3409</v>
      </c>
      <c r="S220" s="99" t="s">
        <v>2636</v>
      </c>
      <c r="T220" s="99" t="s">
        <v>48</v>
      </c>
      <c r="U220" s="99" t="s">
        <v>170</v>
      </c>
      <c r="V220" s="99" t="s">
        <v>171</v>
      </c>
      <c r="W220" s="99" t="s">
        <v>3966</v>
      </c>
      <c r="X220" s="99" t="s">
        <v>3966</v>
      </c>
      <c r="Y220" s="99" t="s">
        <v>3967</v>
      </c>
      <c r="Z220" s="99" t="s">
        <v>172</v>
      </c>
      <c r="AA220" s="99" t="s">
        <v>173</v>
      </c>
      <c r="AB220" s="99" t="s">
        <v>174</v>
      </c>
      <c r="AC220" s="99" t="s">
        <v>3411</v>
      </c>
      <c r="AD220" s="99" t="s">
        <v>175</v>
      </c>
      <c r="AE220" s="99" t="s">
        <v>3411</v>
      </c>
      <c r="AF220" s="99" t="s">
        <v>3411</v>
      </c>
      <c r="AG220" s="124">
        <v>2429</v>
      </c>
      <c r="AH220" s="99" t="s">
        <v>3413</v>
      </c>
      <c r="AI220" s="125">
        <v>100</v>
      </c>
      <c r="AJ220" s="99" t="s">
        <v>176</v>
      </c>
      <c r="AK220" s="99" t="s">
        <v>3966</v>
      </c>
      <c r="AL220" s="99" t="s">
        <v>3411</v>
      </c>
      <c r="AM220" s="99" t="s">
        <v>177</v>
      </c>
      <c r="AN220" s="99" t="s">
        <v>3411</v>
      </c>
      <c r="AO220" s="99" t="s">
        <v>178</v>
      </c>
      <c r="AP220" s="99" t="s">
        <v>2570</v>
      </c>
      <c r="AQ220" s="99" t="s">
        <v>3411</v>
      </c>
      <c r="AR220" s="99" t="s">
        <v>234</v>
      </c>
      <c r="AS220" s="99" t="s">
        <v>1026</v>
      </c>
      <c r="AT220" s="99" t="s">
        <v>1</v>
      </c>
      <c r="AU220" s="99" t="s">
        <v>179</v>
      </c>
      <c r="AV220" s="99" t="s">
        <v>3414</v>
      </c>
      <c r="AW220" s="99" t="s">
        <v>180</v>
      </c>
      <c r="AX220" s="99" t="s">
        <v>3420</v>
      </c>
      <c r="AY220" s="99" t="s">
        <v>252</v>
      </c>
      <c r="AZ220" s="99" t="s">
        <v>3416</v>
      </c>
      <c r="BA220" s="99" t="s">
        <v>3968</v>
      </c>
      <c r="BB220" s="99" t="s">
        <v>3336</v>
      </c>
      <c r="BC220" s="125">
        <v>57</v>
      </c>
      <c r="BD220" s="99" t="s">
        <v>3135</v>
      </c>
      <c r="BE220" s="99" t="s">
        <v>3136</v>
      </c>
    </row>
    <row r="221" spans="1:57" ht="12.95" customHeight="1">
      <c r="A221" s="124">
        <v>15</v>
      </c>
      <c r="B221" s="124">
        <v>1595</v>
      </c>
      <c r="C221" s="99" t="s">
        <v>165</v>
      </c>
      <c r="D221" s="99" t="s">
        <v>1012</v>
      </c>
      <c r="E221" s="99" t="s">
        <v>3298</v>
      </c>
      <c r="F221" s="99" t="s">
        <v>1019</v>
      </c>
      <c r="G221" s="99" t="s">
        <v>3299</v>
      </c>
      <c r="H221" s="99" t="s">
        <v>3959</v>
      </c>
      <c r="I221" s="99" t="s">
        <v>2698</v>
      </c>
      <c r="J221" s="99" t="s">
        <v>1038</v>
      </c>
      <c r="K221" s="99" t="s">
        <v>1039</v>
      </c>
      <c r="L221" s="99" t="s">
        <v>1040</v>
      </c>
      <c r="M221" s="99" t="s">
        <v>5</v>
      </c>
      <c r="N221" s="99" t="s">
        <v>3407</v>
      </c>
      <c r="O221" s="99" t="s">
        <v>114</v>
      </c>
      <c r="P221" s="99" t="s">
        <v>3422</v>
      </c>
      <c r="Q221" s="99" t="s">
        <v>169</v>
      </c>
      <c r="R221" s="99" t="s">
        <v>3409</v>
      </c>
      <c r="S221" s="99" t="s">
        <v>2636</v>
      </c>
      <c r="T221" s="99" t="s">
        <v>48</v>
      </c>
      <c r="U221" s="99" t="s">
        <v>184</v>
      </c>
      <c r="V221" s="99" t="s">
        <v>185</v>
      </c>
      <c r="W221" s="99" t="s">
        <v>3969</v>
      </c>
      <c r="X221" s="99" t="s">
        <v>3969</v>
      </c>
      <c r="Y221" s="99" t="s">
        <v>3970</v>
      </c>
      <c r="Z221" s="99" t="s">
        <v>172</v>
      </c>
      <c r="AA221" s="99" t="s">
        <v>173</v>
      </c>
      <c r="AB221" s="99" t="s">
        <v>174</v>
      </c>
      <c r="AC221" s="99" t="s">
        <v>3411</v>
      </c>
      <c r="AD221" s="99" t="s">
        <v>175</v>
      </c>
      <c r="AE221" s="99" t="s">
        <v>3411</v>
      </c>
      <c r="AF221" s="99" t="s">
        <v>3411</v>
      </c>
      <c r="AG221" s="124">
        <v>1264</v>
      </c>
      <c r="AH221" s="99" t="s">
        <v>3413</v>
      </c>
      <c r="AI221" s="125">
        <v>100</v>
      </c>
      <c r="AJ221" s="99" t="s">
        <v>176</v>
      </c>
      <c r="AK221" s="99" t="s">
        <v>3969</v>
      </c>
      <c r="AL221" s="99" t="s">
        <v>3411</v>
      </c>
      <c r="AM221" s="99" t="s">
        <v>177</v>
      </c>
      <c r="AN221" s="99" t="s">
        <v>3411</v>
      </c>
      <c r="AO221" s="99" t="s">
        <v>178</v>
      </c>
      <c r="AP221" s="99" t="s">
        <v>2570</v>
      </c>
      <c r="AQ221" s="99" t="s">
        <v>3411</v>
      </c>
      <c r="AR221" s="99" t="s">
        <v>3411</v>
      </c>
      <c r="AS221" s="99" t="s">
        <v>1041</v>
      </c>
      <c r="AT221" s="99" t="s">
        <v>1</v>
      </c>
      <c r="AU221" s="99" t="s">
        <v>179</v>
      </c>
      <c r="AV221" s="99" t="s">
        <v>3414</v>
      </c>
      <c r="AW221" s="99" t="s">
        <v>180</v>
      </c>
      <c r="AX221" s="99" t="s">
        <v>3420</v>
      </c>
      <c r="AY221" s="99" t="s">
        <v>252</v>
      </c>
      <c r="AZ221" s="99" t="s">
        <v>3416</v>
      </c>
      <c r="BA221" s="99" t="s">
        <v>3417</v>
      </c>
      <c r="BB221" s="99" t="s">
        <v>3097</v>
      </c>
      <c r="BC221" s="125">
        <v>59</v>
      </c>
      <c r="BD221" s="99" t="s">
        <v>3135</v>
      </c>
      <c r="BE221" s="99" t="s">
        <v>3136</v>
      </c>
    </row>
    <row r="222" spans="1:57" ht="12.95" customHeight="1">
      <c r="A222" s="124">
        <v>15</v>
      </c>
      <c r="B222" s="124">
        <v>3005</v>
      </c>
      <c r="C222" s="99" t="s">
        <v>165</v>
      </c>
      <c r="D222" s="99" t="s">
        <v>1012</v>
      </c>
      <c r="E222" s="99" t="s">
        <v>3298</v>
      </c>
      <c r="F222" s="99" t="s">
        <v>1019</v>
      </c>
      <c r="G222" s="99" t="s">
        <v>3299</v>
      </c>
      <c r="H222" s="99" t="s">
        <v>3959</v>
      </c>
      <c r="I222" s="99" t="s">
        <v>2698</v>
      </c>
      <c r="J222" s="99" t="s">
        <v>1042</v>
      </c>
      <c r="K222" s="99" t="s">
        <v>1043</v>
      </c>
      <c r="L222" s="99" t="s">
        <v>1044</v>
      </c>
      <c r="M222" s="99" t="s">
        <v>1</v>
      </c>
      <c r="N222" s="99" t="s">
        <v>3407</v>
      </c>
      <c r="O222" s="99" t="s">
        <v>114</v>
      </c>
      <c r="P222" s="99" t="s">
        <v>3422</v>
      </c>
      <c r="Q222" s="99" t="s">
        <v>169</v>
      </c>
      <c r="R222" s="99" t="s">
        <v>3409</v>
      </c>
      <c r="S222" s="99" t="s">
        <v>2636</v>
      </c>
      <c r="T222" s="99" t="s">
        <v>48</v>
      </c>
      <c r="U222" s="99" t="s">
        <v>184</v>
      </c>
      <c r="V222" s="99" t="s">
        <v>185</v>
      </c>
      <c r="W222" s="99" t="s">
        <v>3971</v>
      </c>
      <c r="X222" s="99" t="s">
        <v>3971</v>
      </c>
      <c r="Y222" s="99" t="s">
        <v>3972</v>
      </c>
      <c r="Z222" s="99" t="s">
        <v>172</v>
      </c>
      <c r="AA222" s="99" t="s">
        <v>173</v>
      </c>
      <c r="AB222" s="99" t="s">
        <v>174</v>
      </c>
      <c r="AC222" s="99" t="s">
        <v>3411</v>
      </c>
      <c r="AD222" s="99" t="s">
        <v>175</v>
      </c>
      <c r="AE222" s="99" t="s">
        <v>3411</v>
      </c>
      <c r="AF222" s="99" t="s">
        <v>3411</v>
      </c>
      <c r="AG222" s="124">
        <v>3005</v>
      </c>
      <c r="AH222" s="99" t="s">
        <v>3413</v>
      </c>
      <c r="AI222" s="125">
        <v>100</v>
      </c>
      <c r="AJ222" s="99" t="s">
        <v>176</v>
      </c>
      <c r="AK222" s="99" t="s">
        <v>3971</v>
      </c>
      <c r="AL222" s="99" t="s">
        <v>3411</v>
      </c>
      <c r="AM222" s="99" t="s">
        <v>177</v>
      </c>
      <c r="AN222" s="99" t="s">
        <v>3411</v>
      </c>
      <c r="AO222" s="99" t="s">
        <v>178</v>
      </c>
      <c r="AP222" s="99" t="s">
        <v>2570</v>
      </c>
      <c r="AQ222" s="99" t="s">
        <v>3411</v>
      </c>
      <c r="AR222" s="99" t="s">
        <v>3411</v>
      </c>
      <c r="AS222" s="99" t="s">
        <v>1045</v>
      </c>
      <c r="AT222" s="99" t="s">
        <v>1</v>
      </c>
      <c r="AU222" s="99" t="s">
        <v>179</v>
      </c>
      <c r="AV222" s="99" t="s">
        <v>3414</v>
      </c>
      <c r="AW222" s="99" t="s">
        <v>180</v>
      </c>
      <c r="AX222" s="99" t="s">
        <v>3420</v>
      </c>
      <c r="AY222" s="99" t="s">
        <v>252</v>
      </c>
      <c r="AZ222" s="99" t="s">
        <v>3416</v>
      </c>
      <c r="BA222" s="99" t="s">
        <v>3964</v>
      </c>
      <c r="BB222" s="99" t="s">
        <v>1086</v>
      </c>
      <c r="BC222" s="125">
        <v>46</v>
      </c>
      <c r="BD222" s="99" t="s">
        <v>3135</v>
      </c>
      <c r="BE222" s="99" t="s">
        <v>3136</v>
      </c>
    </row>
    <row r="223" spans="1:57" ht="12.95" customHeight="1">
      <c r="A223" s="124">
        <v>15</v>
      </c>
      <c r="B223" s="124">
        <v>3082</v>
      </c>
      <c r="C223" s="99" t="s">
        <v>165</v>
      </c>
      <c r="D223" s="99" t="s">
        <v>1012</v>
      </c>
      <c r="E223" s="99" t="s">
        <v>3298</v>
      </c>
      <c r="F223" s="99" t="s">
        <v>1019</v>
      </c>
      <c r="G223" s="99" t="s">
        <v>3299</v>
      </c>
      <c r="H223" s="99" t="s">
        <v>3959</v>
      </c>
      <c r="I223" s="99" t="s">
        <v>2698</v>
      </c>
      <c r="J223" s="99" t="s">
        <v>2924</v>
      </c>
      <c r="K223" s="99" t="s">
        <v>306</v>
      </c>
      <c r="L223" s="99" t="s">
        <v>2925</v>
      </c>
      <c r="M223" s="99" t="s">
        <v>5</v>
      </c>
      <c r="N223" s="99" t="s">
        <v>3407</v>
      </c>
      <c r="O223" s="99" t="s">
        <v>114</v>
      </c>
      <c r="P223" s="99" t="s">
        <v>3973</v>
      </c>
      <c r="Q223" s="99" t="s">
        <v>169</v>
      </c>
      <c r="R223" s="99" t="s">
        <v>3409</v>
      </c>
      <c r="S223" s="99" t="s">
        <v>2636</v>
      </c>
      <c r="T223" s="99" t="s">
        <v>48</v>
      </c>
      <c r="U223" s="99" t="s">
        <v>410</v>
      </c>
      <c r="V223" s="99" t="s">
        <v>411</v>
      </c>
      <c r="W223" s="99" t="s">
        <v>3973</v>
      </c>
      <c r="X223" s="99" t="s">
        <v>3973</v>
      </c>
      <c r="Y223" s="99" t="s">
        <v>3974</v>
      </c>
      <c r="Z223" s="99" t="s">
        <v>172</v>
      </c>
      <c r="AA223" s="99" t="s">
        <v>173</v>
      </c>
      <c r="AB223" s="99" t="s">
        <v>174</v>
      </c>
      <c r="AC223" s="99" t="s">
        <v>3411</v>
      </c>
      <c r="AD223" s="99" t="s">
        <v>175</v>
      </c>
      <c r="AE223" s="99" t="s">
        <v>3411</v>
      </c>
      <c r="AF223" s="99" t="s">
        <v>3411</v>
      </c>
      <c r="AG223" s="124">
        <v>3082</v>
      </c>
      <c r="AH223" s="99" t="s">
        <v>3413</v>
      </c>
      <c r="AI223" s="125">
        <v>100</v>
      </c>
      <c r="AJ223" s="99" t="s">
        <v>176</v>
      </c>
      <c r="AK223" s="99" t="s">
        <v>3973</v>
      </c>
      <c r="AL223" s="99" t="s">
        <v>3411</v>
      </c>
      <c r="AM223" s="99" t="s">
        <v>177</v>
      </c>
      <c r="AN223" s="99" t="s">
        <v>3411</v>
      </c>
      <c r="AO223" s="99" t="s">
        <v>412</v>
      </c>
      <c r="AP223" s="99" t="s">
        <v>2570</v>
      </c>
      <c r="AQ223" s="99" t="s">
        <v>3411</v>
      </c>
      <c r="AR223" s="99" t="s">
        <v>3411</v>
      </c>
      <c r="AS223" s="99" t="s">
        <v>2926</v>
      </c>
      <c r="AT223" s="99" t="s">
        <v>1</v>
      </c>
      <c r="AU223" s="99" t="s">
        <v>179</v>
      </c>
      <c r="AV223" s="99" t="s">
        <v>3414</v>
      </c>
      <c r="AW223" s="99" t="s">
        <v>180</v>
      </c>
      <c r="AX223" s="99" t="s">
        <v>3420</v>
      </c>
      <c r="AY223" s="99" t="s">
        <v>252</v>
      </c>
      <c r="AZ223" s="99" t="s">
        <v>3416</v>
      </c>
      <c r="BA223" s="99" t="s">
        <v>3975</v>
      </c>
      <c r="BB223" s="99" t="s">
        <v>3337</v>
      </c>
      <c r="BC223" s="125">
        <v>23</v>
      </c>
      <c r="BD223" s="99" t="s">
        <v>3135</v>
      </c>
      <c r="BE223" s="99" t="s">
        <v>3136</v>
      </c>
    </row>
    <row r="224" spans="1:57" ht="12.95" customHeight="1">
      <c r="A224" s="124">
        <v>15</v>
      </c>
      <c r="B224" s="124">
        <v>1626</v>
      </c>
      <c r="C224" s="99" t="s">
        <v>165</v>
      </c>
      <c r="D224" s="99" t="s">
        <v>1012</v>
      </c>
      <c r="E224" s="99" t="s">
        <v>3298</v>
      </c>
      <c r="F224" s="99" t="s">
        <v>1019</v>
      </c>
      <c r="G224" s="99" t="s">
        <v>3299</v>
      </c>
      <c r="H224" s="99" t="s">
        <v>3959</v>
      </c>
      <c r="I224" s="99" t="s">
        <v>2698</v>
      </c>
      <c r="J224" s="99" t="s">
        <v>1030</v>
      </c>
      <c r="K224" s="99" t="s">
        <v>1031</v>
      </c>
      <c r="L224" s="99" t="s">
        <v>1032</v>
      </c>
      <c r="M224" s="99" t="s">
        <v>5</v>
      </c>
      <c r="N224" s="99" t="s">
        <v>3454</v>
      </c>
      <c r="O224" s="99" t="s">
        <v>70</v>
      </c>
      <c r="P224" s="99" t="s">
        <v>3976</v>
      </c>
      <c r="Q224" s="99" t="s">
        <v>247</v>
      </c>
      <c r="R224" s="99" t="s">
        <v>3409</v>
      </c>
      <c r="S224" s="99" t="s">
        <v>2636</v>
      </c>
      <c r="T224" s="99" t="s">
        <v>48</v>
      </c>
      <c r="U224" s="99" t="s">
        <v>170</v>
      </c>
      <c r="V224" s="99" t="s">
        <v>171</v>
      </c>
      <c r="W224" s="99" t="s">
        <v>3977</v>
      </c>
      <c r="X224" s="99" t="s">
        <v>3977</v>
      </c>
      <c r="Y224" s="99" t="s">
        <v>3978</v>
      </c>
      <c r="Z224" s="99" t="s">
        <v>172</v>
      </c>
      <c r="AA224" s="99" t="s">
        <v>173</v>
      </c>
      <c r="AB224" s="99" t="s">
        <v>174</v>
      </c>
      <c r="AC224" s="99" t="s">
        <v>3411</v>
      </c>
      <c r="AD224" s="99" t="s">
        <v>175</v>
      </c>
      <c r="AE224" s="99" t="s">
        <v>3411</v>
      </c>
      <c r="AF224" s="99" t="s">
        <v>3411</v>
      </c>
      <c r="AG224" s="124">
        <v>1289</v>
      </c>
      <c r="AH224" s="99" t="s">
        <v>3413</v>
      </c>
      <c r="AI224" s="125">
        <v>100</v>
      </c>
      <c r="AJ224" s="99" t="s">
        <v>176</v>
      </c>
      <c r="AK224" s="99" t="s">
        <v>3977</v>
      </c>
      <c r="AL224" s="99" t="s">
        <v>3411</v>
      </c>
      <c r="AM224" s="99" t="s">
        <v>177</v>
      </c>
      <c r="AN224" s="99" t="s">
        <v>3411</v>
      </c>
      <c r="AO224" s="99" t="s">
        <v>178</v>
      </c>
      <c r="AP224" s="99" t="s">
        <v>2570</v>
      </c>
      <c r="AQ224" s="99" t="s">
        <v>3411</v>
      </c>
      <c r="AR224" s="99" t="s">
        <v>3411</v>
      </c>
      <c r="AS224" s="99" t="s">
        <v>1033</v>
      </c>
      <c r="AT224" s="99" t="s">
        <v>1</v>
      </c>
      <c r="AU224" s="99" t="s">
        <v>179</v>
      </c>
      <c r="AV224" s="99" t="s">
        <v>3414</v>
      </c>
      <c r="AW224" s="99" t="s">
        <v>180</v>
      </c>
      <c r="AX224" s="99" t="s">
        <v>3420</v>
      </c>
      <c r="AY224" s="99" t="s">
        <v>252</v>
      </c>
      <c r="AZ224" s="99" t="s">
        <v>3416</v>
      </c>
      <c r="BA224" s="99" t="s">
        <v>3968</v>
      </c>
      <c r="BB224" s="99" t="s">
        <v>3336</v>
      </c>
      <c r="BC224" s="125">
        <v>58</v>
      </c>
      <c r="BD224" s="99" t="s">
        <v>3135</v>
      </c>
      <c r="BE224" s="99" t="s">
        <v>3136</v>
      </c>
    </row>
    <row r="225" spans="1:57" ht="12.95" customHeight="1">
      <c r="A225" s="124">
        <v>15</v>
      </c>
      <c r="B225" s="124">
        <v>952</v>
      </c>
      <c r="C225" s="99" t="s">
        <v>165</v>
      </c>
      <c r="D225" s="99" t="s">
        <v>1012</v>
      </c>
      <c r="E225" s="99" t="s">
        <v>3298</v>
      </c>
      <c r="F225" s="99" t="s">
        <v>1019</v>
      </c>
      <c r="G225" s="99" t="s">
        <v>3299</v>
      </c>
      <c r="H225" s="99" t="s">
        <v>3979</v>
      </c>
      <c r="I225" s="99" t="s">
        <v>1085</v>
      </c>
      <c r="J225" s="99" t="s">
        <v>1027</v>
      </c>
      <c r="K225" s="99" t="s">
        <v>278</v>
      </c>
      <c r="L225" s="99" t="s">
        <v>1028</v>
      </c>
      <c r="M225" s="99" t="s">
        <v>5</v>
      </c>
      <c r="N225" s="99" t="s">
        <v>3407</v>
      </c>
      <c r="O225" s="99" t="s">
        <v>114</v>
      </c>
      <c r="P225" s="99" t="s">
        <v>3682</v>
      </c>
      <c r="Q225" s="99" t="s">
        <v>169</v>
      </c>
      <c r="R225" s="99" t="s">
        <v>3409</v>
      </c>
      <c r="S225" s="99" t="s">
        <v>2636</v>
      </c>
      <c r="T225" s="99" t="s">
        <v>48</v>
      </c>
      <c r="U225" s="99" t="s">
        <v>184</v>
      </c>
      <c r="V225" s="99" t="s">
        <v>185</v>
      </c>
      <c r="W225" s="99" t="s">
        <v>3980</v>
      </c>
      <c r="X225" s="99" t="s">
        <v>3980</v>
      </c>
      <c r="Y225" s="99" t="s">
        <v>3981</v>
      </c>
      <c r="Z225" s="99" t="s">
        <v>172</v>
      </c>
      <c r="AA225" s="99" t="s">
        <v>173</v>
      </c>
      <c r="AB225" s="99" t="s">
        <v>174</v>
      </c>
      <c r="AC225" s="99" t="s">
        <v>3411</v>
      </c>
      <c r="AD225" s="99" t="s">
        <v>175</v>
      </c>
      <c r="AE225" s="99" t="s">
        <v>3411</v>
      </c>
      <c r="AF225" s="99" t="s">
        <v>3411</v>
      </c>
      <c r="AG225" s="124">
        <v>731</v>
      </c>
      <c r="AH225" s="99" t="s">
        <v>3413</v>
      </c>
      <c r="AI225" s="125">
        <v>100</v>
      </c>
      <c r="AJ225" s="99" t="s">
        <v>176</v>
      </c>
      <c r="AK225" s="99" t="s">
        <v>3980</v>
      </c>
      <c r="AL225" s="99" t="s">
        <v>3411</v>
      </c>
      <c r="AM225" s="99" t="s">
        <v>177</v>
      </c>
      <c r="AN225" s="99" t="s">
        <v>3411</v>
      </c>
      <c r="AO225" s="99" t="s">
        <v>403</v>
      </c>
      <c r="AP225" s="99" t="s">
        <v>2570</v>
      </c>
      <c r="AQ225" s="99" t="s">
        <v>3411</v>
      </c>
      <c r="AR225" s="99" t="s">
        <v>234</v>
      </c>
      <c r="AS225" s="99" t="s">
        <v>1029</v>
      </c>
      <c r="AT225" s="99" t="s">
        <v>1</v>
      </c>
      <c r="AU225" s="99" t="s">
        <v>179</v>
      </c>
      <c r="AV225" s="99" t="s">
        <v>3414</v>
      </c>
      <c r="AW225" s="99" t="s">
        <v>180</v>
      </c>
      <c r="AX225" s="99" t="s">
        <v>3420</v>
      </c>
      <c r="AY225" s="99" t="s">
        <v>252</v>
      </c>
      <c r="AZ225" s="99" t="s">
        <v>3416</v>
      </c>
      <c r="BA225" s="99" t="s">
        <v>3982</v>
      </c>
      <c r="BB225" s="99" t="s">
        <v>3338</v>
      </c>
      <c r="BC225" s="125">
        <v>58</v>
      </c>
      <c r="BD225" s="99" t="s">
        <v>3135</v>
      </c>
      <c r="BE225" s="99" t="s">
        <v>3136</v>
      </c>
    </row>
    <row r="226" spans="1:57" ht="12.95" customHeight="1">
      <c r="A226" s="124">
        <v>15</v>
      </c>
      <c r="B226" s="124">
        <v>2775</v>
      </c>
      <c r="C226" s="99" t="s">
        <v>165</v>
      </c>
      <c r="D226" s="99" t="s">
        <v>1012</v>
      </c>
      <c r="E226" s="99" t="s">
        <v>3298</v>
      </c>
      <c r="F226" s="99" t="s">
        <v>1019</v>
      </c>
      <c r="G226" s="99" t="s">
        <v>3299</v>
      </c>
      <c r="H226" s="99" t="s">
        <v>3979</v>
      </c>
      <c r="I226" s="99" t="s">
        <v>1085</v>
      </c>
      <c r="J226" s="99" t="s">
        <v>1087</v>
      </c>
      <c r="K226" s="99" t="s">
        <v>1088</v>
      </c>
      <c r="L226" s="99" t="s">
        <v>1089</v>
      </c>
      <c r="M226" s="99" t="s">
        <v>1</v>
      </c>
      <c r="N226" s="99" t="s">
        <v>3407</v>
      </c>
      <c r="O226" s="99" t="s">
        <v>114</v>
      </c>
      <c r="P226" s="99" t="s">
        <v>3422</v>
      </c>
      <c r="Q226" s="99" t="s">
        <v>169</v>
      </c>
      <c r="R226" s="99" t="s">
        <v>3409</v>
      </c>
      <c r="S226" s="99" t="s">
        <v>2636</v>
      </c>
      <c r="T226" s="99" t="s">
        <v>52</v>
      </c>
      <c r="U226" s="99" t="s">
        <v>427</v>
      </c>
      <c r="V226" s="99" t="s">
        <v>428</v>
      </c>
      <c r="W226" s="99" t="s">
        <v>3435</v>
      </c>
      <c r="X226" s="99" t="s">
        <v>3983</v>
      </c>
      <c r="Y226" s="99" t="s">
        <v>3984</v>
      </c>
      <c r="Z226" s="99" t="s">
        <v>172</v>
      </c>
      <c r="AA226" s="99" t="s">
        <v>173</v>
      </c>
      <c r="AB226" s="99" t="s">
        <v>400</v>
      </c>
      <c r="AC226" s="99" t="s">
        <v>3411</v>
      </c>
      <c r="AD226" s="99" t="s">
        <v>175</v>
      </c>
      <c r="AE226" s="99" t="s">
        <v>3411</v>
      </c>
      <c r="AF226" s="99" t="s">
        <v>3411</v>
      </c>
      <c r="AG226" s="124">
        <v>2775</v>
      </c>
      <c r="AH226" s="99" t="s">
        <v>3413</v>
      </c>
      <c r="AI226" s="125">
        <v>100</v>
      </c>
      <c r="AJ226" s="99" t="s">
        <v>176</v>
      </c>
      <c r="AK226" s="99" t="s">
        <v>3983</v>
      </c>
      <c r="AL226" s="99" t="s">
        <v>3411</v>
      </c>
      <c r="AM226" s="99" t="s">
        <v>177</v>
      </c>
      <c r="AN226" s="99" t="s">
        <v>3411</v>
      </c>
      <c r="AO226" s="99" t="s">
        <v>178</v>
      </c>
      <c r="AP226" s="99" t="s">
        <v>2570</v>
      </c>
      <c r="AQ226" s="99" t="s">
        <v>3411</v>
      </c>
      <c r="AR226" s="99" t="s">
        <v>3411</v>
      </c>
      <c r="AS226" s="99" t="s">
        <v>1090</v>
      </c>
      <c r="AT226" s="99" t="s">
        <v>1</v>
      </c>
      <c r="AU226" s="99" t="s">
        <v>179</v>
      </c>
      <c r="AV226" s="99" t="s">
        <v>3414</v>
      </c>
      <c r="AW226" s="99" t="s">
        <v>180</v>
      </c>
      <c r="AX226" s="99" t="s">
        <v>3420</v>
      </c>
      <c r="AY226" s="99" t="s">
        <v>252</v>
      </c>
      <c r="AZ226" s="99" t="s">
        <v>3416</v>
      </c>
      <c r="BA226" s="99" t="s">
        <v>3417</v>
      </c>
      <c r="BB226" s="99" t="s">
        <v>3097</v>
      </c>
      <c r="BC226" s="125">
        <v>43</v>
      </c>
      <c r="BD226" s="99" t="s">
        <v>3135</v>
      </c>
      <c r="BE226" s="99" t="s">
        <v>3136</v>
      </c>
    </row>
    <row r="227" spans="1:57" ht="12.95" customHeight="1">
      <c r="A227" s="124">
        <v>15</v>
      </c>
      <c r="B227" s="124">
        <v>884</v>
      </c>
      <c r="C227" s="99" t="s">
        <v>165</v>
      </c>
      <c r="D227" s="99" t="s">
        <v>1012</v>
      </c>
      <c r="E227" s="99" t="s">
        <v>3298</v>
      </c>
      <c r="F227" s="99" t="s">
        <v>1019</v>
      </c>
      <c r="G227" s="99" t="s">
        <v>3299</v>
      </c>
      <c r="H227" s="99" t="s">
        <v>3979</v>
      </c>
      <c r="I227" s="99" t="s">
        <v>1085</v>
      </c>
      <c r="J227" s="99" t="s">
        <v>1091</v>
      </c>
      <c r="K227" s="99" t="s">
        <v>671</v>
      </c>
      <c r="L227" s="99" t="s">
        <v>1092</v>
      </c>
      <c r="M227" s="99" t="s">
        <v>5</v>
      </c>
      <c r="N227" s="99" t="s">
        <v>3407</v>
      </c>
      <c r="O227" s="99" t="s">
        <v>114</v>
      </c>
      <c r="P227" s="99" t="s">
        <v>3422</v>
      </c>
      <c r="Q227" s="99" t="s">
        <v>169</v>
      </c>
      <c r="R227" s="99" t="s">
        <v>3571</v>
      </c>
      <c r="S227" s="99" t="s">
        <v>2648</v>
      </c>
      <c r="T227" s="99" t="s">
        <v>48</v>
      </c>
      <c r="U227" s="99" t="s">
        <v>3583</v>
      </c>
      <c r="V227" s="99" t="s">
        <v>513</v>
      </c>
      <c r="W227" s="99" t="s">
        <v>3985</v>
      </c>
      <c r="X227" s="99" t="s">
        <v>3985</v>
      </c>
      <c r="Y227" s="99" t="s">
        <v>3986</v>
      </c>
      <c r="Z227" s="99" t="s">
        <v>172</v>
      </c>
      <c r="AA227" s="99" t="s">
        <v>173</v>
      </c>
      <c r="AB227" s="99" t="s">
        <v>174</v>
      </c>
      <c r="AC227" s="99" t="s">
        <v>3411</v>
      </c>
      <c r="AD227" s="99" t="s">
        <v>175</v>
      </c>
      <c r="AE227" s="99" t="s">
        <v>3411</v>
      </c>
      <c r="AF227" s="99" t="s">
        <v>3411</v>
      </c>
      <c r="AG227" s="124">
        <v>677</v>
      </c>
      <c r="AH227" s="99" t="s">
        <v>3413</v>
      </c>
      <c r="AI227" s="125">
        <v>100</v>
      </c>
      <c r="AJ227" s="99" t="s">
        <v>176</v>
      </c>
      <c r="AK227" s="99" t="s">
        <v>3985</v>
      </c>
      <c r="AL227" s="99" t="s">
        <v>3411</v>
      </c>
      <c r="AM227" s="99" t="s">
        <v>177</v>
      </c>
      <c r="AN227" s="99" t="s">
        <v>3411</v>
      </c>
      <c r="AO227" s="99" t="s">
        <v>405</v>
      </c>
      <c r="AP227" s="99" t="s">
        <v>2570</v>
      </c>
      <c r="AQ227" s="99" t="s">
        <v>3411</v>
      </c>
      <c r="AR227" s="99" t="s">
        <v>242</v>
      </c>
      <c r="AS227" s="99" t="s">
        <v>1093</v>
      </c>
      <c r="AT227" s="99" t="s">
        <v>1</v>
      </c>
      <c r="AU227" s="99" t="s">
        <v>179</v>
      </c>
      <c r="AV227" s="99" t="s">
        <v>3581</v>
      </c>
      <c r="AW227" s="99" t="s">
        <v>529</v>
      </c>
      <c r="AX227" s="99" t="s">
        <v>3420</v>
      </c>
      <c r="AY227" s="99" t="s">
        <v>252</v>
      </c>
      <c r="AZ227" s="99" t="s">
        <v>3416</v>
      </c>
      <c r="BA227" s="99" t="s">
        <v>3964</v>
      </c>
      <c r="BB227" s="99" t="s">
        <v>1086</v>
      </c>
      <c r="BC227" s="125">
        <v>61</v>
      </c>
      <c r="BD227" s="99" t="s">
        <v>3135</v>
      </c>
      <c r="BE227" s="99" t="s">
        <v>3136</v>
      </c>
    </row>
    <row r="228" spans="1:57" ht="12.95" customHeight="1">
      <c r="A228" s="124">
        <v>15</v>
      </c>
      <c r="B228" s="124">
        <v>1839</v>
      </c>
      <c r="C228" s="99" t="s">
        <v>165</v>
      </c>
      <c r="D228" s="99" t="s">
        <v>1012</v>
      </c>
      <c r="E228" s="99" t="s">
        <v>3298</v>
      </c>
      <c r="F228" s="99" t="s">
        <v>1019</v>
      </c>
      <c r="G228" s="99" t="s">
        <v>3299</v>
      </c>
      <c r="H228" s="99" t="s">
        <v>3979</v>
      </c>
      <c r="I228" s="99" t="s">
        <v>1085</v>
      </c>
      <c r="J228" s="99" t="s">
        <v>1094</v>
      </c>
      <c r="K228" s="99" t="s">
        <v>872</v>
      </c>
      <c r="L228" s="99" t="s">
        <v>1095</v>
      </c>
      <c r="M228" s="99" t="s">
        <v>5</v>
      </c>
      <c r="N228" s="99" t="s">
        <v>3454</v>
      </c>
      <c r="O228" s="99" t="s">
        <v>70</v>
      </c>
      <c r="P228" s="99" t="s">
        <v>3987</v>
      </c>
      <c r="Q228" s="99" t="s">
        <v>247</v>
      </c>
      <c r="R228" s="99" t="s">
        <v>3409</v>
      </c>
      <c r="S228" s="99" t="s">
        <v>2636</v>
      </c>
      <c r="T228" s="99" t="s">
        <v>52</v>
      </c>
      <c r="U228" s="99" t="s">
        <v>427</v>
      </c>
      <c r="V228" s="99" t="s">
        <v>428</v>
      </c>
      <c r="W228" s="99" t="s">
        <v>3563</v>
      </c>
      <c r="X228" s="99" t="s">
        <v>3977</v>
      </c>
      <c r="Y228" s="99" t="s">
        <v>3988</v>
      </c>
      <c r="Z228" s="99" t="s">
        <v>172</v>
      </c>
      <c r="AA228" s="99" t="s">
        <v>173</v>
      </c>
      <c r="AB228" s="99" t="s">
        <v>400</v>
      </c>
      <c r="AC228" s="99" t="s">
        <v>3411</v>
      </c>
      <c r="AD228" s="99" t="s">
        <v>175</v>
      </c>
      <c r="AE228" s="99" t="s">
        <v>3411</v>
      </c>
      <c r="AF228" s="99" t="s">
        <v>3411</v>
      </c>
      <c r="AG228" s="124">
        <v>1459</v>
      </c>
      <c r="AH228" s="99" t="s">
        <v>3413</v>
      </c>
      <c r="AI228" s="125">
        <v>100</v>
      </c>
      <c r="AJ228" s="99" t="s">
        <v>176</v>
      </c>
      <c r="AK228" s="99" t="s">
        <v>3563</v>
      </c>
      <c r="AL228" s="99" t="s">
        <v>3411</v>
      </c>
      <c r="AM228" s="99" t="s">
        <v>177</v>
      </c>
      <c r="AN228" s="99" t="s">
        <v>3411</v>
      </c>
      <c r="AO228" s="99" t="s">
        <v>178</v>
      </c>
      <c r="AP228" s="99" t="s">
        <v>2570</v>
      </c>
      <c r="AQ228" s="99" t="s">
        <v>3411</v>
      </c>
      <c r="AR228" s="99" t="s">
        <v>3411</v>
      </c>
      <c r="AS228" s="99" t="s">
        <v>1096</v>
      </c>
      <c r="AT228" s="99" t="s">
        <v>1</v>
      </c>
      <c r="AU228" s="99" t="s">
        <v>179</v>
      </c>
      <c r="AV228" s="99" t="s">
        <v>3414</v>
      </c>
      <c r="AW228" s="99" t="s">
        <v>180</v>
      </c>
      <c r="AX228" s="99" t="s">
        <v>3420</v>
      </c>
      <c r="AY228" s="99" t="s">
        <v>252</v>
      </c>
      <c r="AZ228" s="99" t="s">
        <v>3416</v>
      </c>
      <c r="BA228" s="99" t="s">
        <v>3964</v>
      </c>
      <c r="BB228" s="99" t="s">
        <v>1086</v>
      </c>
      <c r="BC228" s="125">
        <v>60</v>
      </c>
      <c r="BD228" s="99" t="s">
        <v>3135</v>
      </c>
      <c r="BE228" s="99" t="s">
        <v>3136</v>
      </c>
    </row>
    <row r="229" spans="1:57" ht="12.95" customHeight="1">
      <c r="A229" s="124">
        <v>15</v>
      </c>
      <c r="B229" s="124">
        <v>2367</v>
      </c>
      <c r="C229" s="99" t="s">
        <v>165</v>
      </c>
      <c r="D229" s="99" t="s">
        <v>1012</v>
      </c>
      <c r="E229" s="99" t="s">
        <v>3298</v>
      </c>
      <c r="F229" s="99" t="s">
        <v>1019</v>
      </c>
      <c r="G229" s="99" t="s">
        <v>3299</v>
      </c>
      <c r="H229" s="99" t="s">
        <v>3979</v>
      </c>
      <c r="I229" s="99" t="s">
        <v>1085</v>
      </c>
      <c r="J229" s="99" t="s">
        <v>1097</v>
      </c>
      <c r="K229" s="99" t="s">
        <v>1098</v>
      </c>
      <c r="L229" s="99" t="s">
        <v>1099</v>
      </c>
      <c r="M229" s="99" t="s">
        <v>5</v>
      </c>
      <c r="N229" s="99" t="s">
        <v>3407</v>
      </c>
      <c r="O229" s="99" t="s">
        <v>114</v>
      </c>
      <c r="P229" s="99" t="s">
        <v>3422</v>
      </c>
      <c r="Q229" s="99" t="s">
        <v>169</v>
      </c>
      <c r="R229" s="99" t="s">
        <v>3571</v>
      </c>
      <c r="S229" s="99" t="s">
        <v>2648</v>
      </c>
      <c r="T229" s="99" t="s">
        <v>48</v>
      </c>
      <c r="U229" s="99" t="s">
        <v>3583</v>
      </c>
      <c r="V229" s="99" t="s">
        <v>513</v>
      </c>
      <c r="W229" s="99" t="s">
        <v>3989</v>
      </c>
      <c r="X229" s="99" t="s">
        <v>3989</v>
      </c>
      <c r="Y229" s="99" t="s">
        <v>3990</v>
      </c>
      <c r="Z229" s="99" t="s">
        <v>172</v>
      </c>
      <c r="AA229" s="99" t="s">
        <v>173</v>
      </c>
      <c r="AB229" s="99" t="s">
        <v>174</v>
      </c>
      <c r="AC229" s="99" t="s">
        <v>3411</v>
      </c>
      <c r="AD229" s="99" t="s">
        <v>175</v>
      </c>
      <c r="AE229" s="99" t="s">
        <v>3411</v>
      </c>
      <c r="AF229" s="99" t="s">
        <v>3411</v>
      </c>
      <c r="AG229" s="124">
        <v>1763</v>
      </c>
      <c r="AH229" s="99" t="s">
        <v>3413</v>
      </c>
      <c r="AI229" s="125">
        <v>100</v>
      </c>
      <c r="AJ229" s="99" t="s">
        <v>176</v>
      </c>
      <c r="AK229" s="99" t="s">
        <v>3989</v>
      </c>
      <c r="AL229" s="99" t="s">
        <v>3411</v>
      </c>
      <c r="AM229" s="99" t="s">
        <v>177</v>
      </c>
      <c r="AN229" s="99" t="s">
        <v>3411</v>
      </c>
      <c r="AO229" s="99" t="s">
        <v>405</v>
      </c>
      <c r="AP229" s="99" t="s">
        <v>2570</v>
      </c>
      <c r="AQ229" s="99" t="s">
        <v>3411</v>
      </c>
      <c r="AR229" s="99" t="s">
        <v>242</v>
      </c>
      <c r="AS229" s="99" t="s">
        <v>1100</v>
      </c>
      <c r="AT229" s="99" t="s">
        <v>1</v>
      </c>
      <c r="AU229" s="99" t="s">
        <v>179</v>
      </c>
      <c r="AV229" s="99" t="s">
        <v>3581</v>
      </c>
      <c r="AW229" s="99" t="s">
        <v>529</v>
      </c>
      <c r="AX229" s="99" t="s">
        <v>3420</v>
      </c>
      <c r="AY229" s="99" t="s">
        <v>252</v>
      </c>
      <c r="AZ229" s="99" t="s">
        <v>3416</v>
      </c>
      <c r="BA229" s="99" t="s">
        <v>3982</v>
      </c>
      <c r="BB229" s="99" t="s">
        <v>3338</v>
      </c>
      <c r="BC229" s="125">
        <v>50</v>
      </c>
      <c r="BD229" s="99" t="s">
        <v>3135</v>
      </c>
      <c r="BE229" s="99" t="s">
        <v>3136</v>
      </c>
    </row>
    <row r="230" spans="1:57" ht="12.95" customHeight="1">
      <c r="A230" s="124">
        <v>15</v>
      </c>
      <c r="B230" s="124">
        <v>1638</v>
      </c>
      <c r="C230" s="99" t="s">
        <v>165</v>
      </c>
      <c r="D230" s="99" t="s">
        <v>1012</v>
      </c>
      <c r="E230" s="99" t="s">
        <v>3298</v>
      </c>
      <c r="F230" s="99" t="s">
        <v>1019</v>
      </c>
      <c r="G230" s="99" t="s">
        <v>3299</v>
      </c>
      <c r="H230" s="99" t="s">
        <v>3979</v>
      </c>
      <c r="I230" s="99" t="s">
        <v>1085</v>
      </c>
      <c r="J230" s="99" t="s">
        <v>1101</v>
      </c>
      <c r="K230" s="99" t="s">
        <v>1024</v>
      </c>
      <c r="L230" s="99" t="s">
        <v>1102</v>
      </c>
      <c r="M230" s="99" t="s">
        <v>5</v>
      </c>
      <c r="N230" s="99" t="s">
        <v>3407</v>
      </c>
      <c r="O230" s="99" t="s">
        <v>114</v>
      </c>
      <c r="P230" s="99" t="s">
        <v>3422</v>
      </c>
      <c r="Q230" s="99" t="s">
        <v>169</v>
      </c>
      <c r="R230" s="99" t="s">
        <v>3571</v>
      </c>
      <c r="S230" s="99" t="s">
        <v>2648</v>
      </c>
      <c r="T230" s="99" t="s">
        <v>48</v>
      </c>
      <c r="U230" s="99" t="s">
        <v>3583</v>
      </c>
      <c r="V230" s="99" t="s">
        <v>513</v>
      </c>
      <c r="W230" s="99" t="s">
        <v>3423</v>
      </c>
      <c r="X230" s="99" t="s">
        <v>3423</v>
      </c>
      <c r="Y230" s="99" t="s">
        <v>3991</v>
      </c>
      <c r="Z230" s="99" t="s">
        <v>172</v>
      </c>
      <c r="AA230" s="99" t="s">
        <v>173</v>
      </c>
      <c r="AB230" s="99" t="s">
        <v>174</v>
      </c>
      <c r="AC230" s="99" t="s">
        <v>3411</v>
      </c>
      <c r="AD230" s="99" t="s">
        <v>175</v>
      </c>
      <c r="AE230" s="99" t="s">
        <v>3411</v>
      </c>
      <c r="AF230" s="99" t="s">
        <v>3411</v>
      </c>
      <c r="AG230" s="124">
        <v>1299</v>
      </c>
      <c r="AH230" s="99" t="s">
        <v>3413</v>
      </c>
      <c r="AI230" s="125">
        <v>100</v>
      </c>
      <c r="AJ230" s="99" t="s">
        <v>176</v>
      </c>
      <c r="AK230" s="99" t="s">
        <v>3423</v>
      </c>
      <c r="AL230" s="99" t="s">
        <v>3411</v>
      </c>
      <c r="AM230" s="99" t="s">
        <v>177</v>
      </c>
      <c r="AN230" s="99" t="s">
        <v>3411</v>
      </c>
      <c r="AO230" s="99" t="s">
        <v>405</v>
      </c>
      <c r="AP230" s="99" t="s">
        <v>2570</v>
      </c>
      <c r="AQ230" s="99" t="s">
        <v>3411</v>
      </c>
      <c r="AR230" s="99" t="s">
        <v>242</v>
      </c>
      <c r="AS230" s="99" t="s">
        <v>1103</v>
      </c>
      <c r="AT230" s="99" t="s">
        <v>235</v>
      </c>
      <c r="AU230" s="99" t="s">
        <v>236</v>
      </c>
      <c r="AV230" s="99" t="s">
        <v>3581</v>
      </c>
      <c r="AW230" s="99" t="s">
        <v>529</v>
      </c>
      <c r="AX230" s="99" t="s">
        <v>3420</v>
      </c>
      <c r="AY230" s="99" t="s">
        <v>252</v>
      </c>
      <c r="AZ230" s="99" t="s">
        <v>3416</v>
      </c>
      <c r="BA230" s="99" t="s">
        <v>3982</v>
      </c>
      <c r="BB230" s="99" t="s">
        <v>3338</v>
      </c>
      <c r="BC230" s="125">
        <v>54</v>
      </c>
      <c r="BD230" s="99" t="s">
        <v>3135</v>
      </c>
      <c r="BE230" s="99" t="s">
        <v>3136</v>
      </c>
    </row>
    <row r="231" spans="1:57" ht="12.95" customHeight="1">
      <c r="A231" s="124">
        <v>15</v>
      </c>
      <c r="B231" s="124">
        <v>3057</v>
      </c>
      <c r="C231" s="99" t="s">
        <v>165</v>
      </c>
      <c r="D231" s="99" t="s">
        <v>1012</v>
      </c>
      <c r="E231" s="99" t="s">
        <v>3298</v>
      </c>
      <c r="F231" s="99" t="s">
        <v>1019</v>
      </c>
      <c r="G231" s="99" t="s">
        <v>3299</v>
      </c>
      <c r="H231" s="99" t="s">
        <v>3979</v>
      </c>
      <c r="I231" s="99" t="s">
        <v>1085</v>
      </c>
      <c r="J231" s="99" t="s">
        <v>2705</v>
      </c>
      <c r="K231" s="99" t="s">
        <v>2706</v>
      </c>
      <c r="L231" s="99" t="s">
        <v>2707</v>
      </c>
      <c r="M231" s="99" t="s">
        <v>5</v>
      </c>
      <c r="N231" s="99" t="s">
        <v>3407</v>
      </c>
      <c r="O231" s="99" t="s">
        <v>114</v>
      </c>
      <c r="P231" s="99" t="s">
        <v>3962</v>
      </c>
      <c r="Q231" s="99" t="s">
        <v>169</v>
      </c>
      <c r="R231" s="99" t="s">
        <v>3409</v>
      </c>
      <c r="S231" s="99" t="s">
        <v>2636</v>
      </c>
      <c r="T231" s="99" t="s">
        <v>48</v>
      </c>
      <c r="U231" s="99" t="s">
        <v>170</v>
      </c>
      <c r="V231" s="99" t="s">
        <v>171</v>
      </c>
      <c r="W231" s="99" t="s">
        <v>3962</v>
      </c>
      <c r="X231" s="99" t="s">
        <v>3962</v>
      </c>
      <c r="Y231" s="99" t="s">
        <v>3992</v>
      </c>
      <c r="Z231" s="99" t="s">
        <v>172</v>
      </c>
      <c r="AA231" s="99" t="s">
        <v>173</v>
      </c>
      <c r="AB231" s="99" t="s">
        <v>174</v>
      </c>
      <c r="AC231" s="99" t="s">
        <v>3411</v>
      </c>
      <c r="AD231" s="99" t="s">
        <v>175</v>
      </c>
      <c r="AE231" s="99" t="s">
        <v>3411</v>
      </c>
      <c r="AF231" s="99" t="s">
        <v>3411</v>
      </c>
      <c r="AG231" s="124">
        <v>3057</v>
      </c>
      <c r="AH231" s="99" t="s">
        <v>3413</v>
      </c>
      <c r="AI231" s="125">
        <v>100</v>
      </c>
      <c r="AJ231" s="99" t="s">
        <v>176</v>
      </c>
      <c r="AK231" s="99" t="s">
        <v>3962</v>
      </c>
      <c r="AL231" s="99" t="s">
        <v>3411</v>
      </c>
      <c r="AM231" s="99" t="s">
        <v>177</v>
      </c>
      <c r="AN231" s="99" t="s">
        <v>3411</v>
      </c>
      <c r="AO231" s="99" t="s">
        <v>412</v>
      </c>
      <c r="AP231" s="99" t="s">
        <v>2570</v>
      </c>
      <c r="AQ231" s="99" t="s">
        <v>3411</v>
      </c>
      <c r="AR231" s="99" t="s">
        <v>3411</v>
      </c>
      <c r="AS231" s="99" t="s">
        <v>2708</v>
      </c>
      <c r="AT231" s="99" t="s">
        <v>1</v>
      </c>
      <c r="AU231" s="99" t="s">
        <v>179</v>
      </c>
      <c r="AV231" s="99" t="s">
        <v>3414</v>
      </c>
      <c r="AW231" s="99" t="s">
        <v>180</v>
      </c>
      <c r="AX231" s="99" t="s">
        <v>3420</v>
      </c>
      <c r="AY231" s="99" t="s">
        <v>252</v>
      </c>
      <c r="AZ231" s="99" t="s">
        <v>3416</v>
      </c>
      <c r="BA231" s="99" t="s">
        <v>3982</v>
      </c>
      <c r="BB231" s="99" t="s">
        <v>3338</v>
      </c>
      <c r="BC231" s="125">
        <v>37</v>
      </c>
      <c r="BD231" s="99" t="s">
        <v>3135</v>
      </c>
      <c r="BE231" s="99" t="s">
        <v>3136</v>
      </c>
    </row>
    <row r="232" spans="1:57" ht="12.95" customHeight="1">
      <c r="A232" s="124">
        <v>15</v>
      </c>
      <c r="B232" s="124">
        <v>3017</v>
      </c>
      <c r="C232" s="99" t="s">
        <v>165</v>
      </c>
      <c r="D232" s="99" t="s">
        <v>1012</v>
      </c>
      <c r="E232" s="99" t="s">
        <v>3298</v>
      </c>
      <c r="F232" s="99" t="s">
        <v>1046</v>
      </c>
      <c r="G232" s="99" t="s">
        <v>1047</v>
      </c>
      <c r="H232" s="99" t="s">
        <v>3993</v>
      </c>
      <c r="I232" s="99" t="s">
        <v>2702</v>
      </c>
      <c r="J232" s="99" t="s">
        <v>1056</v>
      </c>
      <c r="K232" s="99" t="s">
        <v>511</v>
      </c>
      <c r="L232" s="99" t="s">
        <v>1057</v>
      </c>
      <c r="M232" s="99" t="s">
        <v>5</v>
      </c>
      <c r="N232" s="99" t="s">
        <v>3407</v>
      </c>
      <c r="O232" s="99" t="s">
        <v>114</v>
      </c>
      <c r="P232" s="99" t="s">
        <v>3994</v>
      </c>
      <c r="Q232" s="99" t="s">
        <v>169</v>
      </c>
      <c r="R232" s="99" t="s">
        <v>3409</v>
      </c>
      <c r="S232" s="99" t="s">
        <v>2636</v>
      </c>
      <c r="T232" s="99" t="s">
        <v>48</v>
      </c>
      <c r="U232" s="99" t="s">
        <v>170</v>
      </c>
      <c r="V232" s="99" t="s">
        <v>171</v>
      </c>
      <c r="W232" s="99" t="s">
        <v>3994</v>
      </c>
      <c r="X232" s="99" t="s">
        <v>3994</v>
      </c>
      <c r="Y232" s="99" t="s">
        <v>3995</v>
      </c>
      <c r="Z232" s="99" t="s">
        <v>172</v>
      </c>
      <c r="AA232" s="99" t="s">
        <v>173</v>
      </c>
      <c r="AB232" s="99" t="s">
        <v>174</v>
      </c>
      <c r="AC232" s="99" t="s">
        <v>3411</v>
      </c>
      <c r="AD232" s="99" t="s">
        <v>175</v>
      </c>
      <c r="AE232" s="99" t="s">
        <v>3411</v>
      </c>
      <c r="AF232" s="99" t="s">
        <v>3411</v>
      </c>
      <c r="AG232" s="124">
        <v>3017</v>
      </c>
      <c r="AH232" s="99" t="s">
        <v>3413</v>
      </c>
      <c r="AI232" s="125">
        <v>100</v>
      </c>
      <c r="AJ232" s="99" t="s">
        <v>176</v>
      </c>
      <c r="AK232" s="99" t="s">
        <v>3994</v>
      </c>
      <c r="AL232" s="99" t="s">
        <v>3411</v>
      </c>
      <c r="AM232" s="99" t="s">
        <v>177</v>
      </c>
      <c r="AN232" s="99" t="s">
        <v>3411</v>
      </c>
      <c r="AO232" s="99" t="s">
        <v>412</v>
      </c>
      <c r="AP232" s="99" t="s">
        <v>2570</v>
      </c>
      <c r="AQ232" s="99" t="s">
        <v>3411</v>
      </c>
      <c r="AR232" s="99" t="s">
        <v>3411</v>
      </c>
      <c r="AS232" s="99" t="s">
        <v>1058</v>
      </c>
      <c r="AT232" s="99" t="s">
        <v>1</v>
      </c>
      <c r="AU232" s="99" t="s">
        <v>179</v>
      </c>
      <c r="AV232" s="99" t="s">
        <v>3414</v>
      </c>
      <c r="AW232" s="99" t="s">
        <v>180</v>
      </c>
      <c r="AX232" s="99" t="s">
        <v>3420</v>
      </c>
      <c r="AY232" s="99" t="s">
        <v>252</v>
      </c>
      <c r="AZ232" s="99" t="s">
        <v>3416</v>
      </c>
      <c r="BA232" s="99" t="s">
        <v>3996</v>
      </c>
      <c r="BB232" s="99" t="s">
        <v>1018</v>
      </c>
      <c r="BC232" s="125">
        <v>33</v>
      </c>
      <c r="BD232" s="99" t="s">
        <v>3135</v>
      </c>
      <c r="BE232" s="99" t="s">
        <v>3136</v>
      </c>
    </row>
    <row r="233" spans="1:57" ht="12.95" customHeight="1">
      <c r="A233" s="124">
        <v>15</v>
      </c>
      <c r="B233" s="124">
        <v>897</v>
      </c>
      <c r="C233" s="99" t="s">
        <v>165</v>
      </c>
      <c r="D233" s="99" t="s">
        <v>1012</v>
      </c>
      <c r="E233" s="99" t="s">
        <v>3298</v>
      </c>
      <c r="F233" s="99" t="s">
        <v>1046</v>
      </c>
      <c r="G233" s="99" t="s">
        <v>1047</v>
      </c>
      <c r="H233" s="99" t="s">
        <v>3993</v>
      </c>
      <c r="I233" s="99" t="s">
        <v>2702</v>
      </c>
      <c r="J233" s="99" t="s">
        <v>1059</v>
      </c>
      <c r="K233" s="99" t="s">
        <v>1060</v>
      </c>
      <c r="L233" s="99" t="s">
        <v>1061</v>
      </c>
      <c r="M233" s="99" t="s">
        <v>5</v>
      </c>
      <c r="N233" s="99" t="s">
        <v>3407</v>
      </c>
      <c r="O233" s="99" t="s">
        <v>114</v>
      </c>
      <c r="P233" s="99" t="s">
        <v>3422</v>
      </c>
      <c r="Q233" s="99" t="s">
        <v>169</v>
      </c>
      <c r="R233" s="99" t="s">
        <v>3409</v>
      </c>
      <c r="S233" s="99" t="s">
        <v>2636</v>
      </c>
      <c r="T233" s="99" t="s">
        <v>52</v>
      </c>
      <c r="U233" s="99" t="s">
        <v>427</v>
      </c>
      <c r="V233" s="99" t="s">
        <v>428</v>
      </c>
      <c r="W233" s="99" t="s">
        <v>3997</v>
      </c>
      <c r="X233" s="99" t="s">
        <v>3997</v>
      </c>
      <c r="Y233" s="99" t="s">
        <v>3998</v>
      </c>
      <c r="Z233" s="99" t="s">
        <v>172</v>
      </c>
      <c r="AA233" s="99" t="s">
        <v>173</v>
      </c>
      <c r="AB233" s="99" t="s">
        <v>174</v>
      </c>
      <c r="AC233" s="99" t="s">
        <v>3411</v>
      </c>
      <c r="AD233" s="99" t="s">
        <v>175</v>
      </c>
      <c r="AE233" s="99" t="s">
        <v>3411</v>
      </c>
      <c r="AF233" s="99" t="s">
        <v>3411</v>
      </c>
      <c r="AG233" s="124">
        <v>687</v>
      </c>
      <c r="AH233" s="99" t="s">
        <v>3413</v>
      </c>
      <c r="AI233" s="125">
        <v>100</v>
      </c>
      <c r="AJ233" s="99" t="s">
        <v>176</v>
      </c>
      <c r="AK233" s="99" t="s">
        <v>3997</v>
      </c>
      <c r="AL233" s="99" t="s">
        <v>3411</v>
      </c>
      <c r="AM233" s="99" t="s">
        <v>177</v>
      </c>
      <c r="AN233" s="99" t="s">
        <v>3411</v>
      </c>
      <c r="AO233" s="99" t="s">
        <v>178</v>
      </c>
      <c r="AP233" s="99" t="s">
        <v>2570</v>
      </c>
      <c r="AQ233" s="99" t="s">
        <v>3411</v>
      </c>
      <c r="AR233" s="99" t="s">
        <v>3411</v>
      </c>
      <c r="AS233" s="99" t="s">
        <v>1062</v>
      </c>
      <c r="AT233" s="99" t="s">
        <v>1</v>
      </c>
      <c r="AU233" s="99" t="s">
        <v>179</v>
      </c>
      <c r="AV233" s="99" t="s">
        <v>3414</v>
      </c>
      <c r="AW233" s="99" t="s">
        <v>180</v>
      </c>
      <c r="AX233" s="99" t="s">
        <v>3420</v>
      </c>
      <c r="AY233" s="99" t="s">
        <v>252</v>
      </c>
      <c r="AZ233" s="99" t="s">
        <v>3416</v>
      </c>
      <c r="BA233" s="99" t="s">
        <v>3417</v>
      </c>
      <c r="BB233" s="99" t="s">
        <v>3097</v>
      </c>
      <c r="BC233" s="125">
        <v>56</v>
      </c>
      <c r="BD233" s="99" t="s">
        <v>3135</v>
      </c>
      <c r="BE233" s="99" t="s">
        <v>3136</v>
      </c>
    </row>
    <row r="234" spans="1:57" ht="12.95" customHeight="1">
      <c r="A234" s="124">
        <v>15</v>
      </c>
      <c r="B234" s="124">
        <v>3134</v>
      </c>
      <c r="C234" s="99" t="s">
        <v>165</v>
      </c>
      <c r="D234" s="99" t="s">
        <v>1012</v>
      </c>
      <c r="E234" s="99" t="s">
        <v>3298</v>
      </c>
      <c r="F234" s="99" t="s">
        <v>1046</v>
      </c>
      <c r="G234" s="99" t="s">
        <v>1047</v>
      </c>
      <c r="H234" s="99" t="s">
        <v>3993</v>
      </c>
      <c r="I234" s="99" t="s">
        <v>2702</v>
      </c>
      <c r="J234" s="99" t="s">
        <v>3145</v>
      </c>
      <c r="K234" s="99" t="s">
        <v>3146</v>
      </c>
      <c r="L234" s="99" t="s">
        <v>3147</v>
      </c>
      <c r="M234" s="99" t="s">
        <v>5</v>
      </c>
      <c r="N234" s="99" t="s">
        <v>3407</v>
      </c>
      <c r="O234" s="99" t="s">
        <v>114</v>
      </c>
      <c r="P234" s="99" t="s">
        <v>3545</v>
      </c>
      <c r="Q234" s="99" t="s">
        <v>169</v>
      </c>
      <c r="R234" s="99" t="s">
        <v>3409</v>
      </c>
      <c r="S234" s="99" t="s">
        <v>2636</v>
      </c>
      <c r="T234" s="99" t="s">
        <v>48</v>
      </c>
      <c r="U234" s="99" t="s">
        <v>170</v>
      </c>
      <c r="V234" s="99" t="s">
        <v>171</v>
      </c>
      <c r="W234" s="99" t="s">
        <v>3545</v>
      </c>
      <c r="X234" s="99" t="s">
        <v>3545</v>
      </c>
      <c r="Y234" s="99" t="s">
        <v>3999</v>
      </c>
      <c r="Z234" s="99" t="s">
        <v>172</v>
      </c>
      <c r="AA234" s="99" t="s">
        <v>173</v>
      </c>
      <c r="AB234" s="99" t="s">
        <v>174</v>
      </c>
      <c r="AC234" s="99" t="s">
        <v>3411</v>
      </c>
      <c r="AD234" s="99" t="s">
        <v>175</v>
      </c>
      <c r="AE234" s="99" t="s">
        <v>3411</v>
      </c>
      <c r="AF234" s="99" t="s">
        <v>3411</v>
      </c>
      <c r="AG234" s="124">
        <v>3134</v>
      </c>
      <c r="AH234" s="99" t="s">
        <v>3413</v>
      </c>
      <c r="AI234" s="125">
        <v>100</v>
      </c>
      <c r="AJ234" s="99" t="s">
        <v>176</v>
      </c>
      <c r="AK234" s="99" t="s">
        <v>3545</v>
      </c>
      <c r="AL234" s="99" t="s">
        <v>3411</v>
      </c>
      <c r="AM234" s="99" t="s">
        <v>177</v>
      </c>
      <c r="AN234" s="99" t="s">
        <v>3411</v>
      </c>
      <c r="AO234" s="99" t="s">
        <v>412</v>
      </c>
      <c r="AP234" s="99" t="s">
        <v>2570</v>
      </c>
      <c r="AQ234" s="99" t="s">
        <v>3411</v>
      </c>
      <c r="AR234" s="99" t="s">
        <v>3411</v>
      </c>
      <c r="AS234" s="99" t="s">
        <v>3148</v>
      </c>
      <c r="AT234" s="99" t="s">
        <v>1</v>
      </c>
      <c r="AU234" s="99" t="s">
        <v>179</v>
      </c>
      <c r="AV234" s="99" t="s">
        <v>3414</v>
      </c>
      <c r="AW234" s="99" t="s">
        <v>180</v>
      </c>
      <c r="AX234" s="99" t="s">
        <v>3420</v>
      </c>
      <c r="AY234" s="99" t="s">
        <v>252</v>
      </c>
      <c r="AZ234" s="99" t="s">
        <v>3416</v>
      </c>
      <c r="BA234" s="99" t="s">
        <v>3996</v>
      </c>
      <c r="BB234" s="99" t="s">
        <v>1018</v>
      </c>
      <c r="BC234" s="125">
        <v>39</v>
      </c>
      <c r="BD234" s="99" t="s">
        <v>3149</v>
      </c>
      <c r="BE234" s="99" t="s">
        <v>3150</v>
      </c>
    </row>
    <row r="235" spans="1:57" ht="12.95" customHeight="1">
      <c r="A235" s="124">
        <v>15</v>
      </c>
      <c r="B235" s="124">
        <v>1840</v>
      </c>
      <c r="C235" s="99" t="s">
        <v>165</v>
      </c>
      <c r="D235" s="99" t="s">
        <v>1012</v>
      </c>
      <c r="E235" s="99" t="s">
        <v>3298</v>
      </c>
      <c r="F235" s="99" t="s">
        <v>1046</v>
      </c>
      <c r="G235" s="99" t="s">
        <v>1047</v>
      </c>
      <c r="H235" s="99" t="s">
        <v>4000</v>
      </c>
      <c r="I235" s="99" t="s">
        <v>2703</v>
      </c>
      <c r="J235" s="99" t="s">
        <v>1063</v>
      </c>
      <c r="K235" s="99" t="s">
        <v>1064</v>
      </c>
      <c r="L235" s="99" t="s">
        <v>1065</v>
      </c>
      <c r="M235" s="99" t="s">
        <v>1</v>
      </c>
      <c r="N235" s="99" t="s">
        <v>3454</v>
      </c>
      <c r="O235" s="99" t="s">
        <v>70</v>
      </c>
      <c r="P235" s="99" t="s">
        <v>3989</v>
      </c>
      <c r="Q235" s="99" t="s">
        <v>247</v>
      </c>
      <c r="R235" s="99" t="s">
        <v>3409</v>
      </c>
      <c r="S235" s="99" t="s">
        <v>2636</v>
      </c>
      <c r="T235" s="99" t="s">
        <v>48</v>
      </c>
      <c r="U235" s="99" t="s">
        <v>184</v>
      </c>
      <c r="V235" s="99" t="s">
        <v>185</v>
      </c>
      <c r="W235" s="99" t="s">
        <v>3563</v>
      </c>
      <c r="X235" s="99" t="s">
        <v>4001</v>
      </c>
      <c r="Y235" s="99" t="s">
        <v>4002</v>
      </c>
      <c r="Z235" s="99" t="s">
        <v>172</v>
      </c>
      <c r="AA235" s="99" t="s">
        <v>173</v>
      </c>
      <c r="AB235" s="99" t="s">
        <v>400</v>
      </c>
      <c r="AC235" s="99" t="s">
        <v>3411</v>
      </c>
      <c r="AD235" s="99" t="s">
        <v>175</v>
      </c>
      <c r="AE235" s="99" t="s">
        <v>3411</v>
      </c>
      <c r="AF235" s="99" t="s">
        <v>3411</v>
      </c>
      <c r="AG235" s="124">
        <v>1460</v>
      </c>
      <c r="AH235" s="99" t="s">
        <v>3413</v>
      </c>
      <c r="AI235" s="125">
        <v>100</v>
      </c>
      <c r="AJ235" s="99" t="s">
        <v>176</v>
      </c>
      <c r="AK235" s="99" t="s">
        <v>4003</v>
      </c>
      <c r="AL235" s="99" t="s">
        <v>3411</v>
      </c>
      <c r="AM235" s="99" t="s">
        <v>177</v>
      </c>
      <c r="AN235" s="99" t="s">
        <v>3411</v>
      </c>
      <c r="AO235" s="99" t="s">
        <v>178</v>
      </c>
      <c r="AP235" s="99" t="s">
        <v>2570</v>
      </c>
      <c r="AQ235" s="99" t="s">
        <v>3411</v>
      </c>
      <c r="AR235" s="99" t="s">
        <v>3411</v>
      </c>
      <c r="AS235" s="99" t="s">
        <v>1066</v>
      </c>
      <c r="AT235" s="99" t="s">
        <v>1</v>
      </c>
      <c r="AU235" s="99" t="s">
        <v>179</v>
      </c>
      <c r="AV235" s="99" t="s">
        <v>3414</v>
      </c>
      <c r="AW235" s="99" t="s">
        <v>180</v>
      </c>
      <c r="AX235" s="99" t="s">
        <v>3420</v>
      </c>
      <c r="AY235" s="99" t="s">
        <v>252</v>
      </c>
      <c r="AZ235" s="99" t="s">
        <v>3416</v>
      </c>
      <c r="BA235" s="99" t="s">
        <v>4004</v>
      </c>
      <c r="BB235" s="99" t="s">
        <v>1074</v>
      </c>
      <c r="BC235" s="125">
        <v>55</v>
      </c>
      <c r="BD235" s="99" t="s">
        <v>3135</v>
      </c>
      <c r="BE235" s="99" t="s">
        <v>3136</v>
      </c>
    </row>
    <row r="236" spans="1:57" ht="12.95" customHeight="1">
      <c r="A236" s="124">
        <v>15</v>
      </c>
      <c r="B236" s="124">
        <v>1841</v>
      </c>
      <c r="C236" s="99" t="s">
        <v>165</v>
      </c>
      <c r="D236" s="99" t="s">
        <v>1012</v>
      </c>
      <c r="E236" s="99" t="s">
        <v>3298</v>
      </c>
      <c r="F236" s="99" t="s">
        <v>1046</v>
      </c>
      <c r="G236" s="99" t="s">
        <v>1047</v>
      </c>
      <c r="H236" s="99" t="s">
        <v>4000</v>
      </c>
      <c r="I236" s="99" t="s">
        <v>2703</v>
      </c>
      <c r="J236" s="99" t="s">
        <v>812</v>
      </c>
      <c r="K236" s="99" t="s">
        <v>1017</v>
      </c>
      <c r="L236" s="99" t="s">
        <v>1075</v>
      </c>
      <c r="M236" s="99" t="s">
        <v>5</v>
      </c>
      <c r="N236" s="99" t="s">
        <v>3454</v>
      </c>
      <c r="O236" s="99" t="s">
        <v>70</v>
      </c>
      <c r="P236" s="99" t="s">
        <v>3936</v>
      </c>
      <c r="Q236" s="99" t="s">
        <v>247</v>
      </c>
      <c r="R236" s="99" t="s">
        <v>3409</v>
      </c>
      <c r="S236" s="99" t="s">
        <v>2636</v>
      </c>
      <c r="T236" s="99" t="s">
        <v>52</v>
      </c>
      <c r="U236" s="99" t="s">
        <v>427</v>
      </c>
      <c r="V236" s="99" t="s">
        <v>428</v>
      </c>
      <c r="W236" s="99" t="s">
        <v>3563</v>
      </c>
      <c r="X236" s="99" t="s">
        <v>4005</v>
      </c>
      <c r="Y236" s="99" t="s">
        <v>4006</v>
      </c>
      <c r="Z236" s="99" t="s">
        <v>172</v>
      </c>
      <c r="AA236" s="99" t="s">
        <v>173</v>
      </c>
      <c r="AB236" s="99" t="s">
        <v>400</v>
      </c>
      <c r="AC236" s="99" t="s">
        <v>3411</v>
      </c>
      <c r="AD236" s="99" t="s">
        <v>175</v>
      </c>
      <c r="AE236" s="99" t="s">
        <v>3411</v>
      </c>
      <c r="AF236" s="99" t="s">
        <v>3411</v>
      </c>
      <c r="AG236" s="124">
        <v>1461</v>
      </c>
      <c r="AH236" s="99" t="s">
        <v>3413</v>
      </c>
      <c r="AI236" s="125">
        <v>100</v>
      </c>
      <c r="AJ236" s="99" t="s">
        <v>176</v>
      </c>
      <c r="AK236" s="99" t="s">
        <v>3563</v>
      </c>
      <c r="AL236" s="99" t="s">
        <v>3411</v>
      </c>
      <c r="AM236" s="99" t="s">
        <v>177</v>
      </c>
      <c r="AN236" s="99" t="s">
        <v>3411</v>
      </c>
      <c r="AO236" s="99" t="s">
        <v>178</v>
      </c>
      <c r="AP236" s="99" t="s">
        <v>2570</v>
      </c>
      <c r="AQ236" s="99" t="s">
        <v>3411</v>
      </c>
      <c r="AR236" s="99" t="s">
        <v>3411</v>
      </c>
      <c r="AS236" s="99" t="s">
        <v>1076</v>
      </c>
      <c r="AT236" s="99" t="s">
        <v>1</v>
      </c>
      <c r="AU236" s="99" t="s">
        <v>179</v>
      </c>
      <c r="AV236" s="99" t="s">
        <v>3414</v>
      </c>
      <c r="AW236" s="99" t="s">
        <v>180</v>
      </c>
      <c r="AX236" s="99" t="s">
        <v>3420</v>
      </c>
      <c r="AY236" s="99" t="s">
        <v>252</v>
      </c>
      <c r="AZ236" s="99" t="s">
        <v>3416</v>
      </c>
      <c r="BA236" s="99" t="s">
        <v>3417</v>
      </c>
      <c r="BB236" s="99" t="s">
        <v>3097</v>
      </c>
      <c r="BC236" s="125">
        <v>56</v>
      </c>
      <c r="BD236" s="99" t="s">
        <v>3135</v>
      </c>
      <c r="BE236" s="99" t="s">
        <v>3136</v>
      </c>
    </row>
    <row r="237" spans="1:57" ht="12.95" customHeight="1">
      <c r="A237" s="124">
        <v>15</v>
      </c>
      <c r="B237" s="124">
        <v>1845</v>
      </c>
      <c r="C237" s="99" t="s">
        <v>165</v>
      </c>
      <c r="D237" s="99" t="s">
        <v>1012</v>
      </c>
      <c r="E237" s="99" t="s">
        <v>3298</v>
      </c>
      <c r="F237" s="99" t="s">
        <v>1046</v>
      </c>
      <c r="G237" s="99" t="s">
        <v>1047</v>
      </c>
      <c r="H237" s="99" t="s">
        <v>4000</v>
      </c>
      <c r="I237" s="99" t="s">
        <v>2703</v>
      </c>
      <c r="J237" s="99" t="s">
        <v>1067</v>
      </c>
      <c r="K237" s="99" t="s">
        <v>1068</v>
      </c>
      <c r="L237" s="99" t="s">
        <v>1069</v>
      </c>
      <c r="M237" s="99" t="s">
        <v>5</v>
      </c>
      <c r="N237" s="99" t="s">
        <v>3454</v>
      </c>
      <c r="O237" s="99" t="s">
        <v>70</v>
      </c>
      <c r="P237" s="99" t="s">
        <v>3682</v>
      </c>
      <c r="Q237" s="99" t="s">
        <v>247</v>
      </c>
      <c r="R237" s="99" t="s">
        <v>3409</v>
      </c>
      <c r="S237" s="99" t="s">
        <v>2636</v>
      </c>
      <c r="T237" s="99" t="s">
        <v>48</v>
      </c>
      <c r="U237" s="99" t="s">
        <v>184</v>
      </c>
      <c r="V237" s="99" t="s">
        <v>185</v>
      </c>
      <c r="W237" s="99" t="s">
        <v>3563</v>
      </c>
      <c r="X237" s="99" t="s">
        <v>4007</v>
      </c>
      <c r="Y237" s="99" t="s">
        <v>4008</v>
      </c>
      <c r="Z237" s="99" t="s">
        <v>172</v>
      </c>
      <c r="AA237" s="99" t="s">
        <v>173</v>
      </c>
      <c r="AB237" s="99" t="s">
        <v>400</v>
      </c>
      <c r="AC237" s="99" t="s">
        <v>3411</v>
      </c>
      <c r="AD237" s="99" t="s">
        <v>175</v>
      </c>
      <c r="AE237" s="99" t="s">
        <v>3411</v>
      </c>
      <c r="AF237" s="99" t="s">
        <v>3411</v>
      </c>
      <c r="AG237" s="124">
        <v>1465</v>
      </c>
      <c r="AH237" s="99" t="s">
        <v>3413</v>
      </c>
      <c r="AI237" s="125">
        <v>100</v>
      </c>
      <c r="AJ237" s="99" t="s">
        <v>176</v>
      </c>
      <c r="AK237" s="99" t="s">
        <v>3563</v>
      </c>
      <c r="AL237" s="99" t="s">
        <v>3411</v>
      </c>
      <c r="AM237" s="99" t="s">
        <v>177</v>
      </c>
      <c r="AN237" s="99" t="s">
        <v>3411</v>
      </c>
      <c r="AO237" s="99" t="s">
        <v>178</v>
      </c>
      <c r="AP237" s="99" t="s">
        <v>2570</v>
      </c>
      <c r="AQ237" s="99" t="s">
        <v>3411</v>
      </c>
      <c r="AR237" s="99" t="s">
        <v>207</v>
      </c>
      <c r="AS237" s="99" t="s">
        <v>1070</v>
      </c>
      <c r="AT237" s="99" t="s">
        <v>1</v>
      </c>
      <c r="AU237" s="99" t="s">
        <v>179</v>
      </c>
      <c r="AV237" s="99" t="s">
        <v>3414</v>
      </c>
      <c r="AW237" s="99" t="s">
        <v>180</v>
      </c>
      <c r="AX237" s="99" t="s">
        <v>3443</v>
      </c>
      <c r="AY237" s="99" t="s">
        <v>252</v>
      </c>
      <c r="AZ237" s="99" t="s">
        <v>5013</v>
      </c>
      <c r="BA237" s="99" t="s">
        <v>4004</v>
      </c>
      <c r="BB237" s="99" t="s">
        <v>1074</v>
      </c>
      <c r="BC237" s="125">
        <v>59</v>
      </c>
      <c r="BD237" s="99" t="s">
        <v>3135</v>
      </c>
      <c r="BE237" s="99" t="s">
        <v>3136</v>
      </c>
    </row>
    <row r="238" spans="1:57" ht="12.95" customHeight="1">
      <c r="A238" s="124">
        <v>15</v>
      </c>
      <c r="B238" s="124">
        <v>1242</v>
      </c>
      <c r="C238" s="99" t="s">
        <v>165</v>
      </c>
      <c r="D238" s="99" t="s">
        <v>1012</v>
      </c>
      <c r="E238" s="99" t="s">
        <v>3298</v>
      </c>
      <c r="F238" s="99" t="s">
        <v>1046</v>
      </c>
      <c r="G238" s="99" t="s">
        <v>1047</v>
      </c>
      <c r="H238" s="99" t="s">
        <v>4000</v>
      </c>
      <c r="I238" s="99" t="s">
        <v>2703</v>
      </c>
      <c r="J238" s="99" t="s">
        <v>1077</v>
      </c>
      <c r="K238" s="99" t="s">
        <v>1078</v>
      </c>
      <c r="L238" s="99" t="s">
        <v>1079</v>
      </c>
      <c r="M238" s="99" t="s">
        <v>5</v>
      </c>
      <c r="N238" s="99" t="s">
        <v>3454</v>
      </c>
      <c r="O238" s="99" t="s">
        <v>70</v>
      </c>
      <c r="P238" s="99" t="s">
        <v>3936</v>
      </c>
      <c r="Q238" s="99" t="s">
        <v>247</v>
      </c>
      <c r="R238" s="99" t="s">
        <v>3409</v>
      </c>
      <c r="S238" s="99" t="s">
        <v>2636</v>
      </c>
      <c r="T238" s="99" t="s">
        <v>48</v>
      </c>
      <c r="U238" s="99" t="s">
        <v>184</v>
      </c>
      <c r="V238" s="99" t="s">
        <v>185</v>
      </c>
      <c r="W238" s="99" t="s">
        <v>4009</v>
      </c>
      <c r="X238" s="99" t="s">
        <v>4009</v>
      </c>
      <c r="Y238" s="99" t="s">
        <v>4010</v>
      </c>
      <c r="Z238" s="99" t="s">
        <v>172</v>
      </c>
      <c r="AA238" s="99" t="s">
        <v>173</v>
      </c>
      <c r="AB238" s="99" t="s">
        <v>174</v>
      </c>
      <c r="AC238" s="99" t="s">
        <v>3411</v>
      </c>
      <c r="AD238" s="99" t="s">
        <v>175</v>
      </c>
      <c r="AE238" s="99" t="s">
        <v>3411</v>
      </c>
      <c r="AF238" s="99" t="s">
        <v>3411</v>
      </c>
      <c r="AG238" s="124">
        <v>981</v>
      </c>
      <c r="AH238" s="99" t="s">
        <v>3413</v>
      </c>
      <c r="AI238" s="125">
        <v>100</v>
      </c>
      <c r="AJ238" s="99" t="s">
        <v>176</v>
      </c>
      <c r="AK238" s="99" t="s">
        <v>4009</v>
      </c>
      <c r="AL238" s="99" t="s">
        <v>3411</v>
      </c>
      <c r="AM238" s="99" t="s">
        <v>177</v>
      </c>
      <c r="AN238" s="99" t="s">
        <v>3411</v>
      </c>
      <c r="AO238" s="99" t="s">
        <v>403</v>
      </c>
      <c r="AP238" s="99" t="s">
        <v>2570</v>
      </c>
      <c r="AQ238" s="99" t="s">
        <v>3411</v>
      </c>
      <c r="AR238" s="99" t="s">
        <v>3411</v>
      </c>
      <c r="AS238" s="99" t="s">
        <v>1080</v>
      </c>
      <c r="AT238" s="99" t="s">
        <v>1</v>
      </c>
      <c r="AU238" s="99" t="s">
        <v>179</v>
      </c>
      <c r="AV238" s="99" t="s">
        <v>3414</v>
      </c>
      <c r="AW238" s="99" t="s">
        <v>180</v>
      </c>
      <c r="AX238" s="99" t="s">
        <v>3420</v>
      </c>
      <c r="AY238" s="99" t="s">
        <v>252</v>
      </c>
      <c r="AZ238" s="99" t="s">
        <v>3416</v>
      </c>
      <c r="BA238" s="99" t="s">
        <v>4004</v>
      </c>
      <c r="BB238" s="99" t="s">
        <v>1074</v>
      </c>
      <c r="BC238" s="125">
        <v>56</v>
      </c>
      <c r="BD238" s="99" t="s">
        <v>3135</v>
      </c>
      <c r="BE238" s="99" t="s">
        <v>3136</v>
      </c>
    </row>
    <row r="239" spans="1:57" ht="12.95" customHeight="1">
      <c r="A239" s="124">
        <v>15</v>
      </c>
      <c r="B239" s="124">
        <v>871</v>
      </c>
      <c r="C239" s="99" t="s">
        <v>165</v>
      </c>
      <c r="D239" s="99" t="s">
        <v>1012</v>
      </c>
      <c r="E239" s="99" t="s">
        <v>3298</v>
      </c>
      <c r="F239" s="99" t="s">
        <v>1046</v>
      </c>
      <c r="G239" s="99" t="s">
        <v>1047</v>
      </c>
      <c r="H239" s="99" t="s">
        <v>4011</v>
      </c>
      <c r="I239" s="99" t="s">
        <v>2692</v>
      </c>
      <c r="J239" s="99" t="s">
        <v>1048</v>
      </c>
      <c r="K239" s="99" t="s">
        <v>1049</v>
      </c>
      <c r="L239" s="99" t="s">
        <v>1050</v>
      </c>
      <c r="M239" s="99" t="s">
        <v>5</v>
      </c>
      <c r="N239" s="99" t="s">
        <v>3407</v>
      </c>
      <c r="O239" s="99" t="s">
        <v>114</v>
      </c>
      <c r="P239" s="99" t="s">
        <v>3422</v>
      </c>
      <c r="Q239" s="99" t="s">
        <v>169</v>
      </c>
      <c r="R239" s="99" t="s">
        <v>3409</v>
      </c>
      <c r="S239" s="99" t="s">
        <v>2636</v>
      </c>
      <c r="T239" s="99" t="s">
        <v>52</v>
      </c>
      <c r="U239" s="99" t="s">
        <v>427</v>
      </c>
      <c r="V239" s="99" t="s">
        <v>428</v>
      </c>
      <c r="W239" s="99" t="s">
        <v>4012</v>
      </c>
      <c r="X239" s="99" t="s">
        <v>4012</v>
      </c>
      <c r="Y239" s="99" t="s">
        <v>4013</v>
      </c>
      <c r="Z239" s="99" t="s">
        <v>172</v>
      </c>
      <c r="AA239" s="99" t="s">
        <v>173</v>
      </c>
      <c r="AB239" s="99" t="s">
        <v>174</v>
      </c>
      <c r="AC239" s="99" t="s">
        <v>3411</v>
      </c>
      <c r="AD239" s="99" t="s">
        <v>175</v>
      </c>
      <c r="AE239" s="99" t="s">
        <v>3411</v>
      </c>
      <c r="AF239" s="99" t="s">
        <v>3411</v>
      </c>
      <c r="AG239" s="124">
        <v>666</v>
      </c>
      <c r="AH239" s="99" t="s">
        <v>3413</v>
      </c>
      <c r="AI239" s="125">
        <v>100</v>
      </c>
      <c r="AJ239" s="99" t="s">
        <v>176</v>
      </c>
      <c r="AK239" s="99" t="s">
        <v>4012</v>
      </c>
      <c r="AL239" s="99" t="s">
        <v>3411</v>
      </c>
      <c r="AM239" s="99" t="s">
        <v>177</v>
      </c>
      <c r="AN239" s="99" t="s">
        <v>3411</v>
      </c>
      <c r="AO239" s="99" t="s">
        <v>178</v>
      </c>
      <c r="AP239" s="99" t="s">
        <v>2570</v>
      </c>
      <c r="AQ239" s="99" t="s">
        <v>3411</v>
      </c>
      <c r="AR239" s="99" t="s">
        <v>3411</v>
      </c>
      <c r="AS239" s="99" t="s">
        <v>1051</v>
      </c>
      <c r="AT239" s="99" t="s">
        <v>1</v>
      </c>
      <c r="AU239" s="99" t="s">
        <v>179</v>
      </c>
      <c r="AV239" s="99" t="s">
        <v>3414</v>
      </c>
      <c r="AW239" s="99" t="s">
        <v>180</v>
      </c>
      <c r="AX239" s="99" t="s">
        <v>3420</v>
      </c>
      <c r="AY239" s="99" t="s">
        <v>252</v>
      </c>
      <c r="AZ239" s="99" t="s">
        <v>3416</v>
      </c>
      <c r="BA239" s="99" t="s">
        <v>4014</v>
      </c>
      <c r="BB239" s="99" t="s">
        <v>2872</v>
      </c>
      <c r="BC239" s="125">
        <v>60</v>
      </c>
      <c r="BD239" s="99" t="s">
        <v>3135</v>
      </c>
      <c r="BE239" s="99" t="s">
        <v>3136</v>
      </c>
    </row>
    <row r="240" spans="1:57" ht="12.95" customHeight="1">
      <c r="A240" s="124">
        <v>15</v>
      </c>
      <c r="B240" s="124">
        <v>1592</v>
      </c>
      <c r="C240" s="99" t="s">
        <v>165</v>
      </c>
      <c r="D240" s="99" t="s">
        <v>1012</v>
      </c>
      <c r="E240" s="99" t="s">
        <v>3298</v>
      </c>
      <c r="F240" s="99" t="s">
        <v>1046</v>
      </c>
      <c r="G240" s="99" t="s">
        <v>1047</v>
      </c>
      <c r="H240" s="99" t="s">
        <v>4011</v>
      </c>
      <c r="I240" s="99" t="s">
        <v>2692</v>
      </c>
      <c r="J240" s="99" t="s">
        <v>1082</v>
      </c>
      <c r="K240" s="99" t="s">
        <v>275</v>
      </c>
      <c r="L240" s="99" t="s">
        <v>1083</v>
      </c>
      <c r="M240" s="99" t="s">
        <v>5</v>
      </c>
      <c r="N240" s="99" t="s">
        <v>3407</v>
      </c>
      <c r="O240" s="99" t="s">
        <v>114</v>
      </c>
      <c r="P240" s="99" t="s">
        <v>3422</v>
      </c>
      <c r="Q240" s="99" t="s">
        <v>169</v>
      </c>
      <c r="R240" s="99" t="s">
        <v>3409</v>
      </c>
      <c r="S240" s="99" t="s">
        <v>2636</v>
      </c>
      <c r="T240" s="99" t="s">
        <v>52</v>
      </c>
      <c r="U240" s="99" t="s">
        <v>427</v>
      </c>
      <c r="V240" s="99" t="s">
        <v>428</v>
      </c>
      <c r="W240" s="99" t="s">
        <v>4001</v>
      </c>
      <c r="X240" s="99" t="s">
        <v>4001</v>
      </c>
      <c r="Y240" s="99" t="s">
        <v>4015</v>
      </c>
      <c r="Z240" s="99" t="s">
        <v>172</v>
      </c>
      <c r="AA240" s="99" t="s">
        <v>173</v>
      </c>
      <c r="AB240" s="99" t="s">
        <v>174</v>
      </c>
      <c r="AC240" s="99" t="s">
        <v>3411</v>
      </c>
      <c r="AD240" s="99" t="s">
        <v>175</v>
      </c>
      <c r="AE240" s="99" t="s">
        <v>3411</v>
      </c>
      <c r="AF240" s="99" t="s">
        <v>3411</v>
      </c>
      <c r="AG240" s="124">
        <v>1261</v>
      </c>
      <c r="AH240" s="99" t="s">
        <v>3413</v>
      </c>
      <c r="AI240" s="125">
        <v>100</v>
      </c>
      <c r="AJ240" s="99" t="s">
        <v>176</v>
      </c>
      <c r="AK240" s="99" t="s">
        <v>4001</v>
      </c>
      <c r="AL240" s="99" t="s">
        <v>3411</v>
      </c>
      <c r="AM240" s="99" t="s">
        <v>177</v>
      </c>
      <c r="AN240" s="99" t="s">
        <v>3411</v>
      </c>
      <c r="AO240" s="99" t="s">
        <v>178</v>
      </c>
      <c r="AP240" s="99" t="s">
        <v>2570</v>
      </c>
      <c r="AQ240" s="99" t="s">
        <v>3411</v>
      </c>
      <c r="AR240" s="99" t="s">
        <v>3411</v>
      </c>
      <c r="AS240" s="99" t="s">
        <v>1084</v>
      </c>
      <c r="AT240" s="99" t="s">
        <v>1</v>
      </c>
      <c r="AU240" s="99" t="s">
        <v>179</v>
      </c>
      <c r="AV240" s="99" t="s">
        <v>3414</v>
      </c>
      <c r="AW240" s="99" t="s">
        <v>180</v>
      </c>
      <c r="AX240" s="99" t="s">
        <v>3420</v>
      </c>
      <c r="AY240" s="99" t="s">
        <v>252</v>
      </c>
      <c r="AZ240" s="99" t="s">
        <v>3416</v>
      </c>
      <c r="BA240" s="99" t="s">
        <v>3417</v>
      </c>
      <c r="BB240" s="99" t="s">
        <v>3097</v>
      </c>
      <c r="BC240" s="125">
        <v>51</v>
      </c>
      <c r="BD240" s="99" t="s">
        <v>3135</v>
      </c>
      <c r="BE240" s="99" t="s">
        <v>3136</v>
      </c>
    </row>
    <row r="241" spans="1:57" ht="12.95" customHeight="1">
      <c r="A241" s="124">
        <v>15</v>
      </c>
      <c r="B241" s="124">
        <v>3097</v>
      </c>
      <c r="C241" s="99" t="s">
        <v>165</v>
      </c>
      <c r="D241" s="99" t="s">
        <v>1012</v>
      </c>
      <c r="E241" s="99" t="s">
        <v>3298</v>
      </c>
      <c r="F241" s="99" t="s">
        <v>1046</v>
      </c>
      <c r="G241" s="99" t="s">
        <v>1047</v>
      </c>
      <c r="H241" s="99" t="s">
        <v>4011</v>
      </c>
      <c r="I241" s="99" t="s">
        <v>2692</v>
      </c>
      <c r="J241" s="99" t="s">
        <v>2983</v>
      </c>
      <c r="K241" s="99" t="s">
        <v>879</v>
      </c>
      <c r="L241" s="99" t="s">
        <v>2984</v>
      </c>
      <c r="M241" s="99" t="s">
        <v>1</v>
      </c>
      <c r="N241" s="99" t="s">
        <v>3407</v>
      </c>
      <c r="O241" s="99" t="s">
        <v>114</v>
      </c>
      <c r="P241" s="99" t="s">
        <v>4016</v>
      </c>
      <c r="Q241" s="99" t="s">
        <v>169</v>
      </c>
      <c r="R241" s="99" t="s">
        <v>3409</v>
      </c>
      <c r="S241" s="99" t="s">
        <v>2636</v>
      </c>
      <c r="T241" s="99" t="s">
        <v>48</v>
      </c>
      <c r="U241" s="99" t="s">
        <v>184</v>
      </c>
      <c r="V241" s="99" t="s">
        <v>185</v>
      </c>
      <c r="W241" s="99" t="s">
        <v>4016</v>
      </c>
      <c r="X241" s="99" t="s">
        <v>4016</v>
      </c>
      <c r="Y241" s="99" t="s">
        <v>4017</v>
      </c>
      <c r="Z241" s="99" t="s">
        <v>172</v>
      </c>
      <c r="AA241" s="99" t="s">
        <v>173</v>
      </c>
      <c r="AB241" s="99" t="s">
        <v>174</v>
      </c>
      <c r="AC241" s="99" t="s">
        <v>3411</v>
      </c>
      <c r="AD241" s="99" t="s">
        <v>175</v>
      </c>
      <c r="AE241" s="99" t="s">
        <v>3411</v>
      </c>
      <c r="AF241" s="99" t="s">
        <v>3411</v>
      </c>
      <c r="AG241" s="124">
        <v>3097</v>
      </c>
      <c r="AH241" s="99" t="s">
        <v>3413</v>
      </c>
      <c r="AI241" s="125">
        <v>100</v>
      </c>
      <c r="AJ241" s="99" t="s">
        <v>176</v>
      </c>
      <c r="AK241" s="99" t="s">
        <v>4016</v>
      </c>
      <c r="AL241" s="99" t="s">
        <v>3411</v>
      </c>
      <c r="AM241" s="99" t="s">
        <v>177</v>
      </c>
      <c r="AN241" s="99" t="s">
        <v>3411</v>
      </c>
      <c r="AO241" s="99" t="s">
        <v>412</v>
      </c>
      <c r="AP241" s="99" t="s">
        <v>2570</v>
      </c>
      <c r="AQ241" s="99" t="s">
        <v>3411</v>
      </c>
      <c r="AR241" s="99" t="s">
        <v>3411</v>
      </c>
      <c r="AS241" s="99" t="s">
        <v>2985</v>
      </c>
      <c r="AT241" s="99" t="s">
        <v>1</v>
      </c>
      <c r="AU241" s="99" t="s">
        <v>179</v>
      </c>
      <c r="AV241" s="99" t="s">
        <v>3414</v>
      </c>
      <c r="AW241" s="99" t="s">
        <v>180</v>
      </c>
      <c r="AX241" s="99" t="s">
        <v>3443</v>
      </c>
      <c r="AY241" s="99" t="s">
        <v>252</v>
      </c>
      <c r="AZ241" s="99" t="s">
        <v>5013</v>
      </c>
      <c r="BA241" s="99" t="s">
        <v>4014</v>
      </c>
      <c r="BB241" s="99" t="s">
        <v>2872</v>
      </c>
      <c r="BC241" s="125">
        <v>37</v>
      </c>
      <c r="BD241" s="99" t="s">
        <v>3135</v>
      </c>
      <c r="BE241" s="99" t="s">
        <v>3136</v>
      </c>
    </row>
    <row r="242" spans="1:57" ht="12.95" customHeight="1">
      <c r="A242" s="124">
        <v>15</v>
      </c>
      <c r="B242" s="124">
        <v>3049</v>
      </c>
      <c r="C242" s="99" t="s">
        <v>165</v>
      </c>
      <c r="D242" s="99" t="s">
        <v>1012</v>
      </c>
      <c r="E242" s="99" t="s">
        <v>3298</v>
      </c>
      <c r="F242" s="99" t="s">
        <v>1046</v>
      </c>
      <c r="G242" s="99" t="s">
        <v>1047</v>
      </c>
      <c r="H242" s="99" t="s">
        <v>4011</v>
      </c>
      <c r="I242" s="99" t="s">
        <v>2692</v>
      </c>
      <c r="J242" s="99" t="s">
        <v>2693</v>
      </c>
      <c r="K242" s="99" t="s">
        <v>1053</v>
      </c>
      <c r="L242" s="99" t="s">
        <v>2694</v>
      </c>
      <c r="M242" s="99" t="s">
        <v>5</v>
      </c>
      <c r="N242" s="99" t="s">
        <v>3407</v>
      </c>
      <c r="O242" s="99" t="s">
        <v>114</v>
      </c>
      <c r="P242" s="99" t="s">
        <v>4018</v>
      </c>
      <c r="Q242" s="99" t="s">
        <v>169</v>
      </c>
      <c r="R242" s="99" t="s">
        <v>3409</v>
      </c>
      <c r="S242" s="99" t="s">
        <v>2636</v>
      </c>
      <c r="T242" s="99" t="s">
        <v>48</v>
      </c>
      <c r="U242" s="99" t="s">
        <v>184</v>
      </c>
      <c r="V242" s="99" t="s">
        <v>185</v>
      </c>
      <c r="W242" s="99" t="s">
        <v>4018</v>
      </c>
      <c r="X242" s="99" t="s">
        <v>4018</v>
      </c>
      <c r="Y242" s="99" t="s">
        <v>4019</v>
      </c>
      <c r="Z242" s="99" t="s">
        <v>172</v>
      </c>
      <c r="AA242" s="99" t="s">
        <v>173</v>
      </c>
      <c r="AB242" s="99" t="s">
        <v>174</v>
      </c>
      <c r="AC242" s="99" t="s">
        <v>3411</v>
      </c>
      <c r="AD242" s="99" t="s">
        <v>175</v>
      </c>
      <c r="AE242" s="99" t="s">
        <v>3411</v>
      </c>
      <c r="AF242" s="99" t="s">
        <v>3411</v>
      </c>
      <c r="AG242" s="124">
        <v>3049</v>
      </c>
      <c r="AH242" s="99" t="s">
        <v>3413</v>
      </c>
      <c r="AI242" s="125">
        <v>100</v>
      </c>
      <c r="AJ242" s="99" t="s">
        <v>176</v>
      </c>
      <c r="AK242" s="99" t="s">
        <v>4018</v>
      </c>
      <c r="AL242" s="99" t="s">
        <v>3411</v>
      </c>
      <c r="AM242" s="99" t="s">
        <v>177</v>
      </c>
      <c r="AN242" s="99" t="s">
        <v>3411</v>
      </c>
      <c r="AO242" s="99" t="s">
        <v>412</v>
      </c>
      <c r="AP242" s="99" t="s">
        <v>2570</v>
      </c>
      <c r="AQ242" s="99" t="s">
        <v>3411</v>
      </c>
      <c r="AR242" s="99" t="s">
        <v>3411</v>
      </c>
      <c r="AS242" s="99" t="s">
        <v>2695</v>
      </c>
      <c r="AT242" s="99" t="s">
        <v>1</v>
      </c>
      <c r="AU242" s="99" t="s">
        <v>179</v>
      </c>
      <c r="AV242" s="99" t="s">
        <v>3414</v>
      </c>
      <c r="AW242" s="99" t="s">
        <v>180</v>
      </c>
      <c r="AX242" s="99" t="s">
        <v>3420</v>
      </c>
      <c r="AY242" s="99" t="s">
        <v>252</v>
      </c>
      <c r="AZ242" s="99" t="s">
        <v>3416</v>
      </c>
      <c r="BA242" s="99" t="s">
        <v>4014</v>
      </c>
      <c r="BB242" s="99" t="s">
        <v>2872</v>
      </c>
      <c r="BC242" s="125">
        <v>51</v>
      </c>
      <c r="BD242" s="99" t="s">
        <v>3135</v>
      </c>
      <c r="BE242" s="99" t="s">
        <v>3136</v>
      </c>
    </row>
    <row r="243" spans="1:57" ht="12.95" customHeight="1">
      <c r="A243" s="124">
        <v>15</v>
      </c>
      <c r="B243" s="124">
        <v>1437</v>
      </c>
      <c r="C243" s="99" t="s">
        <v>165</v>
      </c>
      <c r="D243" s="99" t="s">
        <v>1012</v>
      </c>
      <c r="E243" s="99" t="s">
        <v>3298</v>
      </c>
      <c r="F243" s="99" t="s">
        <v>1046</v>
      </c>
      <c r="G243" s="99" t="s">
        <v>1047</v>
      </c>
      <c r="H243" s="99" t="s">
        <v>4020</v>
      </c>
      <c r="I243" s="99" t="s">
        <v>2704</v>
      </c>
      <c r="J243" s="99" t="s">
        <v>1052</v>
      </c>
      <c r="K243" s="99" t="s">
        <v>1053</v>
      </c>
      <c r="L243" s="99" t="s">
        <v>1054</v>
      </c>
      <c r="M243" s="99" t="s">
        <v>5</v>
      </c>
      <c r="N243" s="99" t="s">
        <v>3454</v>
      </c>
      <c r="O243" s="99" t="s">
        <v>70</v>
      </c>
      <c r="P243" s="99" t="s">
        <v>3933</v>
      </c>
      <c r="Q243" s="99" t="s">
        <v>247</v>
      </c>
      <c r="R243" s="99" t="s">
        <v>3409</v>
      </c>
      <c r="S243" s="99" t="s">
        <v>2636</v>
      </c>
      <c r="T243" s="99" t="s">
        <v>48</v>
      </c>
      <c r="U243" s="99" t="s">
        <v>184</v>
      </c>
      <c r="V243" s="99" t="s">
        <v>185</v>
      </c>
      <c r="W243" s="99" t="s">
        <v>4007</v>
      </c>
      <c r="X243" s="99" t="s">
        <v>4007</v>
      </c>
      <c r="Y243" s="99" t="s">
        <v>4021</v>
      </c>
      <c r="Z243" s="99" t="s">
        <v>172</v>
      </c>
      <c r="AA243" s="99" t="s">
        <v>173</v>
      </c>
      <c r="AB243" s="99" t="s">
        <v>174</v>
      </c>
      <c r="AC243" s="99" t="s">
        <v>3411</v>
      </c>
      <c r="AD243" s="99" t="s">
        <v>175</v>
      </c>
      <c r="AE243" s="99" t="s">
        <v>3411</v>
      </c>
      <c r="AF243" s="99" t="s">
        <v>3411</v>
      </c>
      <c r="AG243" s="124">
        <v>1139</v>
      </c>
      <c r="AH243" s="99" t="s">
        <v>3413</v>
      </c>
      <c r="AI243" s="125">
        <v>100</v>
      </c>
      <c r="AJ243" s="99" t="s">
        <v>176</v>
      </c>
      <c r="AK243" s="99" t="s">
        <v>4007</v>
      </c>
      <c r="AL243" s="99" t="s">
        <v>3411</v>
      </c>
      <c r="AM243" s="99" t="s">
        <v>177</v>
      </c>
      <c r="AN243" s="99" t="s">
        <v>3411</v>
      </c>
      <c r="AO243" s="99" t="s">
        <v>403</v>
      </c>
      <c r="AP243" s="99" t="s">
        <v>2570</v>
      </c>
      <c r="AQ243" s="99" t="s">
        <v>3411</v>
      </c>
      <c r="AR243" s="99" t="s">
        <v>234</v>
      </c>
      <c r="AS243" s="99" t="s">
        <v>1055</v>
      </c>
      <c r="AT243" s="99" t="s">
        <v>1</v>
      </c>
      <c r="AU243" s="99" t="s">
        <v>179</v>
      </c>
      <c r="AV243" s="99" t="s">
        <v>3414</v>
      </c>
      <c r="AW243" s="99" t="s">
        <v>180</v>
      </c>
      <c r="AX243" s="99" t="s">
        <v>3420</v>
      </c>
      <c r="AY243" s="99" t="s">
        <v>252</v>
      </c>
      <c r="AZ243" s="99" t="s">
        <v>3416</v>
      </c>
      <c r="BA243" s="99" t="s">
        <v>3417</v>
      </c>
      <c r="BB243" s="99" t="s">
        <v>3097</v>
      </c>
      <c r="BC243" s="125">
        <v>50</v>
      </c>
      <c r="BD243" s="99" t="s">
        <v>3135</v>
      </c>
      <c r="BE243" s="99" t="s">
        <v>3136</v>
      </c>
    </row>
    <row r="244" spans="1:57" ht="12.95" customHeight="1">
      <c r="A244" s="124">
        <v>15</v>
      </c>
      <c r="B244" s="124">
        <v>1685</v>
      </c>
      <c r="C244" s="99" t="s">
        <v>165</v>
      </c>
      <c r="D244" s="99" t="s">
        <v>1012</v>
      </c>
      <c r="E244" s="99" t="s">
        <v>3298</v>
      </c>
      <c r="F244" s="99" t="s">
        <v>3385</v>
      </c>
      <c r="G244" s="99" t="s">
        <v>3179</v>
      </c>
      <c r="H244" s="99" t="s">
        <v>469</v>
      </c>
      <c r="I244" s="99" t="s">
        <v>470</v>
      </c>
      <c r="J244" s="99" t="s">
        <v>471</v>
      </c>
      <c r="K244" s="99" t="s">
        <v>472</v>
      </c>
      <c r="L244" s="99" t="s">
        <v>473</v>
      </c>
      <c r="M244" s="99" t="s">
        <v>5</v>
      </c>
      <c r="N244" s="99" t="s">
        <v>3407</v>
      </c>
      <c r="O244" s="99" t="s">
        <v>114</v>
      </c>
      <c r="P244" s="99" t="s">
        <v>3422</v>
      </c>
      <c r="Q244" s="99" t="s">
        <v>169</v>
      </c>
      <c r="R244" s="99" t="s">
        <v>3409</v>
      </c>
      <c r="S244" s="99" t="s">
        <v>2636</v>
      </c>
      <c r="T244" s="99" t="s">
        <v>52</v>
      </c>
      <c r="U244" s="99" t="s">
        <v>427</v>
      </c>
      <c r="V244" s="99" t="s">
        <v>428</v>
      </c>
      <c r="W244" s="99" t="s">
        <v>4022</v>
      </c>
      <c r="X244" s="99" t="s">
        <v>4022</v>
      </c>
      <c r="Y244" s="99" t="s">
        <v>4023</v>
      </c>
      <c r="Z244" s="99" t="s">
        <v>172</v>
      </c>
      <c r="AA244" s="99" t="s">
        <v>173</v>
      </c>
      <c r="AB244" s="99" t="s">
        <v>174</v>
      </c>
      <c r="AC244" s="99" t="s">
        <v>3411</v>
      </c>
      <c r="AD244" s="99" t="s">
        <v>175</v>
      </c>
      <c r="AE244" s="99" t="s">
        <v>3411</v>
      </c>
      <c r="AF244" s="99" t="s">
        <v>3411</v>
      </c>
      <c r="AG244" s="124">
        <v>1342</v>
      </c>
      <c r="AH244" s="99" t="s">
        <v>3413</v>
      </c>
      <c r="AI244" s="125">
        <v>100</v>
      </c>
      <c r="AJ244" s="99" t="s">
        <v>176</v>
      </c>
      <c r="AK244" s="99" t="s">
        <v>3411</v>
      </c>
      <c r="AL244" s="99" t="s">
        <v>3411</v>
      </c>
      <c r="AM244" s="99" t="s">
        <v>177</v>
      </c>
      <c r="AN244" s="99" t="s">
        <v>3411</v>
      </c>
      <c r="AO244" s="99" t="s">
        <v>403</v>
      </c>
      <c r="AP244" s="99" t="s">
        <v>2570</v>
      </c>
      <c r="AQ244" s="99" t="s">
        <v>3411</v>
      </c>
      <c r="AR244" s="99" t="s">
        <v>3411</v>
      </c>
      <c r="AS244" s="99" t="s">
        <v>474</v>
      </c>
      <c r="AT244" s="99" t="s">
        <v>1</v>
      </c>
      <c r="AU244" s="99" t="s">
        <v>179</v>
      </c>
      <c r="AV244" s="99" t="s">
        <v>3414</v>
      </c>
      <c r="AW244" s="99" t="s">
        <v>180</v>
      </c>
      <c r="AX244" s="99" t="s">
        <v>3420</v>
      </c>
      <c r="AY244" s="99" t="s">
        <v>252</v>
      </c>
      <c r="AZ244" s="99" t="s">
        <v>3416</v>
      </c>
      <c r="BA244" s="99" t="s">
        <v>4024</v>
      </c>
      <c r="BB244" s="99" t="s">
        <v>2649</v>
      </c>
      <c r="BC244" s="125">
        <v>59</v>
      </c>
      <c r="BD244" s="99" t="s">
        <v>3135</v>
      </c>
      <c r="BE244" s="99" t="s">
        <v>3136</v>
      </c>
    </row>
    <row r="245" spans="1:57" ht="12.95" customHeight="1">
      <c r="A245" s="124">
        <v>15</v>
      </c>
      <c r="B245" s="124">
        <v>3099</v>
      </c>
      <c r="C245" s="99" t="s">
        <v>165</v>
      </c>
      <c r="D245" s="99" t="s">
        <v>1012</v>
      </c>
      <c r="E245" s="99" t="s">
        <v>3298</v>
      </c>
      <c r="F245" s="99" t="s">
        <v>3385</v>
      </c>
      <c r="G245" s="99" t="s">
        <v>3179</v>
      </c>
      <c r="H245" s="99" t="s">
        <v>469</v>
      </c>
      <c r="I245" s="99" t="s">
        <v>470</v>
      </c>
      <c r="J245" s="99" t="s">
        <v>2999</v>
      </c>
      <c r="K245" s="99" t="s">
        <v>398</v>
      </c>
      <c r="L245" s="99" t="s">
        <v>3000</v>
      </c>
      <c r="M245" s="99" t="s">
        <v>5</v>
      </c>
      <c r="N245" s="99" t="s">
        <v>3407</v>
      </c>
      <c r="O245" s="99" t="s">
        <v>114</v>
      </c>
      <c r="P245" s="99" t="s">
        <v>4025</v>
      </c>
      <c r="Q245" s="99" t="s">
        <v>169</v>
      </c>
      <c r="R245" s="99" t="s">
        <v>3409</v>
      </c>
      <c r="S245" s="99" t="s">
        <v>2636</v>
      </c>
      <c r="T245" s="99" t="s">
        <v>48</v>
      </c>
      <c r="U245" s="99" t="s">
        <v>184</v>
      </c>
      <c r="V245" s="99" t="s">
        <v>185</v>
      </c>
      <c r="W245" s="99" t="s">
        <v>4025</v>
      </c>
      <c r="X245" s="99" t="s">
        <v>4025</v>
      </c>
      <c r="Y245" s="99" t="s">
        <v>4026</v>
      </c>
      <c r="Z245" s="99" t="s">
        <v>172</v>
      </c>
      <c r="AA245" s="99" t="s">
        <v>173</v>
      </c>
      <c r="AB245" s="99" t="s">
        <v>174</v>
      </c>
      <c r="AC245" s="99" t="s">
        <v>3411</v>
      </c>
      <c r="AD245" s="99" t="s">
        <v>175</v>
      </c>
      <c r="AE245" s="99" t="s">
        <v>3411</v>
      </c>
      <c r="AF245" s="99" t="s">
        <v>3411</v>
      </c>
      <c r="AG245" s="124">
        <v>3099</v>
      </c>
      <c r="AH245" s="99" t="s">
        <v>3413</v>
      </c>
      <c r="AI245" s="125">
        <v>100</v>
      </c>
      <c r="AJ245" s="99" t="s">
        <v>176</v>
      </c>
      <c r="AK245" s="99" t="s">
        <v>4025</v>
      </c>
      <c r="AL245" s="99" t="s">
        <v>3411</v>
      </c>
      <c r="AM245" s="99" t="s">
        <v>177</v>
      </c>
      <c r="AN245" s="99" t="s">
        <v>3411</v>
      </c>
      <c r="AO245" s="99" t="s">
        <v>412</v>
      </c>
      <c r="AP245" s="99" t="s">
        <v>2570</v>
      </c>
      <c r="AQ245" s="99" t="s">
        <v>3411</v>
      </c>
      <c r="AR245" s="99" t="s">
        <v>3411</v>
      </c>
      <c r="AS245" s="99" t="s">
        <v>3001</v>
      </c>
      <c r="AT245" s="99" t="s">
        <v>1</v>
      </c>
      <c r="AU245" s="99" t="s">
        <v>179</v>
      </c>
      <c r="AV245" s="99" t="s">
        <v>3414</v>
      </c>
      <c r="AW245" s="99" t="s">
        <v>180</v>
      </c>
      <c r="AX245" s="99" t="s">
        <v>3420</v>
      </c>
      <c r="AY245" s="99" t="s">
        <v>252</v>
      </c>
      <c r="AZ245" s="99" t="s">
        <v>3416</v>
      </c>
      <c r="BA245" s="99" t="s">
        <v>4024</v>
      </c>
      <c r="BB245" s="99" t="s">
        <v>2649</v>
      </c>
      <c r="BC245" s="125">
        <v>40</v>
      </c>
      <c r="BD245" s="99" t="s">
        <v>3135</v>
      </c>
      <c r="BE245" s="99" t="s">
        <v>3136</v>
      </c>
    </row>
    <row r="246" spans="1:57" ht="12.95" customHeight="1">
      <c r="A246" s="124">
        <v>15</v>
      </c>
      <c r="B246" s="124">
        <v>3007</v>
      </c>
      <c r="C246" s="99" t="s">
        <v>165</v>
      </c>
      <c r="D246" s="99" t="s">
        <v>1012</v>
      </c>
      <c r="E246" s="99" t="s">
        <v>3298</v>
      </c>
      <c r="F246" s="99" t="s">
        <v>3385</v>
      </c>
      <c r="G246" s="99" t="s">
        <v>3179</v>
      </c>
      <c r="H246" s="99" t="s">
        <v>469</v>
      </c>
      <c r="I246" s="99" t="s">
        <v>470</v>
      </c>
      <c r="J246" s="99" t="s">
        <v>477</v>
      </c>
      <c r="K246" s="99" t="s">
        <v>478</v>
      </c>
      <c r="L246" s="99" t="s">
        <v>479</v>
      </c>
      <c r="M246" s="99" t="s">
        <v>1</v>
      </c>
      <c r="N246" s="99" t="s">
        <v>3407</v>
      </c>
      <c r="O246" s="99" t="s">
        <v>114</v>
      </c>
      <c r="P246" s="99" t="s">
        <v>3422</v>
      </c>
      <c r="Q246" s="99" t="s">
        <v>169</v>
      </c>
      <c r="R246" s="99" t="s">
        <v>3409</v>
      </c>
      <c r="S246" s="99" t="s">
        <v>2636</v>
      </c>
      <c r="T246" s="99" t="s">
        <v>48</v>
      </c>
      <c r="U246" s="99" t="s">
        <v>170</v>
      </c>
      <c r="V246" s="99" t="s">
        <v>171</v>
      </c>
      <c r="W246" s="99" t="s">
        <v>4027</v>
      </c>
      <c r="X246" s="99" t="s">
        <v>4027</v>
      </c>
      <c r="Y246" s="99" t="s">
        <v>4028</v>
      </c>
      <c r="Z246" s="99" t="s">
        <v>172</v>
      </c>
      <c r="AA246" s="99" t="s">
        <v>173</v>
      </c>
      <c r="AB246" s="99" t="s">
        <v>174</v>
      </c>
      <c r="AC246" s="99" t="s">
        <v>3411</v>
      </c>
      <c r="AD246" s="99" t="s">
        <v>175</v>
      </c>
      <c r="AE246" s="99" t="s">
        <v>3411</v>
      </c>
      <c r="AF246" s="99" t="s">
        <v>3411</v>
      </c>
      <c r="AG246" s="124">
        <v>3007</v>
      </c>
      <c r="AH246" s="99" t="s">
        <v>3413</v>
      </c>
      <c r="AI246" s="125">
        <v>100</v>
      </c>
      <c r="AJ246" s="99" t="s">
        <v>176</v>
      </c>
      <c r="AK246" s="99" t="s">
        <v>4027</v>
      </c>
      <c r="AL246" s="99" t="s">
        <v>3411</v>
      </c>
      <c r="AM246" s="99" t="s">
        <v>3480</v>
      </c>
      <c r="AN246" s="99" t="s">
        <v>233</v>
      </c>
      <c r="AO246" s="99" t="s">
        <v>412</v>
      </c>
      <c r="AP246" s="99" t="s">
        <v>2570</v>
      </c>
      <c r="AQ246" s="99" t="s">
        <v>3411</v>
      </c>
      <c r="AR246" s="99" t="s">
        <v>3411</v>
      </c>
      <c r="AS246" s="99" t="s">
        <v>480</v>
      </c>
      <c r="AT246" s="99" t="s">
        <v>1</v>
      </c>
      <c r="AU246" s="99" t="s">
        <v>179</v>
      </c>
      <c r="AV246" s="99" t="s">
        <v>3414</v>
      </c>
      <c r="AW246" s="99" t="s">
        <v>180</v>
      </c>
      <c r="AX246" s="99" t="s">
        <v>3420</v>
      </c>
      <c r="AY246" s="99" t="s">
        <v>252</v>
      </c>
      <c r="AZ246" s="99" t="s">
        <v>3416</v>
      </c>
      <c r="BA246" s="99" t="s">
        <v>4024</v>
      </c>
      <c r="BB246" s="99" t="s">
        <v>2649</v>
      </c>
      <c r="BC246" s="125">
        <v>48</v>
      </c>
      <c r="BD246" s="99" t="s">
        <v>3135</v>
      </c>
      <c r="BE246" s="99" t="s">
        <v>3136</v>
      </c>
    </row>
    <row r="247" spans="1:57" ht="12.95" customHeight="1">
      <c r="A247" s="124">
        <v>15</v>
      </c>
      <c r="B247" s="124">
        <v>3041</v>
      </c>
      <c r="C247" s="99" t="s">
        <v>165</v>
      </c>
      <c r="D247" s="99" t="s">
        <v>1012</v>
      </c>
      <c r="E247" s="99" t="s">
        <v>3298</v>
      </c>
      <c r="F247" s="99" t="s">
        <v>3385</v>
      </c>
      <c r="G247" s="99" t="s">
        <v>3179</v>
      </c>
      <c r="H247" s="99" t="s">
        <v>469</v>
      </c>
      <c r="I247" s="99" t="s">
        <v>470</v>
      </c>
      <c r="J247" s="99" t="s">
        <v>2650</v>
      </c>
      <c r="K247" s="99" t="s">
        <v>1024</v>
      </c>
      <c r="L247" s="99" t="s">
        <v>2651</v>
      </c>
      <c r="M247" s="99" t="s">
        <v>5</v>
      </c>
      <c r="N247" s="99" t="s">
        <v>3407</v>
      </c>
      <c r="O247" s="99" t="s">
        <v>114</v>
      </c>
      <c r="P247" s="99" t="s">
        <v>4029</v>
      </c>
      <c r="Q247" s="99" t="s">
        <v>169</v>
      </c>
      <c r="R247" s="99" t="s">
        <v>3409</v>
      </c>
      <c r="S247" s="99" t="s">
        <v>2636</v>
      </c>
      <c r="T247" s="99" t="s">
        <v>52</v>
      </c>
      <c r="U247" s="99" t="s">
        <v>427</v>
      </c>
      <c r="V247" s="99" t="s">
        <v>428</v>
      </c>
      <c r="W247" s="99" t="s">
        <v>4029</v>
      </c>
      <c r="X247" s="99" t="s">
        <v>4029</v>
      </c>
      <c r="Y247" s="99" t="s">
        <v>4030</v>
      </c>
      <c r="Z247" s="99" t="s">
        <v>172</v>
      </c>
      <c r="AA247" s="99" t="s">
        <v>173</v>
      </c>
      <c r="AB247" s="99" t="s">
        <v>174</v>
      </c>
      <c r="AC247" s="99" t="s">
        <v>3411</v>
      </c>
      <c r="AD247" s="99" t="s">
        <v>175</v>
      </c>
      <c r="AE247" s="99" t="s">
        <v>3411</v>
      </c>
      <c r="AF247" s="99" t="s">
        <v>3411</v>
      </c>
      <c r="AG247" s="124">
        <v>3041</v>
      </c>
      <c r="AH247" s="99" t="s">
        <v>3413</v>
      </c>
      <c r="AI247" s="125">
        <v>100</v>
      </c>
      <c r="AJ247" s="99" t="s">
        <v>176</v>
      </c>
      <c r="AK247" s="99" t="s">
        <v>4029</v>
      </c>
      <c r="AL247" s="99" t="s">
        <v>3411</v>
      </c>
      <c r="AM247" s="99" t="s">
        <v>177</v>
      </c>
      <c r="AN247" s="99" t="s">
        <v>3411</v>
      </c>
      <c r="AO247" s="99" t="s">
        <v>412</v>
      </c>
      <c r="AP247" s="99" t="s">
        <v>2570</v>
      </c>
      <c r="AQ247" s="99" t="s">
        <v>3411</v>
      </c>
      <c r="AR247" s="99" t="s">
        <v>3411</v>
      </c>
      <c r="AS247" s="99" t="s">
        <v>2652</v>
      </c>
      <c r="AT247" s="99" t="s">
        <v>1</v>
      </c>
      <c r="AU247" s="99" t="s">
        <v>179</v>
      </c>
      <c r="AV247" s="99" t="s">
        <v>3414</v>
      </c>
      <c r="AW247" s="99" t="s">
        <v>180</v>
      </c>
      <c r="AX247" s="99" t="s">
        <v>3420</v>
      </c>
      <c r="AY247" s="99" t="s">
        <v>252</v>
      </c>
      <c r="AZ247" s="99" t="s">
        <v>3416</v>
      </c>
      <c r="BA247" s="99" t="s">
        <v>3417</v>
      </c>
      <c r="BB247" s="99" t="s">
        <v>3097</v>
      </c>
      <c r="BC247" s="125">
        <v>53</v>
      </c>
      <c r="BD247" s="99" t="s">
        <v>3135</v>
      </c>
      <c r="BE247" s="99" t="s">
        <v>3136</v>
      </c>
    </row>
    <row r="248" spans="1:57" ht="12.95" customHeight="1">
      <c r="A248" s="124">
        <v>15</v>
      </c>
      <c r="B248" s="124">
        <v>244</v>
      </c>
      <c r="C248" s="99" t="s">
        <v>165</v>
      </c>
      <c r="D248" s="99" t="s">
        <v>1104</v>
      </c>
      <c r="E248" s="99" t="s">
        <v>2873</v>
      </c>
      <c r="F248" s="99" t="s">
        <v>1105</v>
      </c>
      <c r="G248" s="99" t="s">
        <v>2873</v>
      </c>
      <c r="H248" s="99" t="s">
        <v>4031</v>
      </c>
      <c r="I248" s="99" t="s">
        <v>3224</v>
      </c>
      <c r="J248" s="99" t="s">
        <v>1106</v>
      </c>
      <c r="K248" s="99" t="s">
        <v>1107</v>
      </c>
      <c r="L248" s="99" t="s">
        <v>1108</v>
      </c>
      <c r="M248" s="99" t="s">
        <v>1</v>
      </c>
      <c r="N248" s="99" t="s">
        <v>3407</v>
      </c>
      <c r="O248" s="99" t="s">
        <v>114</v>
      </c>
      <c r="P248" s="99" t="s">
        <v>3422</v>
      </c>
      <c r="Q248" s="99" t="s">
        <v>169</v>
      </c>
      <c r="R248" s="99" t="s">
        <v>3409</v>
      </c>
      <c r="S248" s="99" t="s">
        <v>2636</v>
      </c>
      <c r="T248" s="99" t="s">
        <v>48</v>
      </c>
      <c r="U248" s="99" t="s">
        <v>170</v>
      </c>
      <c r="V248" s="99" t="s">
        <v>171</v>
      </c>
      <c r="W248" s="99" t="s">
        <v>4032</v>
      </c>
      <c r="X248" s="99" t="s">
        <v>4032</v>
      </c>
      <c r="Y248" s="99" t="s">
        <v>3811</v>
      </c>
      <c r="Z248" s="99" t="s">
        <v>172</v>
      </c>
      <c r="AA248" s="99" t="s">
        <v>173</v>
      </c>
      <c r="AB248" s="99" t="s">
        <v>174</v>
      </c>
      <c r="AC248" s="99" t="s">
        <v>3411</v>
      </c>
      <c r="AD248" s="99" t="s">
        <v>175</v>
      </c>
      <c r="AE248" s="99" t="s">
        <v>3411</v>
      </c>
      <c r="AF248" s="99" t="s">
        <v>3411</v>
      </c>
      <c r="AG248" s="124">
        <v>174</v>
      </c>
      <c r="AH248" s="99" t="s">
        <v>3413</v>
      </c>
      <c r="AI248" s="125">
        <v>100</v>
      </c>
      <c r="AJ248" s="99" t="s">
        <v>176</v>
      </c>
      <c r="AK248" s="99" t="s">
        <v>4032</v>
      </c>
      <c r="AL248" s="99" t="s">
        <v>3411</v>
      </c>
      <c r="AM248" s="99" t="s">
        <v>3480</v>
      </c>
      <c r="AN248" s="99" t="s">
        <v>233</v>
      </c>
      <c r="AO248" s="99" t="s">
        <v>178</v>
      </c>
      <c r="AP248" s="99" t="s">
        <v>2570</v>
      </c>
      <c r="AQ248" s="99" t="s">
        <v>3411</v>
      </c>
      <c r="AR248" s="99" t="s">
        <v>3411</v>
      </c>
      <c r="AS248" s="99" t="s">
        <v>1109</v>
      </c>
      <c r="AT248" s="99" t="s">
        <v>1</v>
      </c>
      <c r="AU248" s="99" t="s">
        <v>179</v>
      </c>
      <c r="AV248" s="99" t="s">
        <v>3414</v>
      </c>
      <c r="AW248" s="99" t="s">
        <v>180</v>
      </c>
      <c r="AX248" s="99" t="s">
        <v>3420</v>
      </c>
      <c r="AY248" s="99" t="s">
        <v>252</v>
      </c>
      <c r="AZ248" s="99" t="s">
        <v>3416</v>
      </c>
      <c r="BA248" s="99" t="s">
        <v>4033</v>
      </c>
      <c r="BB248" s="99" t="s">
        <v>1110</v>
      </c>
      <c r="BC248" s="125">
        <v>60</v>
      </c>
      <c r="BD248" s="99" t="s">
        <v>3135</v>
      </c>
      <c r="BE248" s="99" t="s">
        <v>3136</v>
      </c>
    </row>
    <row r="249" spans="1:57" ht="12.95" customHeight="1">
      <c r="A249" s="124">
        <v>15</v>
      </c>
      <c r="B249" s="124">
        <v>2988</v>
      </c>
      <c r="C249" s="99" t="s">
        <v>165</v>
      </c>
      <c r="D249" s="99" t="s">
        <v>1104</v>
      </c>
      <c r="E249" s="99" t="s">
        <v>2873</v>
      </c>
      <c r="F249" s="99" t="s">
        <v>1105</v>
      </c>
      <c r="G249" s="99" t="s">
        <v>2873</v>
      </c>
      <c r="H249" s="99" t="s">
        <v>4031</v>
      </c>
      <c r="I249" s="99" t="s">
        <v>3224</v>
      </c>
      <c r="J249" s="99" t="s">
        <v>1111</v>
      </c>
      <c r="K249" s="99" t="s">
        <v>1112</v>
      </c>
      <c r="L249" s="99" t="s">
        <v>1113</v>
      </c>
      <c r="M249" s="99" t="s">
        <v>5</v>
      </c>
      <c r="N249" s="99" t="s">
        <v>3407</v>
      </c>
      <c r="O249" s="99" t="s">
        <v>114</v>
      </c>
      <c r="P249" s="99" t="s">
        <v>3422</v>
      </c>
      <c r="Q249" s="99" t="s">
        <v>169</v>
      </c>
      <c r="R249" s="99" t="s">
        <v>3427</v>
      </c>
      <c r="S249" s="99" t="s">
        <v>2635</v>
      </c>
      <c r="T249" s="99" t="s">
        <v>58</v>
      </c>
      <c r="U249" s="99" t="s">
        <v>187</v>
      </c>
      <c r="V249" s="99" t="s">
        <v>188</v>
      </c>
      <c r="W249" s="99" t="s">
        <v>4034</v>
      </c>
      <c r="X249" s="99" t="s">
        <v>4034</v>
      </c>
      <c r="Y249" s="99" t="s">
        <v>4035</v>
      </c>
      <c r="Z249" s="99" t="s">
        <v>172</v>
      </c>
      <c r="AA249" s="99" t="s">
        <v>173</v>
      </c>
      <c r="AB249" s="99" t="s">
        <v>174</v>
      </c>
      <c r="AC249" s="99" t="s">
        <v>3411</v>
      </c>
      <c r="AD249" s="99" t="s">
        <v>175</v>
      </c>
      <c r="AE249" s="99" t="s">
        <v>3411</v>
      </c>
      <c r="AF249" s="99" t="s">
        <v>3843</v>
      </c>
      <c r="AG249" s="124">
        <v>2988</v>
      </c>
      <c r="AH249" s="99" t="s">
        <v>3413</v>
      </c>
      <c r="AI249" s="125">
        <v>100</v>
      </c>
      <c r="AJ249" s="99" t="s">
        <v>176</v>
      </c>
      <c r="AK249" s="99" t="s">
        <v>4034</v>
      </c>
      <c r="AL249" s="99" t="s">
        <v>3411</v>
      </c>
      <c r="AM249" s="99" t="s">
        <v>177</v>
      </c>
      <c r="AN249" s="99" t="s">
        <v>3411</v>
      </c>
      <c r="AO249" s="99" t="s">
        <v>189</v>
      </c>
      <c r="AP249" s="99" t="s">
        <v>2570</v>
      </c>
      <c r="AQ249" s="99" t="s">
        <v>3411</v>
      </c>
      <c r="AR249" s="99" t="s">
        <v>3411</v>
      </c>
      <c r="AS249" s="99" t="s">
        <v>1114</v>
      </c>
      <c r="AT249" s="99" t="s">
        <v>190</v>
      </c>
      <c r="AU249" s="99" t="s">
        <v>191</v>
      </c>
      <c r="AV249" s="99" t="s">
        <v>3414</v>
      </c>
      <c r="AW249" s="99" t="s">
        <v>180</v>
      </c>
      <c r="AX249" s="99" t="s">
        <v>3420</v>
      </c>
      <c r="AY249" s="99" t="s">
        <v>252</v>
      </c>
      <c r="AZ249" s="99" t="s">
        <v>3430</v>
      </c>
      <c r="BA249" s="99" t="s">
        <v>3421</v>
      </c>
      <c r="BB249" s="99" t="s">
        <v>381</v>
      </c>
      <c r="BC249" s="125">
        <v>67</v>
      </c>
      <c r="BD249" s="99" t="s">
        <v>3135</v>
      </c>
      <c r="BE249" s="99" t="s">
        <v>3136</v>
      </c>
    </row>
    <row r="250" spans="1:57" ht="12.95" customHeight="1">
      <c r="A250" s="124">
        <v>15</v>
      </c>
      <c r="B250" s="124">
        <v>3145</v>
      </c>
      <c r="C250" s="99" t="s">
        <v>165</v>
      </c>
      <c r="D250" s="99" t="s">
        <v>1104</v>
      </c>
      <c r="E250" s="99" t="s">
        <v>2873</v>
      </c>
      <c r="F250" s="99" t="s">
        <v>1105</v>
      </c>
      <c r="G250" s="99" t="s">
        <v>2873</v>
      </c>
      <c r="H250" s="99" t="s">
        <v>4031</v>
      </c>
      <c r="I250" s="99" t="s">
        <v>3224</v>
      </c>
      <c r="J250" s="99" t="s">
        <v>3225</v>
      </c>
      <c r="K250" s="99" t="s">
        <v>393</v>
      </c>
      <c r="L250" s="99" t="s">
        <v>3226</v>
      </c>
      <c r="M250" s="99" t="s">
        <v>1</v>
      </c>
      <c r="N250" s="99" t="s">
        <v>3407</v>
      </c>
      <c r="O250" s="99" t="s">
        <v>114</v>
      </c>
      <c r="P250" s="99" t="s">
        <v>4036</v>
      </c>
      <c r="Q250" s="99" t="s">
        <v>169</v>
      </c>
      <c r="R250" s="99" t="s">
        <v>3409</v>
      </c>
      <c r="S250" s="99" t="s">
        <v>2636</v>
      </c>
      <c r="T250" s="99" t="s">
        <v>48</v>
      </c>
      <c r="U250" s="99" t="s">
        <v>184</v>
      </c>
      <c r="V250" s="99" t="s">
        <v>185</v>
      </c>
      <c r="W250" s="99" t="s">
        <v>4036</v>
      </c>
      <c r="X250" s="99" t="s">
        <v>4036</v>
      </c>
      <c r="Y250" s="99" t="s">
        <v>4037</v>
      </c>
      <c r="Z250" s="99" t="s">
        <v>172</v>
      </c>
      <c r="AA250" s="99" t="s">
        <v>173</v>
      </c>
      <c r="AB250" s="99" t="s">
        <v>174</v>
      </c>
      <c r="AC250" s="99" t="s">
        <v>3411</v>
      </c>
      <c r="AD250" s="99" t="s">
        <v>175</v>
      </c>
      <c r="AE250" s="99" t="s">
        <v>3411</v>
      </c>
      <c r="AF250" s="99" t="s">
        <v>3411</v>
      </c>
      <c r="AG250" s="124">
        <v>3145</v>
      </c>
      <c r="AH250" s="99" t="s">
        <v>3413</v>
      </c>
      <c r="AI250" s="125">
        <v>100</v>
      </c>
      <c r="AJ250" s="99" t="s">
        <v>176</v>
      </c>
      <c r="AK250" s="99" t="s">
        <v>4036</v>
      </c>
      <c r="AL250" s="99" t="s">
        <v>3411</v>
      </c>
      <c r="AM250" s="99" t="s">
        <v>177</v>
      </c>
      <c r="AN250" s="99" t="s">
        <v>3411</v>
      </c>
      <c r="AO250" s="99" t="s">
        <v>412</v>
      </c>
      <c r="AP250" s="99" t="s">
        <v>2570</v>
      </c>
      <c r="AQ250" s="99" t="s">
        <v>3411</v>
      </c>
      <c r="AR250" s="99" t="s">
        <v>3411</v>
      </c>
      <c r="AS250" s="99" t="s">
        <v>3227</v>
      </c>
      <c r="AT250" s="99" t="s">
        <v>1</v>
      </c>
      <c r="AU250" s="99" t="s">
        <v>179</v>
      </c>
      <c r="AV250" s="99" t="s">
        <v>3414</v>
      </c>
      <c r="AW250" s="99" t="s">
        <v>180</v>
      </c>
      <c r="AX250" s="99" t="s">
        <v>3420</v>
      </c>
      <c r="AY250" s="99" t="s">
        <v>252</v>
      </c>
      <c r="AZ250" s="99" t="s">
        <v>3416</v>
      </c>
      <c r="BA250" s="99" t="s">
        <v>4038</v>
      </c>
      <c r="BB250" s="99" t="s">
        <v>3107</v>
      </c>
      <c r="BC250" s="125">
        <v>55</v>
      </c>
      <c r="BD250" s="99" t="s">
        <v>3135</v>
      </c>
      <c r="BE250" s="99" t="s">
        <v>3136</v>
      </c>
    </row>
    <row r="251" spans="1:57" ht="12.95" customHeight="1">
      <c r="A251" s="124">
        <v>15</v>
      </c>
      <c r="B251" s="124">
        <v>963</v>
      </c>
      <c r="C251" s="99" t="s">
        <v>165</v>
      </c>
      <c r="D251" s="99" t="s">
        <v>1104</v>
      </c>
      <c r="E251" s="99" t="s">
        <v>2873</v>
      </c>
      <c r="F251" s="99" t="s">
        <v>1115</v>
      </c>
      <c r="G251" s="99" t="s">
        <v>2709</v>
      </c>
      <c r="H251" s="99" t="s">
        <v>4039</v>
      </c>
      <c r="I251" s="99" t="s">
        <v>2710</v>
      </c>
      <c r="J251" s="99" t="s">
        <v>1338</v>
      </c>
      <c r="K251" s="99" t="s">
        <v>1339</v>
      </c>
      <c r="L251" s="99" t="s">
        <v>1340</v>
      </c>
      <c r="M251" s="99" t="s">
        <v>1</v>
      </c>
      <c r="N251" s="99" t="s">
        <v>3407</v>
      </c>
      <c r="O251" s="99" t="s">
        <v>114</v>
      </c>
      <c r="P251" s="99" t="s">
        <v>3682</v>
      </c>
      <c r="Q251" s="99" t="s">
        <v>169</v>
      </c>
      <c r="R251" s="99" t="s">
        <v>3409</v>
      </c>
      <c r="S251" s="99" t="s">
        <v>2636</v>
      </c>
      <c r="T251" s="99" t="s">
        <v>48</v>
      </c>
      <c r="U251" s="99" t="s">
        <v>500</v>
      </c>
      <c r="V251" s="99" t="s">
        <v>501</v>
      </c>
      <c r="W251" s="99" t="s">
        <v>4040</v>
      </c>
      <c r="X251" s="99" t="s">
        <v>4040</v>
      </c>
      <c r="Y251" s="99" t="s">
        <v>4041</v>
      </c>
      <c r="Z251" s="99" t="s">
        <v>172</v>
      </c>
      <c r="AA251" s="99" t="s">
        <v>173</v>
      </c>
      <c r="AB251" s="99" t="s">
        <v>174</v>
      </c>
      <c r="AC251" s="99" t="s">
        <v>3411</v>
      </c>
      <c r="AD251" s="99" t="s">
        <v>175</v>
      </c>
      <c r="AE251" s="99" t="s">
        <v>3411</v>
      </c>
      <c r="AF251" s="99" t="s">
        <v>3411</v>
      </c>
      <c r="AG251" s="124">
        <v>740</v>
      </c>
      <c r="AH251" s="99" t="s">
        <v>3413</v>
      </c>
      <c r="AI251" s="125">
        <v>100</v>
      </c>
      <c r="AJ251" s="99" t="s">
        <v>176</v>
      </c>
      <c r="AK251" s="99" t="s">
        <v>4040</v>
      </c>
      <c r="AL251" s="99" t="s">
        <v>3411</v>
      </c>
      <c r="AM251" s="99" t="s">
        <v>177</v>
      </c>
      <c r="AN251" s="99" t="s">
        <v>3411</v>
      </c>
      <c r="AO251" s="99" t="s">
        <v>403</v>
      </c>
      <c r="AP251" s="99" t="s">
        <v>2570</v>
      </c>
      <c r="AQ251" s="99" t="s">
        <v>3411</v>
      </c>
      <c r="AR251" s="99" t="s">
        <v>210</v>
      </c>
      <c r="AS251" s="99" t="s">
        <v>1341</v>
      </c>
      <c r="AT251" s="99" t="s">
        <v>1</v>
      </c>
      <c r="AU251" s="99" t="s">
        <v>179</v>
      </c>
      <c r="AV251" s="99" t="s">
        <v>3414</v>
      </c>
      <c r="AW251" s="99" t="s">
        <v>180</v>
      </c>
      <c r="AX251" s="99" t="s">
        <v>3420</v>
      </c>
      <c r="AY251" s="99" t="s">
        <v>252</v>
      </c>
      <c r="AZ251" s="99" t="s">
        <v>3416</v>
      </c>
      <c r="BA251" s="99" t="s">
        <v>4042</v>
      </c>
      <c r="BB251" s="99" t="s">
        <v>1337</v>
      </c>
      <c r="BC251" s="125">
        <v>49</v>
      </c>
      <c r="BD251" s="99" t="s">
        <v>3135</v>
      </c>
      <c r="BE251" s="99" t="s">
        <v>3136</v>
      </c>
    </row>
    <row r="252" spans="1:57" ht="12.95" customHeight="1">
      <c r="A252" s="124">
        <v>15</v>
      </c>
      <c r="B252" s="124">
        <v>938</v>
      </c>
      <c r="C252" s="99" t="s">
        <v>165</v>
      </c>
      <c r="D252" s="99" t="s">
        <v>1104</v>
      </c>
      <c r="E252" s="99" t="s">
        <v>2873</v>
      </c>
      <c r="F252" s="99" t="s">
        <v>1115</v>
      </c>
      <c r="G252" s="99" t="s">
        <v>2709</v>
      </c>
      <c r="H252" s="99" t="s">
        <v>4039</v>
      </c>
      <c r="I252" s="99" t="s">
        <v>2710</v>
      </c>
      <c r="J252" s="99" t="s">
        <v>1342</v>
      </c>
      <c r="K252" s="99" t="s">
        <v>668</v>
      </c>
      <c r="L252" s="99" t="s">
        <v>1343</v>
      </c>
      <c r="M252" s="99" t="s">
        <v>1</v>
      </c>
      <c r="N252" s="99" t="s">
        <v>3407</v>
      </c>
      <c r="O252" s="99" t="s">
        <v>114</v>
      </c>
      <c r="P252" s="99" t="s">
        <v>3682</v>
      </c>
      <c r="Q252" s="99" t="s">
        <v>169</v>
      </c>
      <c r="R252" s="99" t="s">
        <v>3409</v>
      </c>
      <c r="S252" s="99" t="s">
        <v>2636</v>
      </c>
      <c r="T252" s="99" t="s">
        <v>48</v>
      </c>
      <c r="U252" s="99" t="s">
        <v>500</v>
      </c>
      <c r="V252" s="99" t="s">
        <v>501</v>
      </c>
      <c r="W252" s="99" t="s">
        <v>4043</v>
      </c>
      <c r="X252" s="99" t="s">
        <v>4043</v>
      </c>
      <c r="Y252" s="99" t="s">
        <v>4044</v>
      </c>
      <c r="Z252" s="99" t="s">
        <v>172</v>
      </c>
      <c r="AA252" s="99" t="s">
        <v>173</v>
      </c>
      <c r="AB252" s="99" t="s">
        <v>174</v>
      </c>
      <c r="AC252" s="99" t="s">
        <v>3411</v>
      </c>
      <c r="AD252" s="99" t="s">
        <v>175</v>
      </c>
      <c r="AE252" s="99" t="s">
        <v>3411</v>
      </c>
      <c r="AF252" s="99" t="s">
        <v>3411</v>
      </c>
      <c r="AG252" s="124">
        <v>719</v>
      </c>
      <c r="AH252" s="99" t="s">
        <v>3413</v>
      </c>
      <c r="AI252" s="125">
        <v>100</v>
      </c>
      <c r="AJ252" s="99" t="s">
        <v>176</v>
      </c>
      <c r="AK252" s="99" t="s">
        <v>4043</v>
      </c>
      <c r="AL252" s="99" t="s">
        <v>3411</v>
      </c>
      <c r="AM252" s="99" t="s">
        <v>177</v>
      </c>
      <c r="AN252" s="99" t="s">
        <v>3411</v>
      </c>
      <c r="AO252" s="99" t="s">
        <v>403</v>
      </c>
      <c r="AP252" s="99" t="s">
        <v>2570</v>
      </c>
      <c r="AQ252" s="99" t="s">
        <v>3411</v>
      </c>
      <c r="AR252" s="99" t="s">
        <v>207</v>
      </c>
      <c r="AS252" s="99" t="s">
        <v>1344</v>
      </c>
      <c r="AT252" s="99" t="s">
        <v>1</v>
      </c>
      <c r="AU252" s="99" t="s">
        <v>179</v>
      </c>
      <c r="AV252" s="99" t="s">
        <v>3414</v>
      </c>
      <c r="AW252" s="99" t="s">
        <v>180</v>
      </c>
      <c r="AX252" s="99" t="s">
        <v>3420</v>
      </c>
      <c r="AY252" s="99" t="s">
        <v>252</v>
      </c>
      <c r="AZ252" s="99" t="s">
        <v>3416</v>
      </c>
      <c r="BA252" s="99" t="s">
        <v>4042</v>
      </c>
      <c r="BB252" s="99" t="s">
        <v>1337</v>
      </c>
      <c r="BC252" s="125">
        <v>49</v>
      </c>
      <c r="BD252" s="99" t="s">
        <v>3135</v>
      </c>
      <c r="BE252" s="99" t="s">
        <v>3136</v>
      </c>
    </row>
    <row r="253" spans="1:57" ht="12.95" customHeight="1">
      <c r="A253" s="124">
        <v>15</v>
      </c>
      <c r="B253" s="124">
        <v>1053</v>
      </c>
      <c r="C253" s="99" t="s">
        <v>165</v>
      </c>
      <c r="D253" s="99" t="s">
        <v>1104</v>
      </c>
      <c r="E253" s="99" t="s">
        <v>2873</v>
      </c>
      <c r="F253" s="99" t="s">
        <v>1115</v>
      </c>
      <c r="G253" s="99" t="s">
        <v>2709</v>
      </c>
      <c r="H253" s="99" t="s">
        <v>4039</v>
      </c>
      <c r="I253" s="99" t="s">
        <v>2710</v>
      </c>
      <c r="J253" s="99" t="s">
        <v>1345</v>
      </c>
      <c r="K253" s="99" t="s">
        <v>1346</v>
      </c>
      <c r="L253" s="99" t="s">
        <v>1347</v>
      </c>
      <c r="M253" s="99" t="s">
        <v>5</v>
      </c>
      <c r="N253" s="99" t="s">
        <v>3407</v>
      </c>
      <c r="O253" s="99" t="s">
        <v>114</v>
      </c>
      <c r="P253" s="99" t="s">
        <v>3682</v>
      </c>
      <c r="Q253" s="99" t="s">
        <v>169</v>
      </c>
      <c r="R253" s="99" t="s">
        <v>3409</v>
      </c>
      <c r="S253" s="99" t="s">
        <v>2636</v>
      </c>
      <c r="T253" s="99" t="s">
        <v>48</v>
      </c>
      <c r="U253" s="99" t="s">
        <v>184</v>
      </c>
      <c r="V253" s="99" t="s">
        <v>185</v>
      </c>
      <c r="W253" s="99" t="s">
        <v>4045</v>
      </c>
      <c r="X253" s="99" t="s">
        <v>4045</v>
      </c>
      <c r="Y253" s="99" t="s">
        <v>4046</v>
      </c>
      <c r="Z253" s="99" t="s">
        <v>172</v>
      </c>
      <c r="AA253" s="99" t="s">
        <v>173</v>
      </c>
      <c r="AB253" s="99" t="s">
        <v>174</v>
      </c>
      <c r="AC253" s="99" t="s">
        <v>3411</v>
      </c>
      <c r="AD253" s="99" t="s">
        <v>175</v>
      </c>
      <c r="AE253" s="99" t="s">
        <v>3411</v>
      </c>
      <c r="AF253" s="99" t="s">
        <v>3411</v>
      </c>
      <c r="AG253" s="124">
        <v>822</v>
      </c>
      <c r="AH253" s="99" t="s">
        <v>3413</v>
      </c>
      <c r="AI253" s="125">
        <v>100</v>
      </c>
      <c r="AJ253" s="99" t="s">
        <v>176</v>
      </c>
      <c r="AK253" s="99" t="s">
        <v>4045</v>
      </c>
      <c r="AL253" s="99" t="s">
        <v>3411</v>
      </c>
      <c r="AM253" s="99" t="s">
        <v>177</v>
      </c>
      <c r="AN253" s="99" t="s">
        <v>3411</v>
      </c>
      <c r="AO253" s="99" t="s">
        <v>403</v>
      </c>
      <c r="AP253" s="99" t="s">
        <v>2570</v>
      </c>
      <c r="AQ253" s="99" t="s">
        <v>3411</v>
      </c>
      <c r="AR253" s="99" t="s">
        <v>207</v>
      </c>
      <c r="AS253" s="99" t="s">
        <v>1348</v>
      </c>
      <c r="AT253" s="99" t="s">
        <v>1</v>
      </c>
      <c r="AU253" s="99" t="s">
        <v>179</v>
      </c>
      <c r="AV253" s="99" t="s">
        <v>3414</v>
      </c>
      <c r="AW253" s="99" t="s">
        <v>180</v>
      </c>
      <c r="AX253" s="99" t="s">
        <v>3420</v>
      </c>
      <c r="AY253" s="99" t="s">
        <v>252</v>
      </c>
      <c r="AZ253" s="99" t="s">
        <v>3416</v>
      </c>
      <c r="BA253" s="99" t="s">
        <v>4042</v>
      </c>
      <c r="BB253" s="99" t="s">
        <v>1337</v>
      </c>
      <c r="BC253" s="125">
        <v>51</v>
      </c>
      <c r="BD253" s="99" t="s">
        <v>3135</v>
      </c>
      <c r="BE253" s="99" t="s">
        <v>3136</v>
      </c>
    </row>
    <row r="254" spans="1:57" ht="12.95" customHeight="1">
      <c r="A254" s="124">
        <v>15</v>
      </c>
      <c r="B254" s="124">
        <v>1400</v>
      </c>
      <c r="C254" s="99" t="s">
        <v>165</v>
      </c>
      <c r="D254" s="99" t="s">
        <v>1104</v>
      </c>
      <c r="E254" s="99" t="s">
        <v>2873</v>
      </c>
      <c r="F254" s="99" t="s">
        <v>1115</v>
      </c>
      <c r="G254" s="99" t="s">
        <v>2709</v>
      </c>
      <c r="H254" s="99" t="s">
        <v>4039</v>
      </c>
      <c r="I254" s="99" t="s">
        <v>2710</v>
      </c>
      <c r="J254" s="99" t="s">
        <v>1349</v>
      </c>
      <c r="K254" s="99" t="s">
        <v>327</v>
      </c>
      <c r="L254" s="99" t="s">
        <v>1350</v>
      </c>
      <c r="M254" s="99" t="s">
        <v>1</v>
      </c>
      <c r="N254" s="99" t="s">
        <v>3407</v>
      </c>
      <c r="O254" s="99" t="s">
        <v>114</v>
      </c>
      <c r="P254" s="99" t="s">
        <v>3682</v>
      </c>
      <c r="Q254" s="99" t="s">
        <v>169</v>
      </c>
      <c r="R254" s="99" t="s">
        <v>3409</v>
      </c>
      <c r="S254" s="99" t="s">
        <v>2636</v>
      </c>
      <c r="T254" s="99" t="s">
        <v>48</v>
      </c>
      <c r="U254" s="99" t="s">
        <v>500</v>
      </c>
      <c r="V254" s="99" t="s">
        <v>501</v>
      </c>
      <c r="W254" s="99" t="s">
        <v>4047</v>
      </c>
      <c r="X254" s="99" t="s">
        <v>4047</v>
      </c>
      <c r="Y254" s="99" t="s">
        <v>4048</v>
      </c>
      <c r="Z254" s="99" t="s">
        <v>172</v>
      </c>
      <c r="AA254" s="99" t="s">
        <v>173</v>
      </c>
      <c r="AB254" s="99" t="s">
        <v>174</v>
      </c>
      <c r="AC254" s="99" t="s">
        <v>3411</v>
      </c>
      <c r="AD254" s="99" t="s">
        <v>175</v>
      </c>
      <c r="AE254" s="99" t="s">
        <v>3411</v>
      </c>
      <c r="AF254" s="99" t="s">
        <v>3411</v>
      </c>
      <c r="AG254" s="124">
        <v>1115</v>
      </c>
      <c r="AH254" s="99" t="s">
        <v>3413</v>
      </c>
      <c r="AI254" s="125">
        <v>100</v>
      </c>
      <c r="AJ254" s="99" t="s">
        <v>176</v>
      </c>
      <c r="AK254" s="99" t="s">
        <v>4047</v>
      </c>
      <c r="AL254" s="99" t="s">
        <v>3411</v>
      </c>
      <c r="AM254" s="99" t="s">
        <v>177</v>
      </c>
      <c r="AN254" s="99" t="s">
        <v>3411</v>
      </c>
      <c r="AO254" s="99" t="s">
        <v>403</v>
      </c>
      <c r="AP254" s="99" t="s">
        <v>2570</v>
      </c>
      <c r="AQ254" s="99" t="s">
        <v>3411</v>
      </c>
      <c r="AR254" s="99" t="s">
        <v>234</v>
      </c>
      <c r="AS254" s="99" t="s">
        <v>1351</v>
      </c>
      <c r="AT254" s="99" t="s">
        <v>1</v>
      </c>
      <c r="AU254" s="99" t="s">
        <v>179</v>
      </c>
      <c r="AV254" s="99" t="s">
        <v>3414</v>
      </c>
      <c r="AW254" s="99" t="s">
        <v>180</v>
      </c>
      <c r="AX254" s="99" t="s">
        <v>5040</v>
      </c>
      <c r="AY254" s="99" t="s">
        <v>252</v>
      </c>
      <c r="AZ254" s="99" t="s">
        <v>5013</v>
      </c>
      <c r="BA254" s="99" t="s">
        <v>4042</v>
      </c>
      <c r="BB254" s="99" t="s">
        <v>1337</v>
      </c>
      <c r="BC254" s="125">
        <v>50</v>
      </c>
      <c r="BD254" s="99" t="s">
        <v>3135</v>
      </c>
      <c r="BE254" s="99" t="s">
        <v>3136</v>
      </c>
    </row>
    <row r="255" spans="1:57" ht="12.95" customHeight="1">
      <c r="A255" s="124">
        <v>15</v>
      </c>
      <c r="B255" s="124">
        <v>1321</v>
      </c>
      <c r="C255" s="99" t="s">
        <v>165</v>
      </c>
      <c r="D255" s="99" t="s">
        <v>1104</v>
      </c>
      <c r="E255" s="99" t="s">
        <v>2873</v>
      </c>
      <c r="F255" s="99" t="s">
        <v>1115</v>
      </c>
      <c r="G255" s="99" t="s">
        <v>2709</v>
      </c>
      <c r="H255" s="99" t="s">
        <v>4039</v>
      </c>
      <c r="I255" s="99" t="s">
        <v>2710</v>
      </c>
      <c r="J255" s="99" t="s">
        <v>1352</v>
      </c>
      <c r="K255" s="99" t="s">
        <v>1353</v>
      </c>
      <c r="L255" s="99" t="s">
        <v>1354</v>
      </c>
      <c r="M255" s="99" t="s">
        <v>1</v>
      </c>
      <c r="N255" s="99" t="s">
        <v>3407</v>
      </c>
      <c r="O255" s="99" t="s">
        <v>114</v>
      </c>
      <c r="P255" s="99" t="s">
        <v>3682</v>
      </c>
      <c r="Q255" s="99" t="s">
        <v>169</v>
      </c>
      <c r="R255" s="99" t="s">
        <v>3409</v>
      </c>
      <c r="S255" s="99" t="s">
        <v>2636</v>
      </c>
      <c r="T255" s="99" t="s">
        <v>52</v>
      </c>
      <c r="U255" s="99" t="s">
        <v>427</v>
      </c>
      <c r="V255" s="99" t="s">
        <v>428</v>
      </c>
      <c r="W255" s="99" t="s">
        <v>3912</v>
      </c>
      <c r="X255" s="99" t="s">
        <v>3912</v>
      </c>
      <c r="Y255" s="99" t="s">
        <v>4049</v>
      </c>
      <c r="Z255" s="99" t="s">
        <v>172</v>
      </c>
      <c r="AA255" s="99" t="s">
        <v>173</v>
      </c>
      <c r="AB255" s="99" t="s">
        <v>174</v>
      </c>
      <c r="AC255" s="99" t="s">
        <v>3411</v>
      </c>
      <c r="AD255" s="99" t="s">
        <v>175</v>
      </c>
      <c r="AE255" s="99" t="s">
        <v>3411</v>
      </c>
      <c r="AF255" s="99" t="s">
        <v>3411</v>
      </c>
      <c r="AG255" s="124">
        <v>1048</v>
      </c>
      <c r="AH255" s="99" t="s">
        <v>3413</v>
      </c>
      <c r="AI255" s="125">
        <v>100</v>
      </c>
      <c r="AJ255" s="99" t="s">
        <v>176</v>
      </c>
      <c r="AK255" s="99" t="s">
        <v>3912</v>
      </c>
      <c r="AL255" s="99" t="s">
        <v>3411</v>
      </c>
      <c r="AM255" s="99" t="s">
        <v>177</v>
      </c>
      <c r="AN255" s="99" t="s">
        <v>3411</v>
      </c>
      <c r="AO255" s="99" t="s">
        <v>403</v>
      </c>
      <c r="AP255" s="99" t="s">
        <v>2570</v>
      </c>
      <c r="AQ255" s="99" t="s">
        <v>3411</v>
      </c>
      <c r="AR255" s="99" t="s">
        <v>3411</v>
      </c>
      <c r="AS255" s="99" t="s">
        <v>1355</v>
      </c>
      <c r="AT255" s="99" t="s">
        <v>1</v>
      </c>
      <c r="AU255" s="99" t="s">
        <v>179</v>
      </c>
      <c r="AV255" s="99" t="s">
        <v>3414</v>
      </c>
      <c r="AW255" s="99" t="s">
        <v>180</v>
      </c>
      <c r="AX255" s="99" t="s">
        <v>3420</v>
      </c>
      <c r="AY255" s="99" t="s">
        <v>252</v>
      </c>
      <c r="AZ255" s="99" t="s">
        <v>3416</v>
      </c>
      <c r="BA255" s="99" t="s">
        <v>4050</v>
      </c>
      <c r="BB255" s="99" t="s">
        <v>2711</v>
      </c>
      <c r="BC255" s="125">
        <v>60</v>
      </c>
      <c r="BD255" s="99" t="s">
        <v>3135</v>
      </c>
      <c r="BE255" s="99" t="s">
        <v>3136</v>
      </c>
    </row>
    <row r="256" spans="1:57" ht="12.95" customHeight="1">
      <c r="A256" s="124">
        <v>15</v>
      </c>
      <c r="B256" s="124">
        <v>1343</v>
      </c>
      <c r="C256" s="99" t="s">
        <v>165</v>
      </c>
      <c r="D256" s="99" t="s">
        <v>1104</v>
      </c>
      <c r="E256" s="99" t="s">
        <v>2873</v>
      </c>
      <c r="F256" s="99" t="s">
        <v>1115</v>
      </c>
      <c r="G256" s="99" t="s">
        <v>2709</v>
      </c>
      <c r="H256" s="99" t="s">
        <v>4039</v>
      </c>
      <c r="I256" s="99" t="s">
        <v>2710</v>
      </c>
      <c r="J256" s="99" t="s">
        <v>1357</v>
      </c>
      <c r="K256" s="99" t="s">
        <v>1173</v>
      </c>
      <c r="L256" s="99" t="s">
        <v>1358</v>
      </c>
      <c r="M256" s="99" t="s">
        <v>1</v>
      </c>
      <c r="N256" s="99" t="s">
        <v>3407</v>
      </c>
      <c r="O256" s="99" t="s">
        <v>114</v>
      </c>
      <c r="P256" s="99" t="s">
        <v>3682</v>
      </c>
      <c r="Q256" s="99" t="s">
        <v>169</v>
      </c>
      <c r="R256" s="99" t="s">
        <v>3409</v>
      </c>
      <c r="S256" s="99" t="s">
        <v>2636</v>
      </c>
      <c r="T256" s="99" t="s">
        <v>48</v>
      </c>
      <c r="U256" s="99" t="s">
        <v>500</v>
      </c>
      <c r="V256" s="99" t="s">
        <v>501</v>
      </c>
      <c r="W256" s="99" t="s">
        <v>4051</v>
      </c>
      <c r="X256" s="99" t="s">
        <v>4051</v>
      </c>
      <c r="Y256" s="99" t="s">
        <v>4052</v>
      </c>
      <c r="Z256" s="99" t="s">
        <v>172</v>
      </c>
      <c r="AA256" s="99" t="s">
        <v>173</v>
      </c>
      <c r="AB256" s="99" t="s">
        <v>174</v>
      </c>
      <c r="AC256" s="99" t="s">
        <v>3411</v>
      </c>
      <c r="AD256" s="99" t="s">
        <v>175</v>
      </c>
      <c r="AE256" s="99" t="s">
        <v>3411</v>
      </c>
      <c r="AF256" s="99" t="s">
        <v>3411</v>
      </c>
      <c r="AG256" s="124">
        <v>1064</v>
      </c>
      <c r="AH256" s="99" t="s">
        <v>3413</v>
      </c>
      <c r="AI256" s="125">
        <v>100</v>
      </c>
      <c r="AJ256" s="99" t="s">
        <v>176</v>
      </c>
      <c r="AK256" s="99" t="s">
        <v>4051</v>
      </c>
      <c r="AL256" s="99" t="s">
        <v>3411</v>
      </c>
      <c r="AM256" s="99" t="s">
        <v>3480</v>
      </c>
      <c r="AN256" s="99" t="s">
        <v>233</v>
      </c>
      <c r="AO256" s="99" t="s">
        <v>403</v>
      </c>
      <c r="AP256" s="99" t="s">
        <v>2570</v>
      </c>
      <c r="AQ256" s="99" t="s">
        <v>3411</v>
      </c>
      <c r="AR256" s="99" t="s">
        <v>234</v>
      </c>
      <c r="AS256" s="99" t="s">
        <v>1359</v>
      </c>
      <c r="AT256" s="99" t="s">
        <v>1</v>
      </c>
      <c r="AU256" s="99" t="s">
        <v>179</v>
      </c>
      <c r="AV256" s="99" t="s">
        <v>3414</v>
      </c>
      <c r="AW256" s="99" t="s">
        <v>180</v>
      </c>
      <c r="AX256" s="99" t="s">
        <v>3718</v>
      </c>
      <c r="AY256" s="99" t="s">
        <v>252</v>
      </c>
      <c r="AZ256" s="99" t="s">
        <v>3806</v>
      </c>
      <c r="BA256" s="99" t="s">
        <v>4042</v>
      </c>
      <c r="BB256" s="99" t="s">
        <v>1337</v>
      </c>
      <c r="BC256" s="125">
        <v>53</v>
      </c>
      <c r="BD256" s="99" t="s">
        <v>3135</v>
      </c>
      <c r="BE256" s="99" t="s">
        <v>3136</v>
      </c>
    </row>
    <row r="257" spans="1:57" ht="12.95" customHeight="1">
      <c r="A257" s="124">
        <v>15</v>
      </c>
      <c r="B257" s="124">
        <v>1324</v>
      </c>
      <c r="C257" s="99" t="s">
        <v>165</v>
      </c>
      <c r="D257" s="99" t="s">
        <v>1104</v>
      </c>
      <c r="E257" s="99" t="s">
        <v>2873</v>
      </c>
      <c r="F257" s="99" t="s">
        <v>1115</v>
      </c>
      <c r="G257" s="99" t="s">
        <v>2709</v>
      </c>
      <c r="H257" s="99" t="s">
        <v>4039</v>
      </c>
      <c r="I257" s="99" t="s">
        <v>2710</v>
      </c>
      <c r="J257" s="99" t="s">
        <v>1361</v>
      </c>
      <c r="K257" s="99" t="s">
        <v>888</v>
      </c>
      <c r="L257" s="99" t="s">
        <v>1362</v>
      </c>
      <c r="M257" s="99" t="s">
        <v>1</v>
      </c>
      <c r="N257" s="99" t="s">
        <v>3407</v>
      </c>
      <c r="O257" s="99" t="s">
        <v>114</v>
      </c>
      <c r="P257" s="99" t="s">
        <v>3682</v>
      </c>
      <c r="Q257" s="99" t="s">
        <v>169</v>
      </c>
      <c r="R257" s="99" t="s">
        <v>3409</v>
      </c>
      <c r="S257" s="99" t="s">
        <v>2636</v>
      </c>
      <c r="T257" s="99" t="s">
        <v>48</v>
      </c>
      <c r="U257" s="99" t="s">
        <v>500</v>
      </c>
      <c r="V257" s="99" t="s">
        <v>501</v>
      </c>
      <c r="W257" s="99" t="s">
        <v>3912</v>
      </c>
      <c r="X257" s="99" t="s">
        <v>3912</v>
      </c>
      <c r="Y257" s="99" t="s">
        <v>4053</v>
      </c>
      <c r="Z257" s="99" t="s">
        <v>172</v>
      </c>
      <c r="AA257" s="99" t="s">
        <v>173</v>
      </c>
      <c r="AB257" s="99" t="s">
        <v>174</v>
      </c>
      <c r="AC257" s="99" t="s">
        <v>3411</v>
      </c>
      <c r="AD257" s="99" t="s">
        <v>175</v>
      </c>
      <c r="AE257" s="99" t="s">
        <v>3411</v>
      </c>
      <c r="AF257" s="99" t="s">
        <v>3411</v>
      </c>
      <c r="AG257" s="124">
        <v>1051</v>
      </c>
      <c r="AH257" s="99" t="s">
        <v>3413</v>
      </c>
      <c r="AI257" s="125">
        <v>100</v>
      </c>
      <c r="AJ257" s="99" t="s">
        <v>176</v>
      </c>
      <c r="AK257" s="99" t="s">
        <v>3912</v>
      </c>
      <c r="AL257" s="99" t="s">
        <v>3411</v>
      </c>
      <c r="AM257" s="99" t="s">
        <v>177</v>
      </c>
      <c r="AN257" s="99" t="s">
        <v>3411</v>
      </c>
      <c r="AO257" s="99" t="s">
        <v>403</v>
      </c>
      <c r="AP257" s="99" t="s">
        <v>2570</v>
      </c>
      <c r="AQ257" s="99" t="s">
        <v>3411</v>
      </c>
      <c r="AR257" s="99" t="s">
        <v>3411</v>
      </c>
      <c r="AS257" s="99" t="s">
        <v>1363</v>
      </c>
      <c r="AT257" s="99" t="s">
        <v>1</v>
      </c>
      <c r="AU257" s="99" t="s">
        <v>179</v>
      </c>
      <c r="AV257" s="99" t="s">
        <v>3414</v>
      </c>
      <c r="AW257" s="99" t="s">
        <v>180</v>
      </c>
      <c r="AX257" s="99" t="s">
        <v>3420</v>
      </c>
      <c r="AY257" s="99" t="s">
        <v>252</v>
      </c>
      <c r="AZ257" s="99" t="s">
        <v>3416</v>
      </c>
      <c r="BA257" s="99" t="s">
        <v>4042</v>
      </c>
      <c r="BB257" s="99" t="s">
        <v>1337</v>
      </c>
      <c r="BC257" s="125">
        <v>56</v>
      </c>
      <c r="BD257" s="99" t="s">
        <v>3135</v>
      </c>
      <c r="BE257" s="99" t="s">
        <v>3136</v>
      </c>
    </row>
    <row r="258" spans="1:57" ht="12.95" customHeight="1">
      <c r="A258" s="124">
        <v>15</v>
      </c>
      <c r="B258" s="124">
        <v>1320</v>
      </c>
      <c r="C258" s="99" t="s">
        <v>165</v>
      </c>
      <c r="D258" s="99" t="s">
        <v>1104</v>
      </c>
      <c r="E258" s="99" t="s">
        <v>2873</v>
      </c>
      <c r="F258" s="99" t="s">
        <v>1115</v>
      </c>
      <c r="G258" s="99" t="s">
        <v>2709</v>
      </c>
      <c r="H258" s="99" t="s">
        <v>4039</v>
      </c>
      <c r="I258" s="99" t="s">
        <v>2710</v>
      </c>
      <c r="J258" s="99" t="s">
        <v>1364</v>
      </c>
      <c r="K258" s="99" t="s">
        <v>454</v>
      </c>
      <c r="L258" s="99" t="s">
        <v>1365</v>
      </c>
      <c r="M258" s="99" t="s">
        <v>5</v>
      </c>
      <c r="N258" s="99" t="s">
        <v>3407</v>
      </c>
      <c r="O258" s="99" t="s">
        <v>114</v>
      </c>
      <c r="P258" s="99" t="s">
        <v>3682</v>
      </c>
      <c r="Q258" s="99" t="s">
        <v>169</v>
      </c>
      <c r="R258" s="99" t="s">
        <v>3409</v>
      </c>
      <c r="S258" s="99" t="s">
        <v>2636</v>
      </c>
      <c r="T258" s="99" t="s">
        <v>48</v>
      </c>
      <c r="U258" s="99" t="s">
        <v>500</v>
      </c>
      <c r="V258" s="99" t="s">
        <v>501</v>
      </c>
      <c r="W258" s="99" t="s">
        <v>3912</v>
      </c>
      <c r="X258" s="99" t="s">
        <v>3912</v>
      </c>
      <c r="Y258" s="99" t="s">
        <v>4054</v>
      </c>
      <c r="Z258" s="99" t="s">
        <v>172</v>
      </c>
      <c r="AA258" s="99" t="s">
        <v>173</v>
      </c>
      <c r="AB258" s="99" t="s">
        <v>174</v>
      </c>
      <c r="AC258" s="99" t="s">
        <v>3411</v>
      </c>
      <c r="AD258" s="99" t="s">
        <v>175</v>
      </c>
      <c r="AE258" s="99" t="s">
        <v>3411</v>
      </c>
      <c r="AF258" s="99" t="s">
        <v>3411</v>
      </c>
      <c r="AG258" s="124">
        <v>1047</v>
      </c>
      <c r="AH258" s="99" t="s">
        <v>3413</v>
      </c>
      <c r="AI258" s="125">
        <v>100</v>
      </c>
      <c r="AJ258" s="99" t="s">
        <v>176</v>
      </c>
      <c r="AK258" s="99" t="s">
        <v>3912</v>
      </c>
      <c r="AL258" s="99" t="s">
        <v>3411</v>
      </c>
      <c r="AM258" s="99" t="s">
        <v>177</v>
      </c>
      <c r="AN258" s="99" t="s">
        <v>3411</v>
      </c>
      <c r="AO258" s="99" t="s">
        <v>403</v>
      </c>
      <c r="AP258" s="99" t="s">
        <v>2570</v>
      </c>
      <c r="AQ258" s="99" t="s">
        <v>3411</v>
      </c>
      <c r="AR258" s="99" t="s">
        <v>3411</v>
      </c>
      <c r="AS258" s="99" t="s">
        <v>1366</v>
      </c>
      <c r="AT258" s="99" t="s">
        <v>1</v>
      </c>
      <c r="AU258" s="99" t="s">
        <v>179</v>
      </c>
      <c r="AV258" s="99" t="s">
        <v>3414</v>
      </c>
      <c r="AW258" s="99" t="s">
        <v>180</v>
      </c>
      <c r="AX258" s="99" t="s">
        <v>3420</v>
      </c>
      <c r="AY258" s="99" t="s">
        <v>252</v>
      </c>
      <c r="AZ258" s="99" t="s">
        <v>3416</v>
      </c>
      <c r="BA258" s="99" t="s">
        <v>4042</v>
      </c>
      <c r="BB258" s="99" t="s">
        <v>1337</v>
      </c>
      <c r="BC258" s="125">
        <v>54</v>
      </c>
      <c r="BD258" s="99" t="s">
        <v>3135</v>
      </c>
      <c r="BE258" s="99" t="s">
        <v>3136</v>
      </c>
    </row>
    <row r="259" spans="1:57" ht="12.95" customHeight="1">
      <c r="A259" s="124">
        <v>15</v>
      </c>
      <c r="B259" s="124">
        <v>1220</v>
      </c>
      <c r="C259" s="99" t="s">
        <v>165</v>
      </c>
      <c r="D259" s="99" t="s">
        <v>1104</v>
      </c>
      <c r="E259" s="99" t="s">
        <v>2873</v>
      </c>
      <c r="F259" s="99" t="s">
        <v>1115</v>
      </c>
      <c r="G259" s="99" t="s">
        <v>2709</v>
      </c>
      <c r="H259" s="99" t="s">
        <v>3228</v>
      </c>
      <c r="I259" s="99" t="s">
        <v>3229</v>
      </c>
      <c r="J259" s="99" t="s">
        <v>1294</v>
      </c>
      <c r="K259" s="99" t="s">
        <v>1295</v>
      </c>
      <c r="L259" s="99" t="s">
        <v>1296</v>
      </c>
      <c r="M259" s="99" t="s">
        <v>1</v>
      </c>
      <c r="N259" s="99" t="s">
        <v>3407</v>
      </c>
      <c r="O259" s="99" t="s">
        <v>114</v>
      </c>
      <c r="P259" s="99" t="s">
        <v>3422</v>
      </c>
      <c r="Q259" s="99" t="s">
        <v>169</v>
      </c>
      <c r="R259" s="99" t="s">
        <v>3427</v>
      </c>
      <c r="S259" s="99" t="s">
        <v>2635</v>
      </c>
      <c r="T259" s="99" t="s">
        <v>58</v>
      </c>
      <c r="U259" s="99" t="s">
        <v>187</v>
      </c>
      <c r="V259" s="99" t="s">
        <v>188</v>
      </c>
      <c r="W259" s="99" t="s">
        <v>4055</v>
      </c>
      <c r="X259" s="99" t="s">
        <v>4055</v>
      </c>
      <c r="Y259" s="99" t="s">
        <v>4056</v>
      </c>
      <c r="Z259" s="99" t="s">
        <v>172</v>
      </c>
      <c r="AA259" s="99" t="s">
        <v>173</v>
      </c>
      <c r="AB259" s="99" t="s">
        <v>174</v>
      </c>
      <c r="AC259" s="99" t="s">
        <v>3411</v>
      </c>
      <c r="AD259" s="99" t="s">
        <v>175</v>
      </c>
      <c r="AE259" s="99" t="s">
        <v>3411</v>
      </c>
      <c r="AF259" s="99" t="s">
        <v>3411</v>
      </c>
      <c r="AG259" s="124">
        <v>963</v>
      </c>
      <c r="AH259" s="99" t="s">
        <v>3413</v>
      </c>
      <c r="AI259" s="125">
        <v>100</v>
      </c>
      <c r="AJ259" s="99" t="s">
        <v>176</v>
      </c>
      <c r="AK259" s="99" t="s">
        <v>4057</v>
      </c>
      <c r="AL259" s="99" t="s">
        <v>3411</v>
      </c>
      <c r="AM259" s="99" t="s">
        <v>177</v>
      </c>
      <c r="AN259" s="99" t="s">
        <v>3411</v>
      </c>
      <c r="AO259" s="99" t="s">
        <v>189</v>
      </c>
      <c r="AP259" s="99" t="s">
        <v>2570</v>
      </c>
      <c r="AQ259" s="99" t="s">
        <v>3411</v>
      </c>
      <c r="AR259" s="99" t="s">
        <v>3411</v>
      </c>
      <c r="AS259" s="99" t="s">
        <v>1297</v>
      </c>
      <c r="AT259" s="99" t="s">
        <v>190</v>
      </c>
      <c r="AU259" s="99" t="s">
        <v>191</v>
      </c>
      <c r="AV259" s="99" t="s">
        <v>3414</v>
      </c>
      <c r="AW259" s="99" t="s">
        <v>180</v>
      </c>
      <c r="AX259" s="99" t="s">
        <v>3420</v>
      </c>
      <c r="AY259" s="99" t="s">
        <v>252</v>
      </c>
      <c r="AZ259" s="99" t="s">
        <v>3430</v>
      </c>
      <c r="BA259" s="99" t="s">
        <v>4033</v>
      </c>
      <c r="BB259" s="99" t="s">
        <v>1110</v>
      </c>
      <c r="BC259" s="125">
        <v>52</v>
      </c>
      <c r="BD259" s="99" t="s">
        <v>3135</v>
      </c>
      <c r="BE259" s="99" t="s">
        <v>3136</v>
      </c>
    </row>
    <row r="260" spans="1:57" ht="12.95" customHeight="1">
      <c r="A260" s="124">
        <v>15</v>
      </c>
      <c r="B260" s="124">
        <v>395</v>
      </c>
      <c r="C260" s="99" t="s">
        <v>165</v>
      </c>
      <c r="D260" s="99" t="s">
        <v>1104</v>
      </c>
      <c r="E260" s="99" t="s">
        <v>2873</v>
      </c>
      <c r="F260" s="99" t="s">
        <v>1115</v>
      </c>
      <c r="G260" s="99" t="s">
        <v>2709</v>
      </c>
      <c r="H260" s="99" t="s">
        <v>1116</v>
      </c>
      <c r="I260" s="99" t="s">
        <v>1117</v>
      </c>
      <c r="J260" s="99" t="s">
        <v>1118</v>
      </c>
      <c r="K260" s="99" t="s">
        <v>967</v>
      </c>
      <c r="L260" s="99" t="s">
        <v>1119</v>
      </c>
      <c r="M260" s="99" t="s">
        <v>1</v>
      </c>
      <c r="N260" s="99" t="s">
        <v>3407</v>
      </c>
      <c r="O260" s="99" t="s">
        <v>114</v>
      </c>
      <c r="P260" s="99" t="s">
        <v>3682</v>
      </c>
      <c r="Q260" s="99" t="s">
        <v>169</v>
      </c>
      <c r="R260" s="99" t="s">
        <v>3409</v>
      </c>
      <c r="S260" s="99" t="s">
        <v>2636</v>
      </c>
      <c r="T260" s="99" t="s">
        <v>48</v>
      </c>
      <c r="U260" s="99" t="s">
        <v>410</v>
      </c>
      <c r="V260" s="99" t="s">
        <v>411</v>
      </c>
      <c r="W260" s="99" t="s">
        <v>4058</v>
      </c>
      <c r="X260" s="99" t="s">
        <v>4058</v>
      </c>
      <c r="Y260" s="99" t="s">
        <v>4059</v>
      </c>
      <c r="Z260" s="99" t="s">
        <v>172</v>
      </c>
      <c r="AA260" s="99" t="s">
        <v>173</v>
      </c>
      <c r="AB260" s="99" t="s">
        <v>174</v>
      </c>
      <c r="AC260" s="99" t="s">
        <v>3411</v>
      </c>
      <c r="AD260" s="99" t="s">
        <v>175</v>
      </c>
      <c r="AE260" s="99" t="s">
        <v>3411</v>
      </c>
      <c r="AF260" s="99" t="s">
        <v>3411</v>
      </c>
      <c r="AG260" s="124">
        <v>288</v>
      </c>
      <c r="AH260" s="99" t="s">
        <v>3413</v>
      </c>
      <c r="AI260" s="125">
        <v>100</v>
      </c>
      <c r="AJ260" s="99" t="s">
        <v>176</v>
      </c>
      <c r="AK260" s="99" t="s">
        <v>4058</v>
      </c>
      <c r="AL260" s="99" t="s">
        <v>3411</v>
      </c>
      <c r="AM260" s="99" t="s">
        <v>177</v>
      </c>
      <c r="AN260" s="99" t="s">
        <v>3411</v>
      </c>
      <c r="AO260" s="99" t="s">
        <v>403</v>
      </c>
      <c r="AP260" s="99" t="s">
        <v>2570</v>
      </c>
      <c r="AQ260" s="99" t="s">
        <v>3411</v>
      </c>
      <c r="AR260" s="99" t="s">
        <v>234</v>
      </c>
      <c r="AS260" s="99" t="s">
        <v>1120</v>
      </c>
      <c r="AT260" s="99" t="s">
        <v>1</v>
      </c>
      <c r="AU260" s="99" t="s">
        <v>179</v>
      </c>
      <c r="AV260" s="99" t="s">
        <v>3414</v>
      </c>
      <c r="AW260" s="99" t="s">
        <v>180</v>
      </c>
      <c r="AX260" s="99" t="s">
        <v>3420</v>
      </c>
      <c r="AY260" s="99" t="s">
        <v>252</v>
      </c>
      <c r="AZ260" s="99" t="s">
        <v>3416</v>
      </c>
      <c r="BA260" s="99" t="s">
        <v>4060</v>
      </c>
      <c r="BB260" s="99" t="s">
        <v>2874</v>
      </c>
      <c r="BC260" s="125">
        <v>59</v>
      </c>
      <c r="BD260" s="99" t="s">
        <v>3135</v>
      </c>
      <c r="BE260" s="99" t="s">
        <v>3136</v>
      </c>
    </row>
    <row r="261" spans="1:57" ht="12.95" customHeight="1">
      <c r="A261" s="124">
        <v>15</v>
      </c>
      <c r="B261" s="124">
        <v>1941</v>
      </c>
      <c r="C261" s="99" t="s">
        <v>165</v>
      </c>
      <c r="D261" s="99" t="s">
        <v>1104</v>
      </c>
      <c r="E261" s="99" t="s">
        <v>2873</v>
      </c>
      <c r="F261" s="99" t="s">
        <v>1115</v>
      </c>
      <c r="G261" s="99" t="s">
        <v>2709</v>
      </c>
      <c r="H261" s="99" t="s">
        <v>1116</v>
      </c>
      <c r="I261" s="99" t="s">
        <v>1117</v>
      </c>
      <c r="J261" s="99" t="s">
        <v>973</v>
      </c>
      <c r="K261" s="99" t="s">
        <v>974</v>
      </c>
      <c r="L261" s="99" t="s">
        <v>975</v>
      </c>
      <c r="M261" s="99" t="s">
        <v>1</v>
      </c>
      <c r="N261" s="99" t="s">
        <v>3407</v>
      </c>
      <c r="O261" s="99" t="s">
        <v>114</v>
      </c>
      <c r="P261" s="99" t="s">
        <v>3422</v>
      </c>
      <c r="Q261" s="99" t="s">
        <v>169</v>
      </c>
      <c r="R261" s="99" t="s">
        <v>3409</v>
      </c>
      <c r="S261" s="99" t="s">
        <v>2636</v>
      </c>
      <c r="T261" s="99" t="s">
        <v>48</v>
      </c>
      <c r="U261" s="99" t="s">
        <v>410</v>
      </c>
      <c r="V261" s="99" t="s">
        <v>411</v>
      </c>
      <c r="W261" s="99" t="s">
        <v>4061</v>
      </c>
      <c r="X261" s="99" t="s">
        <v>4061</v>
      </c>
      <c r="Y261" s="99" t="s">
        <v>4062</v>
      </c>
      <c r="Z261" s="99" t="s">
        <v>172</v>
      </c>
      <c r="AA261" s="99" t="s">
        <v>173</v>
      </c>
      <c r="AB261" s="99" t="s">
        <v>174</v>
      </c>
      <c r="AC261" s="99" t="s">
        <v>3411</v>
      </c>
      <c r="AD261" s="99" t="s">
        <v>175</v>
      </c>
      <c r="AE261" s="99" t="s">
        <v>3411</v>
      </c>
      <c r="AF261" s="99" t="s">
        <v>3411</v>
      </c>
      <c r="AG261" s="124">
        <v>1524</v>
      </c>
      <c r="AH261" s="99" t="s">
        <v>3413</v>
      </c>
      <c r="AI261" s="125">
        <v>100</v>
      </c>
      <c r="AJ261" s="99" t="s">
        <v>176</v>
      </c>
      <c r="AK261" s="99" t="s">
        <v>4061</v>
      </c>
      <c r="AL261" s="99" t="s">
        <v>3411</v>
      </c>
      <c r="AM261" s="99" t="s">
        <v>3480</v>
      </c>
      <c r="AN261" s="99" t="s">
        <v>233</v>
      </c>
      <c r="AO261" s="99" t="s">
        <v>403</v>
      </c>
      <c r="AP261" s="99" t="s">
        <v>2570</v>
      </c>
      <c r="AQ261" s="99" t="s">
        <v>3411</v>
      </c>
      <c r="AR261" s="99" t="s">
        <v>207</v>
      </c>
      <c r="AS261" s="99" t="s">
        <v>976</v>
      </c>
      <c r="AT261" s="99" t="s">
        <v>1</v>
      </c>
      <c r="AU261" s="99" t="s">
        <v>179</v>
      </c>
      <c r="AV261" s="99" t="s">
        <v>3414</v>
      </c>
      <c r="AW261" s="99" t="s">
        <v>180</v>
      </c>
      <c r="AX261" s="99" t="s">
        <v>3420</v>
      </c>
      <c r="AY261" s="99" t="s">
        <v>252</v>
      </c>
      <c r="AZ261" s="99" t="s">
        <v>3416</v>
      </c>
      <c r="BA261" s="99" t="s">
        <v>4060</v>
      </c>
      <c r="BB261" s="99" t="s">
        <v>2874</v>
      </c>
      <c r="BC261" s="125">
        <v>55</v>
      </c>
      <c r="BD261" s="99" t="s">
        <v>3135</v>
      </c>
      <c r="BE261" s="99" t="s">
        <v>3136</v>
      </c>
    </row>
    <row r="262" spans="1:57" ht="12.95" customHeight="1">
      <c r="A262" s="124">
        <v>15</v>
      </c>
      <c r="B262" s="124">
        <v>3135</v>
      </c>
      <c r="C262" s="99" t="s">
        <v>165</v>
      </c>
      <c r="D262" s="99" t="s">
        <v>1104</v>
      </c>
      <c r="E262" s="99" t="s">
        <v>2873</v>
      </c>
      <c r="F262" s="99" t="s">
        <v>1115</v>
      </c>
      <c r="G262" s="99" t="s">
        <v>2709</v>
      </c>
      <c r="H262" s="99" t="s">
        <v>1116</v>
      </c>
      <c r="I262" s="99" t="s">
        <v>1117</v>
      </c>
      <c r="J262" s="99" t="s">
        <v>3152</v>
      </c>
      <c r="K262" s="99" t="s">
        <v>967</v>
      </c>
      <c r="L262" s="99" t="s">
        <v>3153</v>
      </c>
      <c r="M262" s="99" t="s">
        <v>1</v>
      </c>
      <c r="N262" s="99" t="s">
        <v>3407</v>
      </c>
      <c r="O262" s="99" t="s">
        <v>114</v>
      </c>
      <c r="P262" s="99" t="s">
        <v>3545</v>
      </c>
      <c r="Q262" s="99" t="s">
        <v>169</v>
      </c>
      <c r="R262" s="99" t="s">
        <v>3409</v>
      </c>
      <c r="S262" s="99" t="s">
        <v>2636</v>
      </c>
      <c r="T262" s="99" t="s">
        <v>48</v>
      </c>
      <c r="U262" s="99" t="s">
        <v>410</v>
      </c>
      <c r="V262" s="99" t="s">
        <v>411</v>
      </c>
      <c r="W262" s="99" t="s">
        <v>3545</v>
      </c>
      <c r="X262" s="99" t="s">
        <v>3545</v>
      </c>
      <c r="Y262" s="99" t="s">
        <v>4063</v>
      </c>
      <c r="Z262" s="99" t="s">
        <v>172</v>
      </c>
      <c r="AA262" s="99" t="s">
        <v>173</v>
      </c>
      <c r="AB262" s="99" t="s">
        <v>174</v>
      </c>
      <c r="AC262" s="99" t="s">
        <v>3411</v>
      </c>
      <c r="AD262" s="99" t="s">
        <v>175</v>
      </c>
      <c r="AE262" s="99" t="s">
        <v>3411</v>
      </c>
      <c r="AF262" s="99" t="s">
        <v>3411</v>
      </c>
      <c r="AG262" s="124">
        <v>3135</v>
      </c>
      <c r="AH262" s="99" t="s">
        <v>3413</v>
      </c>
      <c r="AI262" s="125">
        <v>100</v>
      </c>
      <c r="AJ262" s="99" t="s">
        <v>176</v>
      </c>
      <c r="AK262" s="99" t="s">
        <v>3545</v>
      </c>
      <c r="AL262" s="99" t="s">
        <v>3411</v>
      </c>
      <c r="AM262" s="99" t="s">
        <v>4064</v>
      </c>
      <c r="AN262" s="99" t="s">
        <v>547</v>
      </c>
      <c r="AO262" s="99" t="s">
        <v>412</v>
      </c>
      <c r="AP262" s="99" t="s">
        <v>2570</v>
      </c>
      <c r="AQ262" s="99" t="s">
        <v>3411</v>
      </c>
      <c r="AR262" s="99" t="s">
        <v>3411</v>
      </c>
      <c r="AS262" s="99" t="s">
        <v>3154</v>
      </c>
      <c r="AT262" s="99" t="s">
        <v>1</v>
      </c>
      <c r="AU262" s="99" t="s">
        <v>179</v>
      </c>
      <c r="AV262" s="99" t="s">
        <v>3414</v>
      </c>
      <c r="AW262" s="99" t="s">
        <v>180</v>
      </c>
      <c r="AX262" s="99" t="s">
        <v>3545</v>
      </c>
      <c r="AY262" s="99" t="s">
        <v>252</v>
      </c>
      <c r="AZ262" s="99" t="s">
        <v>5013</v>
      </c>
      <c r="BA262" s="99" t="s">
        <v>4060</v>
      </c>
      <c r="BB262" s="99" t="s">
        <v>2874</v>
      </c>
      <c r="BC262" s="125">
        <v>48</v>
      </c>
      <c r="BD262" s="99" t="s">
        <v>3135</v>
      </c>
      <c r="BE262" s="99" t="s">
        <v>3136</v>
      </c>
    </row>
    <row r="263" spans="1:57" ht="12.95" customHeight="1">
      <c r="A263" s="124">
        <v>15</v>
      </c>
      <c r="B263" s="124">
        <v>1223</v>
      </c>
      <c r="C263" s="99" t="s">
        <v>165</v>
      </c>
      <c r="D263" s="99" t="s">
        <v>1104</v>
      </c>
      <c r="E263" s="99" t="s">
        <v>2873</v>
      </c>
      <c r="F263" s="99" t="s">
        <v>1115</v>
      </c>
      <c r="G263" s="99" t="s">
        <v>2709</v>
      </c>
      <c r="H263" s="99" t="s">
        <v>1116</v>
      </c>
      <c r="I263" s="99" t="s">
        <v>1117</v>
      </c>
      <c r="J263" s="99" t="s">
        <v>1122</v>
      </c>
      <c r="K263" s="99" t="s">
        <v>168</v>
      </c>
      <c r="L263" s="99" t="s">
        <v>1123</v>
      </c>
      <c r="M263" s="99" t="s">
        <v>1</v>
      </c>
      <c r="N263" s="99" t="s">
        <v>3407</v>
      </c>
      <c r="O263" s="99" t="s">
        <v>114</v>
      </c>
      <c r="P263" s="99" t="s">
        <v>3682</v>
      </c>
      <c r="Q263" s="99" t="s">
        <v>169</v>
      </c>
      <c r="R263" s="99" t="s">
        <v>3409</v>
      </c>
      <c r="S263" s="99" t="s">
        <v>2636</v>
      </c>
      <c r="T263" s="99" t="s">
        <v>52</v>
      </c>
      <c r="U263" s="99" t="s">
        <v>427</v>
      </c>
      <c r="V263" s="99" t="s">
        <v>428</v>
      </c>
      <c r="W263" s="99" t="s">
        <v>4065</v>
      </c>
      <c r="X263" s="99" t="s">
        <v>4065</v>
      </c>
      <c r="Y263" s="99" t="s">
        <v>4066</v>
      </c>
      <c r="Z263" s="99" t="s">
        <v>172</v>
      </c>
      <c r="AA263" s="99" t="s">
        <v>173</v>
      </c>
      <c r="AB263" s="99" t="s">
        <v>174</v>
      </c>
      <c r="AC263" s="99" t="s">
        <v>3411</v>
      </c>
      <c r="AD263" s="99" t="s">
        <v>175</v>
      </c>
      <c r="AE263" s="99" t="s">
        <v>3411</v>
      </c>
      <c r="AF263" s="99" t="s">
        <v>3411</v>
      </c>
      <c r="AG263" s="124">
        <v>966</v>
      </c>
      <c r="AH263" s="99" t="s">
        <v>3413</v>
      </c>
      <c r="AI263" s="125">
        <v>100</v>
      </c>
      <c r="AJ263" s="99" t="s">
        <v>176</v>
      </c>
      <c r="AK263" s="99" t="s">
        <v>4065</v>
      </c>
      <c r="AL263" s="99" t="s">
        <v>3411</v>
      </c>
      <c r="AM263" s="99" t="s">
        <v>177</v>
      </c>
      <c r="AN263" s="99" t="s">
        <v>3411</v>
      </c>
      <c r="AO263" s="99" t="s">
        <v>403</v>
      </c>
      <c r="AP263" s="99" t="s">
        <v>2570</v>
      </c>
      <c r="AQ263" s="99" t="s">
        <v>3411</v>
      </c>
      <c r="AR263" s="99" t="s">
        <v>3411</v>
      </c>
      <c r="AS263" s="99" t="s">
        <v>1124</v>
      </c>
      <c r="AT263" s="99" t="s">
        <v>1</v>
      </c>
      <c r="AU263" s="99" t="s">
        <v>179</v>
      </c>
      <c r="AV263" s="99" t="s">
        <v>3414</v>
      </c>
      <c r="AW263" s="99" t="s">
        <v>180</v>
      </c>
      <c r="AX263" s="99" t="s">
        <v>3420</v>
      </c>
      <c r="AY263" s="99" t="s">
        <v>252</v>
      </c>
      <c r="AZ263" s="99" t="s">
        <v>3416</v>
      </c>
      <c r="BA263" s="99" t="s">
        <v>4050</v>
      </c>
      <c r="BB263" s="99" t="s">
        <v>2711</v>
      </c>
      <c r="BC263" s="125">
        <v>53</v>
      </c>
      <c r="BD263" s="99" t="s">
        <v>3135</v>
      </c>
      <c r="BE263" s="99" t="s">
        <v>3136</v>
      </c>
    </row>
    <row r="264" spans="1:57" ht="12.95" customHeight="1">
      <c r="A264" s="124">
        <v>15</v>
      </c>
      <c r="B264" s="124">
        <v>2586</v>
      </c>
      <c r="C264" s="99" t="s">
        <v>165</v>
      </c>
      <c r="D264" s="99" t="s">
        <v>1104</v>
      </c>
      <c r="E264" s="99" t="s">
        <v>2873</v>
      </c>
      <c r="F264" s="99" t="s">
        <v>1115</v>
      </c>
      <c r="G264" s="99" t="s">
        <v>2709</v>
      </c>
      <c r="H264" s="99" t="s">
        <v>1116</v>
      </c>
      <c r="I264" s="99" t="s">
        <v>1117</v>
      </c>
      <c r="J264" s="99" t="s">
        <v>1458</v>
      </c>
      <c r="K264" s="99" t="s">
        <v>888</v>
      </c>
      <c r="L264" s="99" t="s">
        <v>1459</v>
      </c>
      <c r="M264" s="99" t="s">
        <v>1</v>
      </c>
      <c r="N264" s="99" t="s">
        <v>3407</v>
      </c>
      <c r="O264" s="99" t="s">
        <v>114</v>
      </c>
      <c r="P264" s="99" t="s">
        <v>3422</v>
      </c>
      <c r="Q264" s="99" t="s">
        <v>169</v>
      </c>
      <c r="R264" s="99" t="s">
        <v>3571</v>
      </c>
      <c r="S264" s="99" t="s">
        <v>2648</v>
      </c>
      <c r="T264" s="99" t="s">
        <v>48</v>
      </c>
      <c r="U264" s="99" t="s">
        <v>3572</v>
      </c>
      <c r="V264" s="99" t="s">
        <v>404</v>
      </c>
      <c r="W264" s="99" t="s">
        <v>4067</v>
      </c>
      <c r="X264" s="99" t="s">
        <v>4068</v>
      </c>
      <c r="Y264" s="99" t="s">
        <v>4069</v>
      </c>
      <c r="Z264" s="99" t="s">
        <v>172</v>
      </c>
      <c r="AA264" s="99" t="s">
        <v>173</v>
      </c>
      <c r="AB264" s="99" t="s">
        <v>400</v>
      </c>
      <c r="AC264" s="99" t="s">
        <v>3411</v>
      </c>
      <c r="AD264" s="99" t="s">
        <v>175</v>
      </c>
      <c r="AE264" s="99" t="s">
        <v>3411</v>
      </c>
      <c r="AF264" s="99" t="s">
        <v>3411</v>
      </c>
      <c r="AG264" s="124">
        <v>2586</v>
      </c>
      <c r="AH264" s="99" t="s">
        <v>3413</v>
      </c>
      <c r="AI264" s="125">
        <v>100</v>
      </c>
      <c r="AJ264" s="99" t="s">
        <v>176</v>
      </c>
      <c r="AK264" s="99" t="s">
        <v>4068</v>
      </c>
      <c r="AL264" s="99" t="s">
        <v>3411</v>
      </c>
      <c r="AM264" s="99" t="s">
        <v>177</v>
      </c>
      <c r="AN264" s="99" t="s">
        <v>3411</v>
      </c>
      <c r="AO264" s="99" t="s">
        <v>405</v>
      </c>
      <c r="AP264" s="99" t="s">
        <v>2570</v>
      </c>
      <c r="AQ264" s="99" t="s">
        <v>3411</v>
      </c>
      <c r="AR264" s="99" t="s">
        <v>242</v>
      </c>
      <c r="AS264" s="99" t="s">
        <v>1460</v>
      </c>
      <c r="AT264" s="99" t="s">
        <v>235</v>
      </c>
      <c r="AU264" s="99" t="s">
        <v>236</v>
      </c>
      <c r="AV264" s="99" t="s">
        <v>3570</v>
      </c>
      <c r="AW264" s="99" t="s">
        <v>406</v>
      </c>
      <c r="AX264" s="99" t="s">
        <v>3420</v>
      </c>
      <c r="AY264" s="99" t="s">
        <v>252</v>
      </c>
      <c r="AZ264" s="99" t="s">
        <v>3416</v>
      </c>
      <c r="BA264" s="99" t="s">
        <v>4050</v>
      </c>
      <c r="BB264" s="99" t="s">
        <v>2711</v>
      </c>
      <c r="BC264" s="125">
        <v>48</v>
      </c>
      <c r="BD264" s="99" t="s">
        <v>3135</v>
      </c>
      <c r="BE264" s="99" t="s">
        <v>3136</v>
      </c>
    </row>
    <row r="265" spans="1:57" ht="12.95" customHeight="1">
      <c r="A265" s="124">
        <v>15</v>
      </c>
      <c r="B265" s="124">
        <v>2989</v>
      </c>
      <c r="C265" s="99" t="s">
        <v>165</v>
      </c>
      <c r="D265" s="99" t="s">
        <v>1104</v>
      </c>
      <c r="E265" s="99" t="s">
        <v>2873</v>
      </c>
      <c r="F265" s="99" t="s">
        <v>1125</v>
      </c>
      <c r="G265" s="99" t="s">
        <v>3184</v>
      </c>
      <c r="H265" s="99" t="s">
        <v>1127</v>
      </c>
      <c r="I265" s="99" t="s">
        <v>3230</v>
      </c>
      <c r="J265" s="99" t="s">
        <v>1128</v>
      </c>
      <c r="K265" s="99" t="s">
        <v>527</v>
      </c>
      <c r="L265" s="99" t="s">
        <v>1129</v>
      </c>
      <c r="M265" s="99" t="s">
        <v>5</v>
      </c>
      <c r="N265" s="99" t="s">
        <v>3407</v>
      </c>
      <c r="O265" s="99" t="s">
        <v>114</v>
      </c>
      <c r="P265" s="99" t="s">
        <v>3422</v>
      </c>
      <c r="Q265" s="99" t="s">
        <v>169</v>
      </c>
      <c r="R265" s="99" t="s">
        <v>3427</v>
      </c>
      <c r="S265" s="99" t="s">
        <v>2635</v>
      </c>
      <c r="T265" s="99" t="s">
        <v>58</v>
      </c>
      <c r="U265" s="99" t="s">
        <v>187</v>
      </c>
      <c r="V265" s="99" t="s">
        <v>188</v>
      </c>
      <c r="W265" s="99" t="s">
        <v>4070</v>
      </c>
      <c r="X265" s="99" t="s">
        <v>4070</v>
      </c>
      <c r="Y265" s="99" t="s">
        <v>4071</v>
      </c>
      <c r="Z265" s="99" t="s">
        <v>172</v>
      </c>
      <c r="AA265" s="99" t="s">
        <v>173</v>
      </c>
      <c r="AB265" s="99" t="s">
        <v>174</v>
      </c>
      <c r="AC265" s="99" t="s">
        <v>3411</v>
      </c>
      <c r="AD265" s="99" t="s">
        <v>175</v>
      </c>
      <c r="AE265" s="99" t="s">
        <v>3411</v>
      </c>
      <c r="AF265" s="99" t="s">
        <v>3411</v>
      </c>
      <c r="AG265" s="124">
        <v>2989</v>
      </c>
      <c r="AH265" s="99" t="s">
        <v>3413</v>
      </c>
      <c r="AI265" s="125">
        <v>100</v>
      </c>
      <c r="AJ265" s="99" t="s">
        <v>176</v>
      </c>
      <c r="AK265" s="99" t="s">
        <v>4070</v>
      </c>
      <c r="AL265" s="99" t="s">
        <v>3411</v>
      </c>
      <c r="AM265" s="99" t="s">
        <v>177</v>
      </c>
      <c r="AN265" s="99" t="s">
        <v>3411</v>
      </c>
      <c r="AO265" s="99" t="s">
        <v>189</v>
      </c>
      <c r="AP265" s="99" t="s">
        <v>2570</v>
      </c>
      <c r="AQ265" s="99" t="s">
        <v>3411</v>
      </c>
      <c r="AR265" s="99" t="s">
        <v>3411</v>
      </c>
      <c r="AS265" s="99" t="s">
        <v>1130</v>
      </c>
      <c r="AT265" s="99" t="s">
        <v>190</v>
      </c>
      <c r="AU265" s="99" t="s">
        <v>191</v>
      </c>
      <c r="AV265" s="99" t="s">
        <v>3414</v>
      </c>
      <c r="AW265" s="99" t="s">
        <v>180</v>
      </c>
      <c r="AX265" s="99" t="s">
        <v>3420</v>
      </c>
      <c r="AY265" s="99" t="s">
        <v>252</v>
      </c>
      <c r="AZ265" s="99" t="s">
        <v>3430</v>
      </c>
      <c r="BA265" s="99" t="s">
        <v>4033</v>
      </c>
      <c r="BB265" s="99" t="s">
        <v>1110</v>
      </c>
      <c r="BC265" s="125">
        <v>61</v>
      </c>
      <c r="BD265" s="99" t="s">
        <v>3135</v>
      </c>
      <c r="BE265" s="99" t="s">
        <v>3136</v>
      </c>
    </row>
    <row r="266" spans="1:57" ht="12.95" customHeight="1">
      <c r="A266" s="124">
        <v>15</v>
      </c>
      <c r="B266" s="124">
        <v>3101</v>
      </c>
      <c r="C266" s="99" t="s">
        <v>165</v>
      </c>
      <c r="D266" s="99" t="s">
        <v>1104</v>
      </c>
      <c r="E266" s="99" t="s">
        <v>2873</v>
      </c>
      <c r="F266" s="99" t="s">
        <v>1125</v>
      </c>
      <c r="G266" s="99" t="s">
        <v>3184</v>
      </c>
      <c r="H266" s="99" t="s">
        <v>1127</v>
      </c>
      <c r="I266" s="99" t="s">
        <v>3230</v>
      </c>
      <c r="J266" s="99" t="s">
        <v>3016</v>
      </c>
      <c r="K266" s="99" t="s">
        <v>1195</v>
      </c>
      <c r="L266" s="99" t="s">
        <v>3017</v>
      </c>
      <c r="M266" s="99" t="s">
        <v>5</v>
      </c>
      <c r="N266" s="99" t="s">
        <v>3407</v>
      </c>
      <c r="O266" s="99" t="s">
        <v>114</v>
      </c>
      <c r="P266" s="99" t="s">
        <v>4072</v>
      </c>
      <c r="Q266" s="99" t="s">
        <v>169</v>
      </c>
      <c r="R266" s="99" t="s">
        <v>3409</v>
      </c>
      <c r="S266" s="99" t="s">
        <v>2636</v>
      </c>
      <c r="T266" s="99" t="s">
        <v>52</v>
      </c>
      <c r="U266" s="99" t="s">
        <v>427</v>
      </c>
      <c r="V266" s="99" t="s">
        <v>428</v>
      </c>
      <c r="W266" s="99" t="s">
        <v>4072</v>
      </c>
      <c r="X266" s="99" t="s">
        <v>4072</v>
      </c>
      <c r="Y266" s="99" t="s">
        <v>4073</v>
      </c>
      <c r="Z266" s="99" t="s">
        <v>172</v>
      </c>
      <c r="AA266" s="99" t="s">
        <v>173</v>
      </c>
      <c r="AB266" s="99" t="s">
        <v>174</v>
      </c>
      <c r="AC266" s="99" t="s">
        <v>3411</v>
      </c>
      <c r="AD266" s="99" t="s">
        <v>175</v>
      </c>
      <c r="AE266" s="99" t="s">
        <v>3411</v>
      </c>
      <c r="AF266" s="99" t="s">
        <v>3411</v>
      </c>
      <c r="AG266" s="124">
        <v>3101</v>
      </c>
      <c r="AH266" s="99" t="s">
        <v>3413</v>
      </c>
      <c r="AI266" s="125">
        <v>100</v>
      </c>
      <c r="AJ266" s="99" t="s">
        <v>176</v>
      </c>
      <c r="AK266" s="99" t="s">
        <v>4072</v>
      </c>
      <c r="AL266" s="99" t="s">
        <v>3411</v>
      </c>
      <c r="AM266" s="99" t="s">
        <v>177</v>
      </c>
      <c r="AN266" s="99" t="s">
        <v>3411</v>
      </c>
      <c r="AO266" s="99" t="s">
        <v>412</v>
      </c>
      <c r="AP266" s="99" t="s">
        <v>2570</v>
      </c>
      <c r="AQ266" s="99" t="s">
        <v>3411</v>
      </c>
      <c r="AR266" s="99" t="s">
        <v>3411</v>
      </c>
      <c r="AS266" s="99" t="s">
        <v>3018</v>
      </c>
      <c r="AT266" s="99" t="s">
        <v>1</v>
      </c>
      <c r="AU266" s="99" t="s">
        <v>179</v>
      </c>
      <c r="AV266" s="99" t="s">
        <v>3414</v>
      </c>
      <c r="AW266" s="99" t="s">
        <v>180</v>
      </c>
      <c r="AX266" s="99" t="s">
        <v>3420</v>
      </c>
      <c r="AY266" s="99" t="s">
        <v>252</v>
      </c>
      <c r="AZ266" s="99" t="s">
        <v>3416</v>
      </c>
      <c r="BA266" s="99" t="s">
        <v>4074</v>
      </c>
      <c r="BB266" s="99" t="s">
        <v>1126</v>
      </c>
      <c r="BC266" s="125">
        <v>62</v>
      </c>
      <c r="BD266" s="99" t="s">
        <v>3135</v>
      </c>
      <c r="BE266" s="99" t="s">
        <v>3136</v>
      </c>
    </row>
    <row r="267" spans="1:57" ht="12.95" customHeight="1">
      <c r="A267" s="124">
        <v>15</v>
      </c>
      <c r="B267" s="124">
        <v>1172</v>
      </c>
      <c r="C267" s="99" t="s">
        <v>165</v>
      </c>
      <c r="D267" s="99" t="s">
        <v>1104</v>
      </c>
      <c r="E267" s="99" t="s">
        <v>2873</v>
      </c>
      <c r="F267" s="99" t="s">
        <v>1125</v>
      </c>
      <c r="G267" s="99" t="s">
        <v>3184</v>
      </c>
      <c r="H267" s="99" t="s">
        <v>1131</v>
      </c>
      <c r="I267" s="99" t="s">
        <v>1132</v>
      </c>
      <c r="J267" s="99" t="s">
        <v>1133</v>
      </c>
      <c r="K267" s="99" t="s">
        <v>168</v>
      </c>
      <c r="L267" s="99" t="s">
        <v>1134</v>
      </c>
      <c r="M267" s="99" t="s">
        <v>1</v>
      </c>
      <c r="N267" s="99" t="s">
        <v>3454</v>
      </c>
      <c r="O267" s="99" t="s">
        <v>70</v>
      </c>
      <c r="P267" s="99" t="s">
        <v>3682</v>
      </c>
      <c r="Q267" s="99" t="s">
        <v>247</v>
      </c>
      <c r="R267" s="99" t="s">
        <v>3409</v>
      </c>
      <c r="S267" s="99" t="s">
        <v>2636</v>
      </c>
      <c r="T267" s="99" t="s">
        <v>48</v>
      </c>
      <c r="U267" s="99" t="s">
        <v>410</v>
      </c>
      <c r="V267" s="99" t="s">
        <v>411</v>
      </c>
      <c r="W267" s="99" t="s">
        <v>3896</v>
      </c>
      <c r="X267" s="99" t="s">
        <v>3896</v>
      </c>
      <c r="Y267" s="99" t="s">
        <v>4075</v>
      </c>
      <c r="Z267" s="99" t="s">
        <v>172</v>
      </c>
      <c r="AA267" s="99" t="s">
        <v>173</v>
      </c>
      <c r="AB267" s="99" t="s">
        <v>174</v>
      </c>
      <c r="AC267" s="99" t="s">
        <v>3411</v>
      </c>
      <c r="AD267" s="99" t="s">
        <v>175</v>
      </c>
      <c r="AE267" s="99" t="s">
        <v>3411</v>
      </c>
      <c r="AF267" s="99" t="s">
        <v>3411</v>
      </c>
      <c r="AG267" s="124">
        <v>923</v>
      </c>
      <c r="AH267" s="99" t="s">
        <v>3413</v>
      </c>
      <c r="AI267" s="125">
        <v>100</v>
      </c>
      <c r="AJ267" s="99" t="s">
        <v>176</v>
      </c>
      <c r="AK267" s="99" t="s">
        <v>3896</v>
      </c>
      <c r="AL267" s="99" t="s">
        <v>3411</v>
      </c>
      <c r="AM267" s="99" t="s">
        <v>177</v>
      </c>
      <c r="AN267" s="99" t="s">
        <v>3411</v>
      </c>
      <c r="AO267" s="99" t="s">
        <v>403</v>
      </c>
      <c r="AP267" s="99" t="s">
        <v>2570</v>
      </c>
      <c r="AQ267" s="99" t="s">
        <v>3411</v>
      </c>
      <c r="AR267" s="99" t="s">
        <v>207</v>
      </c>
      <c r="AS267" s="99" t="s">
        <v>1135</v>
      </c>
      <c r="AT267" s="99" t="s">
        <v>1</v>
      </c>
      <c r="AU267" s="99" t="s">
        <v>179</v>
      </c>
      <c r="AV267" s="99" t="s">
        <v>3414</v>
      </c>
      <c r="AW267" s="99" t="s">
        <v>180</v>
      </c>
      <c r="AX267" s="99" t="s">
        <v>3420</v>
      </c>
      <c r="AY267" s="99" t="s">
        <v>252</v>
      </c>
      <c r="AZ267" s="99" t="s">
        <v>3416</v>
      </c>
      <c r="BA267" s="99" t="s">
        <v>4076</v>
      </c>
      <c r="BB267" s="99" t="s">
        <v>1136</v>
      </c>
      <c r="BC267" s="125">
        <v>50</v>
      </c>
      <c r="BD267" s="99" t="s">
        <v>3135</v>
      </c>
      <c r="BE267" s="99" t="s">
        <v>3136</v>
      </c>
    </row>
    <row r="268" spans="1:57" ht="12.95" customHeight="1">
      <c r="A268" s="124">
        <v>15</v>
      </c>
      <c r="B268" s="124">
        <v>1199</v>
      </c>
      <c r="C268" s="99" t="s">
        <v>165</v>
      </c>
      <c r="D268" s="99" t="s">
        <v>1104</v>
      </c>
      <c r="E268" s="99" t="s">
        <v>2873</v>
      </c>
      <c r="F268" s="99" t="s">
        <v>1125</v>
      </c>
      <c r="G268" s="99" t="s">
        <v>3184</v>
      </c>
      <c r="H268" s="99" t="s">
        <v>1131</v>
      </c>
      <c r="I268" s="99" t="s">
        <v>1132</v>
      </c>
      <c r="J268" s="99" t="s">
        <v>1137</v>
      </c>
      <c r="K268" s="99" t="s">
        <v>267</v>
      </c>
      <c r="L268" s="99" t="s">
        <v>1138</v>
      </c>
      <c r="M268" s="99" t="s">
        <v>1</v>
      </c>
      <c r="N268" s="99" t="s">
        <v>3454</v>
      </c>
      <c r="O268" s="99" t="s">
        <v>70</v>
      </c>
      <c r="P268" s="99" t="s">
        <v>4077</v>
      </c>
      <c r="Q268" s="99" t="s">
        <v>247</v>
      </c>
      <c r="R268" s="99" t="s">
        <v>3409</v>
      </c>
      <c r="S268" s="99" t="s">
        <v>2636</v>
      </c>
      <c r="T268" s="99" t="s">
        <v>52</v>
      </c>
      <c r="U268" s="99" t="s">
        <v>427</v>
      </c>
      <c r="V268" s="99" t="s">
        <v>428</v>
      </c>
      <c r="W268" s="99" t="s">
        <v>4078</v>
      </c>
      <c r="X268" s="99" t="s">
        <v>4078</v>
      </c>
      <c r="Y268" s="99" t="s">
        <v>4079</v>
      </c>
      <c r="Z268" s="99" t="s">
        <v>172</v>
      </c>
      <c r="AA268" s="99" t="s">
        <v>173</v>
      </c>
      <c r="AB268" s="99" t="s">
        <v>174</v>
      </c>
      <c r="AC268" s="99" t="s">
        <v>3411</v>
      </c>
      <c r="AD268" s="99" t="s">
        <v>175</v>
      </c>
      <c r="AE268" s="99" t="s">
        <v>3411</v>
      </c>
      <c r="AF268" s="99" t="s">
        <v>3411</v>
      </c>
      <c r="AG268" s="124">
        <v>946</v>
      </c>
      <c r="AH268" s="99" t="s">
        <v>3413</v>
      </c>
      <c r="AI268" s="125">
        <v>100</v>
      </c>
      <c r="AJ268" s="99" t="s">
        <v>176</v>
      </c>
      <c r="AK268" s="99" t="s">
        <v>4078</v>
      </c>
      <c r="AL268" s="99" t="s">
        <v>3411</v>
      </c>
      <c r="AM268" s="99" t="s">
        <v>177</v>
      </c>
      <c r="AN268" s="99" t="s">
        <v>3411</v>
      </c>
      <c r="AO268" s="99" t="s">
        <v>403</v>
      </c>
      <c r="AP268" s="99" t="s">
        <v>2570</v>
      </c>
      <c r="AQ268" s="99" t="s">
        <v>3411</v>
      </c>
      <c r="AR268" s="99" t="s">
        <v>234</v>
      </c>
      <c r="AS268" s="99" t="s">
        <v>1139</v>
      </c>
      <c r="AT268" s="99" t="s">
        <v>1</v>
      </c>
      <c r="AU268" s="99" t="s">
        <v>179</v>
      </c>
      <c r="AV268" s="99" t="s">
        <v>3414</v>
      </c>
      <c r="AW268" s="99" t="s">
        <v>180</v>
      </c>
      <c r="AX268" s="99" t="s">
        <v>3420</v>
      </c>
      <c r="AY268" s="99" t="s">
        <v>252</v>
      </c>
      <c r="AZ268" s="99" t="s">
        <v>3416</v>
      </c>
      <c r="BA268" s="99" t="s">
        <v>4076</v>
      </c>
      <c r="BB268" s="99" t="s">
        <v>1136</v>
      </c>
      <c r="BC268" s="125">
        <v>58</v>
      </c>
      <c r="BD268" s="99" t="s">
        <v>3135</v>
      </c>
      <c r="BE268" s="99" t="s">
        <v>3136</v>
      </c>
    </row>
    <row r="269" spans="1:57" ht="12.95" customHeight="1">
      <c r="A269" s="124">
        <v>15</v>
      </c>
      <c r="B269" s="124">
        <v>902</v>
      </c>
      <c r="C269" s="99" t="s">
        <v>165</v>
      </c>
      <c r="D269" s="99" t="s">
        <v>1104</v>
      </c>
      <c r="E269" s="99" t="s">
        <v>2873</v>
      </c>
      <c r="F269" s="99" t="s">
        <v>1125</v>
      </c>
      <c r="G269" s="99" t="s">
        <v>3184</v>
      </c>
      <c r="H269" s="99" t="s">
        <v>1131</v>
      </c>
      <c r="I269" s="99" t="s">
        <v>1132</v>
      </c>
      <c r="J269" s="99" t="s">
        <v>1140</v>
      </c>
      <c r="K269" s="99" t="s">
        <v>1141</v>
      </c>
      <c r="L269" s="99" t="s">
        <v>1142</v>
      </c>
      <c r="M269" s="99" t="s">
        <v>1</v>
      </c>
      <c r="N269" s="99" t="s">
        <v>3454</v>
      </c>
      <c r="O269" s="99" t="s">
        <v>70</v>
      </c>
      <c r="P269" s="99" t="s">
        <v>3682</v>
      </c>
      <c r="Q269" s="99" t="s">
        <v>247</v>
      </c>
      <c r="R269" s="99" t="s">
        <v>3409</v>
      </c>
      <c r="S269" s="99" t="s">
        <v>2636</v>
      </c>
      <c r="T269" s="99" t="s">
        <v>48</v>
      </c>
      <c r="U269" s="99" t="s">
        <v>410</v>
      </c>
      <c r="V269" s="99" t="s">
        <v>411</v>
      </c>
      <c r="W269" s="99" t="s">
        <v>4080</v>
      </c>
      <c r="X269" s="99" t="s">
        <v>4081</v>
      </c>
      <c r="Y269" s="99" t="s">
        <v>4082</v>
      </c>
      <c r="Z269" s="99" t="s">
        <v>172</v>
      </c>
      <c r="AA269" s="99" t="s">
        <v>173</v>
      </c>
      <c r="AB269" s="99" t="s">
        <v>174</v>
      </c>
      <c r="AC269" s="99" t="s">
        <v>3411</v>
      </c>
      <c r="AD269" s="99" t="s">
        <v>175</v>
      </c>
      <c r="AE269" s="99" t="s">
        <v>3411</v>
      </c>
      <c r="AF269" s="99" t="s">
        <v>3411</v>
      </c>
      <c r="AG269" s="124">
        <v>692</v>
      </c>
      <c r="AH269" s="99" t="s">
        <v>3413</v>
      </c>
      <c r="AI269" s="125">
        <v>100</v>
      </c>
      <c r="AJ269" s="99" t="s">
        <v>176</v>
      </c>
      <c r="AK269" s="99" t="s">
        <v>4080</v>
      </c>
      <c r="AL269" s="99" t="s">
        <v>3411</v>
      </c>
      <c r="AM269" s="99" t="s">
        <v>177</v>
      </c>
      <c r="AN269" s="99" t="s">
        <v>3411</v>
      </c>
      <c r="AO269" s="99" t="s">
        <v>403</v>
      </c>
      <c r="AP269" s="99" t="s">
        <v>2570</v>
      </c>
      <c r="AQ269" s="99" t="s">
        <v>3411</v>
      </c>
      <c r="AR269" s="99" t="s">
        <v>207</v>
      </c>
      <c r="AS269" s="99" t="s">
        <v>1143</v>
      </c>
      <c r="AT269" s="99" t="s">
        <v>1</v>
      </c>
      <c r="AU269" s="99" t="s">
        <v>179</v>
      </c>
      <c r="AV269" s="99" t="s">
        <v>3414</v>
      </c>
      <c r="AW269" s="99" t="s">
        <v>180</v>
      </c>
      <c r="AX269" s="99" t="s">
        <v>3420</v>
      </c>
      <c r="AY269" s="99" t="s">
        <v>252</v>
      </c>
      <c r="AZ269" s="99" t="s">
        <v>3416</v>
      </c>
      <c r="BA269" s="99" t="s">
        <v>4076</v>
      </c>
      <c r="BB269" s="99" t="s">
        <v>1136</v>
      </c>
      <c r="BC269" s="125">
        <v>52</v>
      </c>
      <c r="BD269" s="99" t="s">
        <v>3135</v>
      </c>
      <c r="BE269" s="99" t="s">
        <v>3136</v>
      </c>
    </row>
    <row r="270" spans="1:57" ht="12.95" customHeight="1">
      <c r="A270" s="124">
        <v>15</v>
      </c>
      <c r="B270" s="124">
        <v>1600</v>
      </c>
      <c r="C270" s="99" t="s">
        <v>165</v>
      </c>
      <c r="D270" s="99" t="s">
        <v>1104</v>
      </c>
      <c r="E270" s="99" t="s">
        <v>2873</v>
      </c>
      <c r="F270" s="99" t="s">
        <v>1125</v>
      </c>
      <c r="G270" s="99" t="s">
        <v>3184</v>
      </c>
      <c r="H270" s="99" t="s">
        <v>1131</v>
      </c>
      <c r="I270" s="99" t="s">
        <v>1132</v>
      </c>
      <c r="J270" s="99" t="s">
        <v>1144</v>
      </c>
      <c r="K270" s="99" t="s">
        <v>1145</v>
      </c>
      <c r="L270" s="99" t="s">
        <v>1146</v>
      </c>
      <c r="M270" s="99" t="s">
        <v>1</v>
      </c>
      <c r="N270" s="99" t="s">
        <v>3454</v>
      </c>
      <c r="O270" s="99" t="s">
        <v>70</v>
      </c>
      <c r="P270" s="99" t="s">
        <v>3989</v>
      </c>
      <c r="Q270" s="99" t="s">
        <v>247</v>
      </c>
      <c r="R270" s="99" t="s">
        <v>3409</v>
      </c>
      <c r="S270" s="99" t="s">
        <v>2636</v>
      </c>
      <c r="T270" s="99" t="s">
        <v>48</v>
      </c>
      <c r="U270" s="99" t="s">
        <v>170</v>
      </c>
      <c r="V270" s="99" t="s">
        <v>171</v>
      </c>
      <c r="W270" s="99" t="s">
        <v>3716</v>
      </c>
      <c r="X270" s="99" t="s">
        <v>3716</v>
      </c>
      <c r="Y270" s="99" t="s">
        <v>4083</v>
      </c>
      <c r="Z270" s="99" t="s">
        <v>172</v>
      </c>
      <c r="AA270" s="99" t="s">
        <v>173</v>
      </c>
      <c r="AB270" s="99" t="s">
        <v>174</v>
      </c>
      <c r="AC270" s="99" t="s">
        <v>3411</v>
      </c>
      <c r="AD270" s="99" t="s">
        <v>175</v>
      </c>
      <c r="AE270" s="99" t="s">
        <v>3411</v>
      </c>
      <c r="AF270" s="99" t="s">
        <v>3411</v>
      </c>
      <c r="AG270" s="124">
        <v>1269</v>
      </c>
      <c r="AH270" s="99" t="s">
        <v>3413</v>
      </c>
      <c r="AI270" s="125">
        <v>100</v>
      </c>
      <c r="AJ270" s="99" t="s">
        <v>176</v>
      </c>
      <c r="AK270" s="99" t="s">
        <v>3716</v>
      </c>
      <c r="AL270" s="99" t="s">
        <v>3411</v>
      </c>
      <c r="AM270" s="99" t="s">
        <v>177</v>
      </c>
      <c r="AN270" s="99" t="s">
        <v>3411</v>
      </c>
      <c r="AO270" s="99" t="s">
        <v>178</v>
      </c>
      <c r="AP270" s="99" t="s">
        <v>2570</v>
      </c>
      <c r="AQ270" s="99" t="s">
        <v>3411</v>
      </c>
      <c r="AR270" s="99" t="s">
        <v>242</v>
      </c>
      <c r="AS270" s="99" t="s">
        <v>1147</v>
      </c>
      <c r="AT270" s="99" t="s">
        <v>1</v>
      </c>
      <c r="AU270" s="99" t="s">
        <v>179</v>
      </c>
      <c r="AV270" s="99" t="s">
        <v>3414</v>
      </c>
      <c r="AW270" s="99" t="s">
        <v>180</v>
      </c>
      <c r="AX270" s="99" t="s">
        <v>3420</v>
      </c>
      <c r="AY270" s="99" t="s">
        <v>252</v>
      </c>
      <c r="AZ270" s="99" t="s">
        <v>3416</v>
      </c>
      <c r="BA270" s="99" t="s">
        <v>4076</v>
      </c>
      <c r="BB270" s="99" t="s">
        <v>1136</v>
      </c>
      <c r="BC270" s="125">
        <v>52</v>
      </c>
      <c r="BD270" s="99" t="s">
        <v>3135</v>
      </c>
      <c r="BE270" s="99" t="s">
        <v>3136</v>
      </c>
    </row>
    <row r="271" spans="1:57" ht="12.95" customHeight="1">
      <c r="A271" s="124">
        <v>15</v>
      </c>
      <c r="B271" s="124">
        <v>2100</v>
      </c>
      <c r="C271" s="99" t="s">
        <v>165</v>
      </c>
      <c r="D271" s="99" t="s">
        <v>1104</v>
      </c>
      <c r="E271" s="99" t="s">
        <v>2873</v>
      </c>
      <c r="F271" s="99" t="s">
        <v>1125</v>
      </c>
      <c r="G271" s="99" t="s">
        <v>3184</v>
      </c>
      <c r="H271" s="99" t="s">
        <v>1131</v>
      </c>
      <c r="I271" s="99" t="s">
        <v>1132</v>
      </c>
      <c r="J271" s="99" t="s">
        <v>1148</v>
      </c>
      <c r="K271" s="99" t="s">
        <v>1149</v>
      </c>
      <c r="L271" s="99" t="s">
        <v>1150</v>
      </c>
      <c r="M271" s="99" t="s">
        <v>1</v>
      </c>
      <c r="N271" s="99" t="s">
        <v>3454</v>
      </c>
      <c r="O271" s="99" t="s">
        <v>70</v>
      </c>
      <c r="P271" s="99" t="s">
        <v>3682</v>
      </c>
      <c r="Q271" s="99" t="s">
        <v>247</v>
      </c>
      <c r="R271" s="99" t="s">
        <v>3409</v>
      </c>
      <c r="S271" s="99" t="s">
        <v>2636</v>
      </c>
      <c r="T271" s="99" t="s">
        <v>52</v>
      </c>
      <c r="U271" s="99" t="s">
        <v>427</v>
      </c>
      <c r="V271" s="99" t="s">
        <v>428</v>
      </c>
      <c r="W271" s="99" t="s">
        <v>3467</v>
      </c>
      <c r="X271" s="99" t="s">
        <v>3467</v>
      </c>
      <c r="Y271" s="99" t="s">
        <v>4084</v>
      </c>
      <c r="Z271" s="99" t="s">
        <v>172</v>
      </c>
      <c r="AA271" s="99" t="s">
        <v>173</v>
      </c>
      <c r="AB271" s="99" t="s">
        <v>174</v>
      </c>
      <c r="AC271" s="99" t="s">
        <v>3411</v>
      </c>
      <c r="AD271" s="99" t="s">
        <v>175</v>
      </c>
      <c r="AE271" s="99" t="s">
        <v>3411</v>
      </c>
      <c r="AF271" s="99" t="s">
        <v>3411</v>
      </c>
      <c r="AG271" s="124">
        <v>1588</v>
      </c>
      <c r="AH271" s="99" t="s">
        <v>3413</v>
      </c>
      <c r="AI271" s="125">
        <v>100</v>
      </c>
      <c r="AJ271" s="99" t="s">
        <v>176</v>
      </c>
      <c r="AK271" s="99" t="s">
        <v>3467</v>
      </c>
      <c r="AL271" s="99" t="s">
        <v>3411</v>
      </c>
      <c r="AM271" s="99" t="s">
        <v>177</v>
      </c>
      <c r="AN271" s="99" t="s">
        <v>3411</v>
      </c>
      <c r="AO271" s="99" t="s">
        <v>403</v>
      </c>
      <c r="AP271" s="99" t="s">
        <v>2570</v>
      </c>
      <c r="AQ271" s="99" t="s">
        <v>3411</v>
      </c>
      <c r="AR271" s="99" t="s">
        <v>207</v>
      </c>
      <c r="AS271" s="99" t="s">
        <v>1151</v>
      </c>
      <c r="AT271" s="99" t="s">
        <v>1</v>
      </c>
      <c r="AU271" s="99" t="s">
        <v>179</v>
      </c>
      <c r="AV271" s="99" t="s">
        <v>3414</v>
      </c>
      <c r="AW271" s="99" t="s">
        <v>180</v>
      </c>
      <c r="AX271" s="99" t="s">
        <v>3420</v>
      </c>
      <c r="AY271" s="99" t="s">
        <v>252</v>
      </c>
      <c r="AZ271" s="99" t="s">
        <v>3416</v>
      </c>
      <c r="BA271" s="99" t="s">
        <v>4074</v>
      </c>
      <c r="BB271" s="99" t="s">
        <v>1126</v>
      </c>
      <c r="BC271" s="125">
        <v>48</v>
      </c>
      <c r="BD271" s="99" t="s">
        <v>3135</v>
      </c>
      <c r="BE271" s="99" t="s">
        <v>3136</v>
      </c>
    </row>
    <row r="272" spans="1:57" ht="12.95" customHeight="1">
      <c r="A272" s="124">
        <v>15</v>
      </c>
      <c r="B272" s="124">
        <v>1875</v>
      </c>
      <c r="C272" s="99" t="s">
        <v>165</v>
      </c>
      <c r="D272" s="99" t="s">
        <v>1104</v>
      </c>
      <c r="E272" s="99" t="s">
        <v>2873</v>
      </c>
      <c r="F272" s="99" t="s">
        <v>1125</v>
      </c>
      <c r="G272" s="99" t="s">
        <v>3184</v>
      </c>
      <c r="H272" s="99" t="s">
        <v>1131</v>
      </c>
      <c r="I272" s="99" t="s">
        <v>1132</v>
      </c>
      <c r="J272" s="99" t="s">
        <v>813</v>
      </c>
      <c r="K272" s="99" t="s">
        <v>370</v>
      </c>
      <c r="L272" s="99" t="s">
        <v>814</v>
      </c>
      <c r="M272" s="99" t="s">
        <v>5</v>
      </c>
      <c r="N272" s="99" t="s">
        <v>3454</v>
      </c>
      <c r="O272" s="99" t="s">
        <v>70</v>
      </c>
      <c r="P272" s="99" t="s">
        <v>4085</v>
      </c>
      <c r="Q272" s="99" t="s">
        <v>247</v>
      </c>
      <c r="R272" s="99" t="s">
        <v>3409</v>
      </c>
      <c r="S272" s="99" t="s">
        <v>2636</v>
      </c>
      <c r="T272" s="99" t="s">
        <v>48</v>
      </c>
      <c r="U272" s="99" t="s">
        <v>170</v>
      </c>
      <c r="V272" s="99" t="s">
        <v>171</v>
      </c>
      <c r="W272" s="99" t="s">
        <v>4086</v>
      </c>
      <c r="X272" s="99" t="s">
        <v>4086</v>
      </c>
      <c r="Y272" s="99" t="s">
        <v>4087</v>
      </c>
      <c r="Z272" s="99" t="s">
        <v>172</v>
      </c>
      <c r="AA272" s="99" t="s">
        <v>173</v>
      </c>
      <c r="AB272" s="99" t="s">
        <v>174</v>
      </c>
      <c r="AC272" s="99" t="s">
        <v>3411</v>
      </c>
      <c r="AD272" s="99" t="s">
        <v>175</v>
      </c>
      <c r="AE272" s="99" t="s">
        <v>3411</v>
      </c>
      <c r="AF272" s="99" t="s">
        <v>3411</v>
      </c>
      <c r="AG272" s="124">
        <v>1484</v>
      </c>
      <c r="AH272" s="99" t="s">
        <v>3413</v>
      </c>
      <c r="AI272" s="125">
        <v>100</v>
      </c>
      <c r="AJ272" s="99" t="s">
        <v>176</v>
      </c>
      <c r="AK272" s="99" t="s">
        <v>4086</v>
      </c>
      <c r="AL272" s="99" t="s">
        <v>3411</v>
      </c>
      <c r="AM272" s="99" t="s">
        <v>177</v>
      </c>
      <c r="AN272" s="99" t="s">
        <v>3411</v>
      </c>
      <c r="AO272" s="99" t="s">
        <v>403</v>
      </c>
      <c r="AP272" s="99" t="s">
        <v>2570</v>
      </c>
      <c r="AQ272" s="99" t="s">
        <v>3411</v>
      </c>
      <c r="AR272" s="99" t="s">
        <v>234</v>
      </c>
      <c r="AS272" s="99" t="s">
        <v>815</v>
      </c>
      <c r="AT272" s="99" t="s">
        <v>1</v>
      </c>
      <c r="AU272" s="99" t="s">
        <v>179</v>
      </c>
      <c r="AV272" s="99" t="s">
        <v>3414</v>
      </c>
      <c r="AW272" s="99" t="s">
        <v>180</v>
      </c>
      <c r="AX272" s="99" t="s">
        <v>3420</v>
      </c>
      <c r="AY272" s="99" t="s">
        <v>252</v>
      </c>
      <c r="AZ272" s="99" t="s">
        <v>3416</v>
      </c>
      <c r="BA272" s="99" t="s">
        <v>4076</v>
      </c>
      <c r="BB272" s="99" t="s">
        <v>1136</v>
      </c>
      <c r="BC272" s="125">
        <v>49</v>
      </c>
      <c r="BD272" s="99" t="s">
        <v>3135</v>
      </c>
      <c r="BE272" s="99" t="s">
        <v>3136</v>
      </c>
    </row>
    <row r="273" spans="1:57" ht="12.95" customHeight="1">
      <c r="A273" s="124">
        <v>15</v>
      </c>
      <c r="B273" s="124">
        <v>1323</v>
      </c>
      <c r="C273" s="99" t="s">
        <v>165</v>
      </c>
      <c r="D273" s="99" t="s">
        <v>1104</v>
      </c>
      <c r="E273" s="99" t="s">
        <v>2873</v>
      </c>
      <c r="F273" s="99" t="s">
        <v>1125</v>
      </c>
      <c r="G273" s="99" t="s">
        <v>3184</v>
      </c>
      <c r="H273" s="99" t="s">
        <v>1131</v>
      </c>
      <c r="I273" s="99" t="s">
        <v>1132</v>
      </c>
      <c r="J273" s="99" t="s">
        <v>1152</v>
      </c>
      <c r="K273" s="99" t="s">
        <v>1153</v>
      </c>
      <c r="L273" s="99" t="s">
        <v>1154</v>
      </c>
      <c r="M273" s="99" t="s">
        <v>1</v>
      </c>
      <c r="N273" s="99" t="s">
        <v>3454</v>
      </c>
      <c r="O273" s="99" t="s">
        <v>70</v>
      </c>
      <c r="P273" s="99" t="s">
        <v>3682</v>
      </c>
      <c r="Q273" s="99" t="s">
        <v>247</v>
      </c>
      <c r="R273" s="99" t="s">
        <v>3409</v>
      </c>
      <c r="S273" s="99" t="s">
        <v>2636</v>
      </c>
      <c r="T273" s="99" t="s">
        <v>48</v>
      </c>
      <c r="U273" s="99" t="s">
        <v>410</v>
      </c>
      <c r="V273" s="99" t="s">
        <v>411</v>
      </c>
      <c r="W273" s="99" t="s">
        <v>3912</v>
      </c>
      <c r="X273" s="99" t="s">
        <v>3912</v>
      </c>
      <c r="Y273" s="99" t="s">
        <v>4088</v>
      </c>
      <c r="Z273" s="99" t="s">
        <v>172</v>
      </c>
      <c r="AA273" s="99" t="s">
        <v>173</v>
      </c>
      <c r="AB273" s="99" t="s">
        <v>174</v>
      </c>
      <c r="AC273" s="99" t="s">
        <v>3411</v>
      </c>
      <c r="AD273" s="99" t="s">
        <v>175</v>
      </c>
      <c r="AE273" s="99" t="s">
        <v>3411</v>
      </c>
      <c r="AF273" s="99" t="s">
        <v>3411</v>
      </c>
      <c r="AG273" s="124">
        <v>1050</v>
      </c>
      <c r="AH273" s="99" t="s">
        <v>3413</v>
      </c>
      <c r="AI273" s="125">
        <v>100</v>
      </c>
      <c r="AJ273" s="99" t="s">
        <v>176</v>
      </c>
      <c r="AK273" s="99" t="s">
        <v>3912</v>
      </c>
      <c r="AL273" s="99" t="s">
        <v>3411</v>
      </c>
      <c r="AM273" s="99" t="s">
        <v>4064</v>
      </c>
      <c r="AN273" s="99" t="s">
        <v>547</v>
      </c>
      <c r="AO273" s="99" t="s">
        <v>403</v>
      </c>
      <c r="AP273" s="99" t="s">
        <v>2570</v>
      </c>
      <c r="AQ273" s="99" t="s">
        <v>3411</v>
      </c>
      <c r="AR273" s="99" t="s">
        <v>207</v>
      </c>
      <c r="AS273" s="99" t="s">
        <v>1155</v>
      </c>
      <c r="AT273" s="99" t="s">
        <v>1</v>
      </c>
      <c r="AU273" s="99" t="s">
        <v>179</v>
      </c>
      <c r="AV273" s="99" t="s">
        <v>3414</v>
      </c>
      <c r="AW273" s="99" t="s">
        <v>180</v>
      </c>
      <c r="AX273" s="99" t="s">
        <v>3420</v>
      </c>
      <c r="AY273" s="99" t="s">
        <v>252</v>
      </c>
      <c r="AZ273" s="99" t="s">
        <v>3416</v>
      </c>
      <c r="BA273" s="99" t="s">
        <v>4076</v>
      </c>
      <c r="BB273" s="99" t="s">
        <v>1136</v>
      </c>
      <c r="BC273" s="125">
        <v>61</v>
      </c>
      <c r="BD273" s="99" t="s">
        <v>3135</v>
      </c>
      <c r="BE273" s="99" t="s">
        <v>3136</v>
      </c>
    </row>
    <row r="274" spans="1:57" ht="12.95" customHeight="1">
      <c r="A274" s="124">
        <v>15</v>
      </c>
      <c r="B274" s="124">
        <v>2843</v>
      </c>
      <c r="C274" s="99" t="s">
        <v>165</v>
      </c>
      <c r="D274" s="99" t="s">
        <v>1104</v>
      </c>
      <c r="E274" s="99" t="s">
        <v>2873</v>
      </c>
      <c r="F274" s="99" t="s">
        <v>1125</v>
      </c>
      <c r="G274" s="99" t="s">
        <v>3184</v>
      </c>
      <c r="H274" s="99" t="s">
        <v>1131</v>
      </c>
      <c r="I274" s="99" t="s">
        <v>1132</v>
      </c>
      <c r="J274" s="99" t="s">
        <v>1156</v>
      </c>
      <c r="K274" s="99" t="s">
        <v>271</v>
      </c>
      <c r="L274" s="99" t="s">
        <v>1157</v>
      </c>
      <c r="M274" s="99" t="s">
        <v>1</v>
      </c>
      <c r="N274" s="99" t="s">
        <v>3454</v>
      </c>
      <c r="O274" s="99" t="s">
        <v>70</v>
      </c>
      <c r="P274" s="99" t="s">
        <v>3682</v>
      </c>
      <c r="Q274" s="99" t="s">
        <v>247</v>
      </c>
      <c r="R274" s="99" t="s">
        <v>3409</v>
      </c>
      <c r="S274" s="99" t="s">
        <v>2636</v>
      </c>
      <c r="T274" s="99" t="s">
        <v>48</v>
      </c>
      <c r="U274" s="99" t="s">
        <v>440</v>
      </c>
      <c r="V274" s="99" t="s">
        <v>441</v>
      </c>
      <c r="W274" s="99" t="s">
        <v>3898</v>
      </c>
      <c r="X274" s="99" t="s">
        <v>3898</v>
      </c>
      <c r="Y274" s="99" t="s">
        <v>4089</v>
      </c>
      <c r="Z274" s="99" t="s">
        <v>172</v>
      </c>
      <c r="AA274" s="99" t="s">
        <v>173</v>
      </c>
      <c r="AB274" s="99" t="s">
        <v>174</v>
      </c>
      <c r="AC274" s="99" t="s">
        <v>3411</v>
      </c>
      <c r="AD274" s="99" t="s">
        <v>175</v>
      </c>
      <c r="AE274" s="99" t="s">
        <v>3411</v>
      </c>
      <c r="AF274" s="99" t="s">
        <v>3411</v>
      </c>
      <c r="AG274" s="124">
        <v>2843</v>
      </c>
      <c r="AH274" s="99" t="s">
        <v>3413</v>
      </c>
      <c r="AI274" s="125">
        <v>100</v>
      </c>
      <c r="AJ274" s="99" t="s">
        <v>176</v>
      </c>
      <c r="AK274" s="99" t="s">
        <v>3898</v>
      </c>
      <c r="AL274" s="99" t="s">
        <v>3411</v>
      </c>
      <c r="AM274" s="99" t="s">
        <v>177</v>
      </c>
      <c r="AN274" s="99" t="s">
        <v>3411</v>
      </c>
      <c r="AO274" s="99" t="s">
        <v>178</v>
      </c>
      <c r="AP274" s="99" t="s">
        <v>2570</v>
      </c>
      <c r="AQ274" s="99" t="s">
        <v>3411</v>
      </c>
      <c r="AR274" s="99" t="s">
        <v>207</v>
      </c>
      <c r="AS274" s="99" t="s">
        <v>1158</v>
      </c>
      <c r="AT274" s="99" t="s">
        <v>1</v>
      </c>
      <c r="AU274" s="99" t="s">
        <v>179</v>
      </c>
      <c r="AV274" s="99" t="s">
        <v>3414</v>
      </c>
      <c r="AW274" s="99" t="s">
        <v>180</v>
      </c>
      <c r="AX274" s="99" t="s">
        <v>3420</v>
      </c>
      <c r="AY274" s="99" t="s">
        <v>252</v>
      </c>
      <c r="AZ274" s="99" t="s">
        <v>3416</v>
      </c>
      <c r="BA274" s="99" t="s">
        <v>4076</v>
      </c>
      <c r="BB274" s="99" t="s">
        <v>1136</v>
      </c>
      <c r="BC274" s="125">
        <v>40</v>
      </c>
      <c r="BD274" s="99" t="s">
        <v>3135</v>
      </c>
      <c r="BE274" s="99" t="s">
        <v>3136</v>
      </c>
    </row>
    <row r="275" spans="1:57" ht="12.95" customHeight="1">
      <c r="A275" s="124">
        <v>15</v>
      </c>
      <c r="B275" s="124">
        <v>2286</v>
      </c>
      <c r="C275" s="99" t="s">
        <v>165</v>
      </c>
      <c r="D275" s="99" t="s">
        <v>1104</v>
      </c>
      <c r="E275" s="99" t="s">
        <v>2873</v>
      </c>
      <c r="F275" s="99" t="s">
        <v>1125</v>
      </c>
      <c r="G275" s="99" t="s">
        <v>3184</v>
      </c>
      <c r="H275" s="99" t="s">
        <v>1131</v>
      </c>
      <c r="I275" s="99" t="s">
        <v>1132</v>
      </c>
      <c r="J275" s="99" t="s">
        <v>1159</v>
      </c>
      <c r="K275" s="99" t="s">
        <v>967</v>
      </c>
      <c r="L275" s="99" t="s">
        <v>1160</v>
      </c>
      <c r="M275" s="99" t="s">
        <v>1</v>
      </c>
      <c r="N275" s="99" t="s">
        <v>3454</v>
      </c>
      <c r="O275" s="99" t="s">
        <v>70</v>
      </c>
      <c r="P275" s="99" t="s">
        <v>3682</v>
      </c>
      <c r="Q275" s="99" t="s">
        <v>247</v>
      </c>
      <c r="R275" s="99" t="s">
        <v>3409</v>
      </c>
      <c r="S275" s="99" t="s">
        <v>2636</v>
      </c>
      <c r="T275" s="99" t="s">
        <v>48</v>
      </c>
      <c r="U275" s="99" t="s">
        <v>170</v>
      </c>
      <c r="V275" s="99" t="s">
        <v>171</v>
      </c>
      <c r="W275" s="99" t="s">
        <v>4090</v>
      </c>
      <c r="X275" s="99" t="s">
        <v>4090</v>
      </c>
      <c r="Y275" s="99" t="s">
        <v>4091</v>
      </c>
      <c r="Z275" s="99" t="s">
        <v>172</v>
      </c>
      <c r="AA275" s="99" t="s">
        <v>173</v>
      </c>
      <c r="AB275" s="99" t="s">
        <v>174</v>
      </c>
      <c r="AC275" s="99" t="s">
        <v>3411</v>
      </c>
      <c r="AD275" s="99" t="s">
        <v>175</v>
      </c>
      <c r="AE275" s="99" t="s">
        <v>3411</v>
      </c>
      <c r="AF275" s="99" t="s">
        <v>3411</v>
      </c>
      <c r="AG275" s="124">
        <v>1711</v>
      </c>
      <c r="AH275" s="99" t="s">
        <v>3413</v>
      </c>
      <c r="AI275" s="125">
        <v>100</v>
      </c>
      <c r="AJ275" s="99" t="s">
        <v>176</v>
      </c>
      <c r="AK275" s="99" t="s">
        <v>4090</v>
      </c>
      <c r="AL275" s="99" t="s">
        <v>3411</v>
      </c>
      <c r="AM275" s="99" t="s">
        <v>177</v>
      </c>
      <c r="AN275" s="99" t="s">
        <v>3411</v>
      </c>
      <c r="AO275" s="99" t="s">
        <v>403</v>
      </c>
      <c r="AP275" s="99" t="s">
        <v>2570</v>
      </c>
      <c r="AQ275" s="99" t="s">
        <v>3411</v>
      </c>
      <c r="AR275" s="99" t="s">
        <v>207</v>
      </c>
      <c r="AS275" s="99" t="s">
        <v>1161</v>
      </c>
      <c r="AT275" s="99" t="s">
        <v>1</v>
      </c>
      <c r="AU275" s="99" t="s">
        <v>179</v>
      </c>
      <c r="AV275" s="99" t="s">
        <v>3414</v>
      </c>
      <c r="AW275" s="99" t="s">
        <v>180</v>
      </c>
      <c r="AX275" s="99" t="s">
        <v>3420</v>
      </c>
      <c r="AY275" s="99" t="s">
        <v>252</v>
      </c>
      <c r="AZ275" s="99" t="s">
        <v>3416</v>
      </c>
      <c r="BA275" s="99" t="s">
        <v>4076</v>
      </c>
      <c r="BB275" s="99" t="s">
        <v>1136</v>
      </c>
      <c r="BC275" s="125">
        <v>51</v>
      </c>
      <c r="BD275" s="99" t="s">
        <v>3135</v>
      </c>
      <c r="BE275" s="99" t="s">
        <v>3136</v>
      </c>
    </row>
    <row r="276" spans="1:57" ht="12.95" customHeight="1">
      <c r="A276" s="124">
        <v>15</v>
      </c>
      <c r="B276" s="124">
        <v>2968</v>
      </c>
      <c r="C276" s="99" t="s">
        <v>165</v>
      </c>
      <c r="D276" s="99" t="s">
        <v>1104</v>
      </c>
      <c r="E276" s="99" t="s">
        <v>2873</v>
      </c>
      <c r="F276" s="99" t="s">
        <v>1162</v>
      </c>
      <c r="G276" s="99" t="s">
        <v>1163</v>
      </c>
      <c r="H276" s="99" t="s">
        <v>4092</v>
      </c>
      <c r="I276" s="99" t="s">
        <v>3231</v>
      </c>
      <c r="J276" s="99" t="s">
        <v>1038</v>
      </c>
      <c r="K276" s="99" t="s">
        <v>671</v>
      </c>
      <c r="L276" s="99" t="s">
        <v>1164</v>
      </c>
      <c r="M276" s="99" t="s">
        <v>5</v>
      </c>
      <c r="N276" s="99" t="s">
        <v>3407</v>
      </c>
      <c r="O276" s="99" t="s">
        <v>114</v>
      </c>
      <c r="P276" s="99" t="s">
        <v>3422</v>
      </c>
      <c r="Q276" s="99" t="s">
        <v>169</v>
      </c>
      <c r="R276" s="99" t="s">
        <v>3427</v>
      </c>
      <c r="S276" s="99" t="s">
        <v>2635</v>
      </c>
      <c r="T276" s="99" t="s">
        <v>58</v>
      </c>
      <c r="U276" s="99" t="s">
        <v>187</v>
      </c>
      <c r="V276" s="99" t="s">
        <v>188</v>
      </c>
      <c r="W276" s="99" t="s">
        <v>4093</v>
      </c>
      <c r="X276" s="99" t="s">
        <v>4093</v>
      </c>
      <c r="Y276" s="99" t="s">
        <v>4094</v>
      </c>
      <c r="Z276" s="99" t="s">
        <v>172</v>
      </c>
      <c r="AA276" s="99" t="s">
        <v>173</v>
      </c>
      <c r="AB276" s="99" t="s">
        <v>174</v>
      </c>
      <c r="AC276" s="99" t="s">
        <v>3411</v>
      </c>
      <c r="AD276" s="99" t="s">
        <v>175</v>
      </c>
      <c r="AE276" s="99" t="s">
        <v>3411</v>
      </c>
      <c r="AF276" s="99" t="s">
        <v>3411</v>
      </c>
      <c r="AG276" s="124">
        <v>2968</v>
      </c>
      <c r="AH276" s="99" t="s">
        <v>3413</v>
      </c>
      <c r="AI276" s="125">
        <v>100</v>
      </c>
      <c r="AJ276" s="99" t="s">
        <v>176</v>
      </c>
      <c r="AK276" s="99" t="s">
        <v>4093</v>
      </c>
      <c r="AL276" s="99" t="s">
        <v>3411</v>
      </c>
      <c r="AM276" s="99" t="s">
        <v>177</v>
      </c>
      <c r="AN276" s="99" t="s">
        <v>3411</v>
      </c>
      <c r="AO276" s="99" t="s">
        <v>189</v>
      </c>
      <c r="AP276" s="99" t="s">
        <v>2570</v>
      </c>
      <c r="AQ276" s="99" t="s">
        <v>3411</v>
      </c>
      <c r="AR276" s="99" t="s">
        <v>3411</v>
      </c>
      <c r="AS276" s="99" t="s">
        <v>1165</v>
      </c>
      <c r="AT276" s="99" t="s">
        <v>190</v>
      </c>
      <c r="AU276" s="99" t="s">
        <v>191</v>
      </c>
      <c r="AV276" s="99" t="s">
        <v>3414</v>
      </c>
      <c r="AW276" s="99" t="s">
        <v>180</v>
      </c>
      <c r="AX276" s="99" t="s">
        <v>3420</v>
      </c>
      <c r="AY276" s="99" t="s">
        <v>252</v>
      </c>
      <c r="AZ276" s="99" t="s">
        <v>3430</v>
      </c>
      <c r="BA276" s="99" t="s">
        <v>4033</v>
      </c>
      <c r="BB276" s="99" t="s">
        <v>1110</v>
      </c>
      <c r="BC276" s="125">
        <v>60</v>
      </c>
      <c r="BD276" s="99" t="s">
        <v>3135</v>
      </c>
      <c r="BE276" s="99" t="s">
        <v>3136</v>
      </c>
    </row>
    <row r="277" spans="1:57" ht="12.95" customHeight="1">
      <c r="A277" s="124">
        <v>15</v>
      </c>
      <c r="B277" s="124">
        <v>3063</v>
      </c>
      <c r="C277" s="99" t="s">
        <v>165</v>
      </c>
      <c r="D277" s="99" t="s">
        <v>1104</v>
      </c>
      <c r="E277" s="99" t="s">
        <v>2873</v>
      </c>
      <c r="F277" s="99" t="s">
        <v>1162</v>
      </c>
      <c r="G277" s="99" t="s">
        <v>1163</v>
      </c>
      <c r="H277" s="99" t="s">
        <v>4092</v>
      </c>
      <c r="I277" s="99" t="s">
        <v>3231</v>
      </c>
      <c r="J277" s="99" t="s">
        <v>2811</v>
      </c>
      <c r="K277" s="99" t="s">
        <v>393</v>
      </c>
      <c r="L277" s="99" t="s">
        <v>2812</v>
      </c>
      <c r="M277" s="99" t="s">
        <v>1</v>
      </c>
      <c r="N277" s="99" t="s">
        <v>3407</v>
      </c>
      <c r="O277" s="99" t="s">
        <v>114</v>
      </c>
      <c r="P277" s="99" t="s">
        <v>4095</v>
      </c>
      <c r="Q277" s="99" t="s">
        <v>169</v>
      </c>
      <c r="R277" s="99" t="s">
        <v>3409</v>
      </c>
      <c r="S277" s="99" t="s">
        <v>2636</v>
      </c>
      <c r="T277" s="99" t="s">
        <v>48</v>
      </c>
      <c r="U277" s="99" t="s">
        <v>170</v>
      </c>
      <c r="V277" s="99" t="s">
        <v>171</v>
      </c>
      <c r="W277" s="99" t="s">
        <v>4095</v>
      </c>
      <c r="X277" s="99" t="s">
        <v>4095</v>
      </c>
      <c r="Y277" s="99" t="s">
        <v>4096</v>
      </c>
      <c r="Z277" s="99" t="s">
        <v>172</v>
      </c>
      <c r="AA277" s="99" t="s">
        <v>173</v>
      </c>
      <c r="AB277" s="99" t="s">
        <v>174</v>
      </c>
      <c r="AC277" s="99" t="s">
        <v>3411</v>
      </c>
      <c r="AD277" s="99" t="s">
        <v>175</v>
      </c>
      <c r="AE277" s="99" t="s">
        <v>3411</v>
      </c>
      <c r="AF277" s="99" t="s">
        <v>3411</v>
      </c>
      <c r="AG277" s="124">
        <v>3063</v>
      </c>
      <c r="AH277" s="99" t="s">
        <v>3413</v>
      </c>
      <c r="AI277" s="125">
        <v>100</v>
      </c>
      <c r="AJ277" s="99" t="s">
        <v>176</v>
      </c>
      <c r="AK277" s="99" t="s">
        <v>4095</v>
      </c>
      <c r="AL277" s="99" t="s">
        <v>3411</v>
      </c>
      <c r="AM277" s="99" t="s">
        <v>177</v>
      </c>
      <c r="AN277" s="99" t="s">
        <v>3411</v>
      </c>
      <c r="AO277" s="99" t="s">
        <v>412</v>
      </c>
      <c r="AP277" s="99" t="s">
        <v>2570</v>
      </c>
      <c r="AQ277" s="99" t="s">
        <v>3411</v>
      </c>
      <c r="AR277" s="99" t="s">
        <v>3411</v>
      </c>
      <c r="AS277" s="99" t="s">
        <v>2850</v>
      </c>
      <c r="AT277" s="99" t="s">
        <v>1</v>
      </c>
      <c r="AU277" s="99" t="s">
        <v>179</v>
      </c>
      <c r="AV277" s="99" t="s">
        <v>3414</v>
      </c>
      <c r="AW277" s="99" t="s">
        <v>180</v>
      </c>
      <c r="AX277" s="99" t="s">
        <v>3481</v>
      </c>
      <c r="AY277" s="99" t="s">
        <v>252</v>
      </c>
      <c r="AZ277" s="99" t="s">
        <v>3708</v>
      </c>
      <c r="BA277" s="99" t="s">
        <v>4097</v>
      </c>
      <c r="BB277" s="99" t="s">
        <v>3106</v>
      </c>
      <c r="BC277" s="125">
        <v>34</v>
      </c>
      <c r="BD277" s="99" t="s">
        <v>3135</v>
      </c>
      <c r="BE277" s="99" t="s">
        <v>3136</v>
      </c>
    </row>
    <row r="278" spans="1:57" ht="12.95" customHeight="1">
      <c r="A278" s="124">
        <v>15</v>
      </c>
      <c r="B278" s="124">
        <v>3155</v>
      </c>
      <c r="C278" s="99" t="s">
        <v>165</v>
      </c>
      <c r="D278" s="99" t="s">
        <v>1104</v>
      </c>
      <c r="E278" s="99" t="s">
        <v>2873</v>
      </c>
      <c r="F278" s="99" t="s">
        <v>1162</v>
      </c>
      <c r="G278" s="99" t="s">
        <v>1163</v>
      </c>
      <c r="H278" s="99" t="s">
        <v>4092</v>
      </c>
      <c r="I278" s="99" t="s">
        <v>3231</v>
      </c>
      <c r="J278" s="99" t="s">
        <v>3312</v>
      </c>
      <c r="K278" s="99" t="s">
        <v>668</v>
      </c>
      <c r="L278" s="99" t="s">
        <v>3313</v>
      </c>
      <c r="M278" s="99" t="s">
        <v>1</v>
      </c>
      <c r="N278" s="99" t="s">
        <v>3407</v>
      </c>
      <c r="O278" s="99" t="s">
        <v>114</v>
      </c>
      <c r="P278" s="99" t="s">
        <v>3420</v>
      </c>
      <c r="Q278" s="99" t="s">
        <v>169</v>
      </c>
      <c r="R278" s="99" t="s">
        <v>3409</v>
      </c>
      <c r="S278" s="99" t="s">
        <v>2636</v>
      </c>
      <c r="T278" s="99" t="s">
        <v>48</v>
      </c>
      <c r="U278" s="99" t="s">
        <v>410</v>
      </c>
      <c r="V278" s="99" t="s">
        <v>411</v>
      </c>
      <c r="W278" s="99" t="s">
        <v>3420</v>
      </c>
      <c r="X278" s="99" t="s">
        <v>3420</v>
      </c>
      <c r="Y278" s="99" t="s">
        <v>4098</v>
      </c>
      <c r="Z278" s="99" t="s">
        <v>172</v>
      </c>
      <c r="AA278" s="99" t="s">
        <v>173</v>
      </c>
      <c r="AB278" s="99" t="s">
        <v>174</v>
      </c>
      <c r="AC278" s="99" t="s">
        <v>3411</v>
      </c>
      <c r="AD278" s="99" t="s">
        <v>175</v>
      </c>
      <c r="AE278" s="99" t="s">
        <v>3411</v>
      </c>
      <c r="AF278" s="99" t="s">
        <v>3411</v>
      </c>
      <c r="AG278" s="124">
        <v>3155</v>
      </c>
      <c r="AH278" s="99" t="s">
        <v>3413</v>
      </c>
      <c r="AI278" s="125">
        <v>100</v>
      </c>
      <c r="AJ278" s="99" t="s">
        <v>176</v>
      </c>
      <c r="AK278" s="99" t="s">
        <v>3420</v>
      </c>
      <c r="AL278" s="99" t="s">
        <v>3411</v>
      </c>
      <c r="AM278" s="99" t="s">
        <v>177</v>
      </c>
      <c r="AN278" s="99" t="s">
        <v>3411</v>
      </c>
      <c r="AO278" s="99" t="s">
        <v>412</v>
      </c>
      <c r="AP278" s="99" t="s">
        <v>2570</v>
      </c>
      <c r="AQ278" s="99" t="s">
        <v>3411</v>
      </c>
      <c r="AR278" s="99" t="s">
        <v>3411</v>
      </c>
      <c r="AS278" s="99" t="s">
        <v>3314</v>
      </c>
      <c r="AT278" s="99" t="s">
        <v>1</v>
      </c>
      <c r="AU278" s="99" t="s">
        <v>179</v>
      </c>
      <c r="AV278" s="99" t="s">
        <v>3414</v>
      </c>
      <c r="AW278" s="99" t="s">
        <v>180</v>
      </c>
      <c r="AX278" s="99" t="s">
        <v>3420</v>
      </c>
      <c r="AY278" s="99" t="s">
        <v>252</v>
      </c>
      <c r="AZ278" s="99" t="s">
        <v>3416</v>
      </c>
      <c r="BA278" s="99" t="s">
        <v>4097</v>
      </c>
      <c r="BB278" s="99" t="s">
        <v>3106</v>
      </c>
      <c r="BC278" s="125">
        <v>43</v>
      </c>
      <c r="BD278" s="99" t="s">
        <v>3135</v>
      </c>
      <c r="BE278" s="99" t="s">
        <v>3136</v>
      </c>
    </row>
    <row r="279" spans="1:57" ht="12.95" customHeight="1">
      <c r="A279" s="124">
        <v>15</v>
      </c>
      <c r="B279" s="124">
        <v>2990</v>
      </c>
      <c r="C279" s="99" t="s">
        <v>165</v>
      </c>
      <c r="D279" s="99" t="s">
        <v>1104</v>
      </c>
      <c r="E279" s="99" t="s">
        <v>2873</v>
      </c>
      <c r="F279" s="99" t="s">
        <v>1162</v>
      </c>
      <c r="G279" s="99" t="s">
        <v>1163</v>
      </c>
      <c r="H279" s="99" t="s">
        <v>4092</v>
      </c>
      <c r="I279" s="99" t="s">
        <v>3231</v>
      </c>
      <c r="J279" s="99" t="s">
        <v>1166</v>
      </c>
      <c r="K279" s="99" t="s">
        <v>1167</v>
      </c>
      <c r="L279" s="99" t="s">
        <v>1168</v>
      </c>
      <c r="M279" s="99" t="s">
        <v>1</v>
      </c>
      <c r="N279" s="99" t="s">
        <v>3407</v>
      </c>
      <c r="O279" s="99" t="s">
        <v>114</v>
      </c>
      <c r="P279" s="99" t="s">
        <v>3422</v>
      </c>
      <c r="Q279" s="99" t="s">
        <v>169</v>
      </c>
      <c r="R279" s="99" t="s">
        <v>3409</v>
      </c>
      <c r="S279" s="99" t="s">
        <v>2636</v>
      </c>
      <c r="T279" s="99" t="s">
        <v>52</v>
      </c>
      <c r="U279" s="99" t="s">
        <v>427</v>
      </c>
      <c r="V279" s="99" t="s">
        <v>428</v>
      </c>
      <c r="W279" s="99" t="s">
        <v>4070</v>
      </c>
      <c r="X279" s="99" t="s">
        <v>4070</v>
      </c>
      <c r="Y279" s="99" t="s">
        <v>4099</v>
      </c>
      <c r="Z279" s="99" t="s">
        <v>172</v>
      </c>
      <c r="AA279" s="99" t="s">
        <v>173</v>
      </c>
      <c r="AB279" s="99" t="s">
        <v>174</v>
      </c>
      <c r="AC279" s="99" t="s">
        <v>3411</v>
      </c>
      <c r="AD279" s="99" t="s">
        <v>175</v>
      </c>
      <c r="AE279" s="99" t="s">
        <v>3411</v>
      </c>
      <c r="AF279" s="99" t="s">
        <v>3411</v>
      </c>
      <c r="AG279" s="124">
        <v>2990</v>
      </c>
      <c r="AH279" s="99" t="s">
        <v>3413</v>
      </c>
      <c r="AI279" s="125">
        <v>100</v>
      </c>
      <c r="AJ279" s="99" t="s">
        <v>176</v>
      </c>
      <c r="AK279" s="99" t="s">
        <v>4070</v>
      </c>
      <c r="AL279" s="99" t="s">
        <v>3411</v>
      </c>
      <c r="AM279" s="99" t="s">
        <v>177</v>
      </c>
      <c r="AN279" s="99" t="s">
        <v>3411</v>
      </c>
      <c r="AO279" s="99" t="s">
        <v>178</v>
      </c>
      <c r="AP279" s="99" t="s">
        <v>2570</v>
      </c>
      <c r="AQ279" s="99" t="s">
        <v>3411</v>
      </c>
      <c r="AR279" s="99" t="s">
        <v>3411</v>
      </c>
      <c r="AS279" s="99" t="s">
        <v>1169</v>
      </c>
      <c r="AT279" s="99" t="s">
        <v>1</v>
      </c>
      <c r="AU279" s="99" t="s">
        <v>179</v>
      </c>
      <c r="AV279" s="99" t="s">
        <v>3414</v>
      </c>
      <c r="AW279" s="99" t="s">
        <v>180</v>
      </c>
      <c r="AX279" s="99" t="s">
        <v>3420</v>
      </c>
      <c r="AY279" s="99" t="s">
        <v>252</v>
      </c>
      <c r="AZ279" s="99" t="s">
        <v>3416</v>
      </c>
      <c r="BA279" s="99" t="s">
        <v>4100</v>
      </c>
      <c r="BB279" s="99" t="s">
        <v>1170</v>
      </c>
      <c r="BC279" s="125">
        <v>58</v>
      </c>
      <c r="BD279" s="99" t="s">
        <v>3135</v>
      </c>
      <c r="BE279" s="99" t="s">
        <v>3136</v>
      </c>
    </row>
    <row r="280" spans="1:57" ht="12.95" customHeight="1">
      <c r="A280" s="124">
        <v>15</v>
      </c>
      <c r="B280" s="124">
        <v>637</v>
      </c>
      <c r="C280" s="99" t="s">
        <v>165</v>
      </c>
      <c r="D280" s="99" t="s">
        <v>1104</v>
      </c>
      <c r="E280" s="99" t="s">
        <v>2873</v>
      </c>
      <c r="F280" s="99" t="s">
        <v>1162</v>
      </c>
      <c r="G280" s="99" t="s">
        <v>1163</v>
      </c>
      <c r="H280" s="99" t="s">
        <v>4101</v>
      </c>
      <c r="I280" s="99" t="s">
        <v>1171</v>
      </c>
      <c r="J280" s="99" t="s">
        <v>1172</v>
      </c>
      <c r="K280" s="99" t="s">
        <v>1173</v>
      </c>
      <c r="L280" s="99" t="s">
        <v>1174</v>
      </c>
      <c r="M280" s="99" t="s">
        <v>1</v>
      </c>
      <c r="N280" s="99" t="s">
        <v>3407</v>
      </c>
      <c r="O280" s="99" t="s">
        <v>114</v>
      </c>
      <c r="P280" s="99" t="s">
        <v>3422</v>
      </c>
      <c r="Q280" s="99" t="s">
        <v>169</v>
      </c>
      <c r="R280" s="99" t="s">
        <v>3409</v>
      </c>
      <c r="S280" s="99" t="s">
        <v>2636</v>
      </c>
      <c r="T280" s="99" t="s">
        <v>48</v>
      </c>
      <c r="U280" s="99" t="s">
        <v>170</v>
      </c>
      <c r="V280" s="99" t="s">
        <v>171</v>
      </c>
      <c r="W280" s="99" t="s">
        <v>4102</v>
      </c>
      <c r="X280" s="99" t="s">
        <v>4102</v>
      </c>
      <c r="Y280" s="99" t="s">
        <v>4103</v>
      </c>
      <c r="Z280" s="99" t="s">
        <v>172</v>
      </c>
      <c r="AA280" s="99" t="s">
        <v>173</v>
      </c>
      <c r="AB280" s="99" t="s">
        <v>174</v>
      </c>
      <c r="AC280" s="99" t="s">
        <v>3411</v>
      </c>
      <c r="AD280" s="99" t="s">
        <v>175</v>
      </c>
      <c r="AE280" s="99" t="s">
        <v>3411</v>
      </c>
      <c r="AF280" s="99" t="s">
        <v>3411</v>
      </c>
      <c r="AG280" s="124">
        <v>461</v>
      </c>
      <c r="AH280" s="99" t="s">
        <v>4104</v>
      </c>
      <c r="AI280" s="125">
        <v>80</v>
      </c>
      <c r="AJ280" s="99" t="s">
        <v>2887</v>
      </c>
      <c r="AK280" s="99" t="s">
        <v>3836</v>
      </c>
      <c r="AL280" s="99" t="s">
        <v>4105</v>
      </c>
      <c r="AM280" s="99" t="s">
        <v>177</v>
      </c>
      <c r="AN280" s="99" t="s">
        <v>3411</v>
      </c>
      <c r="AO280" s="99" t="s">
        <v>403</v>
      </c>
      <c r="AP280" s="99" t="s">
        <v>2570</v>
      </c>
      <c r="AQ280" s="99" t="s">
        <v>3411</v>
      </c>
      <c r="AR280" s="99" t="s">
        <v>3411</v>
      </c>
      <c r="AS280" s="99" t="s">
        <v>1175</v>
      </c>
      <c r="AT280" s="99" t="s">
        <v>1</v>
      </c>
      <c r="AU280" s="99" t="s">
        <v>179</v>
      </c>
      <c r="AV280" s="99" t="s">
        <v>3414</v>
      </c>
      <c r="AW280" s="99" t="s">
        <v>180</v>
      </c>
      <c r="AX280" s="99" t="s">
        <v>3420</v>
      </c>
      <c r="AY280" s="99" t="s">
        <v>252</v>
      </c>
      <c r="AZ280" s="99" t="s">
        <v>3416</v>
      </c>
      <c r="BA280" s="99" t="s">
        <v>4106</v>
      </c>
      <c r="BB280" s="99" t="s">
        <v>3019</v>
      </c>
      <c r="BC280" s="125">
        <v>61</v>
      </c>
      <c r="BD280" s="99" t="s">
        <v>3135</v>
      </c>
      <c r="BE280" s="99" t="s">
        <v>3136</v>
      </c>
    </row>
    <row r="281" spans="1:57" ht="12.95" customHeight="1">
      <c r="A281" s="124">
        <v>15</v>
      </c>
      <c r="B281" s="124">
        <v>792</v>
      </c>
      <c r="C281" s="99" t="s">
        <v>165</v>
      </c>
      <c r="D281" s="99" t="s">
        <v>1104</v>
      </c>
      <c r="E281" s="99" t="s">
        <v>2873</v>
      </c>
      <c r="F281" s="99" t="s">
        <v>1162</v>
      </c>
      <c r="G281" s="99" t="s">
        <v>1163</v>
      </c>
      <c r="H281" s="99" t="s">
        <v>4101</v>
      </c>
      <c r="I281" s="99" t="s">
        <v>1171</v>
      </c>
      <c r="J281" s="99" t="s">
        <v>1176</v>
      </c>
      <c r="K281" s="99" t="s">
        <v>1177</v>
      </c>
      <c r="L281" s="99" t="s">
        <v>1178</v>
      </c>
      <c r="M281" s="99" t="s">
        <v>1</v>
      </c>
      <c r="N281" s="99" t="s">
        <v>3407</v>
      </c>
      <c r="O281" s="99" t="s">
        <v>114</v>
      </c>
      <c r="P281" s="99" t="s">
        <v>3422</v>
      </c>
      <c r="Q281" s="99" t="s">
        <v>169</v>
      </c>
      <c r="R281" s="99" t="s">
        <v>3409</v>
      </c>
      <c r="S281" s="99" t="s">
        <v>2636</v>
      </c>
      <c r="T281" s="99" t="s">
        <v>48</v>
      </c>
      <c r="U281" s="99" t="s">
        <v>184</v>
      </c>
      <c r="V281" s="99" t="s">
        <v>185</v>
      </c>
      <c r="W281" s="99" t="s">
        <v>4107</v>
      </c>
      <c r="X281" s="99" t="s">
        <v>4107</v>
      </c>
      <c r="Y281" s="99" t="s">
        <v>4108</v>
      </c>
      <c r="Z281" s="99" t="s">
        <v>172</v>
      </c>
      <c r="AA281" s="99" t="s">
        <v>173</v>
      </c>
      <c r="AB281" s="99" t="s">
        <v>174</v>
      </c>
      <c r="AC281" s="99" t="s">
        <v>3411</v>
      </c>
      <c r="AD281" s="99" t="s">
        <v>175</v>
      </c>
      <c r="AE281" s="99" t="s">
        <v>3411</v>
      </c>
      <c r="AF281" s="99" t="s">
        <v>3411</v>
      </c>
      <c r="AG281" s="124">
        <v>596</v>
      </c>
      <c r="AH281" s="99" t="s">
        <v>3413</v>
      </c>
      <c r="AI281" s="125">
        <v>100</v>
      </c>
      <c r="AJ281" s="99" t="s">
        <v>176</v>
      </c>
      <c r="AK281" s="99" t="s">
        <v>4107</v>
      </c>
      <c r="AL281" s="99" t="s">
        <v>3411</v>
      </c>
      <c r="AM281" s="99" t="s">
        <v>177</v>
      </c>
      <c r="AN281" s="99" t="s">
        <v>3411</v>
      </c>
      <c r="AO281" s="99" t="s">
        <v>403</v>
      </c>
      <c r="AP281" s="99" t="s">
        <v>2570</v>
      </c>
      <c r="AQ281" s="99" t="s">
        <v>3411</v>
      </c>
      <c r="AR281" s="99" t="s">
        <v>3411</v>
      </c>
      <c r="AS281" s="99" t="s">
        <v>1179</v>
      </c>
      <c r="AT281" s="99" t="s">
        <v>1</v>
      </c>
      <c r="AU281" s="99" t="s">
        <v>179</v>
      </c>
      <c r="AV281" s="99" t="s">
        <v>3414</v>
      </c>
      <c r="AW281" s="99" t="s">
        <v>180</v>
      </c>
      <c r="AX281" s="99" t="s">
        <v>3420</v>
      </c>
      <c r="AY281" s="99" t="s">
        <v>252</v>
      </c>
      <c r="AZ281" s="99" t="s">
        <v>3416</v>
      </c>
      <c r="BA281" s="99" t="s">
        <v>4106</v>
      </c>
      <c r="BB281" s="99" t="s">
        <v>3019</v>
      </c>
      <c r="BC281" s="125">
        <v>61</v>
      </c>
      <c r="BD281" s="99" t="s">
        <v>3135</v>
      </c>
      <c r="BE281" s="99" t="s">
        <v>3136</v>
      </c>
    </row>
    <row r="282" spans="1:57" ht="12.95" customHeight="1">
      <c r="A282" s="124">
        <v>15</v>
      </c>
      <c r="B282" s="124">
        <v>3121</v>
      </c>
      <c r="C282" s="99" t="s">
        <v>165</v>
      </c>
      <c r="D282" s="99" t="s">
        <v>1104</v>
      </c>
      <c r="E282" s="99" t="s">
        <v>2873</v>
      </c>
      <c r="F282" s="99" t="s">
        <v>1162</v>
      </c>
      <c r="G282" s="99" t="s">
        <v>1163</v>
      </c>
      <c r="H282" s="99" t="s">
        <v>4101</v>
      </c>
      <c r="I282" s="99" t="s">
        <v>1171</v>
      </c>
      <c r="J282" s="99" t="s">
        <v>3098</v>
      </c>
      <c r="K282" s="99" t="s">
        <v>2497</v>
      </c>
      <c r="L282" s="99" t="s">
        <v>3099</v>
      </c>
      <c r="M282" s="99" t="s">
        <v>1</v>
      </c>
      <c r="N282" s="99" t="s">
        <v>3454</v>
      </c>
      <c r="O282" s="99" t="s">
        <v>70</v>
      </c>
      <c r="P282" s="99" t="s">
        <v>3646</v>
      </c>
      <c r="Q282" s="99" t="s">
        <v>247</v>
      </c>
      <c r="R282" s="99" t="s">
        <v>3409</v>
      </c>
      <c r="S282" s="99" t="s">
        <v>2636</v>
      </c>
      <c r="T282" s="99" t="s">
        <v>48</v>
      </c>
      <c r="U282" s="99" t="s">
        <v>170</v>
      </c>
      <c r="V282" s="99" t="s">
        <v>171</v>
      </c>
      <c r="W282" s="99" t="s">
        <v>3646</v>
      </c>
      <c r="X282" s="99" t="s">
        <v>3646</v>
      </c>
      <c r="Y282" s="99" t="s">
        <v>4109</v>
      </c>
      <c r="Z282" s="99" t="s">
        <v>172</v>
      </c>
      <c r="AA282" s="99" t="s">
        <v>173</v>
      </c>
      <c r="AB282" s="99" t="s">
        <v>174</v>
      </c>
      <c r="AC282" s="99" t="s">
        <v>3411</v>
      </c>
      <c r="AD282" s="99" t="s">
        <v>175</v>
      </c>
      <c r="AE282" s="99" t="s">
        <v>3411</v>
      </c>
      <c r="AF282" s="99" t="s">
        <v>3411</v>
      </c>
      <c r="AG282" s="124">
        <v>3121</v>
      </c>
      <c r="AH282" s="99" t="s">
        <v>3413</v>
      </c>
      <c r="AI282" s="125">
        <v>100</v>
      </c>
      <c r="AJ282" s="99" t="s">
        <v>176</v>
      </c>
      <c r="AK282" s="99" t="s">
        <v>3646</v>
      </c>
      <c r="AL282" s="99" t="s">
        <v>3411</v>
      </c>
      <c r="AM282" s="99" t="s">
        <v>177</v>
      </c>
      <c r="AN282" s="99" t="s">
        <v>3411</v>
      </c>
      <c r="AO282" s="99" t="s">
        <v>412</v>
      </c>
      <c r="AP282" s="99" t="s">
        <v>2570</v>
      </c>
      <c r="AQ282" s="99" t="s">
        <v>3411</v>
      </c>
      <c r="AR282" s="99" t="s">
        <v>3411</v>
      </c>
      <c r="AS282" s="99" t="s">
        <v>3100</v>
      </c>
      <c r="AT282" s="99" t="s">
        <v>1</v>
      </c>
      <c r="AU282" s="99" t="s">
        <v>179</v>
      </c>
      <c r="AV282" s="99" t="s">
        <v>3414</v>
      </c>
      <c r="AW282" s="99" t="s">
        <v>180</v>
      </c>
      <c r="AX282" s="99" t="s">
        <v>3420</v>
      </c>
      <c r="AY282" s="99" t="s">
        <v>252</v>
      </c>
      <c r="AZ282" s="99" t="s">
        <v>3416</v>
      </c>
      <c r="BA282" s="99" t="s">
        <v>4110</v>
      </c>
      <c r="BB282" s="99" t="s">
        <v>3020</v>
      </c>
      <c r="BC282" s="125">
        <v>31</v>
      </c>
      <c r="BD282" s="99" t="s">
        <v>3135</v>
      </c>
      <c r="BE282" s="99" t="s">
        <v>3136</v>
      </c>
    </row>
    <row r="283" spans="1:57" ht="12.95" customHeight="1">
      <c r="A283" s="124">
        <v>15</v>
      </c>
      <c r="B283" s="124">
        <v>1989</v>
      </c>
      <c r="C283" s="99" t="s">
        <v>165</v>
      </c>
      <c r="D283" s="99" t="s">
        <v>1104</v>
      </c>
      <c r="E283" s="99" t="s">
        <v>2873</v>
      </c>
      <c r="F283" s="99" t="s">
        <v>1162</v>
      </c>
      <c r="G283" s="99" t="s">
        <v>1163</v>
      </c>
      <c r="H283" s="99" t="s">
        <v>4101</v>
      </c>
      <c r="I283" s="99" t="s">
        <v>1171</v>
      </c>
      <c r="J283" s="99" t="s">
        <v>1181</v>
      </c>
      <c r="K283" s="99" t="s">
        <v>348</v>
      </c>
      <c r="L283" s="99" t="s">
        <v>1182</v>
      </c>
      <c r="M283" s="99" t="s">
        <v>5</v>
      </c>
      <c r="N283" s="99" t="s">
        <v>3454</v>
      </c>
      <c r="O283" s="99" t="s">
        <v>70</v>
      </c>
      <c r="P283" s="99" t="s">
        <v>4111</v>
      </c>
      <c r="Q283" s="99" t="s">
        <v>247</v>
      </c>
      <c r="R283" s="99" t="s">
        <v>3409</v>
      </c>
      <c r="S283" s="99" t="s">
        <v>2636</v>
      </c>
      <c r="T283" s="99" t="s">
        <v>48</v>
      </c>
      <c r="U283" s="99" t="s">
        <v>184</v>
      </c>
      <c r="V283" s="99" t="s">
        <v>185</v>
      </c>
      <c r="W283" s="99" t="s">
        <v>4112</v>
      </c>
      <c r="X283" s="99" t="s">
        <v>4112</v>
      </c>
      <c r="Y283" s="99" t="s">
        <v>4113</v>
      </c>
      <c r="Z283" s="99" t="s">
        <v>172</v>
      </c>
      <c r="AA283" s="99" t="s">
        <v>173</v>
      </c>
      <c r="AB283" s="99" t="s">
        <v>174</v>
      </c>
      <c r="AC283" s="99" t="s">
        <v>3411</v>
      </c>
      <c r="AD283" s="99" t="s">
        <v>175</v>
      </c>
      <c r="AE283" s="99" t="s">
        <v>3411</v>
      </c>
      <c r="AF283" s="99" t="s">
        <v>3411</v>
      </c>
      <c r="AG283" s="124">
        <v>1541</v>
      </c>
      <c r="AH283" s="99" t="s">
        <v>3413</v>
      </c>
      <c r="AI283" s="125">
        <v>100</v>
      </c>
      <c r="AJ283" s="99" t="s">
        <v>176</v>
      </c>
      <c r="AK283" s="99" t="s">
        <v>4112</v>
      </c>
      <c r="AL283" s="99" t="s">
        <v>3411</v>
      </c>
      <c r="AM283" s="99" t="s">
        <v>177</v>
      </c>
      <c r="AN283" s="99" t="s">
        <v>3411</v>
      </c>
      <c r="AO283" s="99" t="s">
        <v>403</v>
      </c>
      <c r="AP283" s="99" t="s">
        <v>2570</v>
      </c>
      <c r="AQ283" s="99" t="s">
        <v>3411</v>
      </c>
      <c r="AR283" s="99" t="s">
        <v>3411</v>
      </c>
      <c r="AS283" s="99" t="s">
        <v>1183</v>
      </c>
      <c r="AT283" s="99" t="s">
        <v>1</v>
      </c>
      <c r="AU283" s="99" t="s">
        <v>179</v>
      </c>
      <c r="AV283" s="99" t="s">
        <v>3414</v>
      </c>
      <c r="AW283" s="99" t="s">
        <v>180</v>
      </c>
      <c r="AX283" s="99" t="s">
        <v>3420</v>
      </c>
      <c r="AY283" s="99" t="s">
        <v>252</v>
      </c>
      <c r="AZ283" s="99" t="s">
        <v>3416</v>
      </c>
      <c r="BA283" s="99" t="s">
        <v>4110</v>
      </c>
      <c r="BB283" s="99" t="s">
        <v>3020</v>
      </c>
      <c r="BC283" s="125">
        <v>55</v>
      </c>
      <c r="BD283" s="99" t="s">
        <v>3135</v>
      </c>
      <c r="BE283" s="99" t="s">
        <v>3136</v>
      </c>
    </row>
    <row r="284" spans="1:57" ht="12.95" customHeight="1">
      <c r="A284" s="124">
        <v>15</v>
      </c>
      <c r="B284" s="124">
        <v>1902</v>
      </c>
      <c r="C284" s="99" t="s">
        <v>165</v>
      </c>
      <c r="D284" s="99" t="s">
        <v>1104</v>
      </c>
      <c r="E284" s="99" t="s">
        <v>2873</v>
      </c>
      <c r="F284" s="99" t="s">
        <v>1162</v>
      </c>
      <c r="G284" s="99" t="s">
        <v>1163</v>
      </c>
      <c r="H284" s="99" t="s">
        <v>4101</v>
      </c>
      <c r="I284" s="99" t="s">
        <v>1171</v>
      </c>
      <c r="J284" s="99" t="s">
        <v>1184</v>
      </c>
      <c r="K284" s="99" t="s">
        <v>1185</v>
      </c>
      <c r="L284" s="99" t="s">
        <v>1186</v>
      </c>
      <c r="M284" s="99" t="s">
        <v>1</v>
      </c>
      <c r="N284" s="99" t="s">
        <v>3454</v>
      </c>
      <c r="O284" s="99" t="s">
        <v>70</v>
      </c>
      <c r="P284" s="99" t="s">
        <v>4111</v>
      </c>
      <c r="Q284" s="99" t="s">
        <v>247</v>
      </c>
      <c r="R284" s="99" t="s">
        <v>3409</v>
      </c>
      <c r="S284" s="99" t="s">
        <v>2636</v>
      </c>
      <c r="T284" s="99" t="s">
        <v>48</v>
      </c>
      <c r="U284" s="99" t="s">
        <v>170</v>
      </c>
      <c r="V284" s="99" t="s">
        <v>171</v>
      </c>
      <c r="W284" s="99" t="s">
        <v>4114</v>
      </c>
      <c r="X284" s="99" t="s">
        <v>4114</v>
      </c>
      <c r="Y284" s="99" t="s">
        <v>4115</v>
      </c>
      <c r="Z284" s="99" t="s">
        <v>172</v>
      </c>
      <c r="AA284" s="99" t="s">
        <v>173</v>
      </c>
      <c r="AB284" s="99" t="s">
        <v>174</v>
      </c>
      <c r="AC284" s="99" t="s">
        <v>3411</v>
      </c>
      <c r="AD284" s="99" t="s">
        <v>175</v>
      </c>
      <c r="AE284" s="99" t="s">
        <v>3411</v>
      </c>
      <c r="AF284" s="99" t="s">
        <v>3411</v>
      </c>
      <c r="AG284" s="124">
        <v>1505</v>
      </c>
      <c r="AH284" s="99" t="s">
        <v>3413</v>
      </c>
      <c r="AI284" s="125">
        <v>100</v>
      </c>
      <c r="AJ284" s="99" t="s">
        <v>176</v>
      </c>
      <c r="AK284" s="99" t="s">
        <v>4114</v>
      </c>
      <c r="AL284" s="99" t="s">
        <v>3411</v>
      </c>
      <c r="AM284" s="99" t="s">
        <v>177</v>
      </c>
      <c r="AN284" s="99" t="s">
        <v>3411</v>
      </c>
      <c r="AO284" s="99" t="s">
        <v>403</v>
      </c>
      <c r="AP284" s="99" t="s">
        <v>2570</v>
      </c>
      <c r="AQ284" s="99" t="s">
        <v>3411</v>
      </c>
      <c r="AR284" s="99" t="s">
        <v>234</v>
      </c>
      <c r="AS284" s="99" t="s">
        <v>1187</v>
      </c>
      <c r="AT284" s="99" t="s">
        <v>1</v>
      </c>
      <c r="AU284" s="99" t="s">
        <v>179</v>
      </c>
      <c r="AV284" s="99" t="s">
        <v>3414</v>
      </c>
      <c r="AW284" s="99" t="s">
        <v>180</v>
      </c>
      <c r="AX284" s="99" t="s">
        <v>3420</v>
      </c>
      <c r="AY284" s="99" t="s">
        <v>252</v>
      </c>
      <c r="AZ284" s="99" t="s">
        <v>3416</v>
      </c>
      <c r="BA284" s="99" t="s">
        <v>4110</v>
      </c>
      <c r="BB284" s="99" t="s">
        <v>3020</v>
      </c>
      <c r="BC284" s="125">
        <v>60</v>
      </c>
      <c r="BD284" s="99" t="s">
        <v>3135</v>
      </c>
      <c r="BE284" s="99" t="s">
        <v>3136</v>
      </c>
    </row>
    <row r="285" spans="1:57" ht="12.95" customHeight="1">
      <c r="A285" s="124">
        <v>15</v>
      </c>
      <c r="B285" s="124">
        <v>3131</v>
      </c>
      <c r="C285" s="99" t="s">
        <v>165</v>
      </c>
      <c r="D285" s="99" t="s">
        <v>1104</v>
      </c>
      <c r="E285" s="99" t="s">
        <v>2873</v>
      </c>
      <c r="F285" s="99" t="s">
        <v>1162</v>
      </c>
      <c r="G285" s="99" t="s">
        <v>1163</v>
      </c>
      <c r="H285" s="99" t="s">
        <v>4101</v>
      </c>
      <c r="I285" s="99" t="s">
        <v>1171</v>
      </c>
      <c r="J285" s="99" t="s">
        <v>2046</v>
      </c>
      <c r="K285" s="99" t="s">
        <v>612</v>
      </c>
      <c r="L285" s="99" t="s">
        <v>3113</v>
      </c>
      <c r="M285" s="99" t="s">
        <v>1</v>
      </c>
      <c r="N285" s="99" t="s">
        <v>3407</v>
      </c>
      <c r="O285" s="99" t="s">
        <v>114</v>
      </c>
      <c r="P285" s="99" t="s">
        <v>4116</v>
      </c>
      <c r="Q285" s="99" t="s">
        <v>169</v>
      </c>
      <c r="R285" s="99" t="s">
        <v>3409</v>
      </c>
      <c r="S285" s="99" t="s">
        <v>2636</v>
      </c>
      <c r="T285" s="99" t="s">
        <v>48</v>
      </c>
      <c r="U285" s="99" t="s">
        <v>170</v>
      </c>
      <c r="V285" s="99" t="s">
        <v>171</v>
      </c>
      <c r="W285" s="99" t="s">
        <v>4116</v>
      </c>
      <c r="X285" s="99" t="s">
        <v>4116</v>
      </c>
      <c r="Y285" s="99" t="s">
        <v>4117</v>
      </c>
      <c r="Z285" s="99" t="s">
        <v>172</v>
      </c>
      <c r="AA285" s="99" t="s">
        <v>173</v>
      </c>
      <c r="AB285" s="99" t="s">
        <v>174</v>
      </c>
      <c r="AC285" s="99" t="s">
        <v>3411</v>
      </c>
      <c r="AD285" s="99" t="s">
        <v>175</v>
      </c>
      <c r="AE285" s="99" t="s">
        <v>3411</v>
      </c>
      <c r="AF285" s="99" t="s">
        <v>3411</v>
      </c>
      <c r="AG285" s="124">
        <v>3131</v>
      </c>
      <c r="AH285" s="99" t="s">
        <v>3413</v>
      </c>
      <c r="AI285" s="125">
        <v>100</v>
      </c>
      <c r="AJ285" s="99" t="s">
        <v>176</v>
      </c>
      <c r="AK285" s="99" t="s">
        <v>4116</v>
      </c>
      <c r="AL285" s="99" t="s">
        <v>3411</v>
      </c>
      <c r="AM285" s="99" t="s">
        <v>177</v>
      </c>
      <c r="AN285" s="99" t="s">
        <v>3411</v>
      </c>
      <c r="AO285" s="99" t="s">
        <v>412</v>
      </c>
      <c r="AP285" s="99" t="s">
        <v>2570</v>
      </c>
      <c r="AQ285" s="99" t="s">
        <v>3411</v>
      </c>
      <c r="AR285" s="99" t="s">
        <v>3411</v>
      </c>
      <c r="AS285" s="99" t="s">
        <v>3114</v>
      </c>
      <c r="AT285" s="99" t="s">
        <v>1</v>
      </c>
      <c r="AU285" s="99" t="s">
        <v>179</v>
      </c>
      <c r="AV285" s="99" t="s">
        <v>3414</v>
      </c>
      <c r="AW285" s="99" t="s">
        <v>180</v>
      </c>
      <c r="AX285" s="99" t="s">
        <v>3420</v>
      </c>
      <c r="AY285" s="99" t="s">
        <v>252</v>
      </c>
      <c r="AZ285" s="99" t="s">
        <v>3416</v>
      </c>
      <c r="BA285" s="99" t="s">
        <v>4106</v>
      </c>
      <c r="BB285" s="99" t="s">
        <v>3019</v>
      </c>
      <c r="BC285" s="125">
        <v>30</v>
      </c>
      <c r="BD285" s="99" t="s">
        <v>3135</v>
      </c>
      <c r="BE285" s="99" t="s">
        <v>3136</v>
      </c>
    </row>
    <row r="286" spans="1:57" ht="12.95" customHeight="1">
      <c r="A286" s="124">
        <v>15</v>
      </c>
      <c r="B286" s="124">
        <v>2202</v>
      </c>
      <c r="C286" s="99" t="s">
        <v>165</v>
      </c>
      <c r="D286" s="99" t="s">
        <v>1104</v>
      </c>
      <c r="E286" s="99" t="s">
        <v>2873</v>
      </c>
      <c r="F286" s="99" t="s">
        <v>1162</v>
      </c>
      <c r="G286" s="99" t="s">
        <v>1163</v>
      </c>
      <c r="H286" s="99" t="s">
        <v>4101</v>
      </c>
      <c r="I286" s="99" t="s">
        <v>1171</v>
      </c>
      <c r="J286" s="99" t="s">
        <v>1188</v>
      </c>
      <c r="K286" s="99" t="s">
        <v>255</v>
      </c>
      <c r="L286" s="99" t="s">
        <v>1189</v>
      </c>
      <c r="M286" s="99" t="s">
        <v>5</v>
      </c>
      <c r="N286" s="99" t="s">
        <v>3407</v>
      </c>
      <c r="O286" s="99" t="s">
        <v>114</v>
      </c>
      <c r="P286" s="99" t="s">
        <v>3422</v>
      </c>
      <c r="Q286" s="99" t="s">
        <v>169</v>
      </c>
      <c r="R286" s="99" t="s">
        <v>3409</v>
      </c>
      <c r="S286" s="99" t="s">
        <v>2636</v>
      </c>
      <c r="T286" s="99" t="s">
        <v>48</v>
      </c>
      <c r="U286" s="99" t="s">
        <v>184</v>
      </c>
      <c r="V286" s="99" t="s">
        <v>185</v>
      </c>
      <c r="W286" s="99" t="s">
        <v>3548</v>
      </c>
      <c r="X286" s="99" t="s">
        <v>3548</v>
      </c>
      <c r="Y286" s="99" t="s">
        <v>4118</v>
      </c>
      <c r="Z286" s="99" t="s">
        <v>172</v>
      </c>
      <c r="AA286" s="99" t="s">
        <v>173</v>
      </c>
      <c r="AB286" s="99" t="s">
        <v>174</v>
      </c>
      <c r="AC286" s="99" t="s">
        <v>3411</v>
      </c>
      <c r="AD286" s="99" t="s">
        <v>175</v>
      </c>
      <c r="AE286" s="99" t="s">
        <v>3411</v>
      </c>
      <c r="AF286" s="99" t="s">
        <v>3411</v>
      </c>
      <c r="AG286" s="124">
        <v>1654</v>
      </c>
      <c r="AH286" s="99" t="s">
        <v>3413</v>
      </c>
      <c r="AI286" s="125">
        <v>100</v>
      </c>
      <c r="AJ286" s="99" t="s">
        <v>176</v>
      </c>
      <c r="AK286" s="99" t="s">
        <v>3548</v>
      </c>
      <c r="AL286" s="99" t="s">
        <v>3411</v>
      </c>
      <c r="AM286" s="99" t="s">
        <v>177</v>
      </c>
      <c r="AN286" s="99" t="s">
        <v>3411</v>
      </c>
      <c r="AO286" s="99" t="s">
        <v>403</v>
      </c>
      <c r="AP286" s="99" t="s">
        <v>2570</v>
      </c>
      <c r="AQ286" s="99" t="s">
        <v>3411</v>
      </c>
      <c r="AR286" s="99" t="s">
        <v>3411</v>
      </c>
      <c r="AS286" s="99" t="s">
        <v>1190</v>
      </c>
      <c r="AT286" s="99" t="s">
        <v>1</v>
      </c>
      <c r="AU286" s="99" t="s">
        <v>179</v>
      </c>
      <c r="AV286" s="99" t="s">
        <v>3414</v>
      </c>
      <c r="AW286" s="99" t="s">
        <v>180</v>
      </c>
      <c r="AX286" s="99" t="s">
        <v>3420</v>
      </c>
      <c r="AY286" s="99" t="s">
        <v>252</v>
      </c>
      <c r="AZ286" s="99" t="s">
        <v>3416</v>
      </c>
      <c r="BA286" s="99" t="s">
        <v>4106</v>
      </c>
      <c r="BB286" s="99" t="s">
        <v>3019</v>
      </c>
      <c r="BC286" s="125">
        <v>55</v>
      </c>
      <c r="BD286" s="99" t="s">
        <v>3135</v>
      </c>
      <c r="BE286" s="99" t="s">
        <v>3136</v>
      </c>
    </row>
    <row r="287" spans="1:57" ht="12.95" customHeight="1">
      <c r="A287" s="124">
        <v>15</v>
      </c>
      <c r="B287" s="124">
        <v>1444</v>
      </c>
      <c r="C287" s="99" t="s">
        <v>165</v>
      </c>
      <c r="D287" s="99" t="s">
        <v>1104</v>
      </c>
      <c r="E287" s="99" t="s">
        <v>2873</v>
      </c>
      <c r="F287" s="99" t="s">
        <v>1162</v>
      </c>
      <c r="G287" s="99" t="s">
        <v>1163</v>
      </c>
      <c r="H287" s="99" t="s">
        <v>4101</v>
      </c>
      <c r="I287" s="99" t="s">
        <v>1171</v>
      </c>
      <c r="J287" s="99" t="s">
        <v>1191</v>
      </c>
      <c r="K287" s="99" t="s">
        <v>409</v>
      </c>
      <c r="L287" s="99" t="s">
        <v>1192</v>
      </c>
      <c r="M287" s="99" t="s">
        <v>5</v>
      </c>
      <c r="N287" s="99" t="s">
        <v>3454</v>
      </c>
      <c r="O287" s="99" t="s">
        <v>70</v>
      </c>
      <c r="P287" s="99" t="s">
        <v>4119</v>
      </c>
      <c r="Q287" s="99" t="s">
        <v>247</v>
      </c>
      <c r="R287" s="99" t="s">
        <v>3409</v>
      </c>
      <c r="S287" s="99" t="s">
        <v>2636</v>
      </c>
      <c r="T287" s="99" t="s">
        <v>52</v>
      </c>
      <c r="U287" s="99" t="s">
        <v>427</v>
      </c>
      <c r="V287" s="99" t="s">
        <v>428</v>
      </c>
      <c r="W287" s="99" t="s">
        <v>4120</v>
      </c>
      <c r="X287" s="99" t="s">
        <v>4120</v>
      </c>
      <c r="Y287" s="99" t="s">
        <v>4121</v>
      </c>
      <c r="Z287" s="99" t="s">
        <v>172</v>
      </c>
      <c r="AA287" s="99" t="s">
        <v>173</v>
      </c>
      <c r="AB287" s="99" t="s">
        <v>174</v>
      </c>
      <c r="AC287" s="99" t="s">
        <v>3411</v>
      </c>
      <c r="AD287" s="99" t="s">
        <v>175</v>
      </c>
      <c r="AE287" s="99" t="s">
        <v>3411</v>
      </c>
      <c r="AF287" s="99" t="s">
        <v>3411</v>
      </c>
      <c r="AG287" s="124">
        <v>1146</v>
      </c>
      <c r="AH287" s="99" t="s">
        <v>3413</v>
      </c>
      <c r="AI287" s="125">
        <v>100</v>
      </c>
      <c r="AJ287" s="99" t="s">
        <v>176</v>
      </c>
      <c r="AK287" s="99" t="s">
        <v>4120</v>
      </c>
      <c r="AL287" s="99" t="s">
        <v>3411</v>
      </c>
      <c r="AM287" s="99" t="s">
        <v>177</v>
      </c>
      <c r="AN287" s="99" t="s">
        <v>3411</v>
      </c>
      <c r="AO287" s="99" t="s">
        <v>403</v>
      </c>
      <c r="AP287" s="99" t="s">
        <v>2570</v>
      </c>
      <c r="AQ287" s="99" t="s">
        <v>3411</v>
      </c>
      <c r="AR287" s="99" t="s">
        <v>3411</v>
      </c>
      <c r="AS287" s="99" t="s">
        <v>1193</v>
      </c>
      <c r="AT287" s="99" t="s">
        <v>1</v>
      </c>
      <c r="AU287" s="99" t="s">
        <v>179</v>
      </c>
      <c r="AV287" s="99" t="s">
        <v>3414</v>
      </c>
      <c r="AW287" s="99" t="s">
        <v>180</v>
      </c>
      <c r="AX287" s="99" t="s">
        <v>3420</v>
      </c>
      <c r="AY287" s="99" t="s">
        <v>252</v>
      </c>
      <c r="AZ287" s="99" t="s">
        <v>3416</v>
      </c>
      <c r="BA287" s="99" t="s">
        <v>4100</v>
      </c>
      <c r="BB287" s="99" t="s">
        <v>1170</v>
      </c>
      <c r="BC287" s="125">
        <v>54</v>
      </c>
      <c r="BD287" s="99" t="s">
        <v>3135</v>
      </c>
      <c r="BE287" s="99" t="s">
        <v>3136</v>
      </c>
    </row>
    <row r="288" spans="1:57" ht="12.95" customHeight="1">
      <c r="A288" s="124">
        <v>15</v>
      </c>
      <c r="B288" s="124">
        <v>1213</v>
      </c>
      <c r="C288" s="99" t="s">
        <v>165</v>
      </c>
      <c r="D288" s="99" t="s">
        <v>1104</v>
      </c>
      <c r="E288" s="99" t="s">
        <v>2873</v>
      </c>
      <c r="F288" s="99" t="s">
        <v>1162</v>
      </c>
      <c r="G288" s="99" t="s">
        <v>1163</v>
      </c>
      <c r="H288" s="99" t="s">
        <v>4101</v>
      </c>
      <c r="I288" s="99" t="s">
        <v>1171</v>
      </c>
      <c r="J288" s="99" t="s">
        <v>1194</v>
      </c>
      <c r="K288" s="99" t="s">
        <v>1195</v>
      </c>
      <c r="L288" s="99" t="s">
        <v>1196</v>
      </c>
      <c r="M288" s="99" t="s">
        <v>5</v>
      </c>
      <c r="N288" s="99" t="s">
        <v>3454</v>
      </c>
      <c r="O288" s="99" t="s">
        <v>70</v>
      </c>
      <c r="P288" s="99" t="s">
        <v>4119</v>
      </c>
      <c r="Q288" s="99" t="s">
        <v>247</v>
      </c>
      <c r="R288" s="99" t="s">
        <v>3409</v>
      </c>
      <c r="S288" s="99" t="s">
        <v>2636</v>
      </c>
      <c r="T288" s="99" t="s">
        <v>48</v>
      </c>
      <c r="U288" s="99" t="s">
        <v>184</v>
      </c>
      <c r="V288" s="99" t="s">
        <v>185</v>
      </c>
      <c r="W288" s="99" t="s">
        <v>4122</v>
      </c>
      <c r="X288" s="99" t="s">
        <v>4122</v>
      </c>
      <c r="Y288" s="99" t="s">
        <v>4123</v>
      </c>
      <c r="Z288" s="99" t="s">
        <v>172</v>
      </c>
      <c r="AA288" s="99" t="s">
        <v>173</v>
      </c>
      <c r="AB288" s="99" t="s">
        <v>174</v>
      </c>
      <c r="AC288" s="99" t="s">
        <v>3411</v>
      </c>
      <c r="AD288" s="99" t="s">
        <v>175</v>
      </c>
      <c r="AE288" s="99" t="s">
        <v>3411</v>
      </c>
      <c r="AF288" s="99" t="s">
        <v>3411</v>
      </c>
      <c r="AG288" s="124">
        <v>956</v>
      </c>
      <c r="AH288" s="99" t="s">
        <v>3413</v>
      </c>
      <c r="AI288" s="125">
        <v>100</v>
      </c>
      <c r="AJ288" s="99" t="s">
        <v>176</v>
      </c>
      <c r="AK288" s="99" t="s">
        <v>4122</v>
      </c>
      <c r="AL288" s="99" t="s">
        <v>3411</v>
      </c>
      <c r="AM288" s="99" t="s">
        <v>177</v>
      </c>
      <c r="AN288" s="99" t="s">
        <v>3411</v>
      </c>
      <c r="AO288" s="99" t="s">
        <v>403</v>
      </c>
      <c r="AP288" s="99" t="s">
        <v>2570</v>
      </c>
      <c r="AQ288" s="99" t="s">
        <v>3411</v>
      </c>
      <c r="AR288" s="99" t="s">
        <v>3411</v>
      </c>
      <c r="AS288" s="99" t="s">
        <v>1197</v>
      </c>
      <c r="AT288" s="99" t="s">
        <v>1</v>
      </c>
      <c r="AU288" s="99" t="s">
        <v>179</v>
      </c>
      <c r="AV288" s="99" t="s">
        <v>3414</v>
      </c>
      <c r="AW288" s="99" t="s">
        <v>180</v>
      </c>
      <c r="AX288" s="99" t="s">
        <v>3420</v>
      </c>
      <c r="AY288" s="99" t="s">
        <v>252</v>
      </c>
      <c r="AZ288" s="99" t="s">
        <v>3416</v>
      </c>
      <c r="BA288" s="99" t="s">
        <v>4110</v>
      </c>
      <c r="BB288" s="99" t="s">
        <v>3020</v>
      </c>
      <c r="BC288" s="125">
        <v>57</v>
      </c>
      <c r="BD288" s="99" t="s">
        <v>3135</v>
      </c>
      <c r="BE288" s="99" t="s">
        <v>3136</v>
      </c>
    </row>
    <row r="289" spans="1:57" ht="12.95" customHeight="1">
      <c r="A289" s="124">
        <v>15</v>
      </c>
      <c r="B289" s="124">
        <v>799</v>
      </c>
      <c r="C289" s="99" t="s">
        <v>165</v>
      </c>
      <c r="D289" s="99" t="s">
        <v>1104</v>
      </c>
      <c r="E289" s="99" t="s">
        <v>2873</v>
      </c>
      <c r="F289" s="99" t="s">
        <v>1162</v>
      </c>
      <c r="G289" s="99" t="s">
        <v>1163</v>
      </c>
      <c r="H289" s="99" t="s">
        <v>4101</v>
      </c>
      <c r="I289" s="99" t="s">
        <v>1171</v>
      </c>
      <c r="J289" s="99" t="s">
        <v>1198</v>
      </c>
      <c r="K289" s="99" t="s">
        <v>1199</v>
      </c>
      <c r="L289" s="99" t="s">
        <v>1200</v>
      </c>
      <c r="M289" s="99" t="s">
        <v>1</v>
      </c>
      <c r="N289" s="99" t="s">
        <v>3454</v>
      </c>
      <c r="O289" s="99" t="s">
        <v>70</v>
      </c>
      <c r="P289" s="99" t="s">
        <v>4111</v>
      </c>
      <c r="Q289" s="99" t="s">
        <v>247</v>
      </c>
      <c r="R289" s="99" t="s">
        <v>3409</v>
      </c>
      <c r="S289" s="99" t="s">
        <v>2636</v>
      </c>
      <c r="T289" s="99" t="s">
        <v>48</v>
      </c>
      <c r="U289" s="99" t="s">
        <v>184</v>
      </c>
      <c r="V289" s="99" t="s">
        <v>185</v>
      </c>
      <c r="W289" s="99" t="s">
        <v>4124</v>
      </c>
      <c r="X289" s="99" t="s">
        <v>4124</v>
      </c>
      <c r="Y289" s="99" t="s">
        <v>4125</v>
      </c>
      <c r="Z289" s="99" t="s">
        <v>172</v>
      </c>
      <c r="AA289" s="99" t="s">
        <v>173</v>
      </c>
      <c r="AB289" s="99" t="s">
        <v>174</v>
      </c>
      <c r="AC289" s="99" t="s">
        <v>3411</v>
      </c>
      <c r="AD289" s="99" t="s">
        <v>175</v>
      </c>
      <c r="AE289" s="99" t="s">
        <v>3411</v>
      </c>
      <c r="AF289" s="99" t="s">
        <v>3411</v>
      </c>
      <c r="AG289" s="124">
        <v>603</v>
      </c>
      <c r="AH289" s="99" t="s">
        <v>3413</v>
      </c>
      <c r="AI289" s="125">
        <v>100</v>
      </c>
      <c r="AJ289" s="99" t="s">
        <v>176</v>
      </c>
      <c r="AK289" s="99" t="s">
        <v>4126</v>
      </c>
      <c r="AL289" s="99" t="s">
        <v>3411</v>
      </c>
      <c r="AM289" s="99" t="s">
        <v>177</v>
      </c>
      <c r="AN289" s="99" t="s">
        <v>3411</v>
      </c>
      <c r="AO289" s="99" t="s">
        <v>403</v>
      </c>
      <c r="AP289" s="99" t="s">
        <v>2570</v>
      </c>
      <c r="AQ289" s="99" t="s">
        <v>3411</v>
      </c>
      <c r="AR289" s="99" t="s">
        <v>3411</v>
      </c>
      <c r="AS289" s="99" t="s">
        <v>1201</v>
      </c>
      <c r="AT289" s="99" t="s">
        <v>1</v>
      </c>
      <c r="AU289" s="99" t="s">
        <v>179</v>
      </c>
      <c r="AV289" s="99" t="s">
        <v>3414</v>
      </c>
      <c r="AW289" s="99" t="s">
        <v>180</v>
      </c>
      <c r="AX289" s="99" t="s">
        <v>3420</v>
      </c>
      <c r="AY289" s="99" t="s">
        <v>252</v>
      </c>
      <c r="AZ289" s="99" t="s">
        <v>3416</v>
      </c>
      <c r="BA289" s="99" t="s">
        <v>4110</v>
      </c>
      <c r="BB289" s="99" t="s">
        <v>3020</v>
      </c>
      <c r="BC289" s="125">
        <v>62</v>
      </c>
      <c r="BD289" s="99" t="s">
        <v>3135</v>
      </c>
      <c r="BE289" s="99" t="s">
        <v>3136</v>
      </c>
    </row>
    <row r="290" spans="1:57" ht="12.95" customHeight="1">
      <c r="A290" s="124">
        <v>15</v>
      </c>
      <c r="B290" s="124">
        <v>581</v>
      </c>
      <c r="C290" s="99" t="s">
        <v>165</v>
      </c>
      <c r="D290" s="99" t="s">
        <v>1104</v>
      </c>
      <c r="E290" s="99" t="s">
        <v>2873</v>
      </c>
      <c r="F290" s="99" t="s">
        <v>1162</v>
      </c>
      <c r="G290" s="99" t="s">
        <v>1163</v>
      </c>
      <c r="H290" s="99" t="s">
        <v>4101</v>
      </c>
      <c r="I290" s="99" t="s">
        <v>1171</v>
      </c>
      <c r="J290" s="99" t="s">
        <v>1148</v>
      </c>
      <c r="K290" s="99" t="s">
        <v>1203</v>
      </c>
      <c r="L290" s="99" t="s">
        <v>1204</v>
      </c>
      <c r="M290" s="99" t="s">
        <v>1</v>
      </c>
      <c r="N290" s="99" t="s">
        <v>3407</v>
      </c>
      <c r="O290" s="99" t="s">
        <v>114</v>
      </c>
      <c r="P290" s="99" t="s">
        <v>3422</v>
      </c>
      <c r="Q290" s="99" t="s">
        <v>169</v>
      </c>
      <c r="R290" s="99" t="s">
        <v>3409</v>
      </c>
      <c r="S290" s="99" t="s">
        <v>2636</v>
      </c>
      <c r="T290" s="99" t="s">
        <v>48</v>
      </c>
      <c r="U290" s="99" t="s">
        <v>170</v>
      </c>
      <c r="V290" s="99" t="s">
        <v>171</v>
      </c>
      <c r="W290" s="99" t="s">
        <v>4127</v>
      </c>
      <c r="X290" s="99" t="s">
        <v>4127</v>
      </c>
      <c r="Y290" s="99" t="s">
        <v>4128</v>
      </c>
      <c r="Z290" s="99" t="s">
        <v>172</v>
      </c>
      <c r="AA290" s="99" t="s">
        <v>173</v>
      </c>
      <c r="AB290" s="99" t="s">
        <v>174</v>
      </c>
      <c r="AC290" s="99" t="s">
        <v>3411</v>
      </c>
      <c r="AD290" s="99" t="s">
        <v>175</v>
      </c>
      <c r="AE290" s="99" t="s">
        <v>3411</v>
      </c>
      <c r="AF290" s="99" t="s">
        <v>3411</v>
      </c>
      <c r="AG290" s="124">
        <v>414</v>
      </c>
      <c r="AH290" s="99" t="s">
        <v>4104</v>
      </c>
      <c r="AI290" s="125">
        <v>80</v>
      </c>
      <c r="AJ290" s="99" t="s">
        <v>2887</v>
      </c>
      <c r="AK290" s="99" t="s">
        <v>4129</v>
      </c>
      <c r="AL290" s="99" t="s">
        <v>3806</v>
      </c>
      <c r="AM290" s="99" t="s">
        <v>177</v>
      </c>
      <c r="AN290" s="99" t="s">
        <v>3411</v>
      </c>
      <c r="AO290" s="99" t="s">
        <v>403</v>
      </c>
      <c r="AP290" s="99" t="s">
        <v>2570</v>
      </c>
      <c r="AQ290" s="99" t="s">
        <v>3411</v>
      </c>
      <c r="AR290" s="99" t="s">
        <v>234</v>
      </c>
      <c r="AS290" s="99" t="s">
        <v>1205</v>
      </c>
      <c r="AT290" s="99" t="s">
        <v>1</v>
      </c>
      <c r="AU290" s="99" t="s">
        <v>179</v>
      </c>
      <c r="AV290" s="99" t="s">
        <v>3414</v>
      </c>
      <c r="AW290" s="99" t="s">
        <v>180</v>
      </c>
      <c r="AX290" s="99" t="s">
        <v>3420</v>
      </c>
      <c r="AY290" s="99" t="s">
        <v>252</v>
      </c>
      <c r="AZ290" s="99" t="s">
        <v>3416</v>
      </c>
      <c r="BA290" s="99" t="s">
        <v>4106</v>
      </c>
      <c r="BB290" s="99" t="s">
        <v>3019</v>
      </c>
      <c r="BC290" s="125">
        <v>61</v>
      </c>
      <c r="BD290" s="99" t="s">
        <v>3135</v>
      </c>
      <c r="BE290" s="99" t="s">
        <v>3136</v>
      </c>
    </row>
    <row r="291" spans="1:57" ht="12.95" customHeight="1">
      <c r="A291" s="124">
        <v>15</v>
      </c>
      <c r="B291" s="124">
        <v>2101</v>
      </c>
      <c r="C291" s="99" t="s">
        <v>165</v>
      </c>
      <c r="D291" s="99" t="s">
        <v>1104</v>
      </c>
      <c r="E291" s="99" t="s">
        <v>2873</v>
      </c>
      <c r="F291" s="99" t="s">
        <v>1162</v>
      </c>
      <c r="G291" s="99" t="s">
        <v>1163</v>
      </c>
      <c r="H291" s="99" t="s">
        <v>4101</v>
      </c>
      <c r="I291" s="99" t="s">
        <v>1171</v>
      </c>
      <c r="J291" s="99" t="s">
        <v>1206</v>
      </c>
      <c r="K291" s="99" t="s">
        <v>1207</v>
      </c>
      <c r="L291" s="99" t="s">
        <v>1208</v>
      </c>
      <c r="M291" s="99" t="s">
        <v>1</v>
      </c>
      <c r="N291" s="99" t="s">
        <v>3454</v>
      </c>
      <c r="O291" s="99" t="s">
        <v>70</v>
      </c>
      <c r="P291" s="99" t="s">
        <v>4119</v>
      </c>
      <c r="Q291" s="99" t="s">
        <v>247</v>
      </c>
      <c r="R291" s="99" t="s">
        <v>3409</v>
      </c>
      <c r="S291" s="99" t="s">
        <v>2636</v>
      </c>
      <c r="T291" s="99" t="s">
        <v>48</v>
      </c>
      <c r="U291" s="99" t="s">
        <v>170</v>
      </c>
      <c r="V291" s="99" t="s">
        <v>171</v>
      </c>
      <c r="W291" s="99" t="s">
        <v>3467</v>
      </c>
      <c r="X291" s="99" t="s">
        <v>3467</v>
      </c>
      <c r="Y291" s="99" t="s">
        <v>4130</v>
      </c>
      <c r="Z291" s="99" t="s">
        <v>172</v>
      </c>
      <c r="AA291" s="99" t="s">
        <v>173</v>
      </c>
      <c r="AB291" s="99" t="s">
        <v>174</v>
      </c>
      <c r="AC291" s="99" t="s">
        <v>3411</v>
      </c>
      <c r="AD291" s="99" t="s">
        <v>175</v>
      </c>
      <c r="AE291" s="99" t="s">
        <v>3411</v>
      </c>
      <c r="AF291" s="99" t="s">
        <v>3411</v>
      </c>
      <c r="AG291" s="124">
        <v>1589</v>
      </c>
      <c r="AH291" s="99" t="s">
        <v>3413</v>
      </c>
      <c r="AI291" s="125">
        <v>100</v>
      </c>
      <c r="AJ291" s="99" t="s">
        <v>176</v>
      </c>
      <c r="AK291" s="99" t="s">
        <v>3467</v>
      </c>
      <c r="AL291" s="99" t="s">
        <v>3411</v>
      </c>
      <c r="AM291" s="99" t="s">
        <v>177</v>
      </c>
      <c r="AN291" s="99" t="s">
        <v>3411</v>
      </c>
      <c r="AO291" s="99" t="s">
        <v>403</v>
      </c>
      <c r="AP291" s="99" t="s">
        <v>2570</v>
      </c>
      <c r="AQ291" s="99" t="s">
        <v>3411</v>
      </c>
      <c r="AR291" s="99" t="s">
        <v>234</v>
      </c>
      <c r="AS291" s="99" t="s">
        <v>1209</v>
      </c>
      <c r="AT291" s="99" t="s">
        <v>1</v>
      </c>
      <c r="AU291" s="99" t="s">
        <v>179</v>
      </c>
      <c r="AV291" s="99" t="s">
        <v>3414</v>
      </c>
      <c r="AW291" s="99" t="s">
        <v>180</v>
      </c>
      <c r="AX291" s="99" t="s">
        <v>3851</v>
      </c>
      <c r="AY291" s="99" t="s">
        <v>252</v>
      </c>
      <c r="AZ291" s="99" t="s">
        <v>3806</v>
      </c>
      <c r="BA291" s="99" t="s">
        <v>4110</v>
      </c>
      <c r="BB291" s="99" t="s">
        <v>3020</v>
      </c>
      <c r="BC291" s="125">
        <v>60</v>
      </c>
      <c r="BD291" s="99" t="s">
        <v>3135</v>
      </c>
      <c r="BE291" s="99" t="s">
        <v>3136</v>
      </c>
    </row>
    <row r="292" spans="1:57" ht="12.95" customHeight="1">
      <c r="A292" s="124">
        <v>15</v>
      </c>
      <c r="B292" s="124">
        <v>3141</v>
      </c>
      <c r="C292" s="99" t="s">
        <v>165</v>
      </c>
      <c r="D292" s="99" t="s">
        <v>1104</v>
      </c>
      <c r="E292" s="99" t="s">
        <v>2873</v>
      </c>
      <c r="F292" s="99" t="s">
        <v>1162</v>
      </c>
      <c r="G292" s="99" t="s">
        <v>1163</v>
      </c>
      <c r="H292" s="99" t="s">
        <v>4101</v>
      </c>
      <c r="I292" s="99" t="s">
        <v>1171</v>
      </c>
      <c r="J292" s="99" t="s">
        <v>3232</v>
      </c>
      <c r="K292" s="99" t="s">
        <v>327</v>
      </c>
      <c r="L292" s="99" t="s">
        <v>3233</v>
      </c>
      <c r="M292" s="99" t="s">
        <v>1</v>
      </c>
      <c r="N292" s="99" t="s">
        <v>3407</v>
      </c>
      <c r="O292" s="99" t="s">
        <v>114</v>
      </c>
      <c r="P292" s="99" t="s">
        <v>4036</v>
      </c>
      <c r="Q292" s="99" t="s">
        <v>169</v>
      </c>
      <c r="R292" s="99" t="s">
        <v>3409</v>
      </c>
      <c r="S292" s="99" t="s">
        <v>2636</v>
      </c>
      <c r="T292" s="99" t="s">
        <v>48</v>
      </c>
      <c r="U292" s="99" t="s">
        <v>410</v>
      </c>
      <c r="V292" s="99" t="s">
        <v>411</v>
      </c>
      <c r="W292" s="99" t="s">
        <v>4036</v>
      </c>
      <c r="X292" s="99" t="s">
        <v>4036</v>
      </c>
      <c r="Y292" s="99" t="s">
        <v>4131</v>
      </c>
      <c r="Z292" s="99" t="s">
        <v>172</v>
      </c>
      <c r="AA292" s="99" t="s">
        <v>173</v>
      </c>
      <c r="AB292" s="99" t="s">
        <v>174</v>
      </c>
      <c r="AC292" s="99" t="s">
        <v>3411</v>
      </c>
      <c r="AD292" s="99" t="s">
        <v>175</v>
      </c>
      <c r="AE292" s="99" t="s">
        <v>3411</v>
      </c>
      <c r="AF292" s="99" t="s">
        <v>3411</v>
      </c>
      <c r="AG292" s="124">
        <v>3141</v>
      </c>
      <c r="AH292" s="99" t="s">
        <v>3413</v>
      </c>
      <c r="AI292" s="125">
        <v>100</v>
      </c>
      <c r="AJ292" s="99" t="s">
        <v>176</v>
      </c>
      <c r="AK292" s="99" t="s">
        <v>4036</v>
      </c>
      <c r="AL292" s="99" t="s">
        <v>3411</v>
      </c>
      <c r="AM292" s="99" t="s">
        <v>177</v>
      </c>
      <c r="AN292" s="99" t="s">
        <v>3411</v>
      </c>
      <c r="AO292" s="99" t="s">
        <v>412</v>
      </c>
      <c r="AP292" s="99" t="s">
        <v>2570</v>
      </c>
      <c r="AQ292" s="99" t="s">
        <v>3411</v>
      </c>
      <c r="AR292" s="99" t="s">
        <v>3411</v>
      </c>
      <c r="AS292" s="99" t="s">
        <v>3234</v>
      </c>
      <c r="AT292" s="99" t="s">
        <v>1</v>
      </c>
      <c r="AU292" s="99" t="s">
        <v>179</v>
      </c>
      <c r="AV292" s="99" t="s">
        <v>3414</v>
      </c>
      <c r="AW292" s="99" t="s">
        <v>180</v>
      </c>
      <c r="AX292" s="99" t="s">
        <v>3420</v>
      </c>
      <c r="AY292" s="99" t="s">
        <v>252</v>
      </c>
      <c r="AZ292" s="99" t="s">
        <v>3416</v>
      </c>
      <c r="BA292" s="99" t="s">
        <v>4106</v>
      </c>
      <c r="BB292" s="99" t="s">
        <v>3019</v>
      </c>
      <c r="BC292" s="125">
        <v>28</v>
      </c>
      <c r="BD292" s="99" t="s">
        <v>3135</v>
      </c>
      <c r="BE292" s="99" t="s">
        <v>3136</v>
      </c>
    </row>
    <row r="293" spans="1:57" ht="12.95" customHeight="1">
      <c r="A293" s="124">
        <v>15</v>
      </c>
      <c r="B293" s="124">
        <v>895</v>
      </c>
      <c r="C293" s="99" t="s">
        <v>165</v>
      </c>
      <c r="D293" s="99" t="s">
        <v>1104</v>
      </c>
      <c r="E293" s="99" t="s">
        <v>2873</v>
      </c>
      <c r="F293" s="99" t="s">
        <v>1162</v>
      </c>
      <c r="G293" s="99" t="s">
        <v>1163</v>
      </c>
      <c r="H293" s="99" t="s">
        <v>4101</v>
      </c>
      <c r="I293" s="99" t="s">
        <v>1171</v>
      </c>
      <c r="J293" s="99" t="s">
        <v>1210</v>
      </c>
      <c r="K293" s="99" t="s">
        <v>797</v>
      </c>
      <c r="L293" s="99" t="s">
        <v>1211</v>
      </c>
      <c r="M293" s="99" t="s">
        <v>1</v>
      </c>
      <c r="N293" s="99" t="s">
        <v>3407</v>
      </c>
      <c r="O293" s="99" t="s">
        <v>114</v>
      </c>
      <c r="P293" s="99" t="s">
        <v>3422</v>
      </c>
      <c r="Q293" s="99" t="s">
        <v>169</v>
      </c>
      <c r="R293" s="99" t="s">
        <v>3409</v>
      </c>
      <c r="S293" s="99" t="s">
        <v>2636</v>
      </c>
      <c r="T293" s="99" t="s">
        <v>48</v>
      </c>
      <c r="U293" s="99" t="s">
        <v>170</v>
      </c>
      <c r="V293" s="99" t="s">
        <v>171</v>
      </c>
      <c r="W293" s="99" t="s">
        <v>4132</v>
      </c>
      <c r="X293" s="99" t="s">
        <v>4132</v>
      </c>
      <c r="Y293" s="99" t="s">
        <v>4133</v>
      </c>
      <c r="Z293" s="99" t="s">
        <v>172</v>
      </c>
      <c r="AA293" s="99" t="s">
        <v>173</v>
      </c>
      <c r="AB293" s="99" t="s">
        <v>174</v>
      </c>
      <c r="AC293" s="99" t="s">
        <v>3411</v>
      </c>
      <c r="AD293" s="99" t="s">
        <v>175</v>
      </c>
      <c r="AE293" s="99" t="s">
        <v>3411</v>
      </c>
      <c r="AF293" s="99" t="s">
        <v>3411</v>
      </c>
      <c r="AG293" s="124">
        <v>686</v>
      </c>
      <c r="AH293" s="99" t="s">
        <v>3413</v>
      </c>
      <c r="AI293" s="125">
        <v>100</v>
      </c>
      <c r="AJ293" s="99" t="s">
        <v>176</v>
      </c>
      <c r="AK293" s="99" t="s">
        <v>4132</v>
      </c>
      <c r="AL293" s="99" t="s">
        <v>3411</v>
      </c>
      <c r="AM293" s="99" t="s">
        <v>177</v>
      </c>
      <c r="AN293" s="99" t="s">
        <v>3411</v>
      </c>
      <c r="AO293" s="99" t="s">
        <v>403</v>
      </c>
      <c r="AP293" s="99" t="s">
        <v>2570</v>
      </c>
      <c r="AQ293" s="99" t="s">
        <v>3411</v>
      </c>
      <c r="AR293" s="99" t="s">
        <v>3411</v>
      </c>
      <c r="AS293" s="99" t="s">
        <v>1212</v>
      </c>
      <c r="AT293" s="99" t="s">
        <v>1</v>
      </c>
      <c r="AU293" s="99" t="s">
        <v>179</v>
      </c>
      <c r="AV293" s="99" t="s">
        <v>3414</v>
      </c>
      <c r="AW293" s="99" t="s">
        <v>180</v>
      </c>
      <c r="AX293" s="99" t="s">
        <v>3420</v>
      </c>
      <c r="AY293" s="99" t="s">
        <v>252</v>
      </c>
      <c r="AZ293" s="99" t="s">
        <v>3416</v>
      </c>
      <c r="BA293" s="99" t="s">
        <v>4106</v>
      </c>
      <c r="BB293" s="99" t="s">
        <v>3019</v>
      </c>
      <c r="BC293" s="125">
        <v>62</v>
      </c>
      <c r="BD293" s="99" t="s">
        <v>3135</v>
      </c>
      <c r="BE293" s="99" t="s">
        <v>3136</v>
      </c>
    </row>
    <row r="294" spans="1:57" ht="12.95" customHeight="1">
      <c r="A294" s="124">
        <v>15</v>
      </c>
      <c r="B294" s="124">
        <v>1197</v>
      </c>
      <c r="C294" s="99" t="s">
        <v>165</v>
      </c>
      <c r="D294" s="99" t="s">
        <v>1104</v>
      </c>
      <c r="E294" s="99" t="s">
        <v>2873</v>
      </c>
      <c r="F294" s="99" t="s">
        <v>1162</v>
      </c>
      <c r="G294" s="99" t="s">
        <v>1163</v>
      </c>
      <c r="H294" s="99" t="s">
        <v>4101</v>
      </c>
      <c r="I294" s="99" t="s">
        <v>1171</v>
      </c>
      <c r="J294" s="99" t="s">
        <v>1213</v>
      </c>
      <c r="K294" s="99" t="s">
        <v>1214</v>
      </c>
      <c r="L294" s="99" t="s">
        <v>1215</v>
      </c>
      <c r="M294" s="99" t="s">
        <v>1</v>
      </c>
      <c r="N294" s="99" t="s">
        <v>3407</v>
      </c>
      <c r="O294" s="99" t="s">
        <v>114</v>
      </c>
      <c r="P294" s="99" t="s">
        <v>3422</v>
      </c>
      <c r="Q294" s="99" t="s">
        <v>169</v>
      </c>
      <c r="R294" s="99" t="s">
        <v>3409</v>
      </c>
      <c r="S294" s="99" t="s">
        <v>2636</v>
      </c>
      <c r="T294" s="99" t="s">
        <v>52</v>
      </c>
      <c r="U294" s="99" t="s">
        <v>427</v>
      </c>
      <c r="V294" s="99" t="s">
        <v>428</v>
      </c>
      <c r="W294" s="99" t="s">
        <v>3802</v>
      </c>
      <c r="X294" s="99" t="s">
        <v>3802</v>
      </c>
      <c r="Y294" s="99" t="s">
        <v>4134</v>
      </c>
      <c r="Z294" s="99" t="s">
        <v>172</v>
      </c>
      <c r="AA294" s="99" t="s">
        <v>173</v>
      </c>
      <c r="AB294" s="99" t="s">
        <v>174</v>
      </c>
      <c r="AC294" s="99" t="s">
        <v>3411</v>
      </c>
      <c r="AD294" s="99" t="s">
        <v>175</v>
      </c>
      <c r="AE294" s="99" t="s">
        <v>3411</v>
      </c>
      <c r="AF294" s="99" t="s">
        <v>3411</v>
      </c>
      <c r="AG294" s="124">
        <v>944</v>
      </c>
      <c r="AH294" s="99" t="s">
        <v>3413</v>
      </c>
      <c r="AI294" s="125">
        <v>100</v>
      </c>
      <c r="AJ294" s="99" t="s">
        <v>176</v>
      </c>
      <c r="AK294" s="99" t="s">
        <v>4135</v>
      </c>
      <c r="AL294" s="99" t="s">
        <v>3411</v>
      </c>
      <c r="AM294" s="99" t="s">
        <v>177</v>
      </c>
      <c r="AN294" s="99" t="s">
        <v>3411</v>
      </c>
      <c r="AO294" s="99" t="s">
        <v>403</v>
      </c>
      <c r="AP294" s="99" t="s">
        <v>2570</v>
      </c>
      <c r="AQ294" s="99" t="s">
        <v>3411</v>
      </c>
      <c r="AR294" s="99" t="s">
        <v>3411</v>
      </c>
      <c r="AS294" s="99" t="s">
        <v>1216</v>
      </c>
      <c r="AT294" s="99" t="s">
        <v>1</v>
      </c>
      <c r="AU294" s="99" t="s">
        <v>179</v>
      </c>
      <c r="AV294" s="99" t="s">
        <v>3414</v>
      </c>
      <c r="AW294" s="99" t="s">
        <v>180</v>
      </c>
      <c r="AX294" s="99" t="s">
        <v>3420</v>
      </c>
      <c r="AY294" s="99" t="s">
        <v>252</v>
      </c>
      <c r="AZ294" s="99" t="s">
        <v>3416</v>
      </c>
      <c r="BA294" s="99" t="s">
        <v>4100</v>
      </c>
      <c r="BB294" s="99" t="s">
        <v>1170</v>
      </c>
      <c r="BC294" s="125">
        <v>58</v>
      </c>
      <c r="BD294" s="99" t="s">
        <v>3135</v>
      </c>
      <c r="BE294" s="99" t="s">
        <v>3136</v>
      </c>
    </row>
    <row r="295" spans="1:57" ht="12.95" customHeight="1">
      <c r="A295" s="124">
        <v>15</v>
      </c>
      <c r="B295" s="124">
        <v>1850</v>
      </c>
      <c r="C295" s="99" t="s">
        <v>165</v>
      </c>
      <c r="D295" s="99" t="s">
        <v>1104</v>
      </c>
      <c r="E295" s="99" t="s">
        <v>2873</v>
      </c>
      <c r="F295" s="99" t="s">
        <v>1162</v>
      </c>
      <c r="G295" s="99" t="s">
        <v>1163</v>
      </c>
      <c r="H295" s="99" t="s">
        <v>4101</v>
      </c>
      <c r="I295" s="99" t="s">
        <v>1171</v>
      </c>
      <c r="J295" s="99" t="s">
        <v>1217</v>
      </c>
      <c r="K295" s="99" t="s">
        <v>348</v>
      </c>
      <c r="L295" s="99" t="s">
        <v>1218</v>
      </c>
      <c r="M295" s="99" t="s">
        <v>5</v>
      </c>
      <c r="N295" s="99" t="s">
        <v>3454</v>
      </c>
      <c r="O295" s="99" t="s">
        <v>70</v>
      </c>
      <c r="P295" s="99" t="s">
        <v>4111</v>
      </c>
      <c r="Q295" s="99" t="s">
        <v>247</v>
      </c>
      <c r="R295" s="99" t="s">
        <v>3409</v>
      </c>
      <c r="S295" s="99" t="s">
        <v>2636</v>
      </c>
      <c r="T295" s="99" t="s">
        <v>48</v>
      </c>
      <c r="U295" s="99" t="s">
        <v>184</v>
      </c>
      <c r="V295" s="99" t="s">
        <v>185</v>
      </c>
      <c r="W295" s="99" t="s">
        <v>3563</v>
      </c>
      <c r="X295" s="99" t="s">
        <v>4136</v>
      </c>
      <c r="Y295" s="99" t="s">
        <v>4137</v>
      </c>
      <c r="Z295" s="99" t="s">
        <v>172</v>
      </c>
      <c r="AA295" s="99" t="s">
        <v>173</v>
      </c>
      <c r="AB295" s="99" t="s">
        <v>400</v>
      </c>
      <c r="AC295" s="99" t="s">
        <v>3411</v>
      </c>
      <c r="AD295" s="99" t="s">
        <v>175</v>
      </c>
      <c r="AE295" s="99" t="s">
        <v>3411</v>
      </c>
      <c r="AF295" s="99" t="s">
        <v>3411</v>
      </c>
      <c r="AG295" s="124">
        <v>1470</v>
      </c>
      <c r="AH295" s="99" t="s">
        <v>3413</v>
      </c>
      <c r="AI295" s="125">
        <v>100</v>
      </c>
      <c r="AJ295" s="99" t="s">
        <v>176</v>
      </c>
      <c r="AK295" s="99" t="s">
        <v>3563</v>
      </c>
      <c r="AL295" s="99" t="s">
        <v>3411</v>
      </c>
      <c r="AM295" s="99" t="s">
        <v>177</v>
      </c>
      <c r="AN295" s="99" t="s">
        <v>3411</v>
      </c>
      <c r="AO295" s="99" t="s">
        <v>178</v>
      </c>
      <c r="AP295" s="99" t="s">
        <v>2570</v>
      </c>
      <c r="AQ295" s="99" t="s">
        <v>3411</v>
      </c>
      <c r="AR295" s="99" t="s">
        <v>234</v>
      </c>
      <c r="AS295" s="99" t="s">
        <v>1219</v>
      </c>
      <c r="AT295" s="99" t="s">
        <v>1</v>
      </c>
      <c r="AU295" s="99" t="s">
        <v>179</v>
      </c>
      <c r="AV295" s="99" t="s">
        <v>3414</v>
      </c>
      <c r="AW295" s="99" t="s">
        <v>180</v>
      </c>
      <c r="AX295" s="99" t="s">
        <v>3420</v>
      </c>
      <c r="AY295" s="99" t="s">
        <v>252</v>
      </c>
      <c r="AZ295" s="99" t="s">
        <v>3416</v>
      </c>
      <c r="BA295" s="99" t="s">
        <v>4110</v>
      </c>
      <c r="BB295" s="99" t="s">
        <v>3020</v>
      </c>
      <c r="BC295" s="125">
        <v>59</v>
      </c>
      <c r="BD295" s="99" t="s">
        <v>3135</v>
      </c>
      <c r="BE295" s="99" t="s">
        <v>3136</v>
      </c>
    </row>
    <row r="296" spans="1:57" ht="12.95" customHeight="1">
      <c r="A296" s="124">
        <v>15</v>
      </c>
      <c r="B296" s="124">
        <v>1522</v>
      </c>
      <c r="C296" s="99" t="s">
        <v>165</v>
      </c>
      <c r="D296" s="99" t="s">
        <v>1104</v>
      </c>
      <c r="E296" s="99" t="s">
        <v>2873</v>
      </c>
      <c r="F296" s="99" t="s">
        <v>1162</v>
      </c>
      <c r="G296" s="99" t="s">
        <v>1163</v>
      </c>
      <c r="H296" s="99" t="s">
        <v>4138</v>
      </c>
      <c r="I296" s="99" t="s">
        <v>1220</v>
      </c>
      <c r="J296" s="99" t="s">
        <v>1221</v>
      </c>
      <c r="K296" s="99" t="s">
        <v>1222</v>
      </c>
      <c r="L296" s="99" t="s">
        <v>1223</v>
      </c>
      <c r="M296" s="99" t="s">
        <v>1</v>
      </c>
      <c r="N296" s="99" t="s">
        <v>4139</v>
      </c>
      <c r="O296" s="99" t="s">
        <v>73</v>
      </c>
      <c r="P296" s="99" t="s">
        <v>4140</v>
      </c>
      <c r="Q296" s="99" t="s">
        <v>1224</v>
      </c>
      <c r="R296" s="99" t="s">
        <v>3409</v>
      </c>
      <c r="S296" s="99" t="s">
        <v>2636</v>
      </c>
      <c r="T296" s="99" t="s">
        <v>48</v>
      </c>
      <c r="U296" s="99" t="s">
        <v>184</v>
      </c>
      <c r="V296" s="99" t="s">
        <v>185</v>
      </c>
      <c r="W296" s="99" t="s">
        <v>4141</v>
      </c>
      <c r="X296" s="99" t="s">
        <v>4141</v>
      </c>
      <c r="Y296" s="99" t="s">
        <v>4142</v>
      </c>
      <c r="Z296" s="99" t="s">
        <v>172</v>
      </c>
      <c r="AA296" s="99" t="s">
        <v>173</v>
      </c>
      <c r="AB296" s="99" t="s">
        <v>174</v>
      </c>
      <c r="AC296" s="99" t="s">
        <v>3411</v>
      </c>
      <c r="AD296" s="99" t="s">
        <v>175</v>
      </c>
      <c r="AE296" s="99" t="s">
        <v>3411</v>
      </c>
      <c r="AF296" s="99" t="s">
        <v>3411</v>
      </c>
      <c r="AG296" s="124">
        <v>1203</v>
      </c>
      <c r="AH296" s="99" t="s">
        <v>3490</v>
      </c>
      <c r="AI296" s="125">
        <v>75</v>
      </c>
      <c r="AJ296" s="99" t="s">
        <v>214</v>
      </c>
      <c r="AK296" s="99" t="s">
        <v>3805</v>
      </c>
      <c r="AL296" s="99" t="s">
        <v>3806</v>
      </c>
      <c r="AM296" s="99" t="s">
        <v>177</v>
      </c>
      <c r="AN296" s="99" t="s">
        <v>3411</v>
      </c>
      <c r="AO296" s="99" t="s">
        <v>403</v>
      </c>
      <c r="AP296" s="99" t="s">
        <v>2570</v>
      </c>
      <c r="AQ296" s="99" t="s">
        <v>3411</v>
      </c>
      <c r="AR296" s="99" t="s">
        <v>234</v>
      </c>
      <c r="AS296" s="99" t="s">
        <v>1225</v>
      </c>
      <c r="AT296" s="99" t="s">
        <v>1</v>
      </c>
      <c r="AU296" s="99" t="s">
        <v>179</v>
      </c>
      <c r="AV296" s="99" t="s">
        <v>3414</v>
      </c>
      <c r="AW296" s="99" t="s">
        <v>180</v>
      </c>
      <c r="AX296" s="99" t="s">
        <v>3420</v>
      </c>
      <c r="AY296" s="99" t="s">
        <v>252</v>
      </c>
      <c r="AZ296" s="99" t="s">
        <v>3416</v>
      </c>
      <c r="BA296" s="99" t="s">
        <v>4106</v>
      </c>
      <c r="BB296" s="99" t="s">
        <v>3019</v>
      </c>
      <c r="BC296" s="125">
        <v>55</v>
      </c>
      <c r="BD296" s="99" t="s">
        <v>3135</v>
      </c>
      <c r="BE296" s="99" t="s">
        <v>3136</v>
      </c>
    </row>
    <row r="297" spans="1:57" ht="12.95" customHeight="1">
      <c r="A297" s="124">
        <v>15</v>
      </c>
      <c r="B297" s="124">
        <v>1126</v>
      </c>
      <c r="C297" s="99" t="s">
        <v>165</v>
      </c>
      <c r="D297" s="99" t="s">
        <v>1104</v>
      </c>
      <c r="E297" s="99" t="s">
        <v>2873</v>
      </c>
      <c r="F297" s="99" t="s">
        <v>1162</v>
      </c>
      <c r="G297" s="99" t="s">
        <v>1163</v>
      </c>
      <c r="H297" s="99" t="s">
        <v>4138</v>
      </c>
      <c r="I297" s="99" t="s">
        <v>1220</v>
      </c>
      <c r="J297" s="99" t="s">
        <v>1226</v>
      </c>
      <c r="K297" s="99" t="s">
        <v>196</v>
      </c>
      <c r="L297" s="99" t="s">
        <v>1227</v>
      </c>
      <c r="M297" s="99" t="s">
        <v>1</v>
      </c>
      <c r="N297" s="99" t="s">
        <v>4139</v>
      </c>
      <c r="O297" s="99" t="s">
        <v>73</v>
      </c>
      <c r="P297" s="99" t="s">
        <v>4140</v>
      </c>
      <c r="Q297" s="99" t="s">
        <v>1224</v>
      </c>
      <c r="R297" s="99" t="s">
        <v>3409</v>
      </c>
      <c r="S297" s="99" t="s">
        <v>2636</v>
      </c>
      <c r="T297" s="99" t="s">
        <v>48</v>
      </c>
      <c r="U297" s="99" t="s">
        <v>170</v>
      </c>
      <c r="V297" s="99" t="s">
        <v>171</v>
      </c>
      <c r="W297" s="99" t="s">
        <v>4143</v>
      </c>
      <c r="X297" s="99" t="s">
        <v>4143</v>
      </c>
      <c r="Y297" s="99" t="s">
        <v>4144</v>
      </c>
      <c r="Z297" s="99" t="s">
        <v>172</v>
      </c>
      <c r="AA297" s="99" t="s">
        <v>173</v>
      </c>
      <c r="AB297" s="99" t="s">
        <v>174</v>
      </c>
      <c r="AC297" s="99" t="s">
        <v>3411</v>
      </c>
      <c r="AD297" s="99" t="s">
        <v>175</v>
      </c>
      <c r="AE297" s="99" t="s">
        <v>3411</v>
      </c>
      <c r="AF297" s="99" t="s">
        <v>3411</v>
      </c>
      <c r="AG297" s="124">
        <v>886</v>
      </c>
      <c r="AH297" s="99" t="s">
        <v>3413</v>
      </c>
      <c r="AI297" s="125">
        <v>100</v>
      </c>
      <c r="AJ297" s="99" t="s">
        <v>176</v>
      </c>
      <c r="AK297" s="99" t="s">
        <v>4143</v>
      </c>
      <c r="AL297" s="99" t="s">
        <v>3411</v>
      </c>
      <c r="AM297" s="99" t="s">
        <v>177</v>
      </c>
      <c r="AN297" s="99" t="s">
        <v>3411</v>
      </c>
      <c r="AO297" s="99" t="s">
        <v>403</v>
      </c>
      <c r="AP297" s="99" t="s">
        <v>2570</v>
      </c>
      <c r="AQ297" s="99" t="s">
        <v>3411</v>
      </c>
      <c r="AR297" s="99" t="s">
        <v>234</v>
      </c>
      <c r="AS297" s="99" t="s">
        <v>1228</v>
      </c>
      <c r="AT297" s="99" t="s">
        <v>1</v>
      </c>
      <c r="AU297" s="99" t="s">
        <v>179</v>
      </c>
      <c r="AV297" s="99" t="s">
        <v>3414</v>
      </c>
      <c r="AW297" s="99" t="s">
        <v>180</v>
      </c>
      <c r="AX297" s="99" t="s">
        <v>3420</v>
      </c>
      <c r="AY297" s="99" t="s">
        <v>252</v>
      </c>
      <c r="AZ297" s="99" t="s">
        <v>3416</v>
      </c>
      <c r="BA297" s="99" t="s">
        <v>4106</v>
      </c>
      <c r="BB297" s="99" t="s">
        <v>3019</v>
      </c>
      <c r="BC297" s="125">
        <v>57</v>
      </c>
      <c r="BD297" s="99" t="s">
        <v>3135</v>
      </c>
      <c r="BE297" s="99" t="s">
        <v>3136</v>
      </c>
    </row>
    <row r="298" spans="1:57" ht="12.95" customHeight="1">
      <c r="A298" s="124">
        <v>15</v>
      </c>
      <c r="B298" s="124">
        <v>2212</v>
      </c>
      <c r="C298" s="99" t="s">
        <v>165</v>
      </c>
      <c r="D298" s="99" t="s">
        <v>1104</v>
      </c>
      <c r="E298" s="99" t="s">
        <v>2873</v>
      </c>
      <c r="F298" s="99" t="s">
        <v>1162</v>
      </c>
      <c r="G298" s="99" t="s">
        <v>1163</v>
      </c>
      <c r="H298" s="99" t="s">
        <v>4138</v>
      </c>
      <c r="I298" s="99" t="s">
        <v>1220</v>
      </c>
      <c r="J298" s="99" t="s">
        <v>1229</v>
      </c>
      <c r="K298" s="99" t="s">
        <v>348</v>
      </c>
      <c r="L298" s="99" t="s">
        <v>1230</v>
      </c>
      <c r="M298" s="99" t="s">
        <v>5</v>
      </c>
      <c r="N298" s="99" t="s">
        <v>4139</v>
      </c>
      <c r="O298" s="99" t="s">
        <v>73</v>
      </c>
      <c r="P298" s="99" t="s">
        <v>4140</v>
      </c>
      <c r="Q298" s="99" t="s">
        <v>1224</v>
      </c>
      <c r="R298" s="99" t="s">
        <v>3409</v>
      </c>
      <c r="S298" s="99" t="s">
        <v>2636</v>
      </c>
      <c r="T298" s="99" t="s">
        <v>48</v>
      </c>
      <c r="U298" s="99" t="s">
        <v>170</v>
      </c>
      <c r="V298" s="99" t="s">
        <v>171</v>
      </c>
      <c r="W298" s="99" t="s">
        <v>4145</v>
      </c>
      <c r="X298" s="99" t="s">
        <v>4145</v>
      </c>
      <c r="Y298" s="99" t="s">
        <v>4146</v>
      </c>
      <c r="Z298" s="99" t="s">
        <v>172</v>
      </c>
      <c r="AA298" s="99" t="s">
        <v>173</v>
      </c>
      <c r="AB298" s="99" t="s">
        <v>174</v>
      </c>
      <c r="AC298" s="99" t="s">
        <v>3411</v>
      </c>
      <c r="AD298" s="99" t="s">
        <v>175</v>
      </c>
      <c r="AE298" s="99" t="s">
        <v>3411</v>
      </c>
      <c r="AF298" s="99" t="s">
        <v>3411</v>
      </c>
      <c r="AG298" s="124">
        <v>1664</v>
      </c>
      <c r="AH298" s="99" t="s">
        <v>3413</v>
      </c>
      <c r="AI298" s="125">
        <v>100</v>
      </c>
      <c r="AJ298" s="99" t="s">
        <v>176</v>
      </c>
      <c r="AK298" s="99" t="s">
        <v>4145</v>
      </c>
      <c r="AL298" s="99" t="s">
        <v>3411</v>
      </c>
      <c r="AM298" s="99" t="s">
        <v>177</v>
      </c>
      <c r="AN298" s="99" t="s">
        <v>3411</v>
      </c>
      <c r="AO298" s="99" t="s">
        <v>403</v>
      </c>
      <c r="AP298" s="99" t="s">
        <v>2570</v>
      </c>
      <c r="AQ298" s="99" t="s">
        <v>3411</v>
      </c>
      <c r="AR298" s="99" t="s">
        <v>234</v>
      </c>
      <c r="AS298" s="99" t="s">
        <v>1231</v>
      </c>
      <c r="AT298" s="99" t="s">
        <v>1</v>
      </c>
      <c r="AU298" s="99" t="s">
        <v>179</v>
      </c>
      <c r="AV298" s="99" t="s">
        <v>3414</v>
      </c>
      <c r="AW298" s="99" t="s">
        <v>180</v>
      </c>
      <c r="AX298" s="99" t="s">
        <v>3420</v>
      </c>
      <c r="AY298" s="99" t="s">
        <v>252</v>
      </c>
      <c r="AZ298" s="99" t="s">
        <v>3416</v>
      </c>
      <c r="BA298" s="99" t="s">
        <v>4106</v>
      </c>
      <c r="BB298" s="99" t="s">
        <v>3019</v>
      </c>
      <c r="BC298" s="125">
        <v>48</v>
      </c>
      <c r="BD298" s="99" t="s">
        <v>3135</v>
      </c>
      <c r="BE298" s="99" t="s">
        <v>3136</v>
      </c>
    </row>
    <row r="299" spans="1:57" ht="12.95" customHeight="1">
      <c r="A299" s="124">
        <v>15</v>
      </c>
      <c r="B299" s="124">
        <v>2171</v>
      </c>
      <c r="C299" s="99" t="s">
        <v>165</v>
      </c>
      <c r="D299" s="99" t="s">
        <v>1104</v>
      </c>
      <c r="E299" s="99" t="s">
        <v>2873</v>
      </c>
      <c r="F299" s="99" t="s">
        <v>1162</v>
      </c>
      <c r="G299" s="99" t="s">
        <v>1163</v>
      </c>
      <c r="H299" s="99" t="s">
        <v>4147</v>
      </c>
      <c r="I299" s="99" t="s">
        <v>1232</v>
      </c>
      <c r="J299" s="99" t="s">
        <v>1233</v>
      </c>
      <c r="K299" s="99" t="s">
        <v>311</v>
      </c>
      <c r="L299" s="99" t="s">
        <v>1234</v>
      </c>
      <c r="M299" s="99" t="s">
        <v>1</v>
      </c>
      <c r="N299" s="99" t="s">
        <v>3454</v>
      </c>
      <c r="O299" s="99" t="s">
        <v>70</v>
      </c>
      <c r="P299" s="99" t="s">
        <v>4119</v>
      </c>
      <c r="Q299" s="99" t="s">
        <v>247</v>
      </c>
      <c r="R299" s="99" t="s">
        <v>3409</v>
      </c>
      <c r="S299" s="99" t="s">
        <v>2636</v>
      </c>
      <c r="T299" s="99" t="s">
        <v>48</v>
      </c>
      <c r="U299" s="99" t="s">
        <v>170</v>
      </c>
      <c r="V299" s="99" t="s">
        <v>171</v>
      </c>
      <c r="W299" s="99" t="s">
        <v>4148</v>
      </c>
      <c r="X299" s="99" t="s">
        <v>4148</v>
      </c>
      <c r="Y299" s="99" t="s">
        <v>4149</v>
      </c>
      <c r="Z299" s="99" t="s">
        <v>172</v>
      </c>
      <c r="AA299" s="99" t="s">
        <v>173</v>
      </c>
      <c r="AB299" s="99" t="s">
        <v>174</v>
      </c>
      <c r="AC299" s="99" t="s">
        <v>3411</v>
      </c>
      <c r="AD299" s="99" t="s">
        <v>175</v>
      </c>
      <c r="AE299" s="99" t="s">
        <v>3411</v>
      </c>
      <c r="AF299" s="99" t="s">
        <v>3411</v>
      </c>
      <c r="AG299" s="124">
        <v>1635</v>
      </c>
      <c r="AH299" s="99" t="s">
        <v>3413</v>
      </c>
      <c r="AI299" s="125">
        <v>100</v>
      </c>
      <c r="AJ299" s="99" t="s">
        <v>176</v>
      </c>
      <c r="AK299" s="99" t="s">
        <v>4148</v>
      </c>
      <c r="AL299" s="99" t="s">
        <v>3411</v>
      </c>
      <c r="AM299" s="99" t="s">
        <v>177</v>
      </c>
      <c r="AN299" s="99" t="s">
        <v>3411</v>
      </c>
      <c r="AO299" s="99" t="s">
        <v>403</v>
      </c>
      <c r="AP299" s="99" t="s">
        <v>2570</v>
      </c>
      <c r="AQ299" s="99" t="s">
        <v>3411</v>
      </c>
      <c r="AR299" s="99" t="s">
        <v>3411</v>
      </c>
      <c r="AS299" s="99" t="s">
        <v>1235</v>
      </c>
      <c r="AT299" s="99" t="s">
        <v>1</v>
      </c>
      <c r="AU299" s="99" t="s">
        <v>179</v>
      </c>
      <c r="AV299" s="99" t="s">
        <v>3414</v>
      </c>
      <c r="AW299" s="99" t="s">
        <v>180</v>
      </c>
      <c r="AX299" s="99" t="s">
        <v>3420</v>
      </c>
      <c r="AY299" s="99" t="s">
        <v>252</v>
      </c>
      <c r="AZ299" s="99" t="s">
        <v>3416</v>
      </c>
      <c r="BA299" s="99" t="s">
        <v>4150</v>
      </c>
      <c r="BB299" s="99" t="s">
        <v>1236</v>
      </c>
      <c r="BC299" s="125">
        <v>52</v>
      </c>
      <c r="BD299" s="99" t="s">
        <v>3135</v>
      </c>
      <c r="BE299" s="99" t="s">
        <v>3136</v>
      </c>
    </row>
    <row r="300" spans="1:57" ht="12.95" customHeight="1">
      <c r="A300" s="124">
        <v>15</v>
      </c>
      <c r="B300" s="124">
        <v>1330</v>
      </c>
      <c r="C300" s="99" t="s">
        <v>165</v>
      </c>
      <c r="D300" s="99" t="s">
        <v>1104</v>
      </c>
      <c r="E300" s="99" t="s">
        <v>2873</v>
      </c>
      <c r="F300" s="99" t="s">
        <v>1162</v>
      </c>
      <c r="G300" s="99" t="s">
        <v>1163</v>
      </c>
      <c r="H300" s="99" t="s">
        <v>4147</v>
      </c>
      <c r="I300" s="99" t="s">
        <v>1232</v>
      </c>
      <c r="J300" s="99" t="s">
        <v>1237</v>
      </c>
      <c r="K300" s="99" t="s">
        <v>741</v>
      </c>
      <c r="L300" s="99" t="s">
        <v>1238</v>
      </c>
      <c r="M300" s="99" t="s">
        <v>1</v>
      </c>
      <c r="N300" s="99" t="s">
        <v>3454</v>
      </c>
      <c r="O300" s="99" t="s">
        <v>70</v>
      </c>
      <c r="P300" s="99" t="s">
        <v>4111</v>
      </c>
      <c r="Q300" s="99" t="s">
        <v>247</v>
      </c>
      <c r="R300" s="99" t="s">
        <v>3409</v>
      </c>
      <c r="S300" s="99" t="s">
        <v>2636</v>
      </c>
      <c r="T300" s="99" t="s">
        <v>52</v>
      </c>
      <c r="U300" s="99" t="s">
        <v>427</v>
      </c>
      <c r="V300" s="99" t="s">
        <v>428</v>
      </c>
      <c r="W300" s="99" t="s">
        <v>4151</v>
      </c>
      <c r="X300" s="99" t="s">
        <v>4151</v>
      </c>
      <c r="Y300" s="99" t="s">
        <v>4152</v>
      </c>
      <c r="Z300" s="99" t="s">
        <v>172</v>
      </c>
      <c r="AA300" s="99" t="s">
        <v>173</v>
      </c>
      <c r="AB300" s="99" t="s">
        <v>174</v>
      </c>
      <c r="AC300" s="99" t="s">
        <v>3411</v>
      </c>
      <c r="AD300" s="99" t="s">
        <v>175</v>
      </c>
      <c r="AE300" s="99" t="s">
        <v>3411</v>
      </c>
      <c r="AF300" s="99" t="s">
        <v>3411</v>
      </c>
      <c r="AG300" s="124">
        <v>1053</v>
      </c>
      <c r="AH300" s="99" t="s">
        <v>3413</v>
      </c>
      <c r="AI300" s="125">
        <v>100</v>
      </c>
      <c r="AJ300" s="99" t="s">
        <v>176</v>
      </c>
      <c r="AK300" s="99" t="s">
        <v>4151</v>
      </c>
      <c r="AL300" s="99" t="s">
        <v>3411</v>
      </c>
      <c r="AM300" s="99" t="s">
        <v>177</v>
      </c>
      <c r="AN300" s="99" t="s">
        <v>3411</v>
      </c>
      <c r="AO300" s="99" t="s">
        <v>403</v>
      </c>
      <c r="AP300" s="99" t="s">
        <v>2570</v>
      </c>
      <c r="AQ300" s="99" t="s">
        <v>3411</v>
      </c>
      <c r="AR300" s="99" t="s">
        <v>3411</v>
      </c>
      <c r="AS300" s="99" t="s">
        <v>1239</v>
      </c>
      <c r="AT300" s="99" t="s">
        <v>1</v>
      </c>
      <c r="AU300" s="99" t="s">
        <v>179</v>
      </c>
      <c r="AV300" s="99" t="s">
        <v>3414</v>
      </c>
      <c r="AW300" s="99" t="s">
        <v>180</v>
      </c>
      <c r="AX300" s="99" t="s">
        <v>3420</v>
      </c>
      <c r="AY300" s="99" t="s">
        <v>252</v>
      </c>
      <c r="AZ300" s="99" t="s">
        <v>3416</v>
      </c>
      <c r="BA300" s="99" t="s">
        <v>4100</v>
      </c>
      <c r="BB300" s="99" t="s">
        <v>1170</v>
      </c>
      <c r="BC300" s="125">
        <v>56</v>
      </c>
      <c r="BD300" s="99" t="s">
        <v>3135</v>
      </c>
      <c r="BE300" s="99" t="s">
        <v>3136</v>
      </c>
    </row>
    <row r="301" spans="1:57" ht="12.95" customHeight="1">
      <c r="A301" s="124">
        <v>15</v>
      </c>
      <c r="B301" s="124">
        <v>1049</v>
      </c>
      <c r="C301" s="99" t="s">
        <v>165</v>
      </c>
      <c r="D301" s="99" t="s">
        <v>1104</v>
      </c>
      <c r="E301" s="99" t="s">
        <v>2873</v>
      </c>
      <c r="F301" s="99" t="s">
        <v>1162</v>
      </c>
      <c r="G301" s="99" t="s">
        <v>1163</v>
      </c>
      <c r="H301" s="99" t="s">
        <v>4147</v>
      </c>
      <c r="I301" s="99" t="s">
        <v>1232</v>
      </c>
      <c r="J301" s="99" t="s">
        <v>1240</v>
      </c>
      <c r="K301" s="99" t="s">
        <v>1145</v>
      </c>
      <c r="L301" s="99" t="s">
        <v>1241</v>
      </c>
      <c r="M301" s="99" t="s">
        <v>1</v>
      </c>
      <c r="N301" s="99" t="s">
        <v>3407</v>
      </c>
      <c r="O301" s="99" t="s">
        <v>114</v>
      </c>
      <c r="P301" s="99" t="s">
        <v>3422</v>
      </c>
      <c r="Q301" s="99" t="s">
        <v>169</v>
      </c>
      <c r="R301" s="99" t="s">
        <v>3409</v>
      </c>
      <c r="S301" s="99" t="s">
        <v>2636</v>
      </c>
      <c r="T301" s="99" t="s">
        <v>48</v>
      </c>
      <c r="U301" s="99" t="s">
        <v>184</v>
      </c>
      <c r="V301" s="99" t="s">
        <v>185</v>
      </c>
      <c r="W301" s="99" t="s">
        <v>4153</v>
      </c>
      <c r="X301" s="99" t="s">
        <v>4153</v>
      </c>
      <c r="Y301" s="99" t="s">
        <v>4154</v>
      </c>
      <c r="Z301" s="99" t="s">
        <v>172</v>
      </c>
      <c r="AA301" s="99" t="s">
        <v>173</v>
      </c>
      <c r="AB301" s="99" t="s">
        <v>174</v>
      </c>
      <c r="AC301" s="99" t="s">
        <v>3411</v>
      </c>
      <c r="AD301" s="99" t="s">
        <v>175</v>
      </c>
      <c r="AE301" s="99" t="s">
        <v>3411</v>
      </c>
      <c r="AF301" s="99" t="s">
        <v>3411</v>
      </c>
      <c r="AG301" s="124">
        <v>818</v>
      </c>
      <c r="AH301" s="99" t="s">
        <v>3413</v>
      </c>
      <c r="AI301" s="125">
        <v>100</v>
      </c>
      <c r="AJ301" s="99" t="s">
        <v>176</v>
      </c>
      <c r="AK301" s="99" t="s">
        <v>4153</v>
      </c>
      <c r="AL301" s="99" t="s">
        <v>3411</v>
      </c>
      <c r="AM301" s="99" t="s">
        <v>177</v>
      </c>
      <c r="AN301" s="99" t="s">
        <v>3411</v>
      </c>
      <c r="AO301" s="99" t="s">
        <v>403</v>
      </c>
      <c r="AP301" s="99" t="s">
        <v>2570</v>
      </c>
      <c r="AQ301" s="99" t="s">
        <v>3411</v>
      </c>
      <c r="AR301" s="99" t="s">
        <v>3411</v>
      </c>
      <c r="AS301" s="99" t="s">
        <v>1242</v>
      </c>
      <c r="AT301" s="99" t="s">
        <v>1</v>
      </c>
      <c r="AU301" s="99" t="s">
        <v>179</v>
      </c>
      <c r="AV301" s="99" t="s">
        <v>3414</v>
      </c>
      <c r="AW301" s="99" t="s">
        <v>180</v>
      </c>
      <c r="AX301" s="99" t="s">
        <v>3420</v>
      </c>
      <c r="AY301" s="99" t="s">
        <v>252</v>
      </c>
      <c r="AZ301" s="99" t="s">
        <v>3416</v>
      </c>
      <c r="BA301" s="99" t="s">
        <v>4150</v>
      </c>
      <c r="BB301" s="99" t="s">
        <v>1236</v>
      </c>
      <c r="BC301" s="125">
        <v>59</v>
      </c>
      <c r="BD301" s="99" t="s">
        <v>3135</v>
      </c>
      <c r="BE301" s="99" t="s">
        <v>3136</v>
      </c>
    </row>
    <row r="302" spans="1:57" ht="12.95" customHeight="1">
      <c r="A302" s="124">
        <v>15</v>
      </c>
      <c r="B302" s="124">
        <v>1180</v>
      </c>
      <c r="C302" s="99" t="s">
        <v>165</v>
      </c>
      <c r="D302" s="99" t="s">
        <v>1104</v>
      </c>
      <c r="E302" s="99" t="s">
        <v>2873</v>
      </c>
      <c r="F302" s="99" t="s">
        <v>1162</v>
      </c>
      <c r="G302" s="99" t="s">
        <v>1163</v>
      </c>
      <c r="H302" s="99" t="s">
        <v>4147</v>
      </c>
      <c r="I302" s="99" t="s">
        <v>1232</v>
      </c>
      <c r="J302" s="99" t="s">
        <v>1243</v>
      </c>
      <c r="K302" s="99" t="s">
        <v>1244</v>
      </c>
      <c r="L302" s="99" t="s">
        <v>1245</v>
      </c>
      <c r="M302" s="99" t="s">
        <v>1</v>
      </c>
      <c r="N302" s="99" t="s">
        <v>3407</v>
      </c>
      <c r="O302" s="99" t="s">
        <v>114</v>
      </c>
      <c r="P302" s="99" t="s">
        <v>3422</v>
      </c>
      <c r="Q302" s="99" t="s">
        <v>169</v>
      </c>
      <c r="R302" s="99" t="s">
        <v>3409</v>
      </c>
      <c r="S302" s="99" t="s">
        <v>2636</v>
      </c>
      <c r="T302" s="99" t="s">
        <v>48</v>
      </c>
      <c r="U302" s="99" t="s">
        <v>184</v>
      </c>
      <c r="V302" s="99" t="s">
        <v>185</v>
      </c>
      <c r="W302" s="99" t="s">
        <v>4155</v>
      </c>
      <c r="X302" s="99" t="s">
        <v>4155</v>
      </c>
      <c r="Y302" s="99" t="s">
        <v>4156</v>
      </c>
      <c r="Z302" s="99" t="s">
        <v>172</v>
      </c>
      <c r="AA302" s="99" t="s">
        <v>173</v>
      </c>
      <c r="AB302" s="99" t="s">
        <v>174</v>
      </c>
      <c r="AC302" s="99" t="s">
        <v>3411</v>
      </c>
      <c r="AD302" s="99" t="s">
        <v>175</v>
      </c>
      <c r="AE302" s="99" t="s">
        <v>3411</v>
      </c>
      <c r="AF302" s="99" t="s">
        <v>3411</v>
      </c>
      <c r="AG302" s="124">
        <v>928</v>
      </c>
      <c r="AH302" s="99" t="s">
        <v>3413</v>
      </c>
      <c r="AI302" s="125">
        <v>100</v>
      </c>
      <c r="AJ302" s="99" t="s">
        <v>176</v>
      </c>
      <c r="AK302" s="99" t="s">
        <v>3914</v>
      </c>
      <c r="AL302" s="99" t="s">
        <v>3411</v>
      </c>
      <c r="AM302" s="99" t="s">
        <v>177</v>
      </c>
      <c r="AN302" s="99" t="s">
        <v>3411</v>
      </c>
      <c r="AO302" s="99" t="s">
        <v>403</v>
      </c>
      <c r="AP302" s="99" t="s">
        <v>2570</v>
      </c>
      <c r="AQ302" s="99" t="s">
        <v>3411</v>
      </c>
      <c r="AR302" s="99" t="s">
        <v>3411</v>
      </c>
      <c r="AS302" s="99" t="s">
        <v>1246</v>
      </c>
      <c r="AT302" s="99" t="s">
        <v>1</v>
      </c>
      <c r="AU302" s="99" t="s">
        <v>179</v>
      </c>
      <c r="AV302" s="99" t="s">
        <v>3414</v>
      </c>
      <c r="AW302" s="99" t="s">
        <v>180</v>
      </c>
      <c r="AX302" s="99" t="s">
        <v>3420</v>
      </c>
      <c r="AY302" s="99" t="s">
        <v>252</v>
      </c>
      <c r="AZ302" s="99" t="s">
        <v>3416</v>
      </c>
      <c r="BA302" s="99" t="s">
        <v>4150</v>
      </c>
      <c r="BB302" s="99" t="s">
        <v>1236</v>
      </c>
      <c r="BC302" s="125">
        <v>52</v>
      </c>
      <c r="BD302" s="99" t="s">
        <v>3135</v>
      </c>
      <c r="BE302" s="99" t="s">
        <v>3136</v>
      </c>
    </row>
    <row r="303" spans="1:57" ht="12.95" customHeight="1">
      <c r="A303" s="124">
        <v>15</v>
      </c>
      <c r="B303" s="124">
        <v>2046</v>
      </c>
      <c r="C303" s="99" t="s">
        <v>165</v>
      </c>
      <c r="D303" s="99" t="s">
        <v>1104</v>
      </c>
      <c r="E303" s="99" t="s">
        <v>2873</v>
      </c>
      <c r="F303" s="99" t="s">
        <v>1162</v>
      </c>
      <c r="G303" s="99" t="s">
        <v>1163</v>
      </c>
      <c r="H303" s="99" t="s">
        <v>4147</v>
      </c>
      <c r="I303" s="99" t="s">
        <v>1232</v>
      </c>
      <c r="J303" s="99" t="s">
        <v>1247</v>
      </c>
      <c r="K303" s="99" t="s">
        <v>1248</v>
      </c>
      <c r="L303" s="99" t="s">
        <v>1249</v>
      </c>
      <c r="M303" s="99" t="s">
        <v>1</v>
      </c>
      <c r="N303" s="99" t="s">
        <v>3454</v>
      </c>
      <c r="O303" s="99" t="s">
        <v>70</v>
      </c>
      <c r="P303" s="99" t="s">
        <v>4111</v>
      </c>
      <c r="Q303" s="99" t="s">
        <v>247</v>
      </c>
      <c r="R303" s="99" t="s">
        <v>3409</v>
      </c>
      <c r="S303" s="99" t="s">
        <v>2636</v>
      </c>
      <c r="T303" s="99" t="s">
        <v>48</v>
      </c>
      <c r="U303" s="99" t="s">
        <v>170</v>
      </c>
      <c r="V303" s="99" t="s">
        <v>171</v>
      </c>
      <c r="W303" s="99" t="s">
        <v>4157</v>
      </c>
      <c r="X303" s="99" t="s">
        <v>4157</v>
      </c>
      <c r="Y303" s="99" t="s">
        <v>4158</v>
      </c>
      <c r="Z303" s="99" t="s">
        <v>172</v>
      </c>
      <c r="AA303" s="99" t="s">
        <v>173</v>
      </c>
      <c r="AB303" s="99" t="s">
        <v>174</v>
      </c>
      <c r="AC303" s="99" t="s">
        <v>3411</v>
      </c>
      <c r="AD303" s="99" t="s">
        <v>175</v>
      </c>
      <c r="AE303" s="99" t="s">
        <v>3411</v>
      </c>
      <c r="AF303" s="99" t="s">
        <v>3411</v>
      </c>
      <c r="AG303" s="124">
        <v>1567</v>
      </c>
      <c r="AH303" s="99" t="s">
        <v>4159</v>
      </c>
      <c r="AI303" s="125">
        <v>62.5</v>
      </c>
      <c r="AJ303" s="99" t="s">
        <v>1250</v>
      </c>
      <c r="AK303" s="99" t="s">
        <v>4160</v>
      </c>
      <c r="AL303" s="99" t="s">
        <v>3806</v>
      </c>
      <c r="AM303" s="99" t="s">
        <v>177</v>
      </c>
      <c r="AN303" s="99" t="s">
        <v>3411</v>
      </c>
      <c r="AO303" s="99" t="s">
        <v>178</v>
      </c>
      <c r="AP303" s="99" t="s">
        <v>2570</v>
      </c>
      <c r="AQ303" s="99" t="s">
        <v>3411</v>
      </c>
      <c r="AR303" s="99" t="s">
        <v>3411</v>
      </c>
      <c r="AS303" s="99" t="s">
        <v>1251</v>
      </c>
      <c r="AT303" s="99" t="s">
        <v>1</v>
      </c>
      <c r="AU303" s="99" t="s">
        <v>179</v>
      </c>
      <c r="AV303" s="99" t="s">
        <v>3414</v>
      </c>
      <c r="AW303" s="99" t="s">
        <v>180</v>
      </c>
      <c r="AX303" s="99" t="s">
        <v>3420</v>
      </c>
      <c r="AY303" s="99" t="s">
        <v>252</v>
      </c>
      <c r="AZ303" s="99" t="s">
        <v>3416</v>
      </c>
      <c r="BA303" s="99" t="s">
        <v>4150</v>
      </c>
      <c r="BB303" s="99" t="s">
        <v>1236</v>
      </c>
      <c r="BC303" s="125">
        <v>51</v>
      </c>
      <c r="BD303" s="99" t="s">
        <v>3135</v>
      </c>
      <c r="BE303" s="99" t="s">
        <v>3136</v>
      </c>
    </row>
    <row r="304" spans="1:57" ht="12.95" customHeight="1">
      <c r="A304" s="124">
        <v>15</v>
      </c>
      <c r="B304" s="124">
        <v>1777</v>
      </c>
      <c r="C304" s="99" t="s">
        <v>165</v>
      </c>
      <c r="D304" s="99" t="s">
        <v>1104</v>
      </c>
      <c r="E304" s="99" t="s">
        <v>2873</v>
      </c>
      <c r="F304" s="99" t="s">
        <v>1162</v>
      </c>
      <c r="G304" s="99" t="s">
        <v>1163</v>
      </c>
      <c r="H304" s="99" t="s">
        <v>4147</v>
      </c>
      <c r="I304" s="99" t="s">
        <v>1232</v>
      </c>
      <c r="J304" s="99" t="s">
        <v>1252</v>
      </c>
      <c r="K304" s="99" t="s">
        <v>1253</v>
      </c>
      <c r="L304" s="99" t="s">
        <v>1254</v>
      </c>
      <c r="M304" s="99" t="s">
        <v>5</v>
      </c>
      <c r="N304" s="99" t="s">
        <v>3407</v>
      </c>
      <c r="O304" s="99" t="s">
        <v>114</v>
      </c>
      <c r="P304" s="99" t="s">
        <v>3422</v>
      </c>
      <c r="Q304" s="99" t="s">
        <v>169</v>
      </c>
      <c r="R304" s="99" t="s">
        <v>3409</v>
      </c>
      <c r="S304" s="99" t="s">
        <v>2636</v>
      </c>
      <c r="T304" s="99" t="s">
        <v>48</v>
      </c>
      <c r="U304" s="99" t="s">
        <v>184</v>
      </c>
      <c r="V304" s="99" t="s">
        <v>185</v>
      </c>
      <c r="W304" s="99" t="s">
        <v>3540</v>
      </c>
      <c r="X304" s="99" t="s">
        <v>3602</v>
      </c>
      <c r="Y304" s="99" t="s">
        <v>4161</v>
      </c>
      <c r="Z304" s="99" t="s">
        <v>172</v>
      </c>
      <c r="AA304" s="99" t="s">
        <v>173</v>
      </c>
      <c r="AB304" s="99" t="s">
        <v>400</v>
      </c>
      <c r="AC304" s="99" t="s">
        <v>3411</v>
      </c>
      <c r="AD304" s="99" t="s">
        <v>175</v>
      </c>
      <c r="AE304" s="99" t="s">
        <v>3411</v>
      </c>
      <c r="AF304" s="99" t="s">
        <v>3411</v>
      </c>
      <c r="AG304" s="124">
        <v>1404</v>
      </c>
      <c r="AH304" s="99" t="s">
        <v>3413</v>
      </c>
      <c r="AI304" s="125">
        <v>100</v>
      </c>
      <c r="AJ304" s="99" t="s">
        <v>176</v>
      </c>
      <c r="AK304" s="99" t="s">
        <v>3540</v>
      </c>
      <c r="AL304" s="99" t="s">
        <v>3411</v>
      </c>
      <c r="AM304" s="99" t="s">
        <v>177</v>
      </c>
      <c r="AN304" s="99" t="s">
        <v>3411</v>
      </c>
      <c r="AO304" s="99" t="s">
        <v>403</v>
      </c>
      <c r="AP304" s="99" t="s">
        <v>2570</v>
      </c>
      <c r="AQ304" s="99" t="s">
        <v>3411</v>
      </c>
      <c r="AR304" s="99" t="s">
        <v>3411</v>
      </c>
      <c r="AS304" s="99" t="s">
        <v>1255</v>
      </c>
      <c r="AT304" s="99" t="s">
        <v>1</v>
      </c>
      <c r="AU304" s="99" t="s">
        <v>179</v>
      </c>
      <c r="AV304" s="99" t="s">
        <v>3414</v>
      </c>
      <c r="AW304" s="99" t="s">
        <v>180</v>
      </c>
      <c r="AX304" s="99" t="s">
        <v>3420</v>
      </c>
      <c r="AY304" s="99" t="s">
        <v>252</v>
      </c>
      <c r="AZ304" s="99" t="s">
        <v>3416</v>
      </c>
      <c r="BA304" s="99" t="s">
        <v>4150</v>
      </c>
      <c r="BB304" s="99" t="s">
        <v>1236</v>
      </c>
      <c r="BC304" s="125">
        <v>56</v>
      </c>
      <c r="BD304" s="99" t="s">
        <v>3135</v>
      </c>
      <c r="BE304" s="99" t="s">
        <v>3136</v>
      </c>
    </row>
    <row r="305" spans="1:57" ht="12.95" customHeight="1">
      <c r="A305" s="124">
        <v>15</v>
      </c>
      <c r="B305" s="124">
        <v>1149</v>
      </c>
      <c r="C305" s="99" t="s">
        <v>165</v>
      </c>
      <c r="D305" s="99" t="s">
        <v>1104</v>
      </c>
      <c r="E305" s="99" t="s">
        <v>2873</v>
      </c>
      <c r="F305" s="99" t="s">
        <v>1162</v>
      </c>
      <c r="G305" s="99" t="s">
        <v>1163</v>
      </c>
      <c r="H305" s="99" t="s">
        <v>4147</v>
      </c>
      <c r="I305" s="99" t="s">
        <v>1232</v>
      </c>
      <c r="J305" s="99" t="s">
        <v>1256</v>
      </c>
      <c r="K305" s="99" t="s">
        <v>1257</v>
      </c>
      <c r="L305" s="99" t="s">
        <v>1258</v>
      </c>
      <c r="M305" s="99" t="s">
        <v>1</v>
      </c>
      <c r="N305" s="99" t="s">
        <v>3454</v>
      </c>
      <c r="O305" s="99" t="s">
        <v>70</v>
      </c>
      <c r="P305" s="99" t="s">
        <v>4111</v>
      </c>
      <c r="Q305" s="99" t="s">
        <v>247</v>
      </c>
      <c r="R305" s="99" t="s">
        <v>3409</v>
      </c>
      <c r="S305" s="99" t="s">
        <v>2636</v>
      </c>
      <c r="T305" s="99" t="s">
        <v>48</v>
      </c>
      <c r="U305" s="99" t="s">
        <v>184</v>
      </c>
      <c r="V305" s="99" t="s">
        <v>185</v>
      </c>
      <c r="W305" s="99" t="s">
        <v>3951</v>
      </c>
      <c r="X305" s="99" t="s">
        <v>3951</v>
      </c>
      <c r="Y305" s="99" t="s">
        <v>4162</v>
      </c>
      <c r="Z305" s="99" t="s">
        <v>172</v>
      </c>
      <c r="AA305" s="99" t="s">
        <v>173</v>
      </c>
      <c r="AB305" s="99" t="s">
        <v>174</v>
      </c>
      <c r="AC305" s="99" t="s">
        <v>3411</v>
      </c>
      <c r="AD305" s="99" t="s">
        <v>175</v>
      </c>
      <c r="AE305" s="99" t="s">
        <v>3411</v>
      </c>
      <c r="AF305" s="99" t="s">
        <v>3411</v>
      </c>
      <c r="AG305" s="124">
        <v>906</v>
      </c>
      <c r="AH305" s="99" t="s">
        <v>3413</v>
      </c>
      <c r="AI305" s="125">
        <v>100</v>
      </c>
      <c r="AJ305" s="99" t="s">
        <v>176</v>
      </c>
      <c r="AK305" s="99" t="s">
        <v>3951</v>
      </c>
      <c r="AL305" s="99" t="s">
        <v>3411</v>
      </c>
      <c r="AM305" s="99" t="s">
        <v>177</v>
      </c>
      <c r="AN305" s="99" t="s">
        <v>3411</v>
      </c>
      <c r="AO305" s="99" t="s">
        <v>403</v>
      </c>
      <c r="AP305" s="99" t="s">
        <v>2570</v>
      </c>
      <c r="AQ305" s="99" t="s">
        <v>3411</v>
      </c>
      <c r="AR305" s="99" t="s">
        <v>234</v>
      </c>
      <c r="AS305" s="99" t="s">
        <v>1259</v>
      </c>
      <c r="AT305" s="99" t="s">
        <v>1</v>
      </c>
      <c r="AU305" s="99" t="s">
        <v>179</v>
      </c>
      <c r="AV305" s="99" t="s">
        <v>3414</v>
      </c>
      <c r="AW305" s="99" t="s">
        <v>180</v>
      </c>
      <c r="AX305" s="99" t="s">
        <v>3420</v>
      </c>
      <c r="AY305" s="99" t="s">
        <v>252</v>
      </c>
      <c r="AZ305" s="99" t="s">
        <v>3416</v>
      </c>
      <c r="BA305" s="99" t="s">
        <v>4150</v>
      </c>
      <c r="BB305" s="99" t="s">
        <v>1236</v>
      </c>
      <c r="BC305" s="125">
        <v>61</v>
      </c>
      <c r="BD305" s="99" t="s">
        <v>3135</v>
      </c>
      <c r="BE305" s="99" t="s">
        <v>3136</v>
      </c>
    </row>
    <row r="306" spans="1:57" ht="12.95" customHeight="1">
      <c r="A306" s="124">
        <v>15</v>
      </c>
      <c r="B306" s="124">
        <v>1713</v>
      </c>
      <c r="C306" s="99" t="s">
        <v>165</v>
      </c>
      <c r="D306" s="99" t="s">
        <v>1104</v>
      </c>
      <c r="E306" s="99" t="s">
        <v>2873</v>
      </c>
      <c r="F306" s="99" t="s">
        <v>1162</v>
      </c>
      <c r="G306" s="99" t="s">
        <v>1163</v>
      </c>
      <c r="H306" s="99" t="s">
        <v>1264</v>
      </c>
      <c r="I306" s="99" t="s">
        <v>1265</v>
      </c>
      <c r="J306" s="99" t="s">
        <v>1266</v>
      </c>
      <c r="K306" s="99" t="s">
        <v>275</v>
      </c>
      <c r="L306" s="99" t="s">
        <v>1267</v>
      </c>
      <c r="M306" s="99" t="s">
        <v>5</v>
      </c>
      <c r="N306" s="99" t="s">
        <v>3407</v>
      </c>
      <c r="O306" s="99" t="s">
        <v>114</v>
      </c>
      <c r="P306" s="99" t="s">
        <v>3422</v>
      </c>
      <c r="Q306" s="99" t="s">
        <v>169</v>
      </c>
      <c r="R306" s="99" t="s">
        <v>3571</v>
      </c>
      <c r="S306" s="99" t="s">
        <v>2648</v>
      </c>
      <c r="T306" s="99" t="s">
        <v>48</v>
      </c>
      <c r="U306" s="99" t="s">
        <v>3572</v>
      </c>
      <c r="V306" s="99" t="s">
        <v>404</v>
      </c>
      <c r="W306" s="99" t="s">
        <v>4163</v>
      </c>
      <c r="X306" s="99" t="s">
        <v>4163</v>
      </c>
      <c r="Y306" s="99" t="s">
        <v>4164</v>
      </c>
      <c r="Z306" s="99" t="s">
        <v>172</v>
      </c>
      <c r="AA306" s="99" t="s">
        <v>173</v>
      </c>
      <c r="AB306" s="99" t="s">
        <v>174</v>
      </c>
      <c r="AC306" s="99" t="s">
        <v>3411</v>
      </c>
      <c r="AD306" s="99" t="s">
        <v>175</v>
      </c>
      <c r="AE306" s="99" t="s">
        <v>3411</v>
      </c>
      <c r="AF306" s="99" t="s">
        <v>3411</v>
      </c>
      <c r="AG306" s="124">
        <v>1359</v>
      </c>
      <c r="AH306" s="99" t="s">
        <v>3413</v>
      </c>
      <c r="AI306" s="125">
        <v>100</v>
      </c>
      <c r="AJ306" s="99" t="s">
        <v>176</v>
      </c>
      <c r="AK306" s="99" t="s">
        <v>4163</v>
      </c>
      <c r="AL306" s="99" t="s">
        <v>3411</v>
      </c>
      <c r="AM306" s="99" t="s">
        <v>177</v>
      </c>
      <c r="AN306" s="99" t="s">
        <v>3411</v>
      </c>
      <c r="AO306" s="99" t="s">
        <v>405</v>
      </c>
      <c r="AP306" s="99" t="s">
        <v>2570</v>
      </c>
      <c r="AQ306" s="99" t="s">
        <v>3411</v>
      </c>
      <c r="AR306" s="99" t="s">
        <v>3411</v>
      </c>
      <c r="AS306" s="99" t="s">
        <v>1268</v>
      </c>
      <c r="AT306" s="99" t="s">
        <v>235</v>
      </c>
      <c r="AU306" s="99" t="s">
        <v>236</v>
      </c>
      <c r="AV306" s="99" t="s">
        <v>3570</v>
      </c>
      <c r="AW306" s="99" t="s">
        <v>406</v>
      </c>
      <c r="AX306" s="99" t="s">
        <v>3411</v>
      </c>
      <c r="AY306" s="99" t="s">
        <v>3411</v>
      </c>
      <c r="AZ306" s="99" t="s">
        <v>3411</v>
      </c>
      <c r="BA306" s="99" t="s">
        <v>4165</v>
      </c>
      <c r="BB306" s="99" t="s">
        <v>1269</v>
      </c>
      <c r="BC306" s="125">
        <v>63</v>
      </c>
      <c r="BD306" s="99" t="s">
        <v>3135</v>
      </c>
      <c r="BE306" s="99" t="s">
        <v>3136</v>
      </c>
    </row>
    <row r="307" spans="1:57" ht="12.95" customHeight="1">
      <c r="A307" s="124">
        <v>15</v>
      </c>
      <c r="B307" s="124">
        <v>550</v>
      </c>
      <c r="C307" s="99" t="s">
        <v>165</v>
      </c>
      <c r="D307" s="99" t="s">
        <v>1104</v>
      </c>
      <c r="E307" s="99" t="s">
        <v>2873</v>
      </c>
      <c r="F307" s="99" t="s">
        <v>1162</v>
      </c>
      <c r="G307" s="99" t="s">
        <v>1163</v>
      </c>
      <c r="H307" s="99" t="s">
        <v>1264</v>
      </c>
      <c r="I307" s="99" t="s">
        <v>1265</v>
      </c>
      <c r="J307" s="99" t="s">
        <v>1270</v>
      </c>
      <c r="K307" s="99" t="s">
        <v>245</v>
      </c>
      <c r="L307" s="99" t="s">
        <v>1271</v>
      </c>
      <c r="M307" s="99" t="s">
        <v>1</v>
      </c>
      <c r="N307" s="99" t="s">
        <v>3407</v>
      </c>
      <c r="O307" s="99" t="s">
        <v>114</v>
      </c>
      <c r="P307" s="99" t="s">
        <v>3422</v>
      </c>
      <c r="Q307" s="99" t="s">
        <v>169</v>
      </c>
      <c r="R307" s="99" t="s">
        <v>3571</v>
      </c>
      <c r="S307" s="99" t="s">
        <v>2648</v>
      </c>
      <c r="T307" s="99" t="s">
        <v>48</v>
      </c>
      <c r="U307" s="99" t="s">
        <v>3583</v>
      </c>
      <c r="V307" s="99" t="s">
        <v>513</v>
      </c>
      <c r="W307" s="99" t="s">
        <v>4166</v>
      </c>
      <c r="X307" s="99" t="s">
        <v>4166</v>
      </c>
      <c r="Y307" s="99" t="s">
        <v>4167</v>
      </c>
      <c r="Z307" s="99" t="s">
        <v>172</v>
      </c>
      <c r="AA307" s="99" t="s">
        <v>173</v>
      </c>
      <c r="AB307" s="99" t="s">
        <v>174</v>
      </c>
      <c r="AC307" s="99" t="s">
        <v>3411</v>
      </c>
      <c r="AD307" s="99" t="s">
        <v>175</v>
      </c>
      <c r="AE307" s="99" t="s">
        <v>3411</v>
      </c>
      <c r="AF307" s="99" t="s">
        <v>3411</v>
      </c>
      <c r="AG307" s="124">
        <v>386</v>
      </c>
      <c r="AH307" s="99" t="s">
        <v>3413</v>
      </c>
      <c r="AI307" s="125">
        <v>100</v>
      </c>
      <c r="AJ307" s="99" t="s">
        <v>176</v>
      </c>
      <c r="AK307" s="99" t="s">
        <v>4166</v>
      </c>
      <c r="AL307" s="99" t="s">
        <v>3411</v>
      </c>
      <c r="AM307" s="99" t="s">
        <v>177</v>
      </c>
      <c r="AN307" s="99" t="s">
        <v>3411</v>
      </c>
      <c r="AO307" s="99" t="s">
        <v>405</v>
      </c>
      <c r="AP307" s="99" t="s">
        <v>2570</v>
      </c>
      <c r="AQ307" s="99" t="s">
        <v>3411</v>
      </c>
      <c r="AR307" s="99" t="s">
        <v>242</v>
      </c>
      <c r="AS307" s="99" t="s">
        <v>1272</v>
      </c>
      <c r="AT307" s="99" t="s">
        <v>1</v>
      </c>
      <c r="AU307" s="99" t="s">
        <v>179</v>
      </c>
      <c r="AV307" s="99" t="s">
        <v>3570</v>
      </c>
      <c r="AW307" s="99" t="s">
        <v>406</v>
      </c>
      <c r="AX307" s="99" t="s">
        <v>3420</v>
      </c>
      <c r="AY307" s="99" t="s">
        <v>252</v>
      </c>
      <c r="AZ307" s="99" t="s">
        <v>3416</v>
      </c>
      <c r="BA307" s="99" t="s">
        <v>4100</v>
      </c>
      <c r="BB307" s="99" t="s">
        <v>1170</v>
      </c>
      <c r="BC307" s="125">
        <v>59</v>
      </c>
      <c r="BD307" s="99" t="s">
        <v>3135</v>
      </c>
      <c r="BE307" s="99" t="s">
        <v>3136</v>
      </c>
    </row>
    <row r="308" spans="1:57" ht="12.95" customHeight="1">
      <c r="A308" s="124">
        <v>15</v>
      </c>
      <c r="B308" s="124">
        <v>365</v>
      </c>
      <c r="C308" s="99" t="s">
        <v>165</v>
      </c>
      <c r="D308" s="99" t="s">
        <v>1104</v>
      </c>
      <c r="E308" s="99" t="s">
        <v>2873</v>
      </c>
      <c r="F308" s="99" t="s">
        <v>1162</v>
      </c>
      <c r="G308" s="99" t="s">
        <v>1163</v>
      </c>
      <c r="H308" s="99" t="s">
        <v>1264</v>
      </c>
      <c r="I308" s="99" t="s">
        <v>1265</v>
      </c>
      <c r="J308" s="99" t="s">
        <v>477</v>
      </c>
      <c r="K308" s="99" t="s">
        <v>1273</v>
      </c>
      <c r="L308" s="99" t="s">
        <v>1274</v>
      </c>
      <c r="M308" s="99" t="s">
        <v>1</v>
      </c>
      <c r="N308" s="99" t="s">
        <v>3407</v>
      </c>
      <c r="O308" s="99" t="s">
        <v>114</v>
      </c>
      <c r="P308" s="99" t="s">
        <v>3422</v>
      </c>
      <c r="Q308" s="99" t="s">
        <v>169</v>
      </c>
      <c r="R308" s="99" t="s">
        <v>3409</v>
      </c>
      <c r="S308" s="99" t="s">
        <v>2636</v>
      </c>
      <c r="T308" s="99" t="s">
        <v>48</v>
      </c>
      <c r="U308" s="99" t="s">
        <v>440</v>
      </c>
      <c r="V308" s="99" t="s">
        <v>441</v>
      </c>
      <c r="W308" s="99" t="s">
        <v>3483</v>
      </c>
      <c r="X308" s="99" t="s">
        <v>3483</v>
      </c>
      <c r="Y308" s="99" t="s">
        <v>4168</v>
      </c>
      <c r="Z308" s="99" t="s">
        <v>172</v>
      </c>
      <c r="AA308" s="99" t="s">
        <v>173</v>
      </c>
      <c r="AB308" s="99" t="s">
        <v>174</v>
      </c>
      <c r="AC308" s="99" t="s">
        <v>3411</v>
      </c>
      <c r="AD308" s="99" t="s">
        <v>175</v>
      </c>
      <c r="AE308" s="99" t="s">
        <v>3411</v>
      </c>
      <c r="AF308" s="99" t="s">
        <v>3411</v>
      </c>
      <c r="AG308" s="124">
        <v>265</v>
      </c>
      <c r="AH308" s="99" t="s">
        <v>3413</v>
      </c>
      <c r="AI308" s="125">
        <v>100</v>
      </c>
      <c r="AJ308" s="99" t="s">
        <v>176</v>
      </c>
      <c r="AK308" s="99" t="s">
        <v>3483</v>
      </c>
      <c r="AL308" s="99" t="s">
        <v>3411</v>
      </c>
      <c r="AM308" s="99" t="s">
        <v>4169</v>
      </c>
      <c r="AN308" s="99" t="s">
        <v>1275</v>
      </c>
      <c r="AO308" s="99" t="s">
        <v>178</v>
      </c>
      <c r="AP308" s="99" t="s">
        <v>2570</v>
      </c>
      <c r="AQ308" s="99" t="s">
        <v>3411</v>
      </c>
      <c r="AR308" s="99" t="s">
        <v>3411</v>
      </c>
      <c r="AS308" s="99" t="s">
        <v>1276</v>
      </c>
      <c r="AT308" s="99" t="s">
        <v>235</v>
      </c>
      <c r="AU308" s="99" t="s">
        <v>236</v>
      </c>
      <c r="AV308" s="99" t="s">
        <v>3414</v>
      </c>
      <c r="AW308" s="99" t="s">
        <v>180</v>
      </c>
      <c r="AX308" s="99" t="s">
        <v>3420</v>
      </c>
      <c r="AY308" s="99" t="s">
        <v>252</v>
      </c>
      <c r="AZ308" s="99" t="s">
        <v>3416</v>
      </c>
      <c r="BA308" s="99" t="s">
        <v>4165</v>
      </c>
      <c r="BB308" s="99" t="s">
        <v>1269</v>
      </c>
      <c r="BC308" s="125">
        <v>57</v>
      </c>
      <c r="BD308" s="99" t="s">
        <v>3135</v>
      </c>
      <c r="BE308" s="99" t="s">
        <v>3136</v>
      </c>
    </row>
    <row r="309" spans="1:57" ht="12.95" customHeight="1">
      <c r="A309" s="124">
        <v>15</v>
      </c>
      <c r="B309" s="124">
        <v>1910</v>
      </c>
      <c r="C309" s="99" t="s">
        <v>165</v>
      </c>
      <c r="D309" s="99" t="s">
        <v>1104</v>
      </c>
      <c r="E309" s="99" t="s">
        <v>2873</v>
      </c>
      <c r="F309" s="99" t="s">
        <v>1162</v>
      </c>
      <c r="G309" s="99" t="s">
        <v>1163</v>
      </c>
      <c r="H309" s="99" t="s">
        <v>1264</v>
      </c>
      <c r="I309" s="99" t="s">
        <v>1265</v>
      </c>
      <c r="J309" s="99" t="s">
        <v>1277</v>
      </c>
      <c r="K309" s="99" t="s">
        <v>1068</v>
      </c>
      <c r="L309" s="99" t="s">
        <v>1278</v>
      </c>
      <c r="M309" s="99" t="s">
        <v>5</v>
      </c>
      <c r="N309" s="99" t="s">
        <v>3407</v>
      </c>
      <c r="O309" s="99" t="s">
        <v>114</v>
      </c>
      <c r="P309" s="99" t="s">
        <v>3422</v>
      </c>
      <c r="Q309" s="99" t="s">
        <v>169</v>
      </c>
      <c r="R309" s="99" t="s">
        <v>3409</v>
      </c>
      <c r="S309" s="99" t="s">
        <v>2636</v>
      </c>
      <c r="T309" s="99" t="s">
        <v>48</v>
      </c>
      <c r="U309" s="99" t="s">
        <v>170</v>
      </c>
      <c r="V309" s="99" t="s">
        <v>171</v>
      </c>
      <c r="W309" s="99" t="s">
        <v>4170</v>
      </c>
      <c r="X309" s="99" t="s">
        <v>4170</v>
      </c>
      <c r="Y309" s="99" t="s">
        <v>4171</v>
      </c>
      <c r="Z309" s="99" t="s">
        <v>172</v>
      </c>
      <c r="AA309" s="99" t="s">
        <v>173</v>
      </c>
      <c r="AB309" s="99" t="s">
        <v>174</v>
      </c>
      <c r="AC309" s="99" t="s">
        <v>3411</v>
      </c>
      <c r="AD309" s="99" t="s">
        <v>175</v>
      </c>
      <c r="AE309" s="99" t="s">
        <v>3411</v>
      </c>
      <c r="AF309" s="99" t="s">
        <v>3411</v>
      </c>
      <c r="AG309" s="124">
        <v>1509</v>
      </c>
      <c r="AH309" s="99" t="s">
        <v>3413</v>
      </c>
      <c r="AI309" s="125">
        <v>100</v>
      </c>
      <c r="AJ309" s="99" t="s">
        <v>176</v>
      </c>
      <c r="AK309" s="99" t="s">
        <v>4170</v>
      </c>
      <c r="AL309" s="99" t="s">
        <v>3411</v>
      </c>
      <c r="AM309" s="99" t="s">
        <v>3480</v>
      </c>
      <c r="AN309" s="99" t="s">
        <v>233</v>
      </c>
      <c r="AO309" s="99" t="s">
        <v>178</v>
      </c>
      <c r="AP309" s="99" t="s">
        <v>2570</v>
      </c>
      <c r="AQ309" s="99" t="s">
        <v>3411</v>
      </c>
      <c r="AR309" s="99" t="s">
        <v>3411</v>
      </c>
      <c r="AS309" s="99" t="s">
        <v>1279</v>
      </c>
      <c r="AT309" s="99" t="s">
        <v>1</v>
      </c>
      <c r="AU309" s="99" t="s">
        <v>179</v>
      </c>
      <c r="AV309" s="99" t="s">
        <v>3414</v>
      </c>
      <c r="AW309" s="99" t="s">
        <v>180</v>
      </c>
      <c r="AX309" s="99" t="s">
        <v>3420</v>
      </c>
      <c r="AY309" s="99" t="s">
        <v>252</v>
      </c>
      <c r="AZ309" s="99" t="s">
        <v>3416</v>
      </c>
      <c r="BA309" s="99" t="s">
        <v>4165</v>
      </c>
      <c r="BB309" s="99" t="s">
        <v>1269</v>
      </c>
      <c r="BC309" s="125">
        <v>56</v>
      </c>
      <c r="BD309" s="99" t="s">
        <v>3135</v>
      </c>
      <c r="BE309" s="99" t="s">
        <v>3136</v>
      </c>
    </row>
    <row r="310" spans="1:57" ht="12.95" customHeight="1">
      <c r="A310" s="124">
        <v>15</v>
      </c>
      <c r="B310" s="124">
        <v>3108</v>
      </c>
      <c r="C310" s="99" t="s">
        <v>165</v>
      </c>
      <c r="D310" s="99" t="s">
        <v>1104</v>
      </c>
      <c r="E310" s="99" t="s">
        <v>2873</v>
      </c>
      <c r="F310" s="99" t="s">
        <v>1280</v>
      </c>
      <c r="G310" s="99" t="s">
        <v>3185</v>
      </c>
      <c r="H310" s="99" t="s">
        <v>4172</v>
      </c>
      <c r="I310" s="99" t="s">
        <v>1281</v>
      </c>
      <c r="J310" s="99" t="s">
        <v>1935</v>
      </c>
      <c r="K310" s="99" t="s">
        <v>393</v>
      </c>
      <c r="L310" s="99" t="s">
        <v>3045</v>
      </c>
      <c r="M310" s="99" t="s">
        <v>1</v>
      </c>
      <c r="N310" s="99" t="s">
        <v>3407</v>
      </c>
      <c r="O310" s="99" t="s">
        <v>114</v>
      </c>
      <c r="P310" s="99" t="s">
        <v>4173</v>
      </c>
      <c r="Q310" s="99" t="s">
        <v>169</v>
      </c>
      <c r="R310" s="99" t="s">
        <v>3409</v>
      </c>
      <c r="S310" s="99" t="s">
        <v>2636</v>
      </c>
      <c r="T310" s="99" t="s">
        <v>48</v>
      </c>
      <c r="U310" s="99" t="s">
        <v>410</v>
      </c>
      <c r="V310" s="99" t="s">
        <v>411</v>
      </c>
      <c r="W310" s="99" t="s">
        <v>4173</v>
      </c>
      <c r="X310" s="99" t="s">
        <v>4173</v>
      </c>
      <c r="Y310" s="99" t="s">
        <v>4174</v>
      </c>
      <c r="Z310" s="99" t="s">
        <v>172</v>
      </c>
      <c r="AA310" s="99" t="s">
        <v>173</v>
      </c>
      <c r="AB310" s="99" t="s">
        <v>174</v>
      </c>
      <c r="AC310" s="99" t="s">
        <v>3411</v>
      </c>
      <c r="AD310" s="99" t="s">
        <v>175</v>
      </c>
      <c r="AE310" s="99" t="s">
        <v>3411</v>
      </c>
      <c r="AF310" s="99" t="s">
        <v>3411</v>
      </c>
      <c r="AG310" s="124">
        <v>3108</v>
      </c>
      <c r="AH310" s="99" t="s">
        <v>3413</v>
      </c>
      <c r="AI310" s="125">
        <v>100</v>
      </c>
      <c r="AJ310" s="99" t="s">
        <v>176</v>
      </c>
      <c r="AK310" s="99" t="s">
        <v>4173</v>
      </c>
      <c r="AL310" s="99" t="s">
        <v>3411</v>
      </c>
      <c r="AM310" s="99" t="s">
        <v>177</v>
      </c>
      <c r="AN310" s="99" t="s">
        <v>3411</v>
      </c>
      <c r="AO310" s="99" t="s">
        <v>412</v>
      </c>
      <c r="AP310" s="99" t="s">
        <v>2570</v>
      </c>
      <c r="AQ310" s="99" t="s">
        <v>3411</v>
      </c>
      <c r="AR310" s="99" t="s">
        <v>3411</v>
      </c>
      <c r="AS310" s="99" t="s">
        <v>3046</v>
      </c>
      <c r="AT310" s="99" t="s">
        <v>1</v>
      </c>
      <c r="AU310" s="99" t="s">
        <v>179</v>
      </c>
      <c r="AV310" s="99" t="s">
        <v>3414</v>
      </c>
      <c r="AW310" s="99" t="s">
        <v>180</v>
      </c>
      <c r="AX310" s="99" t="s">
        <v>3420</v>
      </c>
      <c r="AY310" s="99" t="s">
        <v>252</v>
      </c>
      <c r="AZ310" s="99" t="s">
        <v>3416</v>
      </c>
      <c r="BA310" s="99" t="s">
        <v>4175</v>
      </c>
      <c r="BB310" s="99" t="s">
        <v>1285</v>
      </c>
      <c r="BC310" s="125">
        <v>26</v>
      </c>
      <c r="BD310" s="99" t="s">
        <v>3135</v>
      </c>
      <c r="BE310" s="99" t="s">
        <v>3136</v>
      </c>
    </row>
    <row r="311" spans="1:57" ht="12.95" customHeight="1">
      <c r="A311" s="124">
        <v>15</v>
      </c>
      <c r="B311" s="124">
        <v>2322</v>
      </c>
      <c r="C311" s="99" t="s">
        <v>165</v>
      </c>
      <c r="D311" s="99" t="s">
        <v>1104</v>
      </c>
      <c r="E311" s="99" t="s">
        <v>2873</v>
      </c>
      <c r="F311" s="99" t="s">
        <v>1280</v>
      </c>
      <c r="G311" s="99" t="s">
        <v>3185</v>
      </c>
      <c r="H311" s="99" t="s">
        <v>4172</v>
      </c>
      <c r="I311" s="99" t="s">
        <v>1281</v>
      </c>
      <c r="J311" s="99" t="s">
        <v>1303</v>
      </c>
      <c r="K311" s="99" t="s">
        <v>739</v>
      </c>
      <c r="L311" s="99" t="s">
        <v>1304</v>
      </c>
      <c r="M311" s="99" t="s">
        <v>1</v>
      </c>
      <c r="N311" s="99" t="s">
        <v>3407</v>
      </c>
      <c r="O311" s="99" t="s">
        <v>114</v>
      </c>
      <c r="P311" s="99" t="s">
        <v>3422</v>
      </c>
      <c r="Q311" s="99" t="s">
        <v>169</v>
      </c>
      <c r="R311" s="99" t="s">
        <v>3409</v>
      </c>
      <c r="S311" s="99" t="s">
        <v>2636</v>
      </c>
      <c r="T311" s="99" t="s">
        <v>48</v>
      </c>
      <c r="U311" s="99" t="s">
        <v>170</v>
      </c>
      <c r="V311" s="99" t="s">
        <v>171</v>
      </c>
      <c r="W311" s="99" t="s">
        <v>4176</v>
      </c>
      <c r="X311" s="99" t="s">
        <v>4176</v>
      </c>
      <c r="Y311" s="99" t="s">
        <v>4177</v>
      </c>
      <c r="Z311" s="99" t="s">
        <v>172</v>
      </c>
      <c r="AA311" s="99" t="s">
        <v>173</v>
      </c>
      <c r="AB311" s="99" t="s">
        <v>174</v>
      </c>
      <c r="AC311" s="99" t="s">
        <v>3411</v>
      </c>
      <c r="AD311" s="99" t="s">
        <v>175</v>
      </c>
      <c r="AE311" s="99" t="s">
        <v>3411</v>
      </c>
      <c r="AF311" s="99" t="s">
        <v>3411</v>
      </c>
      <c r="AG311" s="124">
        <v>1728</v>
      </c>
      <c r="AH311" s="99" t="s">
        <v>3413</v>
      </c>
      <c r="AI311" s="125">
        <v>100</v>
      </c>
      <c r="AJ311" s="99" t="s">
        <v>176</v>
      </c>
      <c r="AK311" s="99" t="s">
        <v>4176</v>
      </c>
      <c r="AL311" s="99" t="s">
        <v>3411</v>
      </c>
      <c r="AM311" s="99" t="s">
        <v>177</v>
      </c>
      <c r="AN311" s="99" t="s">
        <v>3411</v>
      </c>
      <c r="AO311" s="99" t="s">
        <v>403</v>
      </c>
      <c r="AP311" s="99" t="s">
        <v>2570</v>
      </c>
      <c r="AQ311" s="99" t="s">
        <v>3411</v>
      </c>
      <c r="AR311" s="99" t="s">
        <v>3411</v>
      </c>
      <c r="AS311" s="99" t="s">
        <v>1305</v>
      </c>
      <c r="AT311" s="99" t="s">
        <v>1</v>
      </c>
      <c r="AU311" s="99" t="s">
        <v>179</v>
      </c>
      <c r="AV311" s="99" t="s">
        <v>3414</v>
      </c>
      <c r="AW311" s="99" t="s">
        <v>180</v>
      </c>
      <c r="AX311" s="99" t="s">
        <v>3420</v>
      </c>
      <c r="AY311" s="99" t="s">
        <v>252</v>
      </c>
      <c r="AZ311" s="99" t="s">
        <v>3416</v>
      </c>
      <c r="BA311" s="99" t="s">
        <v>4175</v>
      </c>
      <c r="BB311" s="99" t="s">
        <v>1285</v>
      </c>
      <c r="BC311" s="125">
        <v>44</v>
      </c>
      <c r="BD311" s="99" t="s">
        <v>3135</v>
      </c>
      <c r="BE311" s="99" t="s">
        <v>3136</v>
      </c>
    </row>
    <row r="312" spans="1:57" ht="12.95" customHeight="1">
      <c r="A312" s="124">
        <v>15</v>
      </c>
      <c r="B312" s="124">
        <v>3138</v>
      </c>
      <c r="C312" s="99" t="s">
        <v>165</v>
      </c>
      <c r="D312" s="99" t="s">
        <v>1104</v>
      </c>
      <c r="E312" s="99" t="s">
        <v>2873</v>
      </c>
      <c r="F312" s="99" t="s">
        <v>1280</v>
      </c>
      <c r="G312" s="99" t="s">
        <v>3185</v>
      </c>
      <c r="H312" s="99" t="s">
        <v>4172</v>
      </c>
      <c r="I312" s="99" t="s">
        <v>1281</v>
      </c>
      <c r="J312" s="99" t="s">
        <v>3186</v>
      </c>
      <c r="K312" s="99" t="s">
        <v>2588</v>
      </c>
      <c r="L312" s="99" t="s">
        <v>3187</v>
      </c>
      <c r="M312" s="99" t="s">
        <v>1</v>
      </c>
      <c r="N312" s="99" t="s">
        <v>3407</v>
      </c>
      <c r="O312" s="99" t="s">
        <v>114</v>
      </c>
      <c r="P312" s="99" t="s">
        <v>4178</v>
      </c>
      <c r="Q312" s="99" t="s">
        <v>169</v>
      </c>
      <c r="R312" s="99" t="s">
        <v>3409</v>
      </c>
      <c r="S312" s="99" t="s">
        <v>2636</v>
      </c>
      <c r="T312" s="99" t="s">
        <v>48</v>
      </c>
      <c r="U312" s="99" t="s">
        <v>410</v>
      </c>
      <c r="V312" s="99" t="s">
        <v>411</v>
      </c>
      <c r="W312" s="99" t="s">
        <v>4178</v>
      </c>
      <c r="X312" s="99" t="s">
        <v>4178</v>
      </c>
      <c r="Y312" s="99" t="s">
        <v>4179</v>
      </c>
      <c r="Z312" s="99" t="s">
        <v>172</v>
      </c>
      <c r="AA312" s="99" t="s">
        <v>173</v>
      </c>
      <c r="AB312" s="99" t="s">
        <v>174</v>
      </c>
      <c r="AC312" s="99" t="s">
        <v>3411</v>
      </c>
      <c r="AD312" s="99" t="s">
        <v>175</v>
      </c>
      <c r="AE312" s="99" t="s">
        <v>3411</v>
      </c>
      <c r="AF312" s="99" t="s">
        <v>3411</v>
      </c>
      <c r="AG312" s="124">
        <v>3138</v>
      </c>
      <c r="AH312" s="99" t="s">
        <v>3413</v>
      </c>
      <c r="AI312" s="125">
        <v>100</v>
      </c>
      <c r="AJ312" s="99" t="s">
        <v>176</v>
      </c>
      <c r="AK312" s="99" t="s">
        <v>4178</v>
      </c>
      <c r="AL312" s="99" t="s">
        <v>3411</v>
      </c>
      <c r="AM312" s="99" t="s">
        <v>177</v>
      </c>
      <c r="AN312" s="99" t="s">
        <v>3411</v>
      </c>
      <c r="AO312" s="99" t="s">
        <v>412</v>
      </c>
      <c r="AP312" s="99" t="s">
        <v>2570</v>
      </c>
      <c r="AQ312" s="99" t="s">
        <v>3411</v>
      </c>
      <c r="AR312" s="99" t="s">
        <v>3411</v>
      </c>
      <c r="AS312" s="99" t="s">
        <v>3188</v>
      </c>
      <c r="AT312" s="99" t="s">
        <v>1</v>
      </c>
      <c r="AU312" s="99" t="s">
        <v>179</v>
      </c>
      <c r="AV312" s="99" t="s">
        <v>3414</v>
      </c>
      <c r="AW312" s="99" t="s">
        <v>180</v>
      </c>
      <c r="AX312" s="99" t="s">
        <v>3420</v>
      </c>
      <c r="AY312" s="99" t="s">
        <v>252</v>
      </c>
      <c r="AZ312" s="99" t="s">
        <v>3416</v>
      </c>
      <c r="BA312" s="99" t="s">
        <v>4175</v>
      </c>
      <c r="BB312" s="99" t="s">
        <v>1285</v>
      </c>
      <c r="BC312" s="125">
        <v>29</v>
      </c>
      <c r="BD312" s="99" t="s">
        <v>3135</v>
      </c>
      <c r="BE312" s="99" t="s">
        <v>3136</v>
      </c>
    </row>
    <row r="313" spans="1:57" ht="12.95" customHeight="1">
      <c r="A313" s="124">
        <v>15</v>
      </c>
      <c r="B313" s="124">
        <v>3079</v>
      </c>
      <c r="C313" s="99" t="s">
        <v>165</v>
      </c>
      <c r="D313" s="99" t="s">
        <v>1104</v>
      </c>
      <c r="E313" s="99" t="s">
        <v>2873</v>
      </c>
      <c r="F313" s="99" t="s">
        <v>1280</v>
      </c>
      <c r="G313" s="99" t="s">
        <v>3185</v>
      </c>
      <c r="H313" s="99" t="s">
        <v>4172</v>
      </c>
      <c r="I313" s="99" t="s">
        <v>1281</v>
      </c>
      <c r="J313" s="99" t="s">
        <v>2918</v>
      </c>
      <c r="K313" s="99" t="s">
        <v>776</v>
      </c>
      <c r="L313" s="99" t="s">
        <v>2919</v>
      </c>
      <c r="M313" s="99" t="s">
        <v>1</v>
      </c>
      <c r="N313" s="99" t="s">
        <v>3407</v>
      </c>
      <c r="O313" s="99" t="s">
        <v>114</v>
      </c>
      <c r="P313" s="99" t="s">
        <v>4180</v>
      </c>
      <c r="Q313" s="99" t="s">
        <v>169</v>
      </c>
      <c r="R313" s="99" t="s">
        <v>3409</v>
      </c>
      <c r="S313" s="99" t="s">
        <v>2636</v>
      </c>
      <c r="T313" s="99" t="s">
        <v>48</v>
      </c>
      <c r="U313" s="99" t="s">
        <v>184</v>
      </c>
      <c r="V313" s="99" t="s">
        <v>185</v>
      </c>
      <c r="W313" s="99" t="s">
        <v>4180</v>
      </c>
      <c r="X313" s="99" t="s">
        <v>4180</v>
      </c>
      <c r="Y313" s="99" t="s">
        <v>4181</v>
      </c>
      <c r="Z313" s="99" t="s">
        <v>172</v>
      </c>
      <c r="AA313" s="99" t="s">
        <v>173</v>
      </c>
      <c r="AB313" s="99" t="s">
        <v>174</v>
      </c>
      <c r="AC313" s="99" t="s">
        <v>3411</v>
      </c>
      <c r="AD313" s="99" t="s">
        <v>175</v>
      </c>
      <c r="AE313" s="99" t="s">
        <v>3411</v>
      </c>
      <c r="AF313" s="99" t="s">
        <v>3411</v>
      </c>
      <c r="AG313" s="124">
        <v>3079</v>
      </c>
      <c r="AH313" s="99" t="s">
        <v>3413</v>
      </c>
      <c r="AI313" s="125">
        <v>100</v>
      </c>
      <c r="AJ313" s="99" t="s">
        <v>176</v>
      </c>
      <c r="AK313" s="99" t="s">
        <v>4180</v>
      </c>
      <c r="AL313" s="99" t="s">
        <v>3411</v>
      </c>
      <c r="AM313" s="99" t="s">
        <v>177</v>
      </c>
      <c r="AN313" s="99" t="s">
        <v>3411</v>
      </c>
      <c r="AO313" s="99" t="s">
        <v>412</v>
      </c>
      <c r="AP313" s="99" t="s">
        <v>2570</v>
      </c>
      <c r="AQ313" s="99" t="s">
        <v>3411</v>
      </c>
      <c r="AR313" s="99" t="s">
        <v>3411</v>
      </c>
      <c r="AS313" s="99" t="s">
        <v>2920</v>
      </c>
      <c r="AT313" s="99" t="s">
        <v>1</v>
      </c>
      <c r="AU313" s="99" t="s">
        <v>179</v>
      </c>
      <c r="AV313" s="99" t="s">
        <v>3414</v>
      </c>
      <c r="AW313" s="99" t="s">
        <v>180</v>
      </c>
      <c r="AX313" s="99" t="s">
        <v>3420</v>
      </c>
      <c r="AY313" s="99" t="s">
        <v>252</v>
      </c>
      <c r="AZ313" s="99" t="s">
        <v>3416</v>
      </c>
      <c r="BA313" s="99" t="s">
        <v>4175</v>
      </c>
      <c r="BB313" s="99" t="s">
        <v>1285</v>
      </c>
      <c r="BC313" s="125">
        <v>32</v>
      </c>
      <c r="BD313" s="99" t="s">
        <v>3135</v>
      </c>
      <c r="BE313" s="99" t="s">
        <v>3136</v>
      </c>
    </row>
    <row r="314" spans="1:57" ht="12.95" customHeight="1">
      <c r="A314" s="124">
        <v>15</v>
      </c>
      <c r="B314" s="124">
        <v>1103</v>
      </c>
      <c r="C314" s="99" t="s">
        <v>165</v>
      </c>
      <c r="D314" s="99" t="s">
        <v>1104</v>
      </c>
      <c r="E314" s="99" t="s">
        <v>2873</v>
      </c>
      <c r="F314" s="99" t="s">
        <v>1280</v>
      </c>
      <c r="G314" s="99" t="s">
        <v>3185</v>
      </c>
      <c r="H314" s="99" t="s">
        <v>1286</v>
      </c>
      <c r="I314" s="99" t="s">
        <v>3235</v>
      </c>
      <c r="J314" s="99" t="s">
        <v>1287</v>
      </c>
      <c r="K314" s="99" t="s">
        <v>278</v>
      </c>
      <c r="L314" s="99" t="s">
        <v>1288</v>
      </c>
      <c r="M314" s="99" t="s">
        <v>5</v>
      </c>
      <c r="N314" s="99" t="s">
        <v>3454</v>
      </c>
      <c r="O314" s="99" t="s">
        <v>70</v>
      </c>
      <c r="P314" s="99" t="s">
        <v>4077</v>
      </c>
      <c r="Q314" s="99" t="s">
        <v>247</v>
      </c>
      <c r="R314" s="99" t="s">
        <v>3409</v>
      </c>
      <c r="S314" s="99" t="s">
        <v>2636</v>
      </c>
      <c r="T314" s="99" t="s">
        <v>52</v>
      </c>
      <c r="U314" s="99" t="s">
        <v>427</v>
      </c>
      <c r="V314" s="99" t="s">
        <v>428</v>
      </c>
      <c r="W314" s="99" t="s">
        <v>4182</v>
      </c>
      <c r="X314" s="99" t="s">
        <v>4182</v>
      </c>
      <c r="Y314" s="99" t="s">
        <v>4183</v>
      </c>
      <c r="Z314" s="99" t="s">
        <v>172</v>
      </c>
      <c r="AA314" s="99" t="s">
        <v>173</v>
      </c>
      <c r="AB314" s="99" t="s">
        <v>174</v>
      </c>
      <c r="AC314" s="99" t="s">
        <v>3411</v>
      </c>
      <c r="AD314" s="99" t="s">
        <v>175</v>
      </c>
      <c r="AE314" s="99" t="s">
        <v>3411</v>
      </c>
      <c r="AF314" s="99" t="s">
        <v>3411</v>
      </c>
      <c r="AG314" s="124">
        <v>867</v>
      </c>
      <c r="AH314" s="99" t="s">
        <v>3413</v>
      </c>
      <c r="AI314" s="125">
        <v>100</v>
      </c>
      <c r="AJ314" s="99" t="s">
        <v>176</v>
      </c>
      <c r="AK314" s="99" t="s">
        <v>4182</v>
      </c>
      <c r="AL314" s="99" t="s">
        <v>3411</v>
      </c>
      <c r="AM314" s="99" t="s">
        <v>177</v>
      </c>
      <c r="AN314" s="99" t="s">
        <v>3411</v>
      </c>
      <c r="AO314" s="99" t="s">
        <v>403</v>
      </c>
      <c r="AP314" s="99" t="s">
        <v>2570</v>
      </c>
      <c r="AQ314" s="99" t="s">
        <v>3411</v>
      </c>
      <c r="AR314" s="99" t="s">
        <v>3411</v>
      </c>
      <c r="AS314" s="99" t="s">
        <v>1289</v>
      </c>
      <c r="AT314" s="99" t="s">
        <v>1</v>
      </c>
      <c r="AU314" s="99" t="s">
        <v>179</v>
      </c>
      <c r="AV314" s="99" t="s">
        <v>3414</v>
      </c>
      <c r="AW314" s="99" t="s">
        <v>180</v>
      </c>
      <c r="AX314" s="99" t="s">
        <v>3420</v>
      </c>
      <c r="AY314" s="99" t="s">
        <v>252</v>
      </c>
      <c r="AZ314" s="99" t="s">
        <v>3416</v>
      </c>
      <c r="BA314" s="99" t="s">
        <v>4175</v>
      </c>
      <c r="BB314" s="99" t="s">
        <v>1285</v>
      </c>
      <c r="BC314" s="125">
        <v>55</v>
      </c>
      <c r="BD314" s="99" t="s">
        <v>3135</v>
      </c>
      <c r="BE314" s="99" t="s">
        <v>3136</v>
      </c>
    </row>
    <row r="315" spans="1:57" ht="12.95" customHeight="1">
      <c r="A315" s="124">
        <v>15</v>
      </c>
      <c r="B315" s="124">
        <v>2172</v>
      </c>
      <c r="C315" s="99" t="s">
        <v>165</v>
      </c>
      <c r="D315" s="99" t="s">
        <v>1104</v>
      </c>
      <c r="E315" s="99" t="s">
        <v>2873</v>
      </c>
      <c r="F315" s="99" t="s">
        <v>1280</v>
      </c>
      <c r="G315" s="99" t="s">
        <v>3185</v>
      </c>
      <c r="H315" s="99" t="s">
        <v>1286</v>
      </c>
      <c r="I315" s="99" t="s">
        <v>3235</v>
      </c>
      <c r="J315" s="99" t="s">
        <v>1290</v>
      </c>
      <c r="K315" s="99" t="s">
        <v>527</v>
      </c>
      <c r="L315" s="99" t="s">
        <v>1291</v>
      </c>
      <c r="M315" s="99" t="s">
        <v>5</v>
      </c>
      <c r="N315" s="99" t="s">
        <v>3454</v>
      </c>
      <c r="O315" s="99" t="s">
        <v>70</v>
      </c>
      <c r="P315" s="99" t="s">
        <v>4111</v>
      </c>
      <c r="Q315" s="99" t="s">
        <v>247</v>
      </c>
      <c r="R315" s="99" t="s">
        <v>3409</v>
      </c>
      <c r="S315" s="99" t="s">
        <v>2636</v>
      </c>
      <c r="T315" s="99" t="s">
        <v>48</v>
      </c>
      <c r="U315" s="99" t="s">
        <v>170</v>
      </c>
      <c r="V315" s="99" t="s">
        <v>171</v>
      </c>
      <c r="W315" s="99" t="s">
        <v>4184</v>
      </c>
      <c r="X315" s="99" t="s">
        <v>4184</v>
      </c>
      <c r="Y315" s="99" t="s">
        <v>4185</v>
      </c>
      <c r="Z315" s="99" t="s">
        <v>172</v>
      </c>
      <c r="AA315" s="99" t="s">
        <v>173</v>
      </c>
      <c r="AB315" s="99" t="s">
        <v>174</v>
      </c>
      <c r="AC315" s="99" t="s">
        <v>3411</v>
      </c>
      <c r="AD315" s="99" t="s">
        <v>175</v>
      </c>
      <c r="AE315" s="99" t="s">
        <v>3411</v>
      </c>
      <c r="AF315" s="99" t="s">
        <v>3411</v>
      </c>
      <c r="AG315" s="124">
        <v>1636</v>
      </c>
      <c r="AH315" s="99" t="s">
        <v>3413</v>
      </c>
      <c r="AI315" s="125">
        <v>100</v>
      </c>
      <c r="AJ315" s="99" t="s">
        <v>176</v>
      </c>
      <c r="AK315" s="99" t="s">
        <v>4184</v>
      </c>
      <c r="AL315" s="99" t="s">
        <v>3411</v>
      </c>
      <c r="AM315" s="99" t="s">
        <v>4186</v>
      </c>
      <c r="AN315" s="99" t="s">
        <v>1292</v>
      </c>
      <c r="AO315" s="99" t="s">
        <v>403</v>
      </c>
      <c r="AP315" s="99" t="s">
        <v>2570</v>
      </c>
      <c r="AQ315" s="99" t="s">
        <v>3411</v>
      </c>
      <c r="AR315" s="99" t="s">
        <v>210</v>
      </c>
      <c r="AS315" s="99" t="s">
        <v>1293</v>
      </c>
      <c r="AT315" s="99" t="s">
        <v>1</v>
      </c>
      <c r="AU315" s="99" t="s">
        <v>179</v>
      </c>
      <c r="AV315" s="99" t="s">
        <v>3414</v>
      </c>
      <c r="AW315" s="99" t="s">
        <v>180</v>
      </c>
      <c r="AX315" s="99" t="s">
        <v>3420</v>
      </c>
      <c r="AY315" s="99" t="s">
        <v>252</v>
      </c>
      <c r="AZ315" s="99" t="s">
        <v>3416</v>
      </c>
      <c r="BA315" s="99" t="s">
        <v>4187</v>
      </c>
      <c r="BB315" s="99" t="s">
        <v>3151</v>
      </c>
      <c r="BC315" s="125">
        <v>52</v>
      </c>
      <c r="BD315" s="99" t="s">
        <v>3135</v>
      </c>
      <c r="BE315" s="99" t="s">
        <v>3136</v>
      </c>
    </row>
    <row r="316" spans="1:57" ht="12.95" customHeight="1">
      <c r="A316" s="124">
        <v>15</v>
      </c>
      <c r="B316" s="124">
        <v>1564</v>
      </c>
      <c r="C316" s="99" t="s">
        <v>165</v>
      </c>
      <c r="D316" s="99" t="s">
        <v>1104</v>
      </c>
      <c r="E316" s="99" t="s">
        <v>2873</v>
      </c>
      <c r="F316" s="99" t="s">
        <v>1280</v>
      </c>
      <c r="G316" s="99" t="s">
        <v>3185</v>
      </c>
      <c r="H316" s="99" t="s">
        <v>1298</v>
      </c>
      <c r="I316" s="99" t="s">
        <v>1299</v>
      </c>
      <c r="J316" s="99" t="s">
        <v>1300</v>
      </c>
      <c r="K316" s="99" t="s">
        <v>888</v>
      </c>
      <c r="L316" s="99" t="s">
        <v>1301</v>
      </c>
      <c r="M316" s="99" t="s">
        <v>1</v>
      </c>
      <c r="N316" s="99" t="s">
        <v>3407</v>
      </c>
      <c r="O316" s="99" t="s">
        <v>114</v>
      </c>
      <c r="P316" s="99" t="s">
        <v>3422</v>
      </c>
      <c r="Q316" s="99" t="s">
        <v>169</v>
      </c>
      <c r="R316" s="99" t="s">
        <v>3409</v>
      </c>
      <c r="S316" s="99" t="s">
        <v>2636</v>
      </c>
      <c r="T316" s="99" t="s">
        <v>48</v>
      </c>
      <c r="U316" s="99" t="s">
        <v>170</v>
      </c>
      <c r="V316" s="99" t="s">
        <v>171</v>
      </c>
      <c r="W316" s="99" t="s">
        <v>3648</v>
      </c>
      <c r="X316" s="99" t="s">
        <v>3648</v>
      </c>
      <c r="Y316" s="99" t="s">
        <v>4188</v>
      </c>
      <c r="Z316" s="99" t="s">
        <v>172</v>
      </c>
      <c r="AA316" s="99" t="s">
        <v>173</v>
      </c>
      <c r="AB316" s="99" t="s">
        <v>174</v>
      </c>
      <c r="AC316" s="99" t="s">
        <v>3411</v>
      </c>
      <c r="AD316" s="99" t="s">
        <v>175</v>
      </c>
      <c r="AE316" s="99" t="s">
        <v>3411</v>
      </c>
      <c r="AF316" s="99" t="s">
        <v>3411</v>
      </c>
      <c r="AG316" s="124">
        <v>1234</v>
      </c>
      <c r="AH316" s="99" t="s">
        <v>3413</v>
      </c>
      <c r="AI316" s="125">
        <v>100</v>
      </c>
      <c r="AJ316" s="99" t="s">
        <v>176</v>
      </c>
      <c r="AK316" s="99" t="s">
        <v>3648</v>
      </c>
      <c r="AL316" s="99" t="s">
        <v>3411</v>
      </c>
      <c r="AM316" s="99" t="s">
        <v>177</v>
      </c>
      <c r="AN316" s="99" t="s">
        <v>3411</v>
      </c>
      <c r="AO316" s="99" t="s">
        <v>178</v>
      </c>
      <c r="AP316" s="99" t="s">
        <v>2570</v>
      </c>
      <c r="AQ316" s="99" t="s">
        <v>3411</v>
      </c>
      <c r="AR316" s="99" t="s">
        <v>3411</v>
      </c>
      <c r="AS316" s="99" t="s">
        <v>1302</v>
      </c>
      <c r="AT316" s="99" t="s">
        <v>1</v>
      </c>
      <c r="AU316" s="99" t="s">
        <v>179</v>
      </c>
      <c r="AV316" s="99" t="s">
        <v>3414</v>
      </c>
      <c r="AW316" s="99" t="s">
        <v>180</v>
      </c>
      <c r="AX316" s="99" t="s">
        <v>3420</v>
      </c>
      <c r="AY316" s="99" t="s">
        <v>252</v>
      </c>
      <c r="AZ316" s="99" t="s">
        <v>3416</v>
      </c>
      <c r="BA316" s="99" t="s">
        <v>4175</v>
      </c>
      <c r="BB316" s="99" t="s">
        <v>1285</v>
      </c>
      <c r="BC316" s="125">
        <v>52</v>
      </c>
      <c r="BD316" s="99" t="s">
        <v>3135</v>
      </c>
      <c r="BE316" s="99" t="s">
        <v>3136</v>
      </c>
    </row>
    <row r="317" spans="1:57" ht="12.95" customHeight="1">
      <c r="A317" s="124">
        <v>15</v>
      </c>
      <c r="B317" s="124">
        <v>1425</v>
      </c>
      <c r="C317" s="99" t="s">
        <v>165</v>
      </c>
      <c r="D317" s="99" t="s">
        <v>1104</v>
      </c>
      <c r="E317" s="99" t="s">
        <v>2873</v>
      </c>
      <c r="F317" s="99" t="s">
        <v>1280</v>
      </c>
      <c r="G317" s="99" t="s">
        <v>3185</v>
      </c>
      <c r="H317" s="99" t="s">
        <v>1298</v>
      </c>
      <c r="I317" s="99" t="s">
        <v>1299</v>
      </c>
      <c r="J317" s="99" t="s">
        <v>1306</v>
      </c>
      <c r="K317" s="99" t="s">
        <v>1307</v>
      </c>
      <c r="L317" s="99" t="s">
        <v>1308</v>
      </c>
      <c r="M317" s="99" t="s">
        <v>1</v>
      </c>
      <c r="N317" s="99" t="s">
        <v>3454</v>
      </c>
      <c r="O317" s="99" t="s">
        <v>70</v>
      </c>
      <c r="P317" s="99" t="s">
        <v>4077</v>
      </c>
      <c r="Q317" s="99" t="s">
        <v>247</v>
      </c>
      <c r="R317" s="99" t="s">
        <v>3409</v>
      </c>
      <c r="S317" s="99" t="s">
        <v>2636</v>
      </c>
      <c r="T317" s="99" t="s">
        <v>48</v>
      </c>
      <c r="U317" s="99" t="s">
        <v>170</v>
      </c>
      <c r="V317" s="99" t="s">
        <v>171</v>
      </c>
      <c r="W317" s="99" t="s">
        <v>4189</v>
      </c>
      <c r="X317" s="99" t="s">
        <v>4189</v>
      </c>
      <c r="Y317" s="99" t="s">
        <v>4190</v>
      </c>
      <c r="Z317" s="99" t="s">
        <v>172</v>
      </c>
      <c r="AA317" s="99" t="s">
        <v>173</v>
      </c>
      <c r="AB317" s="99" t="s">
        <v>174</v>
      </c>
      <c r="AC317" s="99" t="s">
        <v>3411</v>
      </c>
      <c r="AD317" s="99" t="s">
        <v>175</v>
      </c>
      <c r="AE317" s="99" t="s">
        <v>3411</v>
      </c>
      <c r="AF317" s="99" t="s">
        <v>3411</v>
      </c>
      <c r="AG317" s="124">
        <v>1127</v>
      </c>
      <c r="AH317" s="99" t="s">
        <v>3413</v>
      </c>
      <c r="AI317" s="125">
        <v>100</v>
      </c>
      <c r="AJ317" s="99" t="s">
        <v>176</v>
      </c>
      <c r="AK317" s="99" t="s">
        <v>4191</v>
      </c>
      <c r="AL317" s="99" t="s">
        <v>3411</v>
      </c>
      <c r="AM317" s="99" t="s">
        <v>177</v>
      </c>
      <c r="AN317" s="99" t="s">
        <v>3411</v>
      </c>
      <c r="AO317" s="99" t="s">
        <v>403</v>
      </c>
      <c r="AP317" s="99" t="s">
        <v>2570</v>
      </c>
      <c r="AQ317" s="99" t="s">
        <v>3411</v>
      </c>
      <c r="AR317" s="99" t="s">
        <v>3411</v>
      </c>
      <c r="AS317" s="99" t="s">
        <v>1309</v>
      </c>
      <c r="AT317" s="99" t="s">
        <v>1</v>
      </c>
      <c r="AU317" s="99" t="s">
        <v>179</v>
      </c>
      <c r="AV317" s="99" t="s">
        <v>3414</v>
      </c>
      <c r="AW317" s="99" t="s">
        <v>180</v>
      </c>
      <c r="AX317" s="99" t="s">
        <v>3420</v>
      </c>
      <c r="AY317" s="99" t="s">
        <v>252</v>
      </c>
      <c r="AZ317" s="99" t="s">
        <v>3416</v>
      </c>
      <c r="BA317" s="99" t="s">
        <v>4175</v>
      </c>
      <c r="BB317" s="99" t="s">
        <v>1285</v>
      </c>
      <c r="BC317" s="125">
        <v>50</v>
      </c>
      <c r="BD317" s="99" t="s">
        <v>3135</v>
      </c>
      <c r="BE317" s="99" t="s">
        <v>3136</v>
      </c>
    </row>
    <row r="318" spans="1:57" ht="12.95" customHeight="1">
      <c r="A318" s="124">
        <v>15</v>
      </c>
      <c r="B318" s="124">
        <v>2150</v>
      </c>
      <c r="C318" s="99" t="s">
        <v>165</v>
      </c>
      <c r="D318" s="99" t="s">
        <v>1104</v>
      </c>
      <c r="E318" s="99" t="s">
        <v>2873</v>
      </c>
      <c r="F318" s="99" t="s">
        <v>1280</v>
      </c>
      <c r="G318" s="99" t="s">
        <v>3185</v>
      </c>
      <c r="H318" s="99" t="s">
        <v>1298</v>
      </c>
      <c r="I318" s="99" t="s">
        <v>1299</v>
      </c>
      <c r="J318" s="99" t="s">
        <v>1310</v>
      </c>
      <c r="K318" s="99" t="s">
        <v>278</v>
      </c>
      <c r="L318" s="99" t="s">
        <v>1311</v>
      </c>
      <c r="M318" s="99" t="s">
        <v>5</v>
      </c>
      <c r="N318" s="99" t="s">
        <v>3407</v>
      </c>
      <c r="O318" s="99" t="s">
        <v>114</v>
      </c>
      <c r="P318" s="99" t="s">
        <v>3422</v>
      </c>
      <c r="Q318" s="99" t="s">
        <v>169</v>
      </c>
      <c r="R318" s="99" t="s">
        <v>3409</v>
      </c>
      <c r="S318" s="99" t="s">
        <v>2636</v>
      </c>
      <c r="T318" s="99" t="s">
        <v>48</v>
      </c>
      <c r="U318" s="99" t="s">
        <v>170</v>
      </c>
      <c r="V318" s="99" t="s">
        <v>171</v>
      </c>
      <c r="W318" s="99" t="s">
        <v>4192</v>
      </c>
      <c r="X318" s="99" t="s">
        <v>4192</v>
      </c>
      <c r="Y318" s="99" t="s">
        <v>4193</v>
      </c>
      <c r="Z318" s="99" t="s">
        <v>172</v>
      </c>
      <c r="AA318" s="99" t="s">
        <v>173</v>
      </c>
      <c r="AB318" s="99" t="s">
        <v>174</v>
      </c>
      <c r="AC318" s="99" t="s">
        <v>3411</v>
      </c>
      <c r="AD318" s="99" t="s">
        <v>175</v>
      </c>
      <c r="AE318" s="99" t="s">
        <v>3411</v>
      </c>
      <c r="AF318" s="99" t="s">
        <v>3411</v>
      </c>
      <c r="AG318" s="124">
        <v>1622</v>
      </c>
      <c r="AH318" s="99" t="s">
        <v>3413</v>
      </c>
      <c r="AI318" s="125">
        <v>100</v>
      </c>
      <c r="AJ318" s="99" t="s">
        <v>176</v>
      </c>
      <c r="AK318" s="99" t="s">
        <v>4192</v>
      </c>
      <c r="AL318" s="99" t="s">
        <v>3411</v>
      </c>
      <c r="AM318" s="99" t="s">
        <v>177</v>
      </c>
      <c r="AN318" s="99" t="s">
        <v>3411</v>
      </c>
      <c r="AO318" s="99" t="s">
        <v>403</v>
      </c>
      <c r="AP318" s="99" t="s">
        <v>2570</v>
      </c>
      <c r="AQ318" s="99" t="s">
        <v>3411</v>
      </c>
      <c r="AR318" s="99" t="s">
        <v>3411</v>
      </c>
      <c r="AS318" s="99" t="s">
        <v>1312</v>
      </c>
      <c r="AT318" s="99" t="s">
        <v>1</v>
      </c>
      <c r="AU318" s="99" t="s">
        <v>179</v>
      </c>
      <c r="AV318" s="99" t="s">
        <v>3414</v>
      </c>
      <c r="AW318" s="99" t="s">
        <v>180</v>
      </c>
      <c r="AX318" s="99" t="s">
        <v>3420</v>
      </c>
      <c r="AY318" s="99" t="s">
        <v>252</v>
      </c>
      <c r="AZ318" s="99" t="s">
        <v>3416</v>
      </c>
      <c r="BA318" s="99" t="s">
        <v>4175</v>
      </c>
      <c r="BB318" s="99" t="s">
        <v>1285</v>
      </c>
      <c r="BC318" s="125">
        <v>49</v>
      </c>
      <c r="BD318" s="99" t="s">
        <v>3135</v>
      </c>
      <c r="BE318" s="99" t="s">
        <v>3136</v>
      </c>
    </row>
    <row r="319" spans="1:57" ht="12.95" customHeight="1">
      <c r="A319" s="124">
        <v>15</v>
      </c>
      <c r="B319" s="124">
        <v>1686</v>
      </c>
      <c r="C319" s="99" t="s">
        <v>165</v>
      </c>
      <c r="D319" s="99" t="s">
        <v>1104</v>
      </c>
      <c r="E319" s="99" t="s">
        <v>2873</v>
      </c>
      <c r="F319" s="99" t="s">
        <v>1280</v>
      </c>
      <c r="G319" s="99" t="s">
        <v>3185</v>
      </c>
      <c r="H319" s="99" t="s">
        <v>1298</v>
      </c>
      <c r="I319" s="99" t="s">
        <v>1299</v>
      </c>
      <c r="J319" s="99" t="s">
        <v>1313</v>
      </c>
      <c r="K319" s="99" t="s">
        <v>623</v>
      </c>
      <c r="L319" s="99" t="s">
        <v>1314</v>
      </c>
      <c r="M319" s="99" t="s">
        <v>5</v>
      </c>
      <c r="N319" s="99" t="s">
        <v>3407</v>
      </c>
      <c r="O319" s="99" t="s">
        <v>114</v>
      </c>
      <c r="P319" s="99" t="s">
        <v>3422</v>
      </c>
      <c r="Q319" s="99" t="s">
        <v>169</v>
      </c>
      <c r="R319" s="99" t="s">
        <v>3409</v>
      </c>
      <c r="S319" s="99" t="s">
        <v>2636</v>
      </c>
      <c r="T319" s="99" t="s">
        <v>52</v>
      </c>
      <c r="U319" s="99" t="s">
        <v>427</v>
      </c>
      <c r="V319" s="99" t="s">
        <v>428</v>
      </c>
      <c r="W319" s="99" t="s">
        <v>4022</v>
      </c>
      <c r="X319" s="99" t="s">
        <v>4022</v>
      </c>
      <c r="Y319" s="99" t="s">
        <v>4194</v>
      </c>
      <c r="Z319" s="99" t="s">
        <v>172</v>
      </c>
      <c r="AA319" s="99" t="s">
        <v>173</v>
      </c>
      <c r="AB319" s="99" t="s">
        <v>174</v>
      </c>
      <c r="AC319" s="99" t="s">
        <v>3411</v>
      </c>
      <c r="AD319" s="99" t="s">
        <v>175</v>
      </c>
      <c r="AE319" s="99" t="s">
        <v>3411</v>
      </c>
      <c r="AF319" s="99" t="s">
        <v>3411</v>
      </c>
      <c r="AG319" s="124">
        <v>1343</v>
      </c>
      <c r="AH319" s="99" t="s">
        <v>3413</v>
      </c>
      <c r="AI319" s="125">
        <v>100</v>
      </c>
      <c r="AJ319" s="99" t="s">
        <v>176</v>
      </c>
      <c r="AK319" s="99" t="s">
        <v>4022</v>
      </c>
      <c r="AL319" s="99" t="s">
        <v>3411</v>
      </c>
      <c r="AM319" s="99" t="s">
        <v>177</v>
      </c>
      <c r="AN319" s="99" t="s">
        <v>3411</v>
      </c>
      <c r="AO319" s="99" t="s">
        <v>403</v>
      </c>
      <c r="AP319" s="99" t="s">
        <v>2570</v>
      </c>
      <c r="AQ319" s="99" t="s">
        <v>3411</v>
      </c>
      <c r="AR319" s="99" t="s">
        <v>3411</v>
      </c>
      <c r="AS319" s="99" t="s">
        <v>1315</v>
      </c>
      <c r="AT319" s="99" t="s">
        <v>1</v>
      </c>
      <c r="AU319" s="99" t="s">
        <v>179</v>
      </c>
      <c r="AV319" s="99" t="s">
        <v>3414</v>
      </c>
      <c r="AW319" s="99" t="s">
        <v>180</v>
      </c>
      <c r="AX319" s="99" t="s">
        <v>3420</v>
      </c>
      <c r="AY319" s="99" t="s">
        <v>252</v>
      </c>
      <c r="AZ319" s="99" t="s">
        <v>3416</v>
      </c>
      <c r="BA319" s="99" t="s">
        <v>4175</v>
      </c>
      <c r="BB319" s="99" t="s">
        <v>1285</v>
      </c>
      <c r="BC319" s="125">
        <v>53</v>
      </c>
      <c r="BD319" s="99" t="s">
        <v>3135</v>
      </c>
      <c r="BE319" s="99" t="s">
        <v>3136</v>
      </c>
    </row>
    <row r="320" spans="1:57" ht="12.95" customHeight="1">
      <c r="A320" s="124">
        <v>15</v>
      </c>
      <c r="B320" s="124">
        <v>2213</v>
      </c>
      <c r="C320" s="99" t="s">
        <v>165</v>
      </c>
      <c r="D320" s="99" t="s">
        <v>1104</v>
      </c>
      <c r="E320" s="99" t="s">
        <v>2873</v>
      </c>
      <c r="F320" s="99" t="s">
        <v>1280</v>
      </c>
      <c r="G320" s="99" t="s">
        <v>3185</v>
      </c>
      <c r="H320" s="99" t="s">
        <v>1298</v>
      </c>
      <c r="I320" s="99" t="s">
        <v>1299</v>
      </c>
      <c r="J320" s="99" t="s">
        <v>1282</v>
      </c>
      <c r="K320" s="99" t="s">
        <v>527</v>
      </c>
      <c r="L320" s="99" t="s">
        <v>1283</v>
      </c>
      <c r="M320" s="99" t="s">
        <v>5</v>
      </c>
      <c r="N320" s="99" t="s">
        <v>3454</v>
      </c>
      <c r="O320" s="99" t="s">
        <v>70</v>
      </c>
      <c r="P320" s="99" t="s">
        <v>4077</v>
      </c>
      <c r="Q320" s="99" t="s">
        <v>247</v>
      </c>
      <c r="R320" s="99" t="s">
        <v>3409</v>
      </c>
      <c r="S320" s="99" t="s">
        <v>2636</v>
      </c>
      <c r="T320" s="99" t="s">
        <v>48</v>
      </c>
      <c r="U320" s="99" t="s">
        <v>170</v>
      </c>
      <c r="V320" s="99" t="s">
        <v>171</v>
      </c>
      <c r="W320" s="99" t="s">
        <v>3745</v>
      </c>
      <c r="X320" s="99" t="s">
        <v>3745</v>
      </c>
      <c r="Y320" s="99" t="s">
        <v>4195</v>
      </c>
      <c r="Z320" s="99" t="s">
        <v>172</v>
      </c>
      <c r="AA320" s="99" t="s">
        <v>173</v>
      </c>
      <c r="AB320" s="99" t="s">
        <v>174</v>
      </c>
      <c r="AC320" s="99" t="s">
        <v>3411</v>
      </c>
      <c r="AD320" s="99" t="s">
        <v>175</v>
      </c>
      <c r="AE320" s="99" t="s">
        <v>3411</v>
      </c>
      <c r="AF320" s="99" t="s">
        <v>3411</v>
      </c>
      <c r="AG320" s="124">
        <v>1665</v>
      </c>
      <c r="AH320" s="99" t="s">
        <v>3413</v>
      </c>
      <c r="AI320" s="125">
        <v>100</v>
      </c>
      <c r="AJ320" s="99" t="s">
        <v>176</v>
      </c>
      <c r="AK320" s="99" t="s">
        <v>3745</v>
      </c>
      <c r="AL320" s="99" t="s">
        <v>3411</v>
      </c>
      <c r="AM320" s="99" t="s">
        <v>177</v>
      </c>
      <c r="AN320" s="99" t="s">
        <v>3411</v>
      </c>
      <c r="AO320" s="99" t="s">
        <v>403</v>
      </c>
      <c r="AP320" s="99" t="s">
        <v>2570</v>
      </c>
      <c r="AQ320" s="99" t="s">
        <v>3411</v>
      </c>
      <c r="AR320" s="99" t="s">
        <v>3411</v>
      </c>
      <c r="AS320" s="99" t="s">
        <v>1284</v>
      </c>
      <c r="AT320" s="99" t="s">
        <v>1</v>
      </c>
      <c r="AU320" s="99" t="s">
        <v>179</v>
      </c>
      <c r="AV320" s="99" t="s">
        <v>3414</v>
      </c>
      <c r="AW320" s="99" t="s">
        <v>180</v>
      </c>
      <c r="AX320" s="99" t="s">
        <v>3420</v>
      </c>
      <c r="AY320" s="99" t="s">
        <v>252</v>
      </c>
      <c r="AZ320" s="99" t="s">
        <v>3416</v>
      </c>
      <c r="BA320" s="99" t="s">
        <v>4175</v>
      </c>
      <c r="BB320" s="99" t="s">
        <v>1285</v>
      </c>
      <c r="BC320" s="125">
        <v>48</v>
      </c>
      <c r="BD320" s="99" t="s">
        <v>3135</v>
      </c>
      <c r="BE320" s="99" t="s">
        <v>3136</v>
      </c>
    </row>
    <row r="321" spans="1:57" ht="12.95" customHeight="1">
      <c r="A321" s="124">
        <v>15</v>
      </c>
      <c r="B321" s="124">
        <v>3072</v>
      </c>
      <c r="C321" s="99" t="s">
        <v>165</v>
      </c>
      <c r="D321" s="99" t="s">
        <v>1104</v>
      </c>
      <c r="E321" s="99" t="s">
        <v>2873</v>
      </c>
      <c r="F321" s="99" t="s">
        <v>1280</v>
      </c>
      <c r="G321" s="99" t="s">
        <v>3185</v>
      </c>
      <c r="H321" s="99" t="s">
        <v>1298</v>
      </c>
      <c r="I321" s="99" t="s">
        <v>1299</v>
      </c>
      <c r="J321" s="99" t="s">
        <v>2904</v>
      </c>
      <c r="K321" s="99" t="s">
        <v>2905</v>
      </c>
      <c r="L321" s="99" t="s">
        <v>2906</v>
      </c>
      <c r="M321" s="99" t="s">
        <v>1</v>
      </c>
      <c r="N321" s="99" t="s">
        <v>3407</v>
      </c>
      <c r="O321" s="99" t="s">
        <v>114</v>
      </c>
      <c r="P321" s="99" t="s">
        <v>4196</v>
      </c>
      <c r="Q321" s="99" t="s">
        <v>169</v>
      </c>
      <c r="R321" s="99" t="s">
        <v>3409</v>
      </c>
      <c r="S321" s="99" t="s">
        <v>2636</v>
      </c>
      <c r="T321" s="99" t="s">
        <v>48</v>
      </c>
      <c r="U321" s="99" t="s">
        <v>410</v>
      </c>
      <c r="V321" s="99" t="s">
        <v>411</v>
      </c>
      <c r="W321" s="99" t="s">
        <v>4196</v>
      </c>
      <c r="X321" s="99" t="s">
        <v>4196</v>
      </c>
      <c r="Y321" s="99" t="s">
        <v>4197</v>
      </c>
      <c r="Z321" s="99" t="s">
        <v>172</v>
      </c>
      <c r="AA321" s="99" t="s">
        <v>173</v>
      </c>
      <c r="AB321" s="99" t="s">
        <v>174</v>
      </c>
      <c r="AC321" s="99" t="s">
        <v>3411</v>
      </c>
      <c r="AD321" s="99" t="s">
        <v>175</v>
      </c>
      <c r="AE321" s="99" t="s">
        <v>3411</v>
      </c>
      <c r="AF321" s="99" t="s">
        <v>3411</v>
      </c>
      <c r="AG321" s="124">
        <v>3072</v>
      </c>
      <c r="AH321" s="99" t="s">
        <v>3413</v>
      </c>
      <c r="AI321" s="125">
        <v>100</v>
      </c>
      <c r="AJ321" s="99" t="s">
        <v>176</v>
      </c>
      <c r="AK321" s="99" t="s">
        <v>4196</v>
      </c>
      <c r="AL321" s="99" t="s">
        <v>3411</v>
      </c>
      <c r="AM321" s="99" t="s">
        <v>177</v>
      </c>
      <c r="AN321" s="99" t="s">
        <v>3411</v>
      </c>
      <c r="AO321" s="99" t="s">
        <v>412</v>
      </c>
      <c r="AP321" s="99" t="s">
        <v>2570</v>
      </c>
      <c r="AQ321" s="99" t="s">
        <v>3411</v>
      </c>
      <c r="AR321" s="99" t="s">
        <v>3411</v>
      </c>
      <c r="AS321" s="99" t="s">
        <v>2907</v>
      </c>
      <c r="AT321" s="99" t="s">
        <v>235</v>
      </c>
      <c r="AU321" s="99" t="s">
        <v>236</v>
      </c>
      <c r="AV321" s="99" t="s">
        <v>3414</v>
      </c>
      <c r="AW321" s="99" t="s">
        <v>180</v>
      </c>
      <c r="AX321" s="99" t="s">
        <v>3420</v>
      </c>
      <c r="AY321" s="99" t="s">
        <v>252</v>
      </c>
      <c r="AZ321" s="99" t="s">
        <v>3416</v>
      </c>
      <c r="BA321" s="99" t="s">
        <v>4175</v>
      </c>
      <c r="BB321" s="99" t="s">
        <v>1285</v>
      </c>
      <c r="BC321" s="125">
        <v>30</v>
      </c>
      <c r="BD321" s="99" t="s">
        <v>3135</v>
      </c>
      <c r="BE321" s="99" t="s">
        <v>3136</v>
      </c>
    </row>
    <row r="322" spans="1:57" ht="12.95" customHeight="1">
      <c r="A322" s="124">
        <v>15</v>
      </c>
      <c r="B322" s="124">
        <v>3144</v>
      </c>
      <c r="C322" s="99" t="s">
        <v>165</v>
      </c>
      <c r="D322" s="99" t="s">
        <v>1104</v>
      </c>
      <c r="E322" s="99" t="s">
        <v>2873</v>
      </c>
      <c r="F322" s="99" t="s">
        <v>1280</v>
      </c>
      <c r="G322" s="99" t="s">
        <v>3185</v>
      </c>
      <c r="H322" s="99" t="s">
        <v>1316</v>
      </c>
      <c r="I322" s="99" t="s">
        <v>1317</v>
      </c>
      <c r="J322" s="99" t="s">
        <v>3236</v>
      </c>
      <c r="K322" s="99" t="s">
        <v>1590</v>
      </c>
      <c r="L322" s="99" t="s">
        <v>3237</v>
      </c>
      <c r="M322" s="99" t="s">
        <v>1</v>
      </c>
      <c r="N322" s="99" t="s">
        <v>3407</v>
      </c>
      <c r="O322" s="99" t="s">
        <v>114</v>
      </c>
      <c r="P322" s="99" t="s">
        <v>4036</v>
      </c>
      <c r="Q322" s="99" t="s">
        <v>169</v>
      </c>
      <c r="R322" s="99" t="s">
        <v>3409</v>
      </c>
      <c r="S322" s="99" t="s">
        <v>2636</v>
      </c>
      <c r="T322" s="99" t="s">
        <v>48</v>
      </c>
      <c r="U322" s="99" t="s">
        <v>410</v>
      </c>
      <c r="V322" s="99" t="s">
        <v>411</v>
      </c>
      <c r="W322" s="99" t="s">
        <v>4036</v>
      </c>
      <c r="X322" s="99" t="s">
        <v>4036</v>
      </c>
      <c r="Y322" s="99" t="s">
        <v>4198</v>
      </c>
      <c r="Z322" s="99" t="s">
        <v>172</v>
      </c>
      <c r="AA322" s="99" t="s">
        <v>173</v>
      </c>
      <c r="AB322" s="99" t="s">
        <v>316</v>
      </c>
      <c r="AC322" s="99" t="s">
        <v>3411</v>
      </c>
      <c r="AD322" s="99" t="s">
        <v>175</v>
      </c>
      <c r="AE322" s="99" t="s">
        <v>3411</v>
      </c>
      <c r="AF322" s="99" t="s">
        <v>3411</v>
      </c>
      <c r="AG322" s="124">
        <v>3144</v>
      </c>
      <c r="AH322" s="99" t="s">
        <v>3413</v>
      </c>
      <c r="AI322" s="125">
        <v>100</v>
      </c>
      <c r="AJ322" s="99" t="s">
        <v>176</v>
      </c>
      <c r="AK322" s="99" t="s">
        <v>4036</v>
      </c>
      <c r="AL322" s="99" t="s">
        <v>3411</v>
      </c>
      <c r="AM322" s="99" t="s">
        <v>177</v>
      </c>
      <c r="AN322" s="99" t="s">
        <v>3411</v>
      </c>
      <c r="AO322" s="99" t="s">
        <v>412</v>
      </c>
      <c r="AP322" s="99" t="s">
        <v>2570</v>
      </c>
      <c r="AQ322" s="99" t="s">
        <v>3411</v>
      </c>
      <c r="AR322" s="99" t="s">
        <v>3411</v>
      </c>
      <c r="AS322" s="99" t="s">
        <v>3238</v>
      </c>
      <c r="AT322" s="99" t="s">
        <v>1</v>
      </c>
      <c r="AU322" s="99" t="s">
        <v>179</v>
      </c>
      <c r="AV322" s="99" t="s">
        <v>3414</v>
      </c>
      <c r="AW322" s="99" t="s">
        <v>180</v>
      </c>
      <c r="AX322" s="99" t="s">
        <v>3420</v>
      </c>
      <c r="AY322" s="99" t="s">
        <v>252</v>
      </c>
      <c r="AZ322" s="99" t="s">
        <v>3416</v>
      </c>
      <c r="BA322" s="99" t="s">
        <v>4175</v>
      </c>
      <c r="BB322" s="99" t="s">
        <v>1285</v>
      </c>
      <c r="BC322" s="125">
        <v>28</v>
      </c>
      <c r="BD322" s="99" t="s">
        <v>3135</v>
      </c>
      <c r="BE322" s="99" t="s">
        <v>3136</v>
      </c>
    </row>
    <row r="323" spans="1:57" ht="12.95" customHeight="1">
      <c r="A323" s="124">
        <v>15</v>
      </c>
      <c r="B323" s="124">
        <v>2144</v>
      </c>
      <c r="C323" s="99" t="s">
        <v>165</v>
      </c>
      <c r="D323" s="99" t="s">
        <v>1104</v>
      </c>
      <c r="E323" s="99" t="s">
        <v>2873</v>
      </c>
      <c r="F323" s="99" t="s">
        <v>1280</v>
      </c>
      <c r="G323" s="99" t="s">
        <v>3185</v>
      </c>
      <c r="H323" s="99" t="s">
        <v>1316</v>
      </c>
      <c r="I323" s="99" t="s">
        <v>1317</v>
      </c>
      <c r="J323" s="99" t="s">
        <v>1318</v>
      </c>
      <c r="K323" s="99" t="s">
        <v>799</v>
      </c>
      <c r="L323" s="99" t="s">
        <v>1319</v>
      </c>
      <c r="M323" s="99" t="s">
        <v>5</v>
      </c>
      <c r="N323" s="99" t="s">
        <v>3407</v>
      </c>
      <c r="O323" s="99" t="s">
        <v>114</v>
      </c>
      <c r="P323" s="99" t="s">
        <v>3422</v>
      </c>
      <c r="Q323" s="99" t="s">
        <v>169</v>
      </c>
      <c r="R323" s="99" t="s">
        <v>3427</v>
      </c>
      <c r="S323" s="99" t="s">
        <v>2635</v>
      </c>
      <c r="T323" s="99" t="s">
        <v>58</v>
      </c>
      <c r="U323" s="99" t="s">
        <v>187</v>
      </c>
      <c r="V323" s="99" t="s">
        <v>188</v>
      </c>
      <c r="W323" s="99" t="s">
        <v>4199</v>
      </c>
      <c r="X323" s="99" t="s">
        <v>4199</v>
      </c>
      <c r="Y323" s="99" t="s">
        <v>4200</v>
      </c>
      <c r="Z323" s="99" t="s">
        <v>172</v>
      </c>
      <c r="AA323" s="99" t="s">
        <v>173</v>
      </c>
      <c r="AB323" s="99" t="s">
        <v>174</v>
      </c>
      <c r="AC323" s="99" t="s">
        <v>3411</v>
      </c>
      <c r="AD323" s="99" t="s">
        <v>175</v>
      </c>
      <c r="AE323" s="99" t="s">
        <v>3411</v>
      </c>
      <c r="AF323" s="99" t="s">
        <v>3411</v>
      </c>
      <c r="AG323" s="124">
        <v>1618</v>
      </c>
      <c r="AH323" s="99" t="s">
        <v>3413</v>
      </c>
      <c r="AI323" s="125">
        <v>100</v>
      </c>
      <c r="AJ323" s="99" t="s">
        <v>176</v>
      </c>
      <c r="AK323" s="99" t="s">
        <v>4199</v>
      </c>
      <c r="AL323" s="99" t="s">
        <v>3411</v>
      </c>
      <c r="AM323" s="99" t="s">
        <v>177</v>
      </c>
      <c r="AN323" s="99" t="s">
        <v>3411</v>
      </c>
      <c r="AO323" s="99" t="s">
        <v>189</v>
      </c>
      <c r="AP323" s="99" t="s">
        <v>2570</v>
      </c>
      <c r="AQ323" s="99" t="s">
        <v>3411</v>
      </c>
      <c r="AR323" s="99" t="s">
        <v>3411</v>
      </c>
      <c r="AS323" s="99" t="s">
        <v>1320</v>
      </c>
      <c r="AT323" s="99" t="s">
        <v>190</v>
      </c>
      <c r="AU323" s="99" t="s">
        <v>191</v>
      </c>
      <c r="AV323" s="99" t="s">
        <v>3414</v>
      </c>
      <c r="AW323" s="99" t="s">
        <v>180</v>
      </c>
      <c r="AX323" s="99" t="s">
        <v>3420</v>
      </c>
      <c r="AY323" s="99" t="s">
        <v>252</v>
      </c>
      <c r="AZ323" s="99" t="s">
        <v>3430</v>
      </c>
      <c r="BA323" s="99" t="s">
        <v>4033</v>
      </c>
      <c r="BB323" s="99" t="s">
        <v>1110</v>
      </c>
      <c r="BC323" s="125">
        <v>57</v>
      </c>
      <c r="BD323" s="99" t="s">
        <v>3135</v>
      </c>
      <c r="BE323" s="99" t="s">
        <v>3136</v>
      </c>
    </row>
    <row r="324" spans="1:57" ht="12.95" customHeight="1">
      <c r="A324" s="124">
        <v>15</v>
      </c>
      <c r="B324" s="124">
        <v>2431</v>
      </c>
      <c r="C324" s="99" t="s">
        <v>165</v>
      </c>
      <c r="D324" s="99" t="s">
        <v>1104</v>
      </c>
      <c r="E324" s="99" t="s">
        <v>2873</v>
      </c>
      <c r="F324" s="99" t="s">
        <v>1280</v>
      </c>
      <c r="G324" s="99" t="s">
        <v>3185</v>
      </c>
      <c r="H324" s="99" t="s">
        <v>1321</v>
      </c>
      <c r="I324" s="99" t="s">
        <v>1322</v>
      </c>
      <c r="J324" s="99" t="s">
        <v>1323</v>
      </c>
      <c r="K324" s="99" t="s">
        <v>472</v>
      </c>
      <c r="L324" s="99" t="s">
        <v>1324</v>
      </c>
      <c r="M324" s="99" t="s">
        <v>5</v>
      </c>
      <c r="N324" s="99" t="s">
        <v>3407</v>
      </c>
      <c r="O324" s="99" t="s">
        <v>114</v>
      </c>
      <c r="P324" s="99" t="s">
        <v>3422</v>
      </c>
      <c r="Q324" s="99" t="s">
        <v>169</v>
      </c>
      <c r="R324" s="99" t="s">
        <v>3409</v>
      </c>
      <c r="S324" s="99" t="s">
        <v>2636</v>
      </c>
      <c r="T324" s="99" t="s">
        <v>48</v>
      </c>
      <c r="U324" s="99" t="s">
        <v>170</v>
      </c>
      <c r="V324" s="99" t="s">
        <v>171</v>
      </c>
      <c r="W324" s="99" t="s">
        <v>4201</v>
      </c>
      <c r="X324" s="99" t="s">
        <v>4201</v>
      </c>
      <c r="Y324" s="99" t="s">
        <v>4202</v>
      </c>
      <c r="Z324" s="99" t="s">
        <v>172</v>
      </c>
      <c r="AA324" s="99" t="s">
        <v>173</v>
      </c>
      <c r="AB324" s="99" t="s">
        <v>174</v>
      </c>
      <c r="AC324" s="99" t="s">
        <v>3411</v>
      </c>
      <c r="AD324" s="99" t="s">
        <v>175</v>
      </c>
      <c r="AE324" s="99" t="s">
        <v>3411</v>
      </c>
      <c r="AF324" s="99" t="s">
        <v>3411</v>
      </c>
      <c r="AG324" s="124">
        <v>2431</v>
      </c>
      <c r="AH324" s="99" t="s">
        <v>3413</v>
      </c>
      <c r="AI324" s="125">
        <v>100</v>
      </c>
      <c r="AJ324" s="99" t="s">
        <v>176</v>
      </c>
      <c r="AK324" s="99" t="s">
        <v>4201</v>
      </c>
      <c r="AL324" s="99" t="s">
        <v>3411</v>
      </c>
      <c r="AM324" s="99" t="s">
        <v>177</v>
      </c>
      <c r="AN324" s="99" t="s">
        <v>3411</v>
      </c>
      <c r="AO324" s="99" t="s">
        <v>178</v>
      </c>
      <c r="AP324" s="99" t="s">
        <v>2570</v>
      </c>
      <c r="AQ324" s="99" t="s">
        <v>3411</v>
      </c>
      <c r="AR324" s="99" t="s">
        <v>3411</v>
      </c>
      <c r="AS324" s="99" t="s">
        <v>1325</v>
      </c>
      <c r="AT324" s="99" t="s">
        <v>1</v>
      </c>
      <c r="AU324" s="99" t="s">
        <v>179</v>
      </c>
      <c r="AV324" s="99" t="s">
        <v>3414</v>
      </c>
      <c r="AW324" s="99" t="s">
        <v>180</v>
      </c>
      <c r="AX324" s="99" t="s">
        <v>3420</v>
      </c>
      <c r="AY324" s="99" t="s">
        <v>252</v>
      </c>
      <c r="AZ324" s="99" t="s">
        <v>3416</v>
      </c>
      <c r="BA324" s="99" t="s">
        <v>4175</v>
      </c>
      <c r="BB324" s="99" t="s">
        <v>1285</v>
      </c>
      <c r="BC324" s="125">
        <v>45</v>
      </c>
      <c r="BD324" s="99" t="s">
        <v>3135</v>
      </c>
      <c r="BE324" s="99" t="s">
        <v>3136</v>
      </c>
    </row>
    <row r="325" spans="1:57" ht="12.95" customHeight="1">
      <c r="A325" s="124">
        <v>15</v>
      </c>
      <c r="B325" s="124">
        <v>1596</v>
      </c>
      <c r="C325" s="99" t="s">
        <v>165</v>
      </c>
      <c r="D325" s="99" t="s">
        <v>1104</v>
      </c>
      <c r="E325" s="99" t="s">
        <v>2873</v>
      </c>
      <c r="F325" s="99" t="s">
        <v>1280</v>
      </c>
      <c r="G325" s="99" t="s">
        <v>3185</v>
      </c>
      <c r="H325" s="99" t="s">
        <v>1321</v>
      </c>
      <c r="I325" s="99" t="s">
        <v>1322</v>
      </c>
      <c r="J325" s="99" t="s">
        <v>1326</v>
      </c>
      <c r="K325" s="99" t="s">
        <v>398</v>
      </c>
      <c r="L325" s="99" t="s">
        <v>1327</v>
      </c>
      <c r="M325" s="99" t="s">
        <v>5</v>
      </c>
      <c r="N325" s="99" t="s">
        <v>3454</v>
      </c>
      <c r="O325" s="99" t="s">
        <v>70</v>
      </c>
      <c r="P325" s="99" t="s">
        <v>4077</v>
      </c>
      <c r="Q325" s="99" t="s">
        <v>247</v>
      </c>
      <c r="R325" s="99" t="s">
        <v>3409</v>
      </c>
      <c r="S325" s="99" t="s">
        <v>2636</v>
      </c>
      <c r="T325" s="99" t="s">
        <v>48</v>
      </c>
      <c r="U325" s="99" t="s">
        <v>170</v>
      </c>
      <c r="V325" s="99" t="s">
        <v>171</v>
      </c>
      <c r="W325" s="99" t="s">
        <v>3716</v>
      </c>
      <c r="X325" s="99" t="s">
        <v>3716</v>
      </c>
      <c r="Y325" s="99" t="s">
        <v>4203</v>
      </c>
      <c r="Z325" s="99" t="s">
        <v>172</v>
      </c>
      <c r="AA325" s="99" t="s">
        <v>173</v>
      </c>
      <c r="AB325" s="99" t="s">
        <v>174</v>
      </c>
      <c r="AC325" s="99" t="s">
        <v>3411</v>
      </c>
      <c r="AD325" s="99" t="s">
        <v>175</v>
      </c>
      <c r="AE325" s="99" t="s">
        <v>3411</v>
      </c>
      <c r="AF325" s="99" t="s">
        <v>3411</v>
      </c>
      <c r="AG325" s="124">
        <v>1265</v>
      </c>
      <c r="AH325" s="99" t="s">
        <v>3413</v>
      </c>
      <c r="AI325" s="125">
        <v>100</v>
      </c>
      <c r="AJ325" s="99" t="s">
        <v>176</v>
      </c>
      <c r="AK325" s="99" t="s">
        <v>3716</v>
      </c>
      <c r="AL325" s="99" t="s">
        <v>3411</v>
      </c>
      <c r="AM325" s="99" t="s">
        <v>177</v>
      </c>
      <c r="AN325" s="99" t="s">
        <v>3411</v>
      </c>
      <c r="AO325" s="99" t="s">
        <v>403</v>
      </c>
      <c r="AP325" s="99" t="s">
        <v>2570</v>
      </c>
      <c r="AQ325" s="99" t="s">
        <v>3411</v>
      </c>
      <c r="AR325" s="99" t="s">
        <v>3411</v>
      </c>
      <c r="AS325" s="99" t="s">
        <v>1328</v>
      </c>
      <c r="AT325" s="99" t="s">
        <v>1</v>
      </c>
      <c r="AU325" s="99" t="s">
        <v>179</v>
      </c>
      <c r="AV325" s="99" t="s">
        <v>3414</v>
      </c>
      <c r="AW325" s="99" t="s">
        <v>180</v>
      </c>
      <c r="AX325" s="99" t="s">
        <v>3420</v>
      </c>
      <c r="AY325" s="99" t="s">
        <v>252</v>
      </c>
      <c r="AZ325" s="99" t="s">
        <v>3416</v>
      </c>
      <c r="BA325" s="99" t="s">
        <v>4175</v>
      </c>
      <c r="BB325" s="99" t="s">
        <v>1285</v>
      </c>
      <c r="BC325" s="125">
        <v>54</v>
      </c>
      <c r="BD325" s="99" t="s">
        <v>3135</v>
      </c>
      <c r="BE325" s="99" t="s">
        <v>3136</v>
      </c>
    </row>
    <row r="326" spans="1:57" ht="12.95" customHeight="1">
      <c r="A326" s="124">
        <v>15</v>
      </c>
      <c r="B326" s="124">
        <v>3127</v>
      </c>
      <c r="C326" s="99" t="s">
        <v>165</v>
      </c>
      <c r="D326" s="99" t="s">
        <v>1104</v>
      </c>
      <c r="E326" s="99" t="s">
        <v>2873</v>
      </c>
      <c r="F326" s="99" t="s">
        <v>1280</v>
      </c>
      <c r="G326" s="99" t="s">
        <v>3185</v>
      </c>
      <c r="H326" s="99" t="s">
        <v>1321</v>
      </c>
      <c r="I326" s="99" t="s">
        <v>1322</v>
      </c>
      <c r="J326" s="99" t="s">
        <v>3118</v>
      </c>
      <c r="K326" s="99" t="s">
        <v>1735</v>
      </c>
      <c r="L326" s="99" t="s">
        <v>3119</v>
      </c>
      <c r="M326" s="99" t="s">
        <v>1</v>
      </c>
      <c r="N326" s="99" t="s">
        <v>3407</v>
      </c>
      <c r="O326" s="99" t="s">
        <v>114</v>
      </c>
      <c r="P326" s="99" t="s">
        <v>3866</v>
      </c>
      <c r="Q326" s="99" t="s">
        <v>169</v>
      </c>
      <c r="R326" s="99" t="s">
        <v>3409</v>
      </c>
      <c r="S326" s="99" t="s">
        <v>2636</v>
      </c>
      <c r="T326" s="99" t="s">
        <v>48</v>
      </c>
      <c r="U326" s="99" t="s">
        <v>170</v>
      </c>
      <c r="V326" s="99" t="s">
        <v>171</v>
      </c>
      <c r="W326" s="99" t="s">
        <v>3866</v>
      </c>
      <c r="X326" s="99" t="s">
        <v>3866</v>
      </c>
      <c r="Y326" s="99" t="s">
        <v>4204</v>
      </c>
      <c r="Z326" s="99" t="s">
        <v>172</v>
      </c>
      <c r="AA326" s="99" t="s">
        <v>173</v>
      </c>
      <c r="AB326" s="99" t="s">
        <v>174</v>
      </c>
      <c r="AC326" s="99" t="s">
        <v>3411</v>
      </c>
      <c r="AD326" s="99" t="s">
        <v>175</v>
      </c>
      <c r="AE326" s="99" t="s">
        <v>3411</v>
      </c>
      <c r="AF326" s="99" t="s">
        <v>3411</v>
      </c>
      <c r="AG326" s="124">
        <v>3127</v>
      </c>
      <c r="AH326" s="99" t="s">
        <v>3413</v>
      </c>
      <c r="AI326" s="125">
        <v>100</v>
      </c>
      <c r="AJ326" s="99" t="s">
        <v>176</v>
      </c>
      <c r="AK326" s="99" t="s">
        <v>3866</v>
      </c>
      <c r="AL326" s="99" t="s">
        <v>3411</v>
      </c>
      <c r="AM326" s="99" t="s">
        <v>177</v>
      </c>
      <c r="AN326" s="99" t="s">
        <v>3411</v>
      </c>
      <c r="AO326" s="99" t="s">
        <v>412</v>
      </c>
      <c r="AP326" s="99" t="s">
        <v>2570</v>
      </c>
      <c r="AQ326" s="99" t="s">
        <v>3411</v>
      </c>
      <c r="AR326" s="99" t="s">
        <v>3411</v>
      </c>
      <c r="AS326" s="99" t="s">
        <v>3120</v>
      </c>
      <c r="AT326" s="99" t="s">
        <v>1</v>
      </c>
      <c r="AU326" s="99" t="s">
        <v>179</v>
      </c>
      <c r="AV326" s="99" t="s">
        <v>3414</v>
      </c>
      <c r="AW326" s="99" t="s">
        <v>180</v>
      </c>
      <c r="AX326" s="99" t="s">
        <v>3420</v>
      </c>
      <c r="AY326" s="99" t="s">
        <v>252</v>
      </c>
      <c r="AZ326" s="99" t="s">
        <v>3416</v>
      </c>
      <c r="BA326" s="99" t="s">
        <v>4175</v>
      </c>
      <c r="BB326" s="99" t="s">
        <v>1285</v>
      </c>
      <c r="BC326" s="125">
        <v>32</v>
      </c>
      <c r="BD326" s="99" t="s">
        <v>3135</v>
      </c>
      <c r="BE326" s="99" t="s">
        <v>3136</v>
      </c>
    </row>
    <row r="327" spans="1:57" ht="12.95" customHeight="1">
      <c r="A327" s="124">
        <v>15</v>
      </c>
      <c r="B327" s="124">
        <v>2093</v>
      </c>
      <c r="C327" s="99" t="s">
        <v>165</v>
      </c>
      <c r="D327" s="99" t="s">
        <v>1104</v>
      </c>
      <c r="E327" s="99" t="s">
        <v>2873</v>
      </c>
      <c r="F327" s="99" t="s">
        <v>1280</v>
      </c>
      <c r="G327" s="99" t="s">
        <v>3185</v>
      </c>
      <c r="H327" s="99" t="s">
        <v>1321</v>
      </c>
      <c r="I327" s="99" t="s">
        <v>1322</v>
      </c>
      <c r="J327" s="99" t="s">
        <v>1329</v>
      </c>
      <c r="K327" s="99" t="s">
        <v>230</v>
      </c>
      <c r="L327" s="99" t="s">
        <v>1330</v>
      </c>
      <c r="M327" s="99" t="s">
        <v>5</v>
      </c>
      <c r="N327" s="99" t="s">
        <v>3407</v>
      </c>
      <c r="O327" s="99" t="s">
        <v>114</v>
      </c>
      <c r="P327" s="99" t="s">
        <v>3422</v>
      </c>
      <c r="Q327" s="99" t="s">
        <v>169</v>
      </c>
      <c r="R327" s="99" t="s">
        <v>3409</v>
      </c>
      <c r="S327" s="99" t="s">
        <v>2636</v>
      </c>
      <c r="T327" s="99" t="s">
        <v>52</v>
      </c>
      <c r="U327" s="99" t="s">
        <v>427</v>
      </c>
      <c r="V327" s="99" t="s">
        <v>428</v>
      </c>
      <c r="W327" s="99" t="s">
        <v>4205</v>
      </c>
      <c r="X327" s="99" t="s">
        <v>4205</v>
      </c>
      <c r="Y327" s="99" t="s">
        <v>4206</v>
      </c>
      <c r="Z327" s="99" t="s">
        <v>172</v>
      </c>
      <c r="AA327" s="99" t="s">
        <v>173</v>
      </c>
      <c r="AB327" s="99" t="s">
        <v>174</v>
      </c>
      <c r="AC327" s="99" t="s">
        <v>3411</v>
      </c>
      <c r="AD327" s="99" t="s">
        <v>175</v>
      </c>
      <c r="AE327" s="99" t="s">
        <v>3411</v>
      </c>
      <c r="AF327" s="99" t="s">
        <v>3411</v>
      </c>
      <c r="AG327" s="124">
        <v>1581</v>
      </c>
      <c r="AH327" s="99" t="s">
        <v>3413</v>
      </c>
      <c r="AI327" s="125">
        <v>100</v>
      </c>
      <c r="AJ327" s="99" t="s">
        <v>176</v>
      </c>
      <c r="AK327" s="99" t="s">
        <v>4205</v>
      </c>
      <c r="AL327" s="99" t="s">
        <v>3411</v>
      </c>
      <c r="AM327" s="99" t="s">
        <v>3480</v>
      </c>
      <c r="AN327" s="99" t="s">
        <v>233</v>
      </c>
      <c r="AO327" s="99" t="s">
        <v>403</v>
      </c>
      <c r="AP327" s="99" t="s">
        <v>2570</v>
      </c>
      <c r="AQ327" s="99" t="s">
        <v>3411</v>
      </c>
      <c r="AR327" s="99" t="s">
        <v>3411</v>
      </c>
      <c r="AS327" s="99" t="s">
        <v>1331</v>
      </c>
      <c r="AT327" s="99" t="s">
        <v>1</v>
      </c>
      <c r="AU327" s="99" t="s">
        <v>179</v>
      </c>
      <c r="AV327" s="99" t="s">
        <v>3414</v>
      </c>
      <c r="AW327" s="99" t="s">
        <v>180</v>
      </c>
      <c r="AX327" s="99" t="s">
        <v>3420</v>
      </c>
      <c r="AY327" s="99" t="s">
        <v>252</v>
      </c>
      <c r="AZ327" s="99" t="s">
        <v>3416</v>
      </c>
      <c r="BA327" s="99" t="s">
        <v>4175</v>
      </c>
      <c r="BB327" s="99" t="s">
        <v>1285</v>
      </c>
      <c r="BC327" s="125">
        <v>50</v>
      </c>
      <c r="BD327" s="99" t="s">
        <v>3135</v>
      </c>
      <c r="BE327" s="99" t="s">
        <v>3136</v>
      </c>
    </row>
    <row r="328" spans="1:57" ht="12.95" customHeight="1">
      <c r="A328" s="124">
        <v>15</v>
      </c>
      <c r="B328" s="124">
        <v>3103</v>
      </c>
      <c r="C328" s="99" t="s">
        <v>165</v>
      </c>
      <c r="D328" s="99" t="s">
        <v>1104</v>
      </c>
      <c r="E328" s="99" t="s">
        <v>2873</v>
      </c>
      <c r="F328" s="99" t="s">
        <v>1280</v>
      </c>
      <c r="G328" s="99" t="s">
        <v>3185</v>
      </c>
      <c r="H328" s="99" t="s">
        <v>3239</v>
      </c>
      <c r="I328" s="99" t="s">
        <v>3240</v>
      </c>
      <c r="J328" s="99" t="s">
        <v>3036</v>
      </c>
      <c r="K328" s="99" t="s">
        <v>472</v>
      </c>
      <c r="L328" s="99" t="s">
        <v>3037</v>
      </c>
      <c r="M328" s="99" t="s">
        <v>5</v>
      </c>
      <c r="N328" s="99" t="s">
        <v>3407</v>
      </c>
      <c r="O328" s="99" t="s">
        <v>114</v>
      </c>
      <c r="P328" s="99" t="s">
        <v>4207</v>
      </c>
      <c r="Q328" s="99" t="s">
        <v>169</v>
      </c>
      <c r="R328" s="99" t="s">
        <v>3409</v>
      </c>
      <c r="S328" s="99" t="s">
        <v>2636</v>
      </c>
      <c r="T328" s="99" t="s">
        <v>48</v>
      </c>
      <c r="U328" s="99" t="s">
        <v>170</v>
      </c>
      <c r="V328" s="99" t="s">
        <v>171</v>
      </c>
      <c r="W328" s="99" t="s">
        <v>4207</v>
      </c>
      <c r="X328" s="99" t="s">
        <v>4207</v>
      </c>
      <c r="Y328" s="99" t="s">
        <v>4208</v>
      </c>
      <c r="Z328" s="99" t="s">
        <v>172</v>
      </c>
      <c r="AA328" s="99" t="s">
        <v>173</v>
      </c>
      <c r="AB328" s="99" t="s">
        <v>174</v>
      </c>
      <c r="AC328" s="99" t="s">
        <v>3411</v>
      </c>
      <c r="AD328" s="99" t="s">
        <v>175</v>
      </c>
      <c r="AE328" s="99" t="s">
        <v>3411</v>
      </c>
      <c r="AF328" s="99" t="s">
        <v>3411</v>
      </c>
      <c r="AG328" s="124">
        <v>3103</v>
      </c>
      <c r="AH328" s="99" t="s">
        <v>3413</v>
      </c>
      <c r="AI328" s="125">
        <v>100</v>
      </c>
      <c r="AJ328" s="99" t="s">
        <v>176</v>
      </c>
      <c r="AK328" s="99" t="s">
        <v>4207</v>
      </c>
      <c r="AL328" s="99" t="s">
        <v>3411</v>
      </c>
      <c r="AM328" s="99" t="s">
        <v>177</v>
      </c>
      <c r="AN328" s="99" t="s">
        <v>3411</v>
      </c>
      <c r="AO328" s="99" t="s">
        <v>412</v>
      </c>
      <c r="AP328" s="99" t="s">
        <v>2570</v>
      </c>
      <c r="AQ328" s="99" t="s">
        <v>3411</v>
      </c>
      <c r="AR328" s="99" t="s">
        <v>3411</v>
      </c>
      <c r="AS328" s="99" t="s">
        <v>3038</v>
      </c>
      <c r="AT328" s="99" t="s">
        <v>1</v>
      </c>
      <c r="AU328" s="99" t="s">
        <v>179</v>
      </c>
      <c r="AV328" s="99" t="s">
        <v>3414</v>
      </c>
      <c r="AW328" s="99" t="s">
        <v>180</v>
      </c>
      <c r="AX328" s="99" t="s">
        <v>3420</v>
      </c>
      <c r="AY328" s="99" t="s">
        <v>252</v>
      </c>
      <c r="AZ328" s="99" t="s">
        <v>3416</v>
      </c>
      <c r="BA328" s="99" t="s">
        <v>4175</v>
      </c>
      <c r="BB328" s="99" t="s">
        <v>1285</v>
      </c>
      <c r="BC328" s="125">
        <v>36</v>
      </c>
      <c r="BD328" s="99" t="s">
        <v>3135</v>
      </c>
      <c r="BE328" s="99" t="s">
        <v>3136</v>
      </c>
    </row>
    <row r="329" spans="1:57" ht="12.95" customHeight="1">
      <c r="A329" s="124">
        <v>15</v>
      </c>
      <c r="B329" s="124">
        <v>1325</v>
      </c>
      <c r="C329" s="99" t="s">
        <v>165</v>
      </c>
      <c r="D329" s="99" t="s">
        <v>1104</v>
      </c>
      <c r="E329" s="99" t="s">
        <v>2873</v>
      </c>
      <c r="F329" s="99" t="s">
        <v>1280</v>
      </c>
      <c r="G329" s="99" t="s">
        <v>3185</v>
      </c>
      <c r="H329" s="99" t="s">
        <v>3239</v>
      </c>
      <c r="I329" s="99" t="s">
        <v>3240</v>
      </c>
      <c r="J329" s="99" t="s">
        <v>1367</v>
      </c>
      <c r="K329" s="99" t="s">
        <v>409</v>
      </c>
      <c r="L329" s="99" t="s">
        <v>1368</v>
      </c>
      <c r="M329" s="99" t="s">
        <v>5</v>
      </c>
      <c r="N329" s="99" t="s">
        <v>3407</v>
      </c>
      <c r="O329" s="99" t="s">
        <v>114</v>
      </c>
      <c r="P329" s="99" t="s">
        <v>3682</v>
      </c>
      <c r="Q329" s="99" t="s">
        <v>169</v>
      </c>
      <c r="R329" s="99" t="s">
        <v>3409</v>
      </c>
      <c r="S329" s="99" t="s">
        <v>2636</v>
      </c>
      <c r="T329" s="99" t="s">
        <v>48</v>
      </c>
      <c r="U329" s="99" t="s">
        <v>500</v>
      </c>
      <c r="V329" s="99" t="s">
        <v>501</v>
      </c>
      <c r="W329" s="99" t="s">
        <v>3912</v>
      </c>
      <c r="X329" s="99" t="s">
        <v>3912</v>
      </c>
      <c r="Y329" s="99" t="s">
        <v>4209</v>
      </c>
      <c r="Z329" s="99" t="s">
        <v>172</v>
      </c>
      <c r="AA329" s="99" t="s">
        <v>173</v>
      </c>
      <c r="AB329" s="99" t="s">
        <v>174</v>
      </c>
      <c r="AC329" s="99" t="s">
        <v>3411</v>
      </c>
      <c r="AD329" s="99" t="s">
        <v>175</v>
      </c>
      <c r="AE329" s="99" t="s">
        <v>3411</v>
      </c>
      <c r="AF329" s="99" t="s">
        <v>3411</v>
      </c>
      <c r="AG329" s="124">
        <v>1052</v>
      </c>
      <c r="AH329" s="99" t="s">
        <v>3413</v>
      </c>
      <c r="AI329" s="125">
        <v>100</v>
      </c>
      <c r="AJ329" s="99" t="s">
        <v>176</v>
      </c>
      <c r="AK329" s="99" t="s">
        <v>3912</v>
      </c>
      <c r="AL329" s="99" t="s">
        <v>3411</v>
      </c>
      <c r="AM329" s="99" t="s">
        <v>177</v>
      </c>
      <c r="AN329" s="99" t="s">
        <v>3411</v>
      </c>
      <c r="AO329" s="99" t="s">
        <v>403</v>
      </c>
      <c r="AP329" s="99" t="s">
        <v>2570</v>
      </c>
      <c r="AQ329" s="99" t="s">
        <v>3411</v>
      </c>
      <c r="AR329" s="99" t="s">
        <v>210</v>
      </c>
      <c r="AS329" s="99" t="s">
        <v>1369</v>
      </c>
      <c r="AT329" s="99" t="s">
        <v>1</v>
      </c>
      <c r="AU329" s="99" t="s">
        <v>179</v>
      </c>
      <c r="AV329" s="99" t="s">
        <v>3414</v>
      </c>
      <c r="AW329" s="99" t="s">
        <v>180</v>
      </c>
      <c r="AX329" s="99" t="s">
        <v>5041</v>
      </c>
      <c r="AY329" s="99" t="s">
        <v>252</v>
      </c>
      <c r="AZ329" s="99" t="s">
        <v>3806</v>
      </c>
      <c r="BA329" s="99" t="s">
        <v>4175</v>
      </c>
      <c r="BB329" s="99" t="s">
        <v>1285</v>
      </c>
      <c r="BC329" s="125">
        <v>55</v>
      </c>
      <c r="BD329" s="99" t="s">
        <v>3135</v>
      </c>
      <c r="BE329" s="99" t="s">
        <v>3136</v>
      </c>
    </row>
    <row r="330" spans="1:57" ht="12.95" customHeight="1">
      <c r="A330" s="124">
        <v>15</v>
      </c>
      <c r="B330" s="124">
        <v>841</v>
      </c>
      <c r="C330" s="99" t="s">
        <v>165</v>
      </c>
      <c r="D330" s="99" t="s">
        <v>1104</v>
      </c>
      <c r="E330" s="99" t="s">
        <v>2873</v>
      </c>
      <c r="F330" s="99" t="s">
        <v>1336</v>
      </c>
      <c r="G330" s="99" t="s">
        <v>3189</v>
      </c>
      <c r="H330" s="99" t="s">
        <v>4210</v>
      </c>
      <c r="I330" s="99" t="s">
        <v>3241</v>
      </c>
      <c r="J330" s="99" t="s">
        <v>1370</v>
      </c>
      <c r="K330" s="99" t="s">
        <v>1371</v>
      </c>
      <c r="L330" s="99" t="s">
        <v>1372</v>
      </c>
      <c r="M330" s="99" t="s">
        <v>5</v>
      </c>
      <c r="N330" s="99" t="s">
        <v>3454</v>
      </c>
      <c r="O330" s="99" t="s">
        <v>70</v>
      </c>
      <c r="P330" s="99" t="s">
        <v>4111</v>
      </c>
      <c r="Q330" s="99" t="s">
        <v>247</v>
      </c>
      <c r="R330" s="99" t="s">
        <v>3427</v>
      </c>
      <c r="S330" s="99" t="s">
        <v>2635</v>
      </c>
      <c r="T330" s="99" t="s">
        <v>58</v>
      </c>
      <c r="U330" s="99" t="s">
        <v>187</v>
      </c>
      <c r="V330" s="99" t="s">
        <v>188</v>
      </c>
      <c r="W330" s="99" t="s">
        <v>4211</v>
      </c>
      <c r="X330" s="99" t="s">
        <v>4211</v>
      </c>
      <c r="Y330" s="99" t="s">
        <v>4212</v>
      </c>
      <c r="Z330" s="99" t="s">
        <v>172</v>
      </c>
      <c r="AA330" s="99" t="s">
        <v>173</v>
      </c>
      <c r="AB330" s="99" t="s">
        <v>834</v>
      </c>
      <c r="AC330" s="99" t="s">
        <v>3411</v>
      </c>
      <c r="AD330" s="99" t="s">
        <v>175</v>
      </c>
      <c r="AE330" s="99" t="s">
        <v>3411</v>
      </c>
      <c r="AF330" s="99" t="s">
        <v>3411</v>
      </c>
      <c r="AG330" s="124">
        <v>639</v>
      </c>
      <c r="AH330" s="99" t="s">
        <v>3413</v>
      </c>
      <c r="AI330" s="125">
        <v>100</v>
      </c>
      <c r="AJ330" s="99" t="s">
        <v>176</v>
      </c>
      <c r="AK330" s="99" t="s">
        <v>4211</v>
      </c>
      <c r="AL330" s="99" t="s">
        <v>3411</v>
      </c>
      <c r="AM330" s="99" t="s">
        <v>177</v>
      </c>
      <c r="AN330" s="99" t="s">
        <v>3411</v>
      </c>
      <c r="AO330" s="99" t="s">
        <v>189</v>
      </c>
      <c r="AP330" s="99" t="s">
        <v>2570</v>
      </c>
      <c r="AQ330" s="99" t="s">
        <v>3411</v>
      </c>
      <c r="AR330" s="99" t="s">
        <v>3411</v>
      </c>
      <c r="AS330" s="99" t="s">
        <v>1373</v>
      </c>
      <c r="AT330" s="99" t="s">
        <v>190</v>
      </c>
      <c r="AU330" s="99" t="s">
        <v>191</v>
      </c>
      <c r="AV330" s="99" t="s">
        <v>3414</v>
      </c>
      <c r="AW330" s="99" t="s">
        <v>180</v>
      </c>
      <c r="AX330" s="99" t="s">
        <v>3420</v>
      </c>
      <c r="AY330" s="99" t="s">
        <v>252</v>
      </c>
      <c r="AZ330" s="99" t="s">
        <v>3430</v>
      </c>
      <c r="BA330" s="99" t="s">
        <v>4033</v>
      </c>
      <c r="BB330" s="99" t="s">
        <v>1110</v>
      </c>
      <c r="BC330" s="125">
        <v>64</v>
      </c>
      <c r="BD330" s="99" t="s">
        <v>3135</v>
      </c>
      <c r="BE330" s="99" t="s">
        <v>3136</v>
      </c>
    </row>
    <row r="331" spans="1:57" ht="12.95" customHeight="1">
      <c r="A331" s="124">
        <v>15</v>
      </c>
      <c r="B331" s="124">
        <v>1827</v>
      </c>
      <c r="C331" s="99" t="s">
        <v>165</v>
      </c>
      <c r="D331" s="99" t="s">
        <v>1104</v>
      </c>
      <c r="E331" s="99" t="s">
        <v>2873</v>
      </c>
      <c r="F331" s="99" t="s">
        <v>1336</v>
      </c>
      <c r="G331" s="99" t="s">
        <v>3189</v>
      </c>
      <c r="H331" s="99" t="s">
        <v>4213</v>
      </c>
      <c r="I331" s="99" t="s">
        <v>1374</v>
      </c>
      <c r="J331" s="99" t="s">
        <v>1376</v>
      </c>
      <c r="K331" s="99" t="s">
        <v>1377</v>
      </c>
      <c r="L331" s="99" t="s">
        <v>1378</v>
      </c>
      <c r="M331" s="99" t="s">
        <v>1</v>
      </c>
      <c r="N331" s="99" t="s">
        <v>3454</v>
      </c>
      <c r="O331" s="99" t="s">
        <v>70</v>
      </c>
      <c r="P331" s="99" t="s">
        <v>4119</v>
      </c>
      <c r="Q331" s="99" t="s">
        <v>247</v>
      </c>
      <c r="R331" s="99" t="s">
        <v>3409</v>
      </c>
      <c r="S331" s="99" t="s">
        <v>2636</v>
      </c>
      <c r="T331" s="99" t="s">
        <v>48</v>
      </c>
      <c r="U331" s="99" t="s">
        <v>184</v>
      </c>
      <c r="V331" s="99" t="s">
        <v>185</v>
      </c>
      <c r="W331" s="99" t="s">
        <v>3563</v>
      </c>
      <c r="X331" s="99" t="s">
        <v>3661</v>
      </c>
      <c r="Y331" s="99" t="s">
        <v>4214</v>
      </c>
      <c r="Z331" s="99" t="s">
        <v>172</v>
      </c>
      <c r="AA331" s="99" t="s">
        <v>173</v>
      </c>
      <c r="AB331" s="99" t="s">
        <v>400</v>
      </c>
      <c r="AC331" s="99" t="s">
        <v>3411</v>
      </c>
      <c r="AD331" s="99" t="s">
        <v>175</v>
      </c>
      <c r="AE331" s="99" t="s">
        <v>3411</v>
      </c>
      <c r="AF331" s="99" t="s">
        <v>3411</v>
      </c>
      <c r="AG331" s="124">
        <v>1447</v>
      </c>
      <c r="AH331" s="99" t="s">
        <v>3413</v>
      </c>
      <c r="AI331" s="125">
        <v>100</v>
      </c>
      <c r="AJ331" s="99" t="s">
        <v>176</v>
      </c>
      <c r="AK331" s="99" t="s">
        <v>3563</v>
      </c>
      <c r="AL331" s="99" t="s">
        <v>3411</v>
      </c>
      <c r="AM331" s="99" t="s">
        <v>177</v>
      </c>
      <c r="AN331" s="99" t="s">
        <v>3411</v>
      </c>
      <c r="AO331" s="99" t="s">
        <v>178</v>
      </c>
      <c r="AP331" s="99" t="s">
        <v>2570</v>
      </c>
      <c r="AQ331" s="99" t="s">
        <v>3411</v>
      </c>
      <c r="AR331" s="99" t="s">
        <v>234</v>
      </c>
      <c r="AS331" s="99" t="s">
        <v>1379</v>
      </c>
      <c r="AT331" s="99" t="s">
        <v>1</v>
      </c>
      <c r="AU331" s="99" t="s">
        <v>179</v>
      </c>
      <c r="AV331" s="99" t="s">
        <v>3414</v>
      </c>
      <c r="AW331" s="99" t="s">
        <v>180</v>
      </c>
      <c r="AX331" s="99" t="s">
        <v>3420</v>
      </c>
      <c r="AY331" s="99" t="s">
        <v>252</v>
      </c>
      <c r="AZ331" s="99" t="s">
        <v>3416</v>
      </c>
      <c r="BA331" s="99" t="s">
        <v>4215</v>
      </c>
      <c r="BB331" s="99" t="s">
        <v>1375</v>
      </c>
      <c r="BC331" s="125">
        <v>54</v>
      </c>
      <c r="BD331" s="99" t="s">
        <v>3135</v>
      </c>
      <c r="BE331" s="99" t="s">
        <v>3136</v>
      </c>
    </row>
    <row r="332" spans="1:57" ht="12.95" customHeight="1">
      <c r="A332" s="124">
        <v>15</v>
      </c>
      <c r="B332" s="124">
        <v>1006</v>
      </c>
      <c r="C332" s="99" t="s">
        <v>165</v>
      </c>
      <c r="D332" s="99" t="s">
        <v>1104</v>
      </c>
      <c r="E332" s="99" t="s">
        <v>2873</v>
      </c>
      <c r="F332" s="99" t="s">
        <v>1336</v>
      </c>
      <c r="G332" s="99" t="s">
        <v>3189</v>
      </c>
      <c r="H332" s="99" t="s">
        <v>4213</v>
      </c>
      <c r="I332" s="99" t="s">
        <v>1374</v>
      </c>
      <c r="J332" s="99" t="s">
        <v>1380</v>
      </c>
      <c r="K332" s="99" t="s">
        <v>1381</v>
      </c>
      <c r="L332" s="99" t="s">
        <v>1382</v>
      </c>
      <c r="M332" s="99" t="s">
        <v>1</v>
      </c>
      <c r="N332" s="99" t="s">
        <v>3454</v>
      </c>
      <c r="O332" s="99" t="s">
        <v>70</v>
      </c>
      <c r="P332" s="99" t="s">
        <v>4216</v>
      </c>
      <c r="Q332" s="99" t="s">
        <v>247</v>
      </c>
      <c r="R332" s="99" t="s">
        <v>3409</v>
      </c>
      <c r="S332" s="99" t="s">
        <v>2636</v>
      </c>
      <c r="T332" s="99" t="s">
        <v>52</v>
      </c>
      <c r="U332" s="99" t="s">
        <v>427</v>
      </c>
      <c r="V332" s="99" t="s">
        <v>428</v>
      </c>
      <c r="W332" s="99" t="s">
        <v>4217</v>
      </c>
      <c r="X332" s="99" t="s">
        <v>4217</v>
      </c>
      <c r="Y332" s="99" t="s">
        <v>4218</v>
      </c>
      <c r="Z332" s="99" t="s">
        <v>172</v>
      </c>
      <c r="AA332" s="99" t="s">
        <v>173</v>
      </c>
      <c r="AB332" s="99" t="s">
        <v>174</v>
      </c>
      <c r="AC332" s="99" t="s">
        <v>3411</v>
      </c>
      <c r="AD332" s="99" t="s">
        <v>175</v>
      </c>
      <c r="AE332" s="99" t="s">
        <v>3411</v>
      </c>
      <c r="AF332" s="99" t="s">
        <v>3411</v>
      </c>
      <c r="AG332" s="124">
        <v>778</v>
      </c>
      <c r="AH332" s="99" t="s">
        <v>3413</v>
      </c>
      <c r="AI332" s="125">
        <v>100</v>
      </c>
      <c r="AJ332" s="99" t="s">
        <v>176</v>
      </c>
      <c r="AK332" s="99" t="s">
        <v>4217</v>
      </c>
      <c r="AL332" s="99" t="s">
        <v>3411</v>
      </c>
      <c r="AM332" s="99" t="s">
        <v>177</v>
      </c>
      <c r="AN332" s="99" t="s">
        <v>3411</v>
      </c>
      <c r="AO332" s="99" t="s">
        <v>403</v>
      </c>
      <c r="AP332" s="99" t="s">
        <v>2570</v>
      </c>
      <c r="AQ332" s="99" t="s">
        <v>3411</v>
      </c>
      <c r="AR332" s="99" t="s">
        <v>3411</v>
      </c>
      <c r="AS332" s="99" t="s">
        <v>1383</v>
      </c>
      <c r="AT332" s="99" t="s">
        <v>1</v>
      </c>
      <c r="AU332" s="99" t="s">
        <v>179</v>
      </c>
      <c r="AV332" s="99" t="s">
        <v>3414</v>
      </c>
      <c r="AW332" s="99" t="s">
        <v>180</v>
      </c>
      <c r="AX332" s="99" t="s">
        <v>3420</v>
      </c>
      <c r="AY332" s="99" t="s">
        <v>252</v>
      </c>
      <c r="AZ332" s="99" t="s">
        <v>3416</v>
      </c>
      <c r="BA332" s="99" t="s">
        <v>4219</v>
      </c>
      <c r="BB332" s="99" t="s">
        <v>1356</v>
      </c>
      <c r="BC332" s="125">
        <v>57</v>
      </c>
      <c r="BD332" s="99" t="s">
        <v>3135</v>
      </c>
      <c r="BE332" s="99" t="s">
        <v>3136</v>
      </c>
    </row>
    <row r="333" spans="1:57" ht="12.95" customHeight="1">
      <c r="A333" s="124">
        <v>15</v>
      </c>
      <c r="B333" s="124">
        <v>854</v>
      </c>
      <c r="C333" s="99" t="s">
        <v>165</v>
      </c>
      <c r="D333" s="99" t="s">
        <v>1104</v>
      </c>
      <c r="E333" s="99" t="s">
        <v>2873</v>
      </c>
      <c r="F333" s="99" t="s">
        <v>1336</v>
      </c>
      <c r="G333" s="99" t="s">
        <v>3189</v>
      </c>
      <c r="H333" s="99" t="s">
        <v>4213</v>
      </c>
      <c r="I333" s="99" t="s">
        <v>1374</v>
      </c>
      <c r="J333" s="99" t="s">
        <v>1384</v>
      </c>
      <c r="K333" s="99" t="s">
        <v>741</v>
      </c>
      <c r="L333" s="99" t="s">
        <v>1385</v>
      </c>
      <c r="M333" s="99" t="s">
        <v>1</v>
      </c>
      <c r="N333" s="99" t="s">
        <v>3454</v>
      </c>
      <c r="O333" s="99" t="s">
        <v>70</v>
      </c>
      <c r="P333" s="99" t="s">
        <v>4119</v>
      </c>
      <c r="Q333" s="99" t="s">
        <v>247</v>
      </c>
      <c r="R333" s="99" t="s">
        <v>3409</v>
      </c>
      <c r="S333" s="99" t="s">
        <v>2636</v>
      </c>
      <c r="T333" s="99" t="s">
        <v>48</v>
      </c>
      <c r="U333" s="99" t="s">
        <v>184</v>
      </c>
      <c r="V333" s="99" t="s">
        <v>185</v>
      </c>
      <c r="W333" s="99" t="s">
        <v>4220</v>
      </c>
      <c r="X333" s="99" t="s">
        <v>4220</v>
      </c>
      <c r="Y333" s="99" t="s">
        <v>4221</v>
      </c>
      <c r="Z333" s="99" t="s">
        <v>172</v>
      </c>
      <c r="AA333" s="99" t="s">
        <v>173</v>
      </c>
      <c r="AB333" s="99" t="s">
        <v>174</v>
      </c>
      <c r="AC333" s="99" t="s">
        <v>3411</v>
      </c>
      <c r="AD333" s="99" t="s">
        <v>175</v>
      </c>
      <c r="AE333" s="99" t="s">
        <v>3411</v>
      </c>
      <c r="AF333" s="99" t="s">
        <v>3411</v>
      </c>
      <c r="AG333" s="124">
        <v>650</v>
      </c>
      <c r="AH333" s="99" t="s">
        <v>3413</v>
      </c>
      <c r="AI333" s="125">
        <v>100</v>
      </c>
      <c r="AJ333" s="99" t="s">
        <v>176</v>
      </c>
      <c r="AK333" s="99" t="s">
        <v>4220</v>
      </c>
      <c r="AL333" s="99" t="s">
        <v>3411</v>
      </c>
      <c r="AM333" s="99" t="s">
        <v>177</v>
      </c>
      <c r="AN333" s="99" t="s">
        <v>3411</v>
      </c>
      <c r="AO333" s="99" t="s">
        <v>403</v>
      </c>
      <c r="AP333" s="99" t="s">
        <v>2570</v>
      </c>
      <c r="AQ333" s="99" t="s">
        <v>3411</v>
      </c>
      <c r="AR333" s="99" t="s">
        <v>3411</v>
      </c>
      <c r="AS333" s="99" t="s">
        <v>1386</v>
      </c>
      <c r="AT333" s="99" t="s">
        <v>1</v>
      </c>
      <c r="AU333" s="99" t="s">
        <v>179</v>
      </c>
      <c r="AV333" s="99" t="s">
        <v>3414</v>
      </c>
      <c r="AW333" s="99" t="s">
        <v>180</v>
      </c>
      <c r="AX333" s="99" t="s">
        <v>3420</v>
      </c>
      <c r="AY333" s="99" t="s">
        <v>252</v>
      </c>
      <c r="AZ333" s="99" t="s">
        <v>3416</v>
      </c>
      <c r="BA333" s="99" t="s">
        <v>4215</v>
      </c>
      <c r="BB333" s="99" t="s">
        <v>1375</v>
      </c>
      <c r="BC333" s="125">
        <v>65</v>
      </c>
      <c r="BD333" s="99" t="s">
        <v>3135</v>
      </c>
      <c r="BE333" s="99" t="s">
        <v>3136</v>
      </c>
    </row>
    <row r="334" spans="1:57" ht="12.95" customHeight="1">
      <c r="A334" s="124">
        <v>15</v>
      </c>
      <c r="B334" s="124">
        <v>2045</v>
      </c>
      <c r="C334" s="99" t="s">
        <v>165</v>
      </c>
      <c r="D334" s="99" t="s">
        <v>1104</v>
      </c>
      <c r="E334" s="99" t="s">
        <v>2873</v>
      </c>
      <c r="F334" s="99" t="s">
        <v>1336</v>
      </c>
      <c r="G334" s="99" t="s">
        <v>3189</v>
      </c>
      <c r="H334" s="99" t="s">
        <v>4213</v>
      </c>
      <c r="I334" s="99" t="s">
        <v>1374</v>
      </c>
      <c r="J334" s="99" t="s">
        <v>1387</v>
      </c>
      <c r="K334" s="99" t="s">
        <v>1388</v>
      </c>
      <c r="L334" s="99" t="s">
        <v>1389</v>
      </c>
      <c r="M334" s="99" t="s">
        <v>1</v>
      </c>
      <c r="N334" s="99" t="s">
        <v>3454</v>
      </c>
      <c r="O334" s="99" t="s">
        <v>70</v>
      </c>
      <c r="P334" s="99" t="s">
        <v>4111</v>
      </c>
      <c r="Q334" s="99" t="s">
        <v>247</v>
      </c>
      <c r="R334" s="99" t="s">
        <v>3409</v>
      </c>
      <c r="S334" s="99" t="s">
        <v>2636</v>
      </c>
      <c r="T334" s="99" t="s">
        <v>48</v>
      </c>
      <c r="U334" s="99" t="s">
        <v>184</v>
      </c>
      <c r="V334" s="99" t="s">
        <v>185</v>
      </c>
      <c r="W334" s="99" t="s">
        <v>4222</v>
      </c>
      <c r="X334" s="99" t="s">
        <v>4222</v>
      </c>
      <c r="Y334" s="99" t="s">
        <v>4223</v>
      </c>
      <c r="Z334" s="99" t="s">
        <v>172</v>
      </c>
      <c r="AA334" s="99" t="s">
        <v>173</v>
      </c>
      <c r="AB334" s="99" t="s">
        <v>174</v>
      </c>
      <c r="AC334" s="99" t="s">
        <v>3411</v>
      </c>
      <c r="AD334" s="99" t="s">
        <v>175</v>
      </c>
      <c r="AE334" s="99" t="s">
        <v>3411</v>
      </c>
      <c r="AF334" s="99" t="s">
        <v>3411</v>
      </c>
      <c r="AG334" s="124">
        <v>1566</v>
      </c>
      <c r="AH334" s="99" t="s">
        <v>3413</v>
      </c>
      <c r="AI334" s="125">
        <v>100</v>
      </c>
      <c r="AJ334" s="99" t="s">
        <v>176</v>
      </c>
      <c r="AK334" s="99" t="s">
        <v>4222</v>
      </c>
      <c r="AL334" s="99" t="s">
        <v>3411</v>
      </c>
      <c r="AM334" s="99" t="s">
        <v>177</v>
      </c>
      <c r="AN334" s="99" t="s">
        <v>3411</v>
      </c>
      <c r="AO334" s="99" t="s">
        <v>178</v>
      </c>
      <c r="AP334" s="99" t="s">
        <v>2570</v>
      </c>
      <c r="AQ334" s="99" t="s">
        <v>3411</v>
      </c>
      <c r="AR334" s="99" t="s">
        <v>3411</v>
      </c>
      <c r="AS334" s="99" t="s">
        <v>1390</v>
      </c>
      <c r="AT334" s="99" t="s">
        <v>1</v>
      </c>
      <c r="AU334" s="99" t="s">
        <v>179</v>
      </c>
      <c r="AV334" s="99" t="s">
        <v>3414</v>
      </c>
      <c r="AW334" s="99" t="s">
        <v>180</v>
      </c>
      <c r="AX334" s="99" t="s">
        <v>3420</v>
      </c>
      <c r="AY334" s="99" t="s">
        <v>252</v>
      </c>
      <c r="AZ334" s="99" t="s">
        <v>3416</v>
      </c>
      <c r="BA334" s="99" t="s">
        <v>4215</v>
      </c>
      <c r="BB334" s="99" t="s">
        <v>1375</v>
      </c>
      <c r="BC334" s="125">
        <v>59</v>
      </c>
      <c r="BD334" s="99" t="s">
        <v>3135</v>
      </c>
      <c r="BE334" s="99" t="s">
        <v>3136</v>
      </c>
    </row>
    <row r="335" spans="1:57" ht="12.95" customHeight="1">
      <c r="A335" s="124">
        <v>15</v>
      </c>
      <c r="B335" s="124">
        <v>3102</v>
      </c>
      <c r="C335" s="99" t="s">
        <v>165</v>
      </c>
      <c r="D335" s="99" t="s">
        <v>1104</v>
      </c>
      <c r="E335" s="99" t="s">
        <v>2873</v>
      </c>
      <c r="F335" s="99" t="s">
        <v>1336</v>
      </c>
      <c r="G335" s="99" t="s">
        <v>3189</v>
      </c>
      <c r="H335" s="99" t="s">
        <v>4213</v>
      </c>
      <c r="I335" s="99" t="s">
        <v>1374</v>
      </c>
      <c r="J335" s="99" t="s">
        <v>3021</v>
      </c>
      <c r="K335" s="99" t="s">
        <v>3022</v>
      </c>
      <c r="L335" s="99" t="s">
        <v>3023</v>
      </c>
      <c r="M335" s="99" t="s">
        <v>1</v>
      </c>
      <c r="N335" s="99" t="s">
        <v>3454</v>
      </c>
      <c r="O335" s="99" t="s">
        <v>70</v>
      </c>
      <c r="P335" s="99" t="s">
        <v>4224</v>
      </c>
      <c r="Q335" s="99" t="s">
        <v>247</v>
      </c>
      <c r="R335" s="99" t="s">
        <v>3409</v>
      </c>
      <c r="S335" s="99" t="s">
        <v>2636</v>
      </c>
      <c r="T335" s="99" t="s">
        <v>48</v>
      </c>
      <c r="U335" s="99" t="s">
        <v>170</v>
      </c>
      <c r="V335" s="99" t="s">
        <v>171</v>
      </c>
      <c r="W335" s="99" t="s">
        <v>4224</v>
      </c>
      <c r="X335" s="99" t="s">
        <v>4224</v>
      </c>
      <c r="Y335" s="99" t="s">
        <v>4225</v>
      </c>
      <c r="Z335" s="99" t="s">
        <v>3327</v>
      </c>
      <c r="AA335" s="99" t="s">
        <v>3328</v>
      </c>
      <c r="AB335" s="99" t="s">
        <v>174</v>
      </c>
      <c r="AC335" s="99" t="s">
        <v>3411</v>
      </c>
      <c r="AD335" s="99" t="s">
        <v>175</v>
      </c>
      <c r="AE335" s="99" t="s">
        <v>3411</v>
      </c>
      <c r="AF335" s="99" t="s">
        <v>3411</v>
      </c>
      <c r="AG335" s="124">
        <v>3102</v>
      </c>
      <c r="AH335" s="99" t="s">
        <v>3413</v>
      </c>
      <c r="AI335" s="125">
        <v>100</v>
      </c>
      <c r="AJ335" s="99" t="s">
        <v>176</v>
      </c>
      <c r="AK335" s="99" t="s">
        <v>4224</v>
      </c>
      <c r="AL335" s="99" t="s">
        <v>3411</v>
      </c>
      <c r="AM335" s="99" t="s">
        <v>177</v>
      </c>
      <c r="AN335" s="99" t="s">
        <v>3411</v>
      </c>
      <c r="AO335" s="99" t="s">
        <v>412</v>
      </c>
      <c r="AP335" s="99" t="s">
        <v>2570</v>
      </c>
      <c r="AQ335" s="99" t="s">
        <v>3411</v>
      </c>
      <c r="AR335" s="99" t="s">
        <v>234</v>
      </c>
      <c r="AS335" s="99" t="s">
        <v>3024</v>
      </c>
      <c r="AT335" s="99" t="s">
        <v>1</v>
      </c>
      <c r="AU335" s="99" t="s">
        <v>179</v>
      </c>
      <c r="AV335" s="99" t="s">
        <v>3414</v>
      </c>
      <c r="AW335" s="99" t="s">
        <v>180</v>
      </c>
      <c r="AX335" s="99" t="s">
        <v>3420</v>
      </c>
      <c r="AY335" s="99" t="s">
        <v>252</v>
      </c>
      <c r="AZ335" s="99" t="s">
        <v>3416</v>
      </c>
      <c r="BA335" s="99" t="s">
        <v>4215</v>
      </c>
      <c r="BB335" s="99" t="s">
        <v>1375</v>
      </c>
      <c r="BC335" s="125">
        <v>32</v>
      </c>
      <c r="BD335" s="99" t="s">
        <v>3135</v>
      </c>
      <c r="BE335" s="99" t="s">
        <v>3136</v>
      </c>
    </row>
    <row r="336" spans="1:57" ht="12.95" customHeight="1">
      <c r="A336" s="124">
        <v>15</v>
      </c>
      <c r="B336" s="124">
        <v>1217</v>
      </c>
      <c r="C336" s="99" t="s">
        <v>165</v>
      </c>
      <c r="D336" s="99" t="s">
        <v>1104</v>
      </c>
      <c r="E336" s="99" t="s">
        <v>2873</v>
      </c>
      <c r="F336" s="99" t="s">
        <v>1336</v>
      </c>
      <c r="G336" s="99" t="s">
        <v>3189</v>
      </c>
      <c r="H336" s="99" t="s">
        <v>4213</v>
      </c>
      <c r="I336" s="99" t="s">
        <v>1374</v>
      </c>
      <c r="J336" s="99" t="s">
        <v>1391</v>
      </c>
      <c r="K336" s="99" t="s">
        <v>275</v>
      </c>
      <c r="L336" s="99" t="s">
        <v>1392</v>
      </c>
      <c r="M336" s="99" t="s">
        <v>5</v>
      </c>
      <c r="N336" s="99" t="s">
        <v>3454</v>
      </c>
      <c r="O336" s="99" t="s">
        <v>70</v>
      </c>
      <c r="P336" s="99" t="s">
        <v>4111</v>
      </c>
      <c r="Q336" s="99" t="s">
        <v>247</v>
      </c>
      <c r="R336" s="99" t="s">
        <v>3409</v>
      </c>
      <c r="S336" s="99" t="s">
        <v>2636</v>
      </c>
      <c r="T336" s="99" t="s">
        <v>48</v>
      </c>
      <c r="U336" s="99" t="s">
        <v>184</v>
      </c>
      <c r="V336" s="99" t="s">
        <v>185</v>
      </c>
      <c r="W336" s="99" t="s">
        <v>4226</v>
      </c>
      <c r="X336" s="99" t="s">
        <v>4226</v>
      </c>
      <c r="Y336" s="99" t="s">
        <v>4227</v>
      </c>
      <c r="Z336" s="99" t="s">
        <v>172</v>
      </c>
      <c r="AA336" s="99" t="s">
        <v>173</v>
      </c>
      <c r="AB336" s="99" t="s">
        <v>174</v>
      </c>
      <c r="AC336" s="99" t="s">
        <v>3411</v>
      </c>
      <c r="AD336" s="99" t="s">
        <v>175</v>
      </c>
      <c r="AE336" s="99" t="s">
        <v>3411</v>
      </c>
      <c r="AF336" s="99" t="s">
        <v>3411</v>
      </c>
      <c r="AG336" s="124">
        <v>960</v>
      </c>
      <c r="AH336" s="99" t="s">
        <v>3413</v>
      </c>
      <c r="AI336" s="125">
        <v>100</v>
      </c>
      <c r="AJ336" s="99" t="s">
        <v>176</v>
      </c>
      <c r="AK336" s="99" t="s">
        <v>4226</v>
      </c>
      <c r="AL336" s="99" t="s">
        <v>3411</v>
      </c>
      <c r="AM336" s="99" t="s">
        <v>177</v>
      </c>
      <c r="AN336" s="99" t="s">
        <v>3411</v>
      </c>
      <c r="AO336" s="99" t="s">
        <v>403</v>
      </c>
      <c r="AP336" s="99" t="s">
        <v>2570</v>
      </c>
      <c r="AQ336" s="99" t="s">
        <v>3411</v>
      </c>
      <c r="AR336" s="99" t="s">
        <v>234</v>
      </c>
      <c r="AS336" s="99" t="s">
        <v>1393</v>
      </c>
      <c r="AT336" s="99" t="s">
        <v>1</v>
      </c>
      <c r="AU336" s="99" t="s">
        <v>179</v>
      </c>
      <c r="AV336" s="99" t="s">
        <v>3414</v>
      </c>
      <c r="AW336" s="99" t="s">
        <v>180</v>
      </c>
      <c r="AX336" s="99" t="s">
        <v>3420</v>
      </c>
      <c r="AY336" s="99" t="s">
        <v>252</v>
      </c>
      <c r="AZ336" s="99" t="s">
        <v>3416</v>
      </c>
      <c r="BA336" s="99" t="s">
        <v>4215</v>
      </c>
      <c r="BB336" s="99" t="s">
        <v>1375</v>
      </c>
      <c r="BC336" s="125">
        <v>59</v>
      </c>
      <c r="BD336" s="99" t="s">
        <v>3135</v>
      </c>
      <c r="BE336" s="99" t="s">
        <v>3136</v>
      </c>
    </row>
    <row r="337" spans="1:57" ht="12.95" customHeight="1">
      <c r="A337" s="124">
        <v>15</v>
      </c>
      <c r="B337" s="124">
        <v>2155</v>
      </c>
      <c r="C337" s="99" t="s">
        <v>165</v>
      </c>
      <c r="D337" s="99" t="s">
        <v>1104</v>
      </c>
      <c r="E337" s="99" t="s">
        <v>2873</v>
      </c>
      <c r="F337" s="99" t="s">
        <v>1336</v>
      </c>
      <c r="G337" s="99" t="s">
        <v>3189</v>
      </c>
      <c r="H337" s="99" t="s">
        <v>4213</v>
      </c>
      <c r="I337" s="99" t="s">
        <v>1374</v>
      </c>
      <c r="J337" s="99" t="s">
        <v>1394</v>
      </c>
      <c r="K337" s="99" t="s">
        <v>1339</v>
      </c>
      <c r="L337" s="99" t="s">
        <v>1395</v>
      </c>
      <c r="M337" s="99" t="s">
        <v>1</v>
      </c>
      <c r="N337" s="99" t="s">
        <v>3454</v>
      </c>
      <c r="O337" s="99" t="s">
        <v>70</v>
      </c>
      <c r="P337" s="99" t="s">
        <v>4111</v>
      </c>
      <c r="Q337" s="99" t="s">
        <v>247</v>
      </c>
      <c r="R337" s="99" t="s">
        <v>3409</v>
      </c>
      <c r="S337" s="99" t="s">
        <v>2636</v>
      </c>
      <c r="T337" s="99" t="s">
        <v>48</v>
      </c>
      <c r="U337" s="99" t="s">
        <v>184</v>
      </c>
      <c r="V337" s="99" t="s">
        <v>185</v>
      </c>
      <c r="W337" s="99" t="s">
        <v>4228</v>
      </c>
      <c r="X337" s="99" t="s">
        <v>4228</v>
      </c>
      <c r="Y337" s="99" t="s">
        <v>4229</v>
      </c>
      <c r="Z337" s="99" t="s">
        <v>172</v>
      </c>
      <c r="AA337" s="99" t="s">
        <v>173</v>
      </c>
      <c r="AB337" s="99" t="s">
        <v>174</v>
      </c>
      <c r="AC337" s="99" t="s">
        <v>3411</v>
      </c>
      <c r="AD337" s="99" t="s">
        <v>175</v>
      </c>
      <c r="AE337" s="99" t="s">
        <v>3411</v>
      </c>
      <c r="AF337" s="99" t="s">
        <v>3411</v>
      </c>
      <c r="AG337" s="124">
        <v>1626</v>
      </c>
      <c r="AH337" s="99" t="s">
        <v>3413</v>
      </c>
      <c r="AI337" s="125">
        <v>100</v>
      </c>
      <c r="AJ337" s="99" t="s">
        <v>176</v>
      </c>
      <c r="AK337" s="99" t="s">
        <v>4228</v>
      </c>
      <c r="AL337" s="99" t="s">
        <v>3411</v>
      </c>
      <c r="AM337" s="99" t="s">
        <v>177</v>
      </c>
      <c r="AN337" s="99" t="s">
        <v>3411</v>
      </c>
      <c r="AO337" s="99" t="s">
        <v>403</v>
      </c>
      <c r="AP337" s="99" t="s">
        <v>2570</v>
      </c>
      <c r="AQ337" s="99" t="s">
        <v>3411</v>
      </c>
      <c r="AR337" s="99" t="s">
        <v>3411</v>
      </c>
      <c r="AS337" s="99" t="s">
        <v>1396</v>
      </c>
      <c r="AT337" s="99" t="s">
        <v>1</v>
      </c>
      <c r="AU337" s="99" t="s">
        <v>179</v>
      </c>
      <c r="AV337" s="99" t="s">
        <v>3414</v>
      </c>
      <c r="AW337" s="99" t="s">
        <v>180</v>
      </c>
      <c r="AX337" s="99" t="s">
        <v>5042</v>
      </c>
      <c r="AY337" s="99" t="s">
        <v>252</v>
      </c>
      <c r="AZ337" s="99" t="s">
        <v>3843</v>
      </c>
      <c r="BA337" s="99" t="s">
        <v>4215</v>
      </c>
      <c r="BB337" s="99" t="s">
        <v>1375</v>
      </c>
      <c r="BC337" s="125">
        <v>51</v>
      </c>
      <c r="BD337" s="99" t="s">
        <v>3135</v>
      </c>
      <c r="BE337" s="99" t="s">
        <v>3136</v>
      </c>
    </row>
    <row r="338" spans="1:57" ht="12.95" customHeight="1">
      <c r="A338" s="124">
        <v>15</v>
      </c>
      <c r="B338" s="124">
        <v>833</v>
      </c>
      <c r="C338" s="99" t="s">
        <v>165</v>
      </c>
      <c r="D338" s="99" t="s">
        <v>1104</v>
      </c>
      <c r="E338" s="99" t="s">
        <v>2873</v>
      </c>
      <c r="F338" s="99" t="s">
        <v>1336</v>
      </c>
      <c r="G338" s="99" t="s">
        <v>3189</v>
      </c>
      <c r="H338" s="99" t="s">
        <v>4213</v>
      </c>
      <c r="I338" s="99" t="s">
        <v>1374</v>
      </c>
      <c r="J338" s="99" t="s">
        <v>1397</v>
      </c>
      <c r="K338" s="99" t="s">
        <v>1398</v>
      </c>
      <c r="L338" s="99" t="s">
        <v>1399</v>
      </c>
      <c r="M338" s="99" t="s">
        <v>1</v>
      </c>
      <c r="N338" s="99" t="s">
        <v>3454</v>
      </c>
      <c r="O338" s="99" t="s">
        <v>70</v>
      </c>
      <c r="P338" s="99" t="s">
        <v>4119</v>
      </c>
      <c r="Q338" s="99" t="s">
        <v>247</v>
      </c>
      <c r="R338" s="99" t="s">
        <v>3409</v>
      </c>
      <c r="S338" s="99" t="s">
        <v>2636</v>
      </c>
      <c r="T338" s="99" t="s">
        <v>48</v>
      </c>
      <c r="U338" s="99" t="s">
        <v>170</v>
      </c>
      <c r="V338" s="99" t="s">
        <v>171</v>
      </c>
      <c r="W338" s="99" t="s">
        <v>4230</v>
      </c>
      <c r="X338" s="99" t="s">
        <v>4230</v>
      </c>
      <c r="Y338" s="99" t="s">
        <v>4231</v>
      </c>
      <c r="Z338" s="99" t="s">
        <v>172</v>
      </c>
      <c r="AA338" s="99" t="s">
        <v>173</v>
      </c>
      <c r="AB338" s="99" t="s">
        <v>174</v>
      </c>
      <c r="AC338" s="99" t="s">
        <v>3411</v>
      </c>
      <c r="AD338" s="99" t="s">
        <v>175</v>
      </c>
      <c r="AE338" s="99" t="s">
        <v>3411</v>
      </c>
      <c r="AF338" s="99" t="s">
        <v>3411</v>
      </c>
      <c r="AG338" s="124">
        <v>632</v>
      </c>
      <c r="AH338" s="99" t="s">
        <v>3413</v>
      </c>
      <c r="AI338" s="125">
        <v>100</v>
      </c>
      <c r="AJ338" s="99" t="s">
        <v>176</v>
      </c>
      <c r="AK338" s="99" t="s">
        <v>4230</v>
      </c>
      <c r="AL338" s="99" t="s">
        <v>3411</v>
      </c>
      <c r="AM338" s="99" t="s">
        <v>177</v>
      </c>
      <c r="AN338" s="99" t="s">
        <v>3411</v>
      </c>
      <c r="AO338" s="99" t="s">
        <v>403</v>
      </c>
      <c r="AP338" s="99" t="s">
        <v>2570</v>
      </c>
      <c r="AQ338" s="99" t="s">
        <v>3411</v>
      </c>
      <c r="AR338" s="99" t="s">
        <v>3411</v>
      </c>
      <c r="AS338" s="99" t="s">
        <v>1400</v>
      </c>
      <c r="AT338" s="99" t="s">
        <v>1</v>
      </c>
      <c r="AU338" s="99" t="s">
        <v>179</v>
      </c>
      <c r="AV338" s="99" t="s">
        <v>3414</v>
      </c>
      <c r="AW338" s="99" t="s">
        <v>180</v>
      </c>
      <c r="AX338" s="99" t="s">
        <v>3420</v>
      </c>
      <c r="AY338" s="99" t="s">
        <v>252</v>
      </c>
      <c r="AZ338" s="99" t="s">
        <v>3416</v>
      </c>
      <c r="BA338" s="99" t="s">
        <v>4215</v>
      </c>
      <c r="BB338" s="99" t="s">
        <v>1375</v>
      </c>
      <c r="BC338" s="125">
        <v>62</v>
      </c>
      <c r="BD338" s="99" t="s">
        <v>3135</v>
      </c>
      <c r="BE338" s="99" t="s">
        <v>3136</v>
      </c>
    </row>
    <row r="339" spans="1:57" ht="12.95" customHeight="1">
      <c r="A339" s="124">
        <v>15</v>
      </c>
      <c r="B339" s="124">
        <v>3162</v>
      </c>
      <c r="C339" s="99" t="s">
        <v>165</v>
      </c>
      <c r="D339" s="99" t="s">
        <v>1104</v>
      </c>
      <c r="E339" s="99" t="s">
        <v>2873</v>
      </c>
      <c r="F339" s="99" t="s">
        <v>1336</v>
      </c>
      <c r="G339" s="99" t="s">
        <v>3189</v>
      </c>
      <c r="H339" s="99" t="s">
        <v>4213</v>
      </c>
      <c r="I339" s="99" t="s">
        <v>1374</v>
      </c>
      <c r="J339" s="99" t="s">
        <v>3365</v>
      </c>
      <c r="K339" s="99" t="s">
        <v>3366</v>
      </c>
      <c r="L339" s="99" t="s">
        <v>3367</v>
      </c>
      <c r="M339" s="99" t="s">
        <v>1</v>
      </c>
      <c r="N339" s="99" t="s">
        <v>3454</v>
      </c>
      <c r="O339" s="99" t="s">
        <v>70</v>
      </c>
      <c r="P339" s="99" t="s">
        <v>4232</v>
      </c>
      <c r="Q339" s="99" t="s">
        <v>247</v>
      </c>
      <c r="R339" s="99" t="s">
        <v>3409</v>
      </c>
      <c r="S339" s="99" t="s">
        <v>2636</v>
      </c>
      <c r="T339" s="99" t="s">
        <v>48</v>
      </c>
      <c r="U339" s="99" t="s">
        <v>170</v>
      </c>
      <c r="V339" s="99" t="s">
        <v>171</v>
      </c>
      <c r="W339" s="99" t="s">
        <v>4232</v>
      </c>
      <c r="X339" s="99" t="s">
        <v>4232</v>
      </c>
      <c r="Y339" s="99" t="s">
        <v>4233</v>
      </c>
      <c r="Z339" s="99" t="s">
        <v>172</v>
      </c>
      <c r="AA339" s="99" t="s">
        <v>173</v>
      </c>
      <c r="AB339" s="99" t="s">
        <v>174</v>
      </c>
      <c r="AC339" s="99" t="s">
        <v>3411</v>
      </c>
      <c r="AD339" s="99" t="s">
        <v>172</v>
      </c>
      <c r="AE339" s="99" t="s">
        <v>3737</v>
      </c>
      <c r="AF339" s="99" t="s">
        <v>3411</v>
      </c>
      <c r="AG339" s="124">
        <v>3162</v>
      </c>
      <c r="AH339" s="99" t="s">
        <v>3413</v>
      </c>
      <c r="AI339" s="125">
        <v>100</v>
      </c>
      <c r="AJ339" s="99" t="s">
        <v>176</v>
      </c>
      <c r="AK339" s="99" t="s">
        <v>4232</v>
      </c>
      <c r="AL339" s="99" t="s">
        <v>3411</v>
      </c>
      <c r="AM339" s="99" t="s">
        <v>177</v>
      </c>
      <c r="AN339" s="99" t="s">
        <v>3411</v>
      </c>
      <c r="AO339" s="99" t="s">
        <v>412</v>
      </c>
      <c r="AP339" s="99" t="s">
        <v>2570</v>
      </c>
      <c r="AQ339" s="99" t="s">
        <v>3411</v>
      </c>
      <c r="AR339" s="99" t="s">
        <v>3411</v>
      </c>
      <c r="AS339" s="99" t="s">
        <v>3368</v>
      </c>
      <c r="AT339" s="99" t="s">
        <v>1</v>
      </c>
      <c r="AU339" s="99" t="s">
        <v>179</v>
      </c>
      <c r="AV339" s="99" t="s">
        <v>3414</v>
      </c>
      <c r="AW339" s="99" t="s">
        <v>180</v>
      </c>
      <c r="AX339" s="99" t="s">
        <v>3825</v>
      </c>
      <c r="AY339" s="99" t="s">
        <v>252</v>
      </c>
      <c r="AZ339" s="99" t="s">
        <v>3416</v>
      </c>
      <c r="BA339" s="99" t="s">
        <v>4215</v>
      </c>
      <c r="BB339" s="99" t="s">
        <v>1375</v>
      </c>
      <c r="BC339" s="125">
        <v>60</v>
      </c>
      <c r="BD339" s="99" t="s">
        <v>3135</v>
      </c>
      <c r="BE339" s="99" t="s">
        <v>3136</v>
      </c>
    </row>
    <row r="340" spans="1:57" ht="12.95" customHeight="1">
      <c r="A340" s="124">
        <v>15</v>
      </c>
      <c r="B340" s="124">
        <v>1166</v>
      </c>
      <c r="C340" s="99" t="s">
        <v>165</v>
      </c>
      <c r="D340" s="99" t="s">
        <v>1104</v>
      </c>
      <c r="E340" s="99" t="s">
        <v>2873</v>
      </c>
      <c r="F340" s="99" t="s">
        <v>1336</v>
      </c>
      <c r="G340" s="99" t="s">
        <v>3189</v>
      </c>
      <c r="H340" s="99" t="s">
        <v>4213</v>
      </c>
      <c r="I340" s="99" t="s">
        <v>1374</v>
      </c>
      <c r="J340" s="99" t="s">
        <v>1401</v>
      </c>
      <c r="K340" s="99" t="s">
        <v>695</v>
      </c>
      <c r="L340" s="99" t="s">
        <v>1402</v>
      </c>
      <c r="M340" s="99" t="s">
        <v>1</v>
      </c>
      <c r="N340" s="99" t="s">
        <v>3454</v>
      </c>
      <c r="O340" s="99" t="s">
        <v>70</v>
      </c>
      <c r="P340" s="99" t="s">
        <v>4119</v>
      </c>
      <c r="Q340" s="99" t="s">
        <v>247</v>
      </c>
      <c r="R340" s="99" t="s">
        <v>3409</v>
      </c>
      <c r="S340" s="99" t="s">
        <v>2636</v>
      </c>
      <c r="T340" s="99" t="s">
        <v>48</v>
      </c>
      <c r="U340" s="99" t="s">
        <v>170</v>
      </c>
      <c r="V340" s="99" t="s">
        <v>171</v>
      </c>
      <c r="W340" s="99" t="s">
        <v>3966</v>
      </c>
      <c r="X340" s="99" t="s">
        <v>3966</v>
      </c>
      <c r="Y340" s="99" t="s">
        <v>4234</v>
      </c>
      <c r="Z340" s="99" t="s">
        <v>172</v>
      </c>
      <c r="AA340" s="99" t="s">
        <v>173</v>
      </c>
      <c r="AB340" s="99" t="s">
        <v>174</v>
      </c>
      <c r="AC340" s="99" t="s">
        <v>3411</v>
      </c>
      <c r="AD340" s="99" t="s">
        <v>175</v>
      </c>
      <c r="AE340" s="99" t="s">
        <v>3411</v>
      </c>
      <c r="AF340" s="99" t="s">
        <v>3411</v>
      </c>
      <c r="AG340" s="124">
        <v>919</v>
      </c>
      <c r="AH340" s="99" t="s">
        <v>3413</v>
      </c>
      <c r="AI340" s="125">
        <v>100</v>
      </c>
      <c r="AJ340" s="99" t="s">
        <v>176</v>
      </c>
      <c r="AK340" s="99" t="s">
        <v>4235</v>
      </c>
      <c r="AL340" s="99" t="s">
        <v>3411</v>
      </c>
      <c r="AM340" s="99" t="s">
        <v>177</v>
      </c>
      <c r="AN340" s="99" t="s">
        <v>3411</v>
      </c>
      <c r="AO340" s="99" t="s">
        <v>403</v>
      </c>
      <c r="AP340" s="99" t="s">
        <v>2570</v>
      </c>
      <c r="AQ340" s="99" t="s">
        <v>3411</v>
      </c>
      <c r="AR340" s="99" t="s">
        <v>234</v>
      </c>
      <c r="AS340" s="99" t="s">
        <v>1403</v>
      </c>
      <c r="AT340" s="99" t="s">
        <v>1</v>
      </c>
      <c r="AU340" s="99" t="s">
        <v>179</v>
      </c>
      <c r="AV340" s="99" t="s">
        <v>3414</v>
      </c>
      <c r="AW340" s="99" t="s">
        <v>180</v>
      </c>
      <c r="AX340" s="99" t="s">
        <v>3420</v>
      </c>
      <c r="AY340" s="99" t="s">
        <v>252</v>
      </c>
      <c r="AZ340" s="99" t="s">
        <v>3416</v>
      </c>
      <c r="BA340" s="99" t="s">
        <v>4215</v>
      </c>
      <c r="BB340" s="99" t="s">
        <v>1375</v>
      </c>
      <c r="BC340" s="125">
        <v>59</v>
      </c>
      <c r="BD340" s="99" t="s">
        <v>3135</v>
      </c>
      <c r="BE340" s="99" t="s">
        <v>3136</v>
      </c>
    </row>
    <row r="341" spans="1:57" ht="12.95" customHeight="1">
      <c r="A341" s="124">
        <v>15</v>
      </c>
      <c r="B341" s="124">
        <v>1971</v>
      </c>
      <c r="C341" s="99" t="s">
        <v>165</v>
      </c>
      <c r="D341" s="99" t="s">
        <v>1104</v>
      </c>
      <c r="E341" s="99" t="s">
        <v>2873</v>
      </c>
      <c r="F341" s="99" t="s">
        <v>1336</v>
      </c>
      <c r="G341" s="99" t="s">
        <v>3189</v>
      </c>
      <c r="H341" s="99" t="s">
        <v>4213</v>
      </c>
      <c r="I341" s="99" t="s">
        <v>1374</v>
      </c>
      <c r="J341" s="99" t="s">
        <v>1404</v>
      </c>
      <c r="K341" s="99" t="s">
        <v>402</v>
      </c>
      <c r="L341" s="99" t="s">
        <v>1405</v>
      </c>
      <c r="M341" s="99" t="s">
        <v>1</v>
      </c>
      <c r="N341" s="99" t="s">
        <v>3454</v>
      </c>
      <c r="O341" s="99" t="s">
        <v>70</v>
      </c>
      <c r="P341" s="99" t="s">
        <v>4119</v>
      </c>
      <c r="Q341" s="99" t="s">
        <v>247</v>
      </c>
      <c r="R341" s="99" t="s">
        <v>3409</v>
      </c>
      <c r="S341" s="99" t="s">
        <v>2636</v>
      </c>
      <c r="T341" s="99" t="s">
        <v>48</v>
      </c>
      <c r="U341" s="99" t="s">
        <v>184</v>
      </c>
      <c r="V341" s="99" t="s">
        <v>185</v>
      </c>
      <c r="W341" s="99" t="s">
        <v>3666</v>
      </c>
      <c r="X341" s="99" t="s">
        <v>3666</v>
      </c>
      <c r="Y341" s="99" t="s">
        <v>4236</v>
      </c>
      <c r="Z341" s="99" t="s">
        <v>172</v>
      </c>
      <c r="AA341" s="99" t="s">
        <v>173</v>
      </c>
      <c r="AB341" s="99" t="s">
        <v>174</v>
      </c>
      <c r="AC341" s="99" t="s">
        <v>3411</v>
      </c>
      <c r="AD341" s="99" t="s">
        <v>175</v>
      </c>
      <c r="AE341" s="99" t="s">
        <v>3411</v>
      </c>
      <c r="AF341" s="99" t="s">
        <v>3411</v>
      </c>
      <c r="AG341" s="124">
        <v>1537</v>
      </c>
      <c r="AH341" s="99" t="s">
        <v>3413</v>
      </c>
      <c r="AI341" s="125">
        <v>100</v>
      </c>
      <c r="AJ341" s="99" t="s">
        <v>176</v>
      </c>
      <c r="AK341" s="99" t="s">
        <v>3666</v>
      </c>
      <c r="AL341" s="99" t="s">
        <v>3411</v>
      </c>
      <c r="AM341" s="99" t="s">
        <v>177</v>
      </c>
      <c r="AN341" s="99" t="s">
        <v>3411</v>
      </c>
      <c r="AO341" s="99" t="s">
        <v>403</v>
      </c>
      <c r="AP341" s="99" t="s">
        <v>2570</v>
      </c>
      <c r="AQ341" s="99" t="s">
        <v>3411</v>
      </c>
      <c r="AR341" s="99" t="s">
        <v>3411</v>
      </c>
      <c r="AS341" s="99" t="s">
        <v>1406</v>
      </c>
      <c r="AT341" s="99" t="s">
        <v>1</v>
      </c>
      <c r="AU341" s="99" t="s">
        <v>179</v>
      </c>
      <c r="AV341" s="99" t="s">
        <v>3414</v>
      </c>
      <c r="AW341" s="99" t="s">
        <v>180</v>
      </c>
      <c r="AX341" s="99" t="s">
        <v>3420</v>
      </c>
      <c r="AY341" s="99" t="s">
        <v>252</v>
      </c>
      <c r="AZ341" s="99" t="s">
        <v>3416</v>
      </c>
      <c r="BA341" s="99" t="s">
        <v>4215</v>
      </c>
      <c r="BB341" s="99" t="s">
        <v>1375</v>
      </c>
      <c r="BC341" s="125">
        <v>53</v>
      </c>
      <c r="BD341" s="99" t="s">
        <v>3135</v>
      </c>
      <c r="BE341" s="99" t="s">
        <v>3136</v>
      </c>
    </row>
    <row r="342" spans="1:57" ht="12.95" customHeight="1">
      <c r="A342" s="124">
        <v>15</v>
      </c>
      <c r="B342" s="124">
        <v>918</v>
      </c>
      <c r="C342" s="99" t="s">
        <v>165</v>
      </c>
      <c r="D342" s="99" t="s">
        <v>1104</v>
      </c>
      <c r="E342" s="99" t="s">
        <v>2873</v>
      </c>
      <c r="F342" s="99" t="s">
        <v>1336</v>
      </c>
      <c r="G342" s="99" t="s">
        <v>3189</v>
      </c>
      <c r="H342" s="99" t="s">
        <v>4213</v>
      </c>
      <c r="I342" s="99" t="s">
        <v>1374</v>
      </c>
      <c r="J342" s="99" t="s">
        <v>1407</v>
      </c>
      <c r="K342" s="99" t="s">
        <v>402</v>
      </c>
      <c r="L342" s="99" t="s">
        <v>1408</v>
      </c>
      <c r="M342" s="99" t="s">
        <v>1</v>
      </c>
      <c r="N342" s="99" t="s">
        <v>3454</v>
      </c>
      <c r="O342" s="99" t="s">
        <v>70</v>
      </c>
      <c r="P342" s="99" t="s">
        <v>4119</v>
      </c>
      <c r="Q342" s="99" t="s">
        <v>247</v>
      </c>
      <c r="R342" s="99" t="s">
        <v>3409</v>
      </c>
      <c r="S342" s="99" t="s">
        <v>2636</v>
      </c>
      <c r="T342" s="99" t="s">
        <v>48</v>
      </c>
      <c r="U342" s="99" t="s">
        <v>184</v>
      </c>
      <c r="V342" s="99" t="s">
        <v>185</v>
      </c>
      <c r="W342" s="99" t="s">
        <v>4237</v>
      </c>
      <c r="X342" s="99" t="s">
        <v>4237</v>
      </c>
      <c r="Y342" s="99" t="s">
        <v>4238</v>
      </c>
      <c r="Z342" s="99" t="s">
        <v>172</v>
      </c>
      <c r="AA342" s="99" t="s">
        <v>173</v>
      </c>
      <c r="AB342" s="99" t="s">
        <v>174</v>
      </c>
      <c r="AC342" s="99" t="s">
        <v>3411</v>
      </c>
      <c r="AD342" s="99" t="s">
        <v>175</v>
      </c>
      <c r="AE342" s="99" t="s">
        <v>3411</v>
      </c>
      <c r="AF342" s="99" t="s">
        <v>3411</v>
      </c>
      <c r="AG342" s="124">
        <v>707</v>
      </c>
      <c r="AH342" s="99" t="s">
        <v>3413</v>
      </c>
      <c r="AI342" s="125">
        <v>100</v>
      </c>
      <c r="AJ342" s="99" t="s">
        <v>176</v>
      </c>
      <c r="AK342" s="99" t="s">
        <v>4237</v>
      </c>
      <c r="AL342" s="99" t="s">
        <v>3411</v>
      </c>
      <c r="AM342" s="99" t="s">
        <v>177</v>
      </c>
      <c r="AN342" s="99" t="s">
        <v>3411</v>
      </c>
      <c r="AO342" s="99" t="s">
        <v>403</v>
      </c>
      <c r="AP342" s="99" t="s">
        <v>2570</v>
      </c>
      <c r="AQ342" s="99" t="s">
        <v>3411</v>
      </c>
      <c r="AR342" s="99" t="s">
        <v>234</v>
      </c>
      <c r="AS342" s="99" t="s">
        <v>1409</v>
      </c>
      <c r="AT342" s="99" t="s">
        <v>1</v>
      </c>
      <c r="AU342" s="99" t="s">
        <v>179</v>
      </c>
      <c r="AV342" s="99" t="s">
        <v>3414</v>
      </c>
      <c r="AW342" s="99" t="s">
        <v>180</v>
      </c>
      <c r="AX342" s="99" t="s">
        <v>3420</v>
      </c>
      <c r="AY342" s="99" t="s">
        <v>252</v>
      </c>
      <c r="AZ342" s="99" t="s">
        <v>3416</v>
      </c>
      <c r="BA342" s="99" t="s">
        <v>4215</v>
      </c>
      <c r="BB342" s="99" t="s">
        <v>1375</v>
      </c>
      <c r="BC342" s="125">
        <v>52</v>
      </c>
      <c r="BD342" s="99" t="s">
        <v>3135</v>
      </c>
      <c r="BE342" s="99" t="s">
        <v>3136</v>
      </c>
    </row>
    <row r="343" spans="1:57" ht="12.95" customHeight="1">
      <c r="A343" s="124">
        <v>15</v>
      </c>
      <c r="B343" s="124">
        <v>2154</v>
      </c>
      <c r="C343" s="99" t="s">
        <v>165</v>
      </c>
      <c r="D343" s="99" t="s">
        <v>1104</v>
      </c>
      <c r="E343" s="99" t="s">
        <v>2873</v>
      </c>
      <c r="F343" s="99" t="s">
        <v>1336</v>
      </c>
      <c r="G343" s="99" t="s">
        <v>3189</v>
      </c>
      <c r="H343" s="99" t="s">
        <v>1410</v>
      </c>
      <c r="I343" s="99" t="s">
        <v>1411</v>
      </c>
      <c r="J343" s="99" t="s">
        <v>1412</v>
      </c>
      <c r="K343" s="99" t="s">
        <v>1413</v>
      </c>
      <c r="L343" s="99" t="s">
        <v>1414</v>
      </c>
      <c r="M343" s="99" t="s">
        <v>1</v>
      </c>
      <c r="N343" s="99" t="s">
        <v>3454</v>
      </c>
      <c r="O343" s="99" t="s">
        <v>70</v>
      </c>
      <c r="P343" s="99" t="s">
        <v>4119</v>
      </c>
      <c r="Q343" s="99" t="s">
        <v>247</v>
      </c>
      <c r="R343" s="99" t="s">
        <v>3409</v>
      </c>
      <c r="S343" s="99" t="s">
        <v>2636</v>
      </c>
      <c r="T343" s="99" t="s">
        <v>52</v>
      </c>
      <c r="U343" s="99" t="s">
        <v>427</v>
      </c>
      <c r="V343" s="99" t="s">
        <v>428</v>
      </c>
      <c r="W343" s="99" t="s">
        <v>4228</v>
      </c>
      <c r="X343" s="99" t="s">
        <v>4228</v>
      </c>
      <c r="Y343" s="99" t="s">
        <v>3631</v>
      </c>
      <c r="Z343" s="99" t="s">
        <v>172</v>
      </c>
      <c r="AA343" s="99" t="s">
        <v>173</v>
      </c>
      <c r="AB343" s="99" t="s">
        <v>174</v>
      </c>
      <c r="AC343" s="99" t="s">
        <v>3411</v>
      </c>
      <c r="AD343" s="99" t="s">
        <v>175</v>
      </c>
      <c r="AE343" s="99" t="s">
        <v>3411</v>
      </c>
      <c r="AF343" s="99" t="s">
        <v>3411</v>
      </c>
      <c r="AG343" s="124">
        <v>1625</v>
      </c>
      <c r="AH343" s="99" t="s">
        <v>3413</v>
      </c>
      <c r="AI343" s="125">
        <v>100</v>
      </c>
      <c r="AJ343" s="99" t="s">
        <v>176</v>
      </c>
      <c r="AK343" s="99" t="s">
        <v>4228</v>
      </c>
      <c r="AL343" s="99" t="s">
        <v>3411</v>
      </c>
      <c r="AM343" s="99" t="s">
        <v>177</v>
      </c>
      <c r="AN343" s="99" t="s">
        <v>3411</v>
      </c>
      <c r="AO343" s="99" t="s">
        <v>403</v>
      </c>
      <c r="AP343" s="99" t="s">
        <v>2570</v>
      </c>
      <c r="AQ343" s="99" t="s">
        <v>3411</v>
      </c>
      <c r="AR343" s="99" t="s">
        <v>3411</v>
      </c>
      <c r="AS343" s="99" t="s">
        <v>1415</v>
      </c>
      <c r="AT343" s="99" t="s">
        <v>1</v>
      </c>
      <c r="AU343" s="99" t="s">
        <v>179</v>
      </c>
      <c r="AV343" s="99" t="s">
        <v>3414</v>
      </c>
      <c r="AW343" s="99" t="s">
        <v>180</v>
      </c>
      <c r="AX343" s="99" t="s">
        <v>3420</v>
      </c>
      <c r="AY343" s="99" t="s">
        <v>252</v>
      </c>
      <c r="AZ343" s="99" t="s">
        <v>3416</v>
      </c>
      <c r="BA343" s="99" t="s">
        <v>4219</v>
      </c>
      <c r="BB343" s="99" t="s">
        <v>1356</v>
      </c>
      <c r="BC343" s="125">
        <v>51</v>
      </c>
      <c r="BD343" s="99" t="s">
        <v>3135</v>
      </c>
      <c r="BE343" s="99" t="s">
        <v>3136</v>
      </c>
    </row>
    <row r="344" spans="1:57" ht="12.95" customHeight="1">
      <c r="A344" s="124">
        <v>15</v>
      </c>
      <c r="B344" s="124">
        <v>2098</v>
      </c>
      <c r="C344" s="99" t="s">
        <v>165</v>
      </c>
      <c r="D344" s="99" t="s">
        <v>1104</v>
      </c>
      <c r="E344" s="99" t="s">
        <v>2873</v>
      </c>
      <c r="F344" s="99" t="s">
        <v>1336</v>
      </c>
      <c r="G344" s="99" t="s">
        <v>3189</v>
      </c>
      <c r="H344" s="99" t="s">
        <v>1410</v>
      </c>
      <c r="I344" s="99" t="s">
        <v>1411</v>
      </c>
      <c r="J344" s="99" t="s">
        <v>1416</v>
      </c>
      <c r="K344" s="99" t="s">
        <v>695</v>
      </c>
      <c r="L344" s="99" t="s">
        <v>1417</v>
      </c>
      <c r="M344" s="99" t="s">
        <v>1</v>
      </c>
      <c r="N344" s="99" t="s">
        <v>3407</v>
      </c>
      <c r="O344" s="99" t="s">
        <v>114</v>
      </c>
      <c r="P344" s="99" t="s">
        <v>3422</v>
      </c>
      <c r="Q344" s="99" t="s">
        <v>169</v>
      </c>
      <c r="R344" s="99" t="s">
        <v>3409</v>
      </c>
      <c r="S344" s="99" t="s">
        <v>2636</v>
      </c>
      <c r="T344" s="99" t="s">
        <v>48</v>
      </c>
      <c r="U344" s="99" t="s">
        <v>184</v>
      </c>
      <c r="V344" s="99" t="s">
        <v>185</v>
      </c>
      <c r="W344" s="99" t="s">
        <v>3467</v>
      </c>
      <c r="X344" s="99" t="s">
        <v>3467</v>
      </c>
      <c r="Y344" s="99" t="s">
        <v>4239</v>
      </c>
      <c r="Z344" s="99" t="s">
        <v>172</v>
      </c>
      <c r="AA344" s="99" t="s">
        <v>173</v>
      </c>
      <c r="AB344" s="99" t="s">
        <v>174</v>
      </c>
      <c r="AC344" s="99" t="s">
        <v>3411</v>
      </c>
      <c r="AD344" s="99" t="s">
        <v>175</v>
      </c>
      <c r="AE344" s="99" t="s">
        <v>3411</v>
      </c>
      <c r="AF344" s="99" t="s">
        <v>3411</v>
      </c>
      <c r="AG344" s="124">
        <v>1586</v>
      </c>
      <c r="AH344" s="99" t="s">
        <v>3413</v>
      </c>
      <c r="AI344" s="125">
        <v>100</v>
      </c>
      <c r="AJ344" s="99" t="s">
        <v>176</v>
      </c>
      <c r="AK344" s="99" t="s">
        <v>3467</v>
      </c>
      <c r="AL344" s="99" t="s">
        <v>3411</v>
      </c>
      <c r="AM344" s="99" t="s">
        <v>177</v>
      </c>
      <c r="AN344" s="99" t="s">
        <v>3411</v>
      </c>
      <c r="AO344" s="99" t="s">
        <v>403</v>
      </c>
      <c r="AP344" s="99" t="s">
        <v>2570</v>
      </c>
      <c r="AQ344" s="99" t="s">
        <v>3411</v>
      </c>
      <c r="AR344" s="99" t="s">
        <v>3411</v>
      </c>
      <c r="AS344" s="99" t="s">
        <v>1418</v>
      </c>
      <c r="AT344" s="99" t="s">
        <v>1</v>
      </c>
      <c r="AU344" s="99" t="s">
        <v>179</v>
      </c>
      <c r="AV344" s="99" t="s">
        <v>3414</v>
      </c>
      <c r="AW344" s="99" t="s">
        <v>180</v>
      </c>
      <c r="AX344" s="99" t="s">
        <v>3420</v>
      </c>
      <c r="AY344" s="99" t="s">
        <v>252</v>
      </c>
      <c r="AZ344" s="99" t="s">
        <v>3416</v>
      </c>
      <c r="BA344" s="99" t="s">
        <v>4240</v>
      </c>
      <c r="BB344" s="99" t="s">
        <v>1419</v>
      </c>
      <c r="BC344" s="125">
        <v>54</v>
      </c>
      <c r="BD344" s="99" t="s">
        <v>3135</v>
      </c>
      <c r="BE344" s="99" t="s">
        <v>3136</v>
      </c>
    </row>
    <row r="345" spans="1:57" ht="12.95" customHeight="1">
      <c r="A345" s="124">
        <v>15</v>
      </c>
      <c r="B345" s="124">
        <v>2044</v>
      </c>
      <c r="C345" s="99" t="s">
        <v>165</v>
      </c>
      <c r="D345" s="99" t="s">
        <v>1104</v>
      </c>
      <c r="E345" s="99" t="s">
        <v>2873</v>
      </c>
      <c r="F345" s="99" t="s">
        <v>1336</v>
      </c>
      <c r="G345" s="99" t="s">
        <v>3189</v>
      </c>
      <c r="H345" s="99" t="s">
        <v>1410</v>
      </c>
      <c r="I345" s="99" t="s">
        <v>1411</v>
      </c>
      <c r="J345" s="99" t="s">
        <v>1420</v>
      </c>
      <c r="K345" s="99" t="s">
        <v>1421</v>
      </c>
      <c r="L345" s="99" t="s">
        <v>1422</v>
      </c>
      <c r="M345" s="99" t="s">
        <v>1</v>
      </c>
      <c r="N345" s="99" t="s">
        <v>3454</v>
      </c>
      <c r="O345" s="99" t="s">
        <v>70</v>
      </c>
      <c r="P345" s="99" t="s">
        <v>4119</v>
      </c>
      <c r="Q345" s="99" t="s">
        <v>247</v>
      </c>
      <c r="R345" s="99" t="s">
        <v>3409</v>
      </c>
      <c r="S345" s="99" t="s">
        <v>2636</v>
      </c>
      <c r="T345" s="99" t="s">
        <v>48</v>
      </c>
      <c r="U345" s="99" t="s">
        <v>184</v>
      </c>
      <c r="V345" s="99" t="s">
        <v>185</v>
      </c>
      <c r="W345" s="99" t="s">
        <v>4222</v>
      </c>
      <c r="X345" s="99" t="s">
        <v>4222</v>
      </c>
      <c r="Y345" s="99" t="s">
        <v>4241</v>
      </c>
      <c r="Z345" s="99" t="s">
        <v>172</v>
      </c>
      <c r="AA345" s="99" t="s">
        <v>173</v>
      </c>
      <c r="AB345" s="99" t="s">
        <v>174</v>
      </c>
      <c r="AC345" s="99" t="s">
        <v>3411</v>
      </c>
      <c r="AD345" s="99" t="s">
        <v>175</v>
      </c>
      <c r="AE345" s="99" t="s">
        <v>3411</v>
      </c>
      <c r="AF345" s="99" t="s">
        <v>3411</v>
      </c>
      <c r="AG345" s="124">
        <v>1565</v>
      </c>
      <c r="AH345" s="99" t="s">
        <v>3413</v>
      </c>
      <c r="AI345" s="125">
        <v>100</v>
      </c>
      <c r="AJ345" s="99" t="s">
        <v>176</v>
      </c>
      <c r="AK345" s="99" t="s">
        <v>4242</v>
      </c>
      <c r="AL345" s="99" t="s">
        <v>3411</v>
      </c>
      <c r="AM345" s="99" t="s">
        <v>177</v>
      </c>
      <c r="AN345" s="99" t="s">
        <v>3411</v>
      </c>
      <c r="AO345" s="99" t="s">
        <v>178</v>
      </c>
      <c r="AP345" s="99" t="s">
        <v>2570</v>
      </c>
      <c r="AQ345" s="99" t="s">
        <v>3411</v>
      </c>
      <c r="AR345" s="99" t="s">
        <v>234</v>
      </c>
      <c r="AS345" s="99" t="s">
        <v>1423</v>
      </c>
      <c r="AT345" s="99" t="s">
        <v>1</v>
      </c>
      <c r="AU345" s="99" t="s">
        <v>179</v>
      </c>
      <c r="AV345" s="99" t="s">
        <v>3414</v>
      </c>
      <c r="AW345" s="99" t="s">
        <v>180</v>
      </c>
      <c r="AX345" s="99" t="s">
        <v>3420</v>
      </c>
      <c r="AY345" s="99" t="s">
        <v>252</v>
      </c>
      <c r="AZ345" s="99" t="s">
        <v>3416</v>
      </c>
      <c r="BA345" s="99" t="s">
        <v>4240</v>
      </c>
      <c r="BB345" s="99" t="s">
        <v>1419</v>
      </c>
      <c r="BC345" s="125">
        <v>53</v>
      </c>
      <c r="BD345" s="99" t="s">
        <v>3135</v>
      </c>
      <c r="BE345" s="99" t="s">
        <v>3136</v>
      </c>
    </row>
    <row r="346" spans="1:57" ht="12.95" customHeight="1">
      <c r="A346" s="124">
        <v>15</v>
      </c>
      <c r="B346" s="124">
        <v>3126</v>
      </c>
      <c r="C346" s="99" t="s">
        <v>165</v>
      </c>
      <c r="D346" s="99" t="s">
        <v>1104</v>
      </c>
      <c r="E346" s="99" t="s">
        <v>2873</v>
      </c>
      <c r="F346" s="99" t="s">
        <v>1336</v>
      </c>
      <c r="G346" s="99" t="s">
        <v>3189</v>
      </c>
      <c r="H346" s="99" t="s">
        <v>1410</v>
      </c>
      <c r="I346" s="99" t="s">
        <v>1411</v>
      </c>
      <c r="J346" s="99" t="s">
        <v>3108</v>
      </c>
      <c r="K346" s="99" t="s">
        <v>327</v>
      </c>
      <c r="L346" s="99" t="s">
        <v>3109</v>
      </c>
      <c r="M346" s="99" t="s">
        <v>1</v>
      </c>
      <c r="N346" s="99" t="s">
        <v>3454</v>
      </c>
      <c r="O346" s="99" t="s">
        <v>70</v>
      </c>
      <c r="P346" s="99" t="s">
        <v>4243</v>
      </c>
      <c r="Q346" s="99" t="s">
        <v>247</v>
      </c>
      <c r="R346" s="99" t="s">
        <v>3409</v>
      </c>
      <c r="S346" s="99" t="s">
        <v>2636</v>
      </c>
      <c r="T346" s="99" t="s">
        <v>48</v>
      </c>
      <c r="U346" s="99" t="s">
        <v>170</v>
      </c>
      <c r="V346" s="99" t="s">
        <v>171</v>
      </c>
      <c r="W346" s="99" t="s">
        <v>4243</v>
      </c>
      <c r="X346" s="99" t="s">
        <v>4243</v>
      </c>
      <c r="Y346" s="99" t="s">
        <v>4244</v>
      </c>
      <c r="Z346" s="99" t="s">
        <v>172</v>
      </c>
      <c r="AA346" s="99" t="s">
        <v>173</v>
      </c>
      <c r="AB346" s="99" t="s">
        <v>174</v>
      </c>
      <c r="AC346" s="99" t="s">
        <v>3411</v>
      </c>
      <c r="AD346" s="99" t="s">
        <v>175</v>
      </c>
      <c r="AE346" s="99" t="s">
        <v>3411</v>
      </c>
      <c r="AF346" s="99" t="s">
        <v>3411</v>
      </c>
      <c r="AG346" s="124">
        <v>3126</v>
      </c>
      <c r="AH346" s="99" t="s">
        <v>3413</v>
      </c>
      <c r="AI346" s="125">
        <v>100</v>
      </c>
      <c r="AJ346" s="99" t="s">
        <v>176</v>
      </c>
      <c r="AK346" s="99" t="s">
        <v>4243</v>
      </c>
      <c r="AL346" s="99" t="s">
        <v>3411</v>
      </c>
      <c r="AM346" s="99" t="s">
        <v>177</v>
      </c>
      <c r="AN346" s="99" t="s">
        <v>3411</v>
      </c>
      <c r="AO346" s="99" t="s">
        <v>412</v>
      </c>
      <c r="AP346" s="99" t="s">
        <v>2570</v>
      </c>
      <c r="AQ346" s="99" t="s">
        <v>3411</v>
      </c>
      <c r="AR346" s="99" t="s">
        <v>3411</v>
      </c>
      <c r="AS346" s="99" t="s">
        <v>3110</v>
      </c>
      <c r="AT346" s="99" t="s">
        <v>1</v>
      </c>
      <c r="AU346" s="99" t="s">
        <v>179</v>
      </c>
      <c r="AV346" s="99" t="s">
        <v>3414</v>
      </c>
      <c r="AW346" s="99" t="s">
        <v>180</v>
      </c>
      <c r="AX346" s="99" t="s">
        <v>3420</v>
      </c>
      <c r="AY346" s="99" t="s">
        <v>252</v>
      </c>
      <c r="AZ346" s="99" t="s">
        <v>3416</v>
      </c>
      <c r="BA346" s="99" t="s">
        <v>4240</v>
      </c>
      <c r="BB346" s="99" t="s">
        <v>1419</v>
      </c>
      <c r="BC346" s="125">
        <v>39</v>
      </c>
      <c r="BD346" s="99" t="s">
        <v>3135</v>
      </c>
      <c r="BE346" s="99" t="s">
        <v>3136</v>
      </c>
    </row>
    <row r="347" spans="1:57" ht="12.95" customHeight="1">
      <c r="A347" s="124">
        <v>15</v>
      </c>
      <c r="B347" s="124">
        <v>1460</v>
      </c>
      <c r="C347" s="99" t="s">
        <v>165</v>
      </c>
      <c r="D347" s="99" t="s">
        <v>1104</v>
      </c>
      <c r="E347" s="99" t="s">
        <v>2873</v>
      </c>
      <c r="F347" s="99" t="s">
        <v>1336</v>
      </c>
      <c r="G347" s="99" t="s">
        <v>3189</v>
      </c>
      <c r="H347" s="99" t="s">
        <v>1410</v>
      </c>
      <c r="I347" s="99" t="s">
        <v>1411</v>
      </c>
      <c r="J347" s="99" t="s">
        <v>1428</v>
      </c>
      <c r="K347" s="99" t="s">
        <v>450</v>
      </c>
      <c r="L347" s="99" t="s">
        <v>1429</v>
      </c>
      <c r="M347" s="99" t="s">
        <v>1</v>
      </c>
      <c r="N347" s="99" t="s">
        <v>3454</v>
      </c>
      <c r="O347" s="99" t="s">
        <v>70</v>
      </c>
      <c r="P347" s="99" t="s">
        <v>4119</v>
      </c>
      <c r="Q347" s="99" t="s">
        <v>247</v>
      </c>
      <c r="R347" s="99" t="s">
        <v>3409</v>
      </c>
      <c r="S347" s="99" t="s">
        <v>2636</v>
      </c>
      <c r="T347" s="99" t="s">
        <v>48</v>
      </c>
      <c r="U347" s="99" t="s">
        <v>184</v>
      </c>
      <c r="V347" s="99" t="s">
        <v>185</v>
      </c>
      <c r="W347" s="99" t="s">
        <v>4245</v>
      </c>
      <c r="X347" s="99" t="s">
        <v>4245</v>
      </c>
      <c r="Y347" s="99" t="s">
        <v>4246</v>
      </c>
      <c r="Z347" s="99" t="s">
        <v>172</v>
      </c>
      <c r="AA347" s="99" t="s">
        <v>173</v>
      </c>
      <c r="AB347" s="99" t="s">
        <v>174</v>
      </c>
      <c r="AC347" s="99" t="s">
        <v>3411</v>
      </c>
      <c r="AD347" s="99" t="s">
        <v>175</v>
      </c>
      <c r="AE347" s="99" t="s">
        <v>3411</v>
      </c>
      <c r="AF347" s="99" t="s">
        <v>3411</v>
      </c>
      <c r="AG347" s="124">
        <v>1155</v>
      </c>
      <c r="AH347" s="99" t="s">
        <v>3413</v>
      </c>
      <c r="AI347" s="125">
        <v>100</v>
      </c>
      <c r="AJ347" s="99" t="s">
        <v>176</v>
      </c>
      <c r="AK347" s="99" t="s">
        <v>4247</v>
      </c>
      <c r="AL347" s="99" t="s">
        <v>3411</v>
      </c>
      <c r="AM347" s="99" t="s">
        <v>177</v>
      </c>
      <c r="AN347" s="99" t="s">
        <v>3411</v>
      </c>
      <c r="AO347" s="99" t="s">
        <v>403</v>
      </c>
      <c r="AP347" s="99" t="s">
        <v>2570</v>
      </c>
      <c r="AQ347" s="99" t="s">
        <v>3411</v>
      </c>
      <c r="AR347" s="99" t="s">
        <v>3411</v>
      </c>
      <c r="AS347" s="99" t="s">
        <v>1430</v>
      </c>
      <c r="AT347" s="99" t="s">
        <v>1</v>
      </c>
      <c r="AU347" s="99" t="s">
        <v>179</v>
      </c>
      <c r="AV347" s="99" t="s">
        <v>3414</v>
      </c>
      <c r="AW347" s="99" t="s">
        <v>180</v>
      </c>
      <c r="AX347" s="99" t="s">
        <v>3420</v>
      </c>
      <c r="AY347" s="99" t="s">
        <v>252</v>
      </c>
      <c r="AZ347" s="99" t="s">
        <v>3416</v>
      </c>
      <c r="BA347" s="99" t="s">
        <v>4240</v>
      </c>
      <c r="BB347" s="99" t="s">
        <v>1419</v>
      </c>
      <c r="BC347" s="125">
        <v>54</v>
      </c>
      <c r="BD347" s="99" t="s">
        <v>3135</v>
      </c>
      <c r="BE347" s="99" t="s">
        <v>3136</v>
      </c>
    </row>
    <row r="348" spans="1:57" ht="12.95" customHeight="1">
      <c r="A348" s="124">
        <v>15</v>
      </c>
      <c r="B348" s="124">
        <v>1500</v>
      </c>
      <c r="C348" s="99" t="s">
        <v>165</v>
      </c>
      <c r="D348" s="99" t="s">
        <v>1104</v>
      </c>
      <c r="E348" s="99" t="s">
        <v>2873</v>
      </c>
      <c r="F348" s="99" t="s">
        <v>1336</v>
      </c>
      <c r="G348" s="99" t="s">
        <v>3189</v>
      </c>
      <c r="H348" s="99" t="s">
        <v>3242</v>
      </c>
      <c r="I348" s="99" t="s">
        <v>3243</v>
      </c>
      <c r="J348" s="99" t="s">
        <v>1424</v>
      </c>
      <c r="K348" s="99" t="s">
        <v>1425</v>
      </c>
      <c r="L348" s="99" t="s">
        <v>1426</v>
      </c>
      <c r="M348" s="99" t="s">
        <v>1</v>
      </c>
      <c r="N348" s="99" t="s">
        <v>3454</v>
      </c>
      <c r="O348" s="99" t="s">
        <v>70</v>
      </c>
      <c r="P348" s="99" t="s">
        <v>4119</v>
      </c>
      <c r="Q348" s="99" t="s">
        <v>247</v>
      </c>
      <c r="R348" s="99" t="s">
        <v>3409</v>
      </c>
      <c r="S348" s="99" t="s">
        <v>2636</v>
      </c>
      <c r="T348" s="99" t="s">
        <v>48</v>
      </c>
      <c r="U348" s="99" t="s">
        <v>184</v>
      </c>
      <c r="V348" s="99" t="s">
        <v>185</v>
      </c>
      <c r="W348" s="99" t="s">
        <v>4248</v>
      </c>
      <c r="X348" s="99" t="s">
        <v>4248</v>
      </c>
      <c r="Y348" s="99" t="s">
        <v>4249</v>
      </c>
      <c r="Z348" s="99" t="s">
        <v>172</v>
      </c>
      <c r="AA348" s="99" t="s">
        <v>173</v>
      </c>
      <c r="AB348" s="99" t="s">
        <v>174</v>
      </c>
      <c r="AC348" s="99" t="s">
        <v>3411</v>
      </c>
      <c r="AD348" s="99" t="s">
        <v>175</v>
      </c>
      <c r="AE348" s="99" t="s">
        <v>3411</v>
      </c>
      <c r="AF348" s="99" t="s">
        <v>3411</v>
      </c>
      <c r="AG348" s="124">
        <v>1188</v>
      </c>
      <c r="AH348" s="99" t="s">
        <v>3413</v>
      </c>
      <c r="AI348" s="125">
        <v>100</v>
      </c>
      <c r="AJ348" s="99" t="s">
        <v>176</v>
      </c>
      <c r="AK348" s="99" t="s">
        <v>4248</v>
      </c>
      <c r="AL348" s="99" t="s">
        <v>3411</v>
      </c>
      <c r="AM348" s="99" t="s">
        <v>177</v>
      </c>
      <c r="AN348" s="99" t="s">
        <v>3411</v>
      </c>
      <c r="AO348" s="99" t="s">
        <v>403</v>
      </c>
      <c r="AP348" s="99" t="s">
        <v>2570</v>
      </c>
      <c r="AQ348" s="99" t="s">
        <v>3411</v>
      </c>
      <c r="AR348" s="99" t="s">
        <v>3411</v>
      </c>
      <c r="AS348" s="99" t="s">
        <v>1427</v>
      </c>
      <c r="AT348" s="99" t="s">
        <v>1</v>
      </c>
      <c r="AU348" s="99" t="s">
        <v>179</v>
      </c>
      <c r="AV348" s="99" t="s">
        <v>3414</v>
      </c>
      <c r="AW348" s="99" t="s">
        <v>180</v>
      </c>
      <c r="AX348" s="99" t="s">
        <v>3420</v>
      </c>
      <c r="AY348" s="99" t="s">
        <v>252</v>
      </c>
      <c r="AZ348" s="99" t="s">
        <v>3416</v>
      </c>
      <c r="BA348" s="99" t="s">
        <v>4219</v>
      </c>
      <c r="BB348" s="99" t="s">
        <v>1356</v>
      </c>
      <c r="BC348" s="125">
        <v>55</v>
      </c>
      <c r="BD348" s="99" t="s">
        <v>3135</v>
      </c>
      <c r="BE348" s="99" t="s">
        <v>3136</v>
      </c>
    </row>
    <row r="349" spans="1:57" ht="12.95" customHeight="1">
      <c r="A349" s="124">
        <v>15</v>
      </c>
      <c r="B349" s="124">
        <v>3118</v>
      </c>
      <c r="C349" s="99" t="s">
        <v>165</v>
      </c>
      <c r="D349" s="99" t="s">
        <v>1104</v>
      </c>
      <c r="E349" s="99" t="s">
        <v>2873</v>
      </c>
      <c r="F349" s="99" t="s">
        <v>2875</v>
      </c>
      <c r="G349" s="99" t="s">
        <v>3190</v>
      </c>
      <c r="H349" s="99" t="s">
        <v>1431</v>
      </c>
      <c r="I349" s="99" t="s">
        <v>3244</v>
      </c>
      <c r="J349" s="99" t="s">
        <v>3080</v>
      </c>
      <c r="K349" s="99" t="s">
        <v>3081</v>
      </c>
      <c r="L349" s="99" t="s">
        <v>3082</v>
      </c>
      <c r="M349" s="99" t="s">
        <v>5</v>
      </c>
      <c r="N349" s="99" t="s">
        <v>3407</v>
      </c>
      <c r="O349" s="99" t="s">
        <v>114</v>
      </c>
      <c r="P349" s="99" t="s">
        <v>4250</v>
      </c>
      <c r="Q349" s="99" t="s">
        <v>169</v>
      </c>
      <c r="R349" s="99" t="s">
        <v>3409</v>
      </c>
      <c r="S349" s="99" t="s">
        <v>2636</v>
      </c>
      <c r="T349" s="99" t="s">
        <v>48</v>
      </c>
      <c r="U349" s="99" t="s">
        <v>184</v>
      </c>
      <c r="V349" s="99" t="s">
        <v>185</v>
      </c>
      <c r="W349" s="99" t="s">
        <v>4250</v>
      </c>
      <c r="X349" s="99" t="s">
        <v>4250</v>
      </c>
      <c r="Y349" s="99" t="s">
        <v>4251</v>
      </c>
      <c r="Z349" s="99" t="s">
        <v>172</v>
      </c>
      <c r="AA349" s="99" t="s">
        <v>173</v>
      </c>
      <c r="AB349" s="99" t="s">
        <v>174</v>
      </c>
      <c r="AC349" s="99" t="s">
        <v>3411</v>
      </c>
      <c r="AD349" s="99" t="s">
        <v>175</v>
      </c>
      <c r="AE349" s="99" t="s">
        <v>3411</v>
      </c>
      <c r="AF349" s="99" t="s">
        <v>3411</v>
      </c>
      <c r="AG349" s="124">
        <v>3118</v>
      </c>
      <c r="AH349" s="99" t="s">
        <v>3413</v>
      </c>
      <c r="AI349" s="125">
        <v>100</v>
      </c>
      <c r="AJ349" s="99" t="s">
        <v>176</v>
      </c>
      <c r="AK349" s="99" t="s">
        <v>4250</v>
      </c>
      <c r="AL349" s="99" t="s">
        <v>3411</v>
      </c>
      <c r="AM349" s="99" t="s">
        <v>177</v>
      </c>
      <c r="AN349" s="99" t="s">
        <v>3411</v>
      </c>
      <c r="AO349" s="99" t="s">
        <v>412</v>
      </c>
      <c r="AP349" s="99" t="s">
        <v>2570</v>
      </c>
      <c r="AQ349" s="99" t="s">
        <v>3411</v>
      </c>
      <c r="AR349" s="99" t="s">
        <v>3411</v>
      </c>
      <c r="AS349" s="99" t="s">
        <v>3083</v>
      </c>
      <c r="AT349" s="99" t="s">
        <v>1</v>
      </c>
      <c r="AU349" s="99" t="s">
        <v>179</v>
      </c>
      <c r="AV349" s="99" t="s">
        <v>3414</v>
      </c>
      <c r="AW349" s="99" t="s">
        <v>180</v>
      </c>
      <c r="AX349" s="99" t="s">
        <v>3420</v>
      </c>
      <c r="AY349" s="99" t="s">
        <v>252</v>
      </c>
      <c r="AZ349" s="99" t="s">
        <v>3416</v>
      </c>
      <c r="BA349" s="99" t="s">
        <v>4252</v>
      </c>
      <c r="BB349" s="99" t="s">
        <v>2859</v>
      </c>
      <c r="BC349" s="125">
        <v>34</v>
      </c>
      <c r="BD349" s="99" t="s">
        <v>3135</v>
      </c>
      <c r="BE349" s="99" t="s">
        <v>3136</v>
      </c>
    </row>
    <row r="350" spans="1:57" ht="12.95" customHeight="1">
      <c r="A350" s="124">
        <v>15</v>
      </c>
      <c r="B350" s="124">
        <v>3060</v>
      </c>
      <c r="C350" s="99" t="s">
        <v>165</v>
      </c>
      <c r="D350" s="99" t="s">
        <v>1104</v>
      </c>
      <c r="E350" s="99" t="s">
        <v>2873</v>
      </c>
      <c r="F350" s="99" t="s">
        <v>2875</v>
      </c>
      <c r="G350" s="99" t="s">
        <v>3190</v>
      </c>
      <c r="H350" s="99" t="s">
        <v>1431</v>
      </c>
      <c r="I350" s="99" t="s">
        <v>3244</v>
      </c>
      <c r="J350" s="99" t="s">
        <v>2766</v>
      </c>
      <c r="K350" s="99" t="s">
        <v>2767</v>
      </c>
      <c r="L350" s="99" t="s">
        <v>2768</v>
      </c>
      <c r="M350" s="99" t="s">
        <v>5</v>
      </c>
      <c r="N350" s="99" t="s">
        <v>3407</v>
      </c>
      <c r="O350" s="99" t="s">
        <v>114</v>
      </c>
      <c r="P350" s="99" t="s">
        <v>4253</v>
      </c>
      <c r="Q350" s="99" t="s">
        <v>169</v>
      </c>
      <c r="R350" s="99" t="s">
        <v>3409</v>
      </c>
      <c r="S350" s="99" t="s">
        <v>2636</v>
      </c>
      <c r="T350" s="99" t="s">
        <v>52</v>
      </c>
      <c r="U350" s="99" t="s">
        <v>427</v>
      </c>
      <c r="V350" s="99" t="s">
        <v>428</v>
      </c>
      <c r="W350" s="99" t="s">
        <v>4253</v>
      </c>
      <c r="X350" s="99" t="s">
        <v>4253</v>
      </c>
      <c r="Y350" s="99" t="s">
        <v>4254</v>
      </c>
      <c r="Z350" s="99" t="s">
        <v>172</v>
      </c>
      <c r="AA350" s="99" t="s">
        <v>173</v>
      </c>
      <c r="AB350" s="99" t="s">
        <v>174</v>
      </c>
      <c r="AC350" s="99" t="s">
        <v>3411</v>
      </c>
      <c r="AD350" s="99" t="s">
        <v>175</v>
      </c>
      <c r="AE350" s="99" t="s">
        <v>3411</v>
      </c>
      <c r="AF350" s="99" t="s">
        <v>3411</v>
      </c>
      <c r="AG350" s="124">
        <v>3060</v>
      </c>
      <c r="AH350" s="99" t="s">
        <v>3413</v>
      </c>
      <c r="AI350" s="125">
        <v>100</v>
      </c>
      <c r="AJ350" s="99" t="s">
        <v>176</v>
      </c>
      <c r="AK350" s="99" t="s">
        <v>4253</v>
      </c>
      <c r="AL350" s="99" t="s">
        <v>3411</v>
      </c>
      <c r="AM350" s="99" t="s">
        <v>177</v>
      </c>
      <c r="AN350" s="99" t="s">
        <v>3411</v>
      </c>
      <c r="AO350" s="99" t="s">
        <v>412</v>
      </c>
      <c r="AP350" s="99" t="s">
        <v>2570</v>
      </c>
      <c r="AQ350" s="99" t="s">
        <v>3411</v>
      </c>
      <c r="AR350" s="99" t="s">
        <v>3411</v>
      </c>
      <c r="AS350" s="99" t="s">
        <v>2769</v>
      </c>
      <c r="AT350" s="99" t="s">
        <v>1</v>
      </c>
      <c r="AU350" s="99" t="s">
        <v>179</v>
      </c>
      <c r="AV350" s="99" t="s">
        <v>3414</v>
      </c>
      <c r="AW350" s="99" t="s">
        <v>180</v>
      </c>
      <c r="AX350" s="99" t="s">
        <v>3420</v>
      </c>
      <c r="AY350" s="99" t="s">
        <v>252</v>
      </c>
      <c r="AZ350" s="99" t="s">
        <v>3416</v>
      </c>
      <c r="BA350" s="99" t="s">
        <v>4033</v>
      </c>
      <c r="BB350" s="99" t="s">
        <v>1110</v>
      </c>
      <c r="BC350" s="125">
        <v>38</v>
      </c>
      <c r="BD350" s="99" t="s">
        <v>3135</v>
      </c>
      <c r="BE350" s="99" t="s">
        <v>3136</v>
      </c>
    </row>
    <row r="351" spans="1:57" ht="12.95" customHeight="1">
      <c r="A351" s="124">
        <v>15</v>
      </c>
      <c r="B351" s="124">
        <v>1809</v>
      </c>
      <c r="C351" s="99" t="s">
        <v>165</v>
      </c>
      <c r="D351" s="99" t="s">
        <v>1104</v>
      </c>
      <c r="E351" s="99" t="s">
        <v>2873</v>
      </c>
      <c r="F351" s="99" t="s">
        <v>2875</v>
      </c>
      <c r="G351" s="99" t="s">
        <v>3190</v>
      </c>
      <c r="H351" s="99" t="s">
        <v>2908</v>
      </c>
      <c r="I351" s="99" t="s">
        <v>2909</v>
      </c>
      <c r="J351" s="99" t="s">
        <v>1432</v>
      </c>
      <c r="K351" s="99" t="s">
        <v>370</v>
      </c>
      <c r="L351" s="99" t="s">
        <v>1433</v>
      </c>
      <c r="M351" s="99" t="s">
        <v>5</v>
      </c>
      <c r="N351" s="99" t="s">
        <v>3407</v>
      </c>
      <c r="O351" s="99" t="s">
        <v>114</v>
      </c>
      <c r="P351" s="99" t="s">
        <v>3422</v>
      </c>
      <c r="Q351" s="99" t="s">
        <v>169</v>
      </c>
      <c r="R351" s="99" t="s">
        <v>3409</v>
      </c>
      <c r="S351" s="99" t="s">
        <v>2636</v>
      </c>
      <c r="T351" s="99" t="s">
        <v>52</v>
      </c>
      <c r="U351" s="99" t="s">
        <v>427</v>
      </c>
      <c r="V351" s="99" t="s">
        <v>428</v>
      </c>
      <c r="W351" s="99" t="s">
        <v>4255</v>
      </c>
      <c r="X351" s="99" t="s">
        <v>4256</v>
      </c>
      <c r="Y351" s="99" t="s">
        <v>4257</v>
      </c>
      <c r="Z351" s="99" t="s">
        <v>172</v>
      </c>
      <c r="AA351" s="99" t="s">
        <v>173</v>
      </c>
      <c r="AB351" s="99" t="s">
        <v>174</v>
      </c>
      <c r="AC351" s="99" t="s">
        <v>3411</v>
      </c>
      <c r="AD351" s="99" t="s">
        <v>175</v>
      </c>
      <c r="AE351" s="99" t="s">
        <v>3411</v>
      </c>
      <c r="AF351" s="99" t="s">
        <v>3411</v>
      </c>
      <c r="AG351" s="124">
        <v>1429</v>
      </c>
      <c r="AH351" s="99" t="s">
        <v>3413</v>
      </c>
      <c r="AI351" s="125">
        <v>100</v>
      </c>
      <c r="AJ351" s="99" t="s">
        <v>176</v>
      </c>
      <c r="AK351" s="99" t="s">
        <v>4255</v>
      </c>
      <c r="AL351" s="99" t="s">
        <v>3411</v>
      </c>
      <c r="AM351" s="99" t="s">
        <v>177</v>
      </c>
      <c r="AN351" s="99" t="s">
        <v>3411</v>
      </c>
      <c r="AO351" s="99" t="s">
        <v>178</v>
      </c>
      <c r="AP351" s="99" t="s">
        <v>2570</v>
      </c>
      <c r="AQ351" s="99" t="s">
        <v>3411</v>
      </c>
      <c r="AR351" s="99" t="s">
        <v>3411</v>
      </c>
      <c r="AS351" s="99" t="s">
        <v>1434</v>
      </c>
      <c r="AT351" s="99" t="s">
        <v>1</v>
      </c>
      <c r="AU351" s="99" t="s">
        <v>179</v>
      </c>
      <c r="AV351" s="99" t="s">
        <v>3414</v>
      </c>
      <c r="AW351" s="99" t="s">
        <v>180</v>
      </c>
      <c r="AX351" s="99" t="s">
        <v>3420</v>
      </c>
      <c r="AY351" s="99" t="s">
        <v>252</v>
      </c>
      <c r="AZ351" s="99" t="s">
        <v>3416</v>
      </c>
      <c r="BA351" s="99" t="s">
        <v>4252</v>
      </c>
      <c r="BB351" s="99" t="s">
        <v>2859</v>
      </c>
      <c r="BC351" s="125">
        <v>52</v>
      </c>
      <c r="BD351" s="99" t="s">
        <v>3135</v>
      </c>
      <c r="BE351" s="99" t="s">
        <v>3136</v>
      </c>
    </row>
    <row r="352" spans="1:57" ht="12.95" customHeight="1">
      <c r="A352" s="124">
        <v>15</v>
      </c>
      <c r="B352" s="124">
        <v>2249</v>
      </c>
      <c r="C352" s="99" t="s">
        <v>165</v>
      </c>
      <c r="D352" s="99" t="s">
        <v>1104</v>
      </c>
      <c r="E352" s="99" t="s">
        <v>2873</v>
      </c>
      <c r="F352" s="99" t="s">
        <v>2875</v>
      </c>
      <c r="G352" s="99" t="s">
        <v>3190</v>
      </c>
      <c r="H352" s="99" t="s">
        <v>2908</v>
      </c>
      <c r="I352" s="99" t="s">
        <v>2909</v>
      </c>
      <c r="J352" s="99" t="s">
        <v>1435</v>
      </c>
      <c r="K352" s="99" t="s">
        <v>275</v>
      </c>
      <c r="L352" s="99" t="s">
        <v>1436</v>
      </c>
      <c r="M352" s="99" t="s">
        <v>5</v>
      </c>
      <c r="N352" s="99" t="s">
        <v>3407</v>
      </c>
      <c r="O352" s="99" t="s">
        <v>114</v>
      </c>
      <c r="P352" s="99" t="s">
        <v>3422</v>
      </c>
      <c r="Q352" s="99" t="s">
        <v>169</v>
      </c>
      <c r="R352" s="99" t="s">
        <v>3571</v>
      </c>
      <c r="S352" s="99" t="s">
        <v>2648</v>
      </c>
      <c r="T352" s="99" t="s">
        <v>48</v>
      </c>
      <c r="U352" s="99" t="s">
        <v>3578</v>
      </c>
      <c r="V352" s="99" t="s">
        <v>534</v>
      </c>
      <c r="W352" s="99" t="s">
        <v>3620</v>
      </c>
      <c r="X352" s="99" t="s">
        <v>3620</v>
      </c>
      <c r="Y352" s="99" t="s">
        <v>4258</v>
      </c>
      <c r="Z352" s="99" t="s">
        <v>172</v>
      </c>
      <c r="AA352" s="99" t="s">
        <v>173</v>
      </c>
      <c r="AB352" s="99" t="s">
        <v>174</v>
      </c>
      <c r="AC352" s="99" t="s">
        <v>3411</v>
      </c>
      <c r="AD352" s="99" t="s">
        <v>175</v>
      </c>
      <c r="AE352" s="99" t="s">
        <v>3411</v>
      </c>
      <c r="AF352" s="99" t="s">
        <v>3411</v>
      </c>
      <c r="AG352" s="124">
        <v>1685</v>
      </c>
      <c r="AH352" s="99" t="s">
        <v>3413</v>
      </c>
      <c r="AI352" s="125">
        <v>100</v>
      </c>
      <c r="AJ352" s="99" t="s">
        <v>176</v>
      </c>
      <c r="AK352" s="99" t="s">
        <v>3620</v>
      </c>
      <c r="AL352" s="99" t="s">
        <v>3411</v>
      </c>
      <c r="AM352" s="99" t="s">
        <v>177</v>
      </c>
      <c r="AN352" s="99" t="s">
        <v>3411</v>
      </c>
      <c r="AO352" s="99" t="s">
        <v>405</v>
      </c>
      <c r="AP352" s="99" t="s">
        <v>2570</v>
      </c>
      <c r="AQ352" s="99" t="s">
        <v>3411</v>
      </c>
      <c r="AR352" s="99" t="s">
        <v>242</v>
      </c>
      <c r="AS352" s="99" t="s">
        <v>1437</v>
      </c>
      <c r="AT352" s="99" t="s">
        <v>1</v>
      </c>
      <c r="AU352" s="99" t="s">
        <v>179</v>
      </c>
      <c r="AV352" s="99" t="s">
        <v>3581</v>
      </c>
      <c r="AW352" s="99" t="s">
        <v>529</v>
      </c>
      <c r="AX352" s="99" t="s">
        <v>3420</v>
      </c>
      <c r="AY352" s="99" t="s">
        <v>252</v>
      </c>
      <c r="AZ352" s="99" t="s">
        <v>3416</v>
      </c>
      <c r="BA352" s="99" t="s">
        <v>4259</v>
      </c>
      <c r="BB352" s="99" t="s">
        <v>1438</v>
      </c>
      <c r="BC352" s="125">
        <v>48</v>
      </c>
      <c r="BD352" s="99" t="s">
        <v>3135</v>
      </c>
      <c r="BE352" s="99" t="s">
        <v>3136</v>
      </c>
    </row>
    <row r="353" spans="1:57" ht="12.95" customHeight="1">
      <c r="A353" s="124">
        <v>15</v>
      </c>
      <c r="B353" s="124">
        <v>1866</v>
      </c>
      <c r="C353" s="99" t="s">
        <v>165</v>
      </c>
      <c r="D353" s="99" t="s">
        <v>1104</v>
      </c>
      <c r="E353" s="99" t="s">
        <v>2873</v>
      </c>
      <c r="F353" s="99" t="s">
        <v>2875</v>
      </c>
      <c r="G353" s="99" t="s">
        <v>3190</v>
      </c>
      <c r="H353" s="99" t="s">
        <v>2908</v>
      </c>
      <c r="I353" s="99" t="s">
        <v>2909</v>
      </c>
      <c r="J353" s="99" t="s">
        <v>1439</v>
      </c>
      <c r="K353" s="99" t="s">
        <v>370</v>
      </c>
      <c r="L353" s="99" t="s">
        <v>1440</v>
      </c>
      <c r="M353" s="99" t="s">
        <v>5</v>
      </c>
      <c r="N353" s="99" t="s">
        <v>3407</v>
      </c>
      <c r="O353" s="99" t="s">
        <v>114</v>
      </c>
      <c r="P353" s="99" t="s">
        <v>3422</v>
      </c>
      <c r="Q353" s="99" t="s">
        <v>169</v>
      </c>
      <c r="R353" s="99" t="s">
        <v>3571</v>
      </c>
      <c r="S353" s="99" t="s">
        <v>2648</v>
      </c>
      <c r="T353" s="99" t="s">
        <v>48</v>
      </c>
      <c r="U353" s="99" t="s">
        <v>3578</v>
      </c>
      <c r="V353" s="99" t="s">
        <v>534</v>
      </c>
      <c r="W353" s="99" t="s">
        <v>4260</v>
      </c>
      <c r="X353" s="99" t="s">
        <v>4260</v>
      </c>
      <c r="Y353" s="99" t="s">
        <v>4261</v>
      </c>
      <c r="Z353" s="99" t="s">
        <v>172</v>
      </c>
      <c r="AA353" s="99" t="s">
        <v>173</v>
      </c>
      <c r="AB353" s="99" t="s">
        <v>174</v>
      </c>
      <c r="AC353" s="99" t="s">
        <v>3411</v>
      </c>
      <c r="AD353" s="99" t="s">
        <v>175</v>
      </c>
      <c r="AE353" s="99" t="s">
        <v>3411</v>
      </c>
      <c r="AF353" s="99" t="s">
        <v>3411</v>
      </c>
      <c r="AG353" s="124">
        <v>1478</v>
      </c>
      <c r="AH353" s="99" t="s">
        <v>3413</v>
      </c>
      <c r="AI353" s="125">
        <v>100</v>
      </c>
      <c r="AJ353" s="99" t="s">
        <v>176</v>
      </c>
      <c r="AK353" s="99" t="s">
        <v>4260</v>
      </c>
      <c r="AL353" s="99" t="s">
        <v>3411</v>
      </c>
      <c r="AM353" s="99" t="s">
        <v>177</v>
      </c>
      <c r="AN353" s="99" t="s">
        <v>3411</v>
      </c>
      <c r="AO353" s="99" t="s">
        <v>405</v>
      </c>
      <c r="AP353" s="99" t="s">
        <v>2570</v>
      </c>
      <c r="AQ353" s="99" t="s">
        <v>3411</v>
      </c>
      <c r="AR353" s="99" t="s">
        <v>3411</v>
      </c>
      <c r="AS353" s="99" t="s">
        <v>1441</v>
      </c>
      <c r="AT353" s="99" t="s">
        <v>1</v>
      </c>
      <c r="AU353" s="99" t="s">
        <v>179</v>
      </c>
      <c r="AV353" s="99" t="s">
        <v>3581</v>
      </c>
      <c r="AW353" s="99" t="s">
        <v>529</v>
      </c>
      <c r="AX353" s="99" t="s">
        <v>3420</v>
      </c>
      <c r="AY353" s="99" t="s">
        <v>252</v>
      </c>
      <c r="AZ353" s="99" t="s">
        <v>3416</v>
      </c>
      <c r="BA353" s="99" t="s">
        <v>4259</v>
      </c>
      <c r="BB353" s="99" t="s">
        <v>1438</v>
      </c>
      <c r="BC353" s="125">
        <v>51</v>
      </c>
      <c r="BD353" s="99" t="s">
        <v>3135</v>
      </c>
      <c r="BE353" s="99" t="s">
        <v>3136</v>
      </c>
    </row>
    <row r="354" spans="1:57" ht="12.95" customHeight="1">
      <c r="A354" s="124">
        <v>15</v>
      </c>
      <c r="B354" s="124">
        <v>1211</v>
      </c>
      <c r="C354" s="99" t="s">
        <v>165</v>
      </c>
      <c r="D354" s="99" t="s">
        <v>1104</v>
      </c>
      <c r="E354" s="99" t="s">
        <v>2873</v>
      </c>
      <c r="F354" s="99" t="s">
        <v>2875</v>
      </c>
      <c r="G354" s="99" t="s">
        <v>3190</v>
      </c>
      <c r="H354" s="99" t="s">
        <v>2908</v>
      </c>
      <c r="I354" s="99" t="s">
        <v>2909</v>
      </c>
      <c r="J354" s="99" t="s">
        <v>1443</v>
      </c>
      <c r="K354" s="99" t="s">
        <v>271</v>
      </c>
      <c r="L354" s="99" t="s">
        <v>1444</v>
      </c>
      <c r="M354" s="99" t="s">
        <v>1</v>
      </c>
      <c r="N354" s="99" t="s">
        <v>3407</v>
      </c>
      <c r="O354" s="99" t="s">
        <v>114</v>
      </c>
      <c r="P354" s="99" t="s">
        <v>3422</v>
      </c>
      <c r="Q354" s="99" t="s">
        <v>169</v>
      </c>
      <c r="R354" s="99" t="s">
        <v>3571</v>
      </c>
      <c r="S354" s="99" t="s">
        <v>2648</v>
      </c>
      <c r="T354" s="99" t="s">
        <v>48</v>
      </c>
      <c r="U354" s="99" t="s">
        <v>3578</v>
      </c>
      <c r="V354" s="99" t="s">
        <v>534</v>
      </c>
      <c r="W354" s="99" t="s">
        <v>4122</v>
      </c>
      <c r="X354" s="99" t="s">
        <v>4122</v>
      </c>
      <c r="Y354" s="99" t="s">
        <v>4262</v>
      </c>
      <c r="Z354" s="99" t="s">
        <v>172</v>
      </c>
      <c r="AA354" s="99" t="s">
        <v>173</v>
      </c>
      <c r="AB354" s="99" t="s">
        <v>174</v>
      </c>
      <c r="AC354" s="99" t="s">
        <v>3411</v>
      </c>
      <c r="AD354" s="99" t="s">
        <v>175</v>
      </c>
      <c r="AE354" s="99" t="s">
        <v>3411</v>
      </c>
      <c r="AF354" s="99" t="s">
        <v>3411</v>
      </c>
      <c r="AG354" s="124">
        <v>955</v>
      </c>
      <c r="AH354" s="99" t="s">
        <v>3413</v>
      </c>
      <c r="AI354" s="125">
        <v>100</v>
      </c>
      <c r="AJ354" s="99" t="s">
        <v>176</v>
      </c>
      <c r="AK354" s="99" t="s">
        <v>4122</v>
      </c>
      <c r="AL354" s="99" t="s">
        <v>3411</v>
      </c>
      <c r="AM354" s="99" t="s">
        <v>177</v>
      </c>
      <c r="AN354" s="99" t="s">
        <v>3411</v>
      </c>
      <c r="AO354" s="99" t="s">
        <v>405</v>
      </c>
      <c r="AP354" s="99" t="s">
        <v>2570</v>
      </c>
      <c r="AQ354" s="99" t="s">
        <v>3411</v>
      </c>
      <c r="AR354" s="99" t="s">
        <v>3411</v>
      </c>
      <c r="AS354" s="99" t="s">
        <v>1445</v>
      </c>
      <c r="AT354" s="99" t="s">
        <v>1</v>
      </c>
      <c r="AU354" s="99" t="s">
        <v>179</v>
      </c>
      <c r="AV354" s="99" t="s">
        <v>3581</v>
      </c>
      <c r="AW354" s="99" t="s">
        <v>529</v>
      </c>
      <c r="AX354" s="99" t="s">
        <v>3420</v>
      </c>
      <c r="AY354" s="99" t="s">
        <v>252</v>
      </c>
      <c r="AZ354" s="99" t="s">
        <v>3416</v>
      </c>
      <c r="BA354" s="99" t="s">
        <v>4259</v>
      </c>
      <c r="BB354" s="99" t="s">
        <v>1438</v>
      </c>
      <c r="BC354" s="125">
        <v>58</v>
      </c>
      <c r="BD354" s="99" t="s">
        <v>3135</v>
      </c>
      <c r="BE354" s="99" t="s">
        <v>3136</v>
      </c>
    </row>
    <row r="355" spans="1:57" ht="12.95" customHeight="1">
      <c r="A355" s="124">
        <v>15</v>
      </c>
      <c r="B355" s="124">
        <v>1251</v>
      </c>
      <c r="C355" s="99" t="s">
        <v>165</v>
      </c>
      <c r="D355" s="99" t="s">
        <v>1104</v>
      </c>
      <c r="E355" s="99" t="s">
        <v>2873</v>
      </c>
      <c r="F355" s="99" t="s">
        <v>2875</v>
      </c>
      <c r="G355" s="99" t="s">
        <v>3190</v>
      </c>
      <c r="H355" s="99" t="s">
        <v>2908</v>
      </c>
      <c r="I355" s="99" t="s">
        <v>2909</v>
      </c>
      <c r="J355" s="99" t="s">
        <v>1446</v>
      </c>
      <c r="K355" s="99" t="s">
        <v>341</v>
      </c>
      <c r="L355" s="99" t="s">
        <v>1447</v>
      </c>
      <c r="M355" s="99" t="s">
        <v>1</v>
      </c>
      <c r="N355" s="99" t="s">
        <v>3407</v>
      </c>
      <c r="O355" s="99" t="s">
        <v>114</v>
      </c>
      <c r="P355" s="99" t="s">
        <v>3422</v>
      </c>
      <c r="Q355" s="99" t="s">
        <v>169</v>
      </c>
      <c r="R355" s="99" t="s">
        <v>3409</v>
      </c>
      <c r="S355" s="99" t="s">
        <v>2636</v>
      </c>
      <c r="T355" s="99" t="s">
        <v>48</v>
      </c>
      <c r="U355" s="99" t="s">
        <v>170</v>
      </c>
      <c r="V355" s="99" t="s">
        <v>171</v>
      </c>
      <c r="W355" s="99" t="s">
        <v>4263</v>
      </c>
      <c r="X355" s="99" t="s">
        <v>4263</v>
      </c>
      <c r="Y355" s="99" t="s">
        <v>4264</v>
      </c>
      <c r="Z355" s="99" t="s">
        <v>172</v>
      </c>
      <c r="AA355" s="99" t="s">
        <v>173</v>
      </c>
      <c r="AB355" s="99" t="s">
        <v>174</v>
      </c>
      <c r="AC355" s="99" t="s">
        <v>3411</v>
      </c>
      <c r="AD355" s="99" t="s">
        <v>175</v>
      </c>
      <c r="AE355" s="99" t="s">
        <v>3411</v>
      </c>
      <c r="AF355" s="99" t="s">
        <v>3411</v>
      </c>
      <c r="AG355" s="124">
        <v>990</v>
      </c>
      <c r="AH355" s="99" t="s">
        <v>3413</v>
      </c>
      <c r="AI355" s="125">
        <v>100</v>
      </c>
      <c r="AJ355" s="99" t="s">
        <v>176</v>
      </c>
      <c r="AK355" s="99" t="s">
        <v>4263</v>
      </c>
      <c r="AL355" s="99" t="s">
        <v>3411</v>
      </c>
      <c r="AM355" s="99" t="s">
        <v>177</v>
      </c>
      <c r="AN355" s="99" t="s">
        <v>3411</v>
      </c>
      <c r="AO355" s="99" t="s">
        <v>178</v>
      </c>
      <c r="AP355" s="99" t="s">
        <v>2570</v>
      </c>
      <c r="AQ355" s="99" t="s">
        <v>3411</v>
      </c>
      <c r="AR355" s="99" t="s">
        <v>3411</v>
      </c>
      <c r="AS355" s="99" t="s">
        <v>1448</v>
      </c>
      <c r="AT355" s="99" t="s">
        <v>1</v>
      </c>
      <c r="AU355" s="99" t="s">
        <v>179</v>
      </c>
      <c r="AV355" s="99" t="s">
        <v>3414</v>
      </c>
      <c r="AW355" s="99" t="s">
        <v>180</v>
      </c>
      <c r="AX355" s="99" t="s">
        <v>3411</v>
      </c>
      <c r="AY355" s="99" t="s">
        <v>3411</v>
      </c>
      <c r="AZ355" s="99" t="s">
        <v>3411</v>
      </c>
      <c r="BA355" s="99" t="s">
        <v>4259</v>
      </c>
      <c r="BB355" s="99" t="s">
        <v>1438</v>
      </c>
      <c r="BC355" s="125">
        <v>63</v>
      </c>
      <c r="BD355" s="99" t="s">
        <v>3135</v>
      </c>
      <c r="BE355" s="99" t="s">
        <v>3136</v>
      </c>
    </row>
    <row r="356" spans="1:57" ht="12.95" customHeight="1">
      <c r="A356" s="124">
        <v>15</v>
      </c>
      <c r="B356" s="124">
        <v>2162</v>
      </c>
      <c r="C356" s="99" t="s">
        <v>165</v>
      </c>
      <c r="D356" s="99" t="s">
        <v>1104</v>
      </c>
      <c r="E356" s="99" t="s">
        <v>2873</v>
      </c>
      <c r="F356" s="99" t="s">
        <v>2875</v>
      </c>
      <c r="G356" s="99" t="s">
        <v>3190</v>
      </c>
      <c r="H356" s="99" t="s">
        <v>2908</v>
      </c>
      <c r="I356" s="99" t="s">
        <v>2909</v>
      </c>
      <c r="J356" s="99" t="s">
        <v>1449</v>
      </c>
      <c r="K356" s="99" t="s">
        <v>1450</v>
      </c>
      <c r="L356" s="99" t="s">
        <v>1451</v>
      </c>
      <c r="M356" s="99" t="s">
        <v>1</v>
      </c>
      <c r="N356" s="99" t="s">
        <v>3407</v>
      </c>
      <c r="O356" s="99" t="s">
        <v>114</v>
      </c>
      <c r="P356" s="99" t="s">
        <v>3422</v>
      </c>
      <c r="Q356" s="99" t="s">
        <v>169</v>
      </c>
      <c r="R356" s="99" t="s">
        <v>3409</v>
      </c>
      <c r="S356" s="99" t="s">
        <v>2636</v>
      </c>
      <c r="T356" s="99" t="s">
        <v>48</v>
      </c>
      <c r="U356" s="99" t="s">
        <v>410</v>
      </c>
      <c r="V356" s="99" t="s">
        <v>411</v>
      </c>
      <c r="W356" s="99" t="s">
        <v>4265</v>
      </c>
      <c r="X356" s="99" t="s">
        <v>4265</v>
      </c>
      <c r="Y356" s="99" t="s">
        <v>4266</v>
      </c>
      <c r="Z356" s="99" t="s">
        <v>172</v>
      </c>
      <c r="AA356" s="99" t="s">
        <v>173</v>
      </c>
      <c r="AB356" s="99" t="s">
        <v>174</v>
      </c>
      <c r="AC356" s="99" t="s">
        <v>3411</v>
      </c>
      <c r="AD356" s="99" t="s">
        <v>175</v>
      </c>
      <c r="AE356" s="99" t="s">
        <v>3411</v>
      </c>
      <c r="AF356" s="99" t="s">
        <v>3411</v>
      </c>
      <c r="AG356" s="124">
        <v>1631</v>
      </c>
      <c r="AH356" s="99" t="s">
        <v>3413</v>
      </c>
      <c r="AI356" s="125">
        <v>100</v>
      </c>
      <c r="AJ356" s="99" t="s">
        <v>176</v>
      </c>
      <c r="AK356" s="99" t="s">
        <v>4265</v>
      </c>
      <c r="AL356" s="99" t="s">
        <v>3411</v>
      </c>
      <c r="AM356" s="99" t="s">
        <v>177</v>
      </c>
      <c r="AN356" s="99" t="s">
        <v>3411</v>
      </c>
      <c r="AO356" s="99" t="s">
        <v>178</v>
      </c>
      <c r="AP356" s="99" t="s">
        <v>2570</v>
      </c>
      <c r="AQ356" s="99" t="s">
        <v>3411</v>
      </c>
      <c r="AR356" s="99" t="s">
        <v>3411</v>
      </c>
      <c r="AS356" s="99" t="s">
        <v>1452</v>
      </c>
      <c r="AT356" s="99" t="s">
        <v>1</v>
      </c>
      <c r="AU356" s="99" t="s">
        <v>179</v>
      </c>
      <c r="AV356" s="99" t="s">
        <v>3414</v>
      </c>
      <c r="AW356" s="99" t="s">
        <v>180</v>
      </c>
      <c r="AX356" s="99" t="s">
        <v>3420</v>
      </c>
      <c r="AY356" s="99" t="s">
        <v>252</v>
      </c>
      <c r="AZ356" s="99" t="s">
        <v>3416</v>
      </c>
      <c r="BA356" s="99" t="s">
        <v>4259</v>
      </c>
      <c r="BB356" s="99" t="s">
        <v>1438</v>
      </c>
      <c r="BC356" s="125">
        <v>64</v>
      </c>
      <c r="BD356" s="99" t="s">
        <v>3135</v>
      </c>
      <c r="BE356" s="99" t="s">
        <v>3136</v>
      </c>
    </row>
    <row r="357" spans="1:57" ht="12.95" customHeight="1">
      <c r="A357" s="124">
        <v>15</v>
      </c>
      <c r="B357" s="124">
        <v>3128</v>
      </c>
      <c r="C357" s="99" t="s">
        <v>165</v>
      </c>
      <c r="D357" s="99" t="s">
        <v>1104</v>
      </c>
      <c r="E357" s="99" t="s">
        <v>2873</v>
      </c>
      <c r="F357" s="99" t="s">
        <v>3191</v>
      </c>
      <c r="G357" s="99" t="s">
        <v>3192</v>
      </c>
      <c r="H357" s="99" t="s">
        <v>4267</v>
      </c>
      <c r="I357" s="99" t="s">
        <v>3245</v>
      </c>
      <c r="J357" s="99" t="s">
        <v>3115</v>
      </c>
      <c r="K357" s="99" t="s">
        <v>450</v>
      </c>
      <c r="L357" s="99" t="s">
        <v>3116</v>
      </c>
      <c r="M357" s="99" t="s">
        <v>1</v>
      </c>
      <c r="N357" s="99" t="s">
        <v>3407</v>
      </c>
      <c r="O357" s="99" t="s">
        <v>114</v>
      </c>
      <c r="P357" s="99" t="s">
        <v>3866</v>
      </c>
      <c r="Q357" s="99" t="s">
        <v>169</v>
      </c>
      <c r="R357" s="99" t="s">
        <v>3409</v>
      </c>
      <c r="S357" s="99" t="s">
        <v>2636</v>
      </c>
      <c r="T357" s="99" t="s">
        <v>48</v>
      </c>
      <c r="U357" s="99" t="s">
        <v>410</v>
      </c>
      <c r="V357" s="99" t="s">
        <v>411</v>
      </c>
      <c r="W357" s="99" t="s">
        <v>3866</v>
      </c>
      <c r="X357" s="99" t="s">
        <v>3866</v>
      </c>
      <c r="Y357" s="99" t="s">
        <v>4268</v>
      </c>
      <c r="Z357" s="99" t="s">
        <v>172</v>
      </c>
      <c r="AA357" s="99" t="s">
        <v>173</v>
      </c>
      <c r="AB357" s="99" t="s">
        <v>174</v>
      </c>
      <c r="AC357" s="99" t="s">
        <v>3411</v>
      </c>
      <c r="AD357" s="99" t="s">
        <v>175</v>
      </c>
      <c r="AE357" s="99" t="s">
        <v>3411</v>
      </c>
      <c r="AF357" s="99" t="s">
        <v>3411</v>
      </c>
      <c r="AG357" s="124">
        <v>3128</v>
      </c>
      <c r="AH357" s="99" t="s">
        <v>3413</v>
      </c>
      <c r="AI357" s="125">
        <v>100</v>
      </c>
      <c r="AJ357" s="99" t="s">
        <v>176</v>
      </c>
      <c r="AK357" s="99" t="s">
        <v>3866</v>
      </c>
      <c r="AL357" s="99" t="s">
        <v>3411</v>
      </c>
      <c r="AM357" s="99" t="s">
        <v>177</v>
      </c>
      <c r="AN357" s="99" t="s">
        <v>3411</v>
      </c>
      <c r="AO357" s="99" t="s">
        <v>412</v>
      </c>
      <c r="AP357" s="99" t="s">
        <v>2570</v>
      </c>
      <c r="AQ357" s="99" t="s">
        <v>3411</v>
      </c>
      <c r="AR357" s="99" t="s">
        <v>3411</v>
      </c>
      <c r="AS357" s="99" t="s">
        <v>3117</v>
      </c>
      <c r="AT357" s="99" t="s">
        <v>1</v>
      </c>
      <c r="AU357" s="99" t="s">
        <v>179</v>
      </c>
      <c r="AV357" s="99" t="s">
        <v>3414</v>
      </c>
      <c r="AW357" s="99" t="s">
        <v>180</v>
      </c>
      <c r="AX357" s="99" t="s">
        <v>3420</v>
      </c>
      <c r="AY357" s="99" t="s">
        <v>252</v>
      </c>
      <c r="AZ357" s="99" t="s">
        <v>3416</v>
      </c>
      <c r="BA357" s="99" t="s">
        <v>4038</v>
      </c>
      <c r="BB357" s="99" t="s">
        <v>3107</v>
      </c>
      <c r="BC357" s="125">
        <v>32</v>
      </c>
      <c r="BD357" s="99" t="s">
        <v>3135</v>
      </c>
      <c r="BE357" s="99" t="s">
        <v>3136</v>
      </c>
    </row>
    <row r="358" spans="1:57" ht="12.95" customHeight="1">
      <c r="A358" s="124">
        <v>15</v>
      </c>
      <c r="B358" s="124">
        <v>3062</v>
      </c>
      <c r="C358" s="99" t="s">
        <v>165</v>
      </c>
      <c r="D358" s="99" t="s">
        <v>1104</v>
      </c>
      <c r="E358" s="99" t="s">
        <v>2873</v>
      </c>
      <c r="F358" s="99" t="s">
        <v>3191</v>
      </c>
      <c r="G358" s="99" t="s">
        <v>3192</v>
      </c>
      <c r="H358" s="99" t="s">
        <v>4267</v>
      </c>
      <c r="I358" s="99" t="s">
        <v>3245</v>
      </c>
      <c r="J358" s="99" t="s">
        <v>2806</v>
      </c>
      <c r="K358" s="99" t="s">
        <v>1857</v>
      </c>
      <c r="L358" s="99" t="s">
        <v>2807</v>
      </c>
      <c r="M358" s="99" t="s">
        <v>1</v>
      </c>
      <c r="N358" s="99" t="s">
        <v>3407</v>
      </c>
      <c r="O358" s="99" t="s">
        <v>114</v>
      </c>
      <c r="P358" s="99" t="s">
        <v>4095</v>
      </c>
      <c r="Q358" s="99" t="s">
        <v>169</v>
      </c>
      <c r="R358" s="99" t="s">
        <v>3409</v>
      </c>
      <c r="S358" s="99" t="s">
        <v>2636</v>
      </c>
      <c r="T358" s="99" t="s">
        <v>48</v>
      </c>
      <c r="U358" s="99" t="s">
        <v>170</v>
      </c>
      <c r="V358" s="99" t="s">
        <v>171</v>
      </c>
      <c r="W358" s="99" t="s">
        <v>4095</v>
      </c>
      <c r="X358" s="99" t="s">
        <v>4095</v>
      </c>
      <c r="Y358" s="99" t="s">
        <v>4269</v>
      </c>
      <c r="Z358" s="99" t="s">
        <v>172</v>
      </c>
      <c r="AA358" s="99" t="s">
        <v>173</v>
      </c>
      <c r="AB358" s="99" t="s">
        <v>174</v>
      </c>
      <c r="AC358" s="99" t="s">
        <v>3411</v>
      </c>
      <c r="AD358" s="99" t="s">
        <v>175</v>
      </c>
      <c r="AE358" s="99" t="s">
        <v>3411</v>
      </c>
      <c r="AF358" s="99" t="s">
        <v>3411</v>
      </c>
      <c r="AG358" s="124">
        <v>3062</v>
      </c>
      <c r="AH358" s="99" t="s">
        <v>3413</v>
      </c>
      <c r="AI358" s="125">
        <v>100</v>
      </c>
      <c r="AJ358" s="99" t="s">
        <v>176</v>
      </c>
      <c r="AK358" s="99" t="s">
        <v>4095</v>
      </c>
      <c r="AL358" s="99" t="s">
        <v>3411</v>
      </c>
      <c r="AM358" s="99" t="s">
        <v>177</v>
      </c>
      <c r="AN358" s="99" t="s">
        <v>3411</v>
      </c>
      <c r="AO358" s="99" t="s">
        <v>412</v>
      </c>
      <c r="AP358" s="99" t="s">
        <v>2570</v>
      </c>
      <c r="AQ358" s="99" t="s">
        <v>3411</v>
      </c>
      <c r="AR358" s="99" t="s">
        <v>3411</v>
      </c>
      <c r="AS358" s="99" t="s">
        <v>2851</v>
      </c>
      <c r="AT358" s="99" t="s">
        <v>1</v>
      </c>
      <c r="AU358" s="99" t="s">
        <v>179</v>
      </c>
      <c r="AV358" s="99" t="s">
        <v>3414</v>
      </c>
      <c r="AW358" s="99" t="s">
        <v>180</v>
      </c>
      <c r="AX358" s="99" t="s">
        <v>3420</v>
      </c>
      <c r="AY358" s="99" t="s">
        <v>252</v>
      </c>
      <c r="AZ358" s="99" t="s">
        <v>3416</v>
      </c>
      <c r="BA358" s="99" t="s">
        <v>4038</v>
      </c>
      <c r="BB358" s="99" t="s">
        <v>3107</v>
      </c>
      <c r="BC358" s="125">
        <v>46</v>
      </c>
      <c r="BD358" s="99" t="s">
        <v>3135</v>
      </c>
      <c r="BE358" s="99" t="s">
        <v>3136</v>
      </c>
    </row>
    <row r="359" spans="1:57" ht="12.95" customHeight="1">
      <c r="A359" s="124">
        <v>15</v>
      </c>
      <c r="B359" s="124">
        <v>2991</v>
      </c>
      <c r="C359" s="99" t="s">
        <v>165</v>
      </c>
      <c r="D359" s="99" t="s">
        <v>1104</v>
      </c>
      <c r="E359" s="99" t="s">
        <v>2873</v>
      </c>
      <c r="F359" s="99" t="s">
        <v>3191</v>
      </c>
      <c r="G359" s="99" t="s">
        <v>3192</v>
      </c>
      <c r="H359" s="99" t="s">
        <v>4267</v>
      </c>
      <c r="I359" s="99" t="s">
        <v>3245</v>
      </c>
      <c r="J359" s="99" t="s">
        <v>1260</v>
      </c>
      <c r="K359" s="99" t="s">
        <v>1261</v>
      </c>
      <c r="L359" s="99" t="s">
        <v>1262</v>
      </c>
      <c r="M359" s="99" t="s">
        <v>1</v>
      </c>
      <c r="N359" s="99" t="s">
        <v>3407</v>
      </c>
      <c r="O359" s="99" t="s">
        <v>114</v>
      </c>
      <c r="P359" s="99" t="s">
        <v>3422</v>
      </c>
      <c r="Q359" s="99" t="s">
        <v>169</v>
      </c>
      <c r="R359" s="99" t="s">
        <v>3427</v>
      </c>
      <c r="S359" s="99" t="s">
        <v>2635</v>
      </c>
      <c r="T359" s="99" t="s">
        <v>58</v>
      </c>
      <c r="U359" s="99" t="s">
        <v>187</v>
      </c>
      <c r="V359" s="99" t="s">
        <v>188</v>
      </c>
      <c r="W359" s="99" t="s">
        <v>4070</v>
      </c>
      <c r="X359" s="99" t="s">
        <v>4070</v>
      </c>
      <c r="Y359" s="99" t="s">
        <v>4270</v>
      </c>
      <c r="Z359" s="99" t="s">
        <v>172</v>
      </c>
      <c r="AA359" s="99" t="s">
        <v>173</v>
      </c>
      <c r="AB359" s="99" t="s">
        <v>174</v>
      </c>
      <c r="AC359" s="99" t="s">
        <v>3411</v>
      </c>
      <c r="AD359" s="99" t="s">
        <v>175</v>
      </c>
      <c r="AE359" s="99" t="s">
        <v>3411</v>
      </c>
      <c r="AF359" s="99" t="s">
        <v>3411</v>
      </c>
      <c r="AG359" s="124">
        <v>2991</v>
      </c>
      <c r="AH359" s="99" t="s">
        <v>3413</v>
      </c>
      <c r="AI359" s="125">
        <v>100</v>
      </c>
      <c r="AJ359" s="99" t="s">
        <v>176</v>
      </c>
      <c r="AK359" s="99" t="s">
        <v>4070</v>
      </c>
      <c r="AL359" s="99" t="s">
        <v>3411</v>
      </c>
      <c r="AM359" s="99" t="s">
        <v>177</v>
      </c>
      <c r="AN359" s="99" t="s">
        <v>3411</v>
      </c>
      <c r="AO359" s="99" t="s">
        <v>189</v>
      </c>
      <c r="AP359" s="99" t="s">
        <v>2570</v>
      </c>
      <c r="AQ359" s="99" t="s">
        <v>3411</v>
      </c>
      <c r="AR359" s="99" t="s">
        <v>3411</v>
      </c>
      <c r="AS359" s="99" t="s">
        <v>1263</v>
      </c>
      <c r="AT359" s="99" t="s">
        <v>1</v>
      </c>
      <c r="AU359" s="99" t="s">
        <v>179</v>
      </c>
      <c r="AV359" s="99" t="s">
        <v>3414</v>
      </c>
      <c r="AW359" s="99" t="s">
        <v>180</v>
      </c>
      <c r="AX359" s="99" t="s">
        <v>3420</v>
      </c>
      <c r="AY359" s="99" t="s">
        <v>252</v>
      </c>
      <c r="AZ359" s="99" t="s">
        <v>3430</v>
      </c>
      <c r="BA359" s="99" t="s">
        <v>4033</v>
      </c>
      <c r="BB359" s="99" t="s">
        <v>1110</v>
      </c>
      <c r="BC359" s="125">
        <v>56</v>
      </c>
      <c r="BD359" s="99" t="s">
        <v>3135</v>
      </c>
      <c r="BE359" s="99" t="s">
        <v>3136</v>
      </c>
    </row>
    <row r="360" spans="1:57" ht="12.95" customHeight="1">
      <c r="A360" s="124">
        <v>15</v>
      </c>
      <c r="B360" s="124">
        <v>3114</v>
      </c>
      <c r="C360" s="99" t="s">
        <v>165</v>
      </c>
      <c r="D360" s="99" t="s">
        <v>2781</v>
      </c>
      <c r="E360" s="99" t="s">
        <v>870</v>
      </c>
      <c r="F360" s="99" t="s">
        <v>2782</v>
      </c>
      <c r="G360" s="99" t="s">
        <v>870</v>
      </c>
      <c r="H360" s="99" t="s">
        <v>4271</v>
      </c>
      <c r="I360" s="99" t="s">
        <v>871</v>
      </c>
      <c r="J360" s="99" t="s">
        <v>3056</v>
      </c>
      <c r="K360" s="99" t="s">
        <v>278</v>
      </c>
      <c r="L360" s="99" t="s">
        <v>3057</v>
      </c>
      <c r="M360" s="99" t="s">
        <v>5</v>
      </c>
      <c r="N360" s="99" t="s">
        <v>3407</v>
      </c>
      <c r="O360" s="99" t="s">
        <v>114</v>
      </c>
      <c r="P360" s="99" t="s">
        <v>4272</v>
      </c>
      <c r="Q360" s="99" t="s">
        <v>169</v>
      </c>
      <c r="R360" s="99" t="s">
        <v>3427</v>
      </c>
      <c r="S360" s="99" t="s">
        <v>2635</v>
      </c>
      <c r="T360" s="99" t="s">
        <v>58</v>
      </c>
      <c r="U360" s="99" t="s">
        <v>187</v>
      </c>
      <c r="V360" s="99" t="s">
        <v>188</v>
      </c>
      <c r="W360" s="99" t="s">
        <v>4272</v>
      </c>
      <c r="X360" s="99" t="s">
        <v>4272</v>
      </c>
      <c r="Y360" s="99" t="s">
        <v>4273</v>
      </c>
      <c r="Z360" s="99" t="s">
        <v>172</v>
      </c>
      <c r="AA360" s="99" t="s">
        <v>173</v>
      </c>
      <c r="AB360" s="99" t="s">
        <v>174</v>
      </c>
      <c r="AC360" s="99" t="s">
        <v>3411</v>
      </c>
      <c r="AD360" s="99" t="s">
        <v>175</v>
      </c>
      <c r="AE360" s="99" t="s">
        <v>3411</v>
      </c>
      <c r="AF360" s="99" t="s">
        <v>3411</v>
      </c>
      <c r="AG360" s="124">
        <v>3114</v>
      </c>
      <c r="AH360" s="99" t="s">
        <v>3413</v>
      </c>
      <c r="AI360" s="125">
        <v>100</v>
      </c>
      <c r="AJ360" s="99" t="s">
        <v>176</v>
      </c>
      <c r="AK360" s="99" t="s">
        <v>4272</v>
      </c>
      <c r="AL360" s="99" t="s">
        <v>3411</v>
      </c>
      <c r="AM360" s="99" t="s">
        <v>177</v>
      </c>
      <c r="AN360" s="99" t="s">
        <v>3411</v>
      </c>
      <c r="AO360" s="99" t="s">
        <v>189</v>
      </c>
      <c r="AP360" s="99" t="s">
        <v>2570</v>
      </c>
      <c r="AQ360" s="99" t="s">
        <v>3411</v>
      </c>
      <c r="AR360" s="99" t="s">
        <v>3411</v>
      </c>
      <c r="AS360" s="99" t="s">
        <v>3058</v>
      </c>
      <c r="AT360" s="99" t="s">
        <v>190</v>
      </c>
      <c r="AU360" s="99" t="s">
        <v>191</v>
      </c>
      <c r="AV360" s="99" t="s">
        <v>3414</v>
      </c>
      <c r="AW360" s="99" t="s">
        <v>180</v>
      </c>
      <c r="AX360" s="99" t="s">
        <v>3626</v>
      </c>
      <c r="AY360" s="99" t="s">
        <v>252</v>
      </c>
      <c r="AZ360" s="99" t="s">
        <v>3430</v>
      </c>
      <c r="BA360" s="99" t="s">
        <v>3421</v>
      </c>
      <c r="BB360" s="99" t="s">
        <v>381</v>
      </c>
      <c r="BC360" s="125">
        <v>43</v>
      </c>
      <c r="BD360" s="99" t="s">
        <v>3135</v>
      </c>
      <c r="BE360" s="99" t="s">
        <v>3136</v>
      </c>
    </row>
    <row r="361" spans="1:57" ht="12.95" customHeight="1">
      <c r="A361" s="124">
        <v>15</v>
      </c>
      <c r="B361" s="124">
        <v>3143</v>
      </c>
      <c r="C361" s="99" t="s">
        <v>165</v>
      </c>
      <c r="D361" s="99" t="s">
        <v>2781</v>
      </c>
      <c r="E361" s="99" t="s">
        <v>870</v>
      </c>
      <c r="F361" s="99" t="s">
        <v>2782</v>
      </c>
      <c r="G361" s="99" t="s">
        <v>870</v>
      </c>
      <c r="H361" s="99" t="s">
        <v>4271</v>
      </c>
      <c r="I361" s="99" t="s">
        <v>871</v>
      </c>
      <c r="J361" s="99" t="s">
        <v>3246</v>
      </c>
      <c r="K361" s="99" t="s">
        <v>668</v>
      </c>
      <c r="L361" s="99" t="s">
        <v>3247</v>
      </c>
      <c r="M361" s="99" t="s">
        <v>1</v>
      </c>
      <c r="N361" s="99" t="s">
        <v>3407</v>
      </c>
      <c r="O361" s="99" t="s">
        <v>114</v>
      </c>
      <c r="P361" s="99" t="s">
        <v>4036</v>
      </c>
      <c r="Q361" s="99" t="s">
        <v>169</v>
      </c>
      <c r="R361" s="99" t="s">
        <v>3409</v>
      </c>
      <c r="S361" s="99" t="s">
        <v>2636</v>
      </c>
      <c r="T361" s="99" t="s">
        <v>52</v>
      </c>
      <c r="U361" s="99" t="s">
        <v>427</v>
      </c>
      <c r="V361" s="99" t="s">
        <v>428</v>
      </c>
      <c r="W361" s="99" t="s">
        <v>4036</v>
      </c>
      <c r="X361" s="99" t="s">
        <v>4036</v>
      </c>
      <c r="Y361" s="99" t="s">
        <v>4274</v>
      </c>
      <c r="Z361" s="99" t="s">
        <v>172</v>
      </c>
      <c r="AA361" s="99" t="s">
        <v>173</v>
      </c>
      <c r="AB361" s="99" t="s">
        <v>263</v>
      </c>
      <c r="AC361" s="99" t="s">
        <v>3411</v>
      </c>
      <c r="AD361" s="99" t="s">
        <v>264</v>
      </c>
      <c r="AE361" s="99" t="s">
        <v>3412</v>
      </c>
      <c r="AF361" s="99" t="s">
        <v>3411</v>
      </c>
      <c r="AG361" s="124">
        <v>3143</v>
      </c>
      <c r="AH361" s="99" t="s">
        <v>3413</v>
      </c>
      <c r="AI361" s="125">
        <v>100</v>
      </c>
      <c r="AJ361" s="99" t="s">
        <v>176</v>
      </c>
      <c r="AK361" s="99" t="s">
        <v>4036</v>
      </c>
      <c r="AL361" s="99" t="s">
        <v>3411</v>
      </c>
      <c r="AM361" s="99" t="s">
        <v>177</v>
      </c>
      <c r="AN361" s="99" t="s">
        <v>3411</v>
      </c>
      <c r="AO361" s="99" t="s">
        <v>412</v>
      </c>
      <c r="AP361" s="99" t="s">
        <v>2570</v>
      </c>
      <c r="AQ361" s="99" t="s">
        <v>3411</v>
      </c>
      <c r="AR361" s="99" t="s">
        <v>3411</v>
      </c>
      <c r="AS361" s="99" t="s">
        <v>3248</v>
      </c>
      <c r="AT361" s="99" t="s">
        <v>175</v>
      </c>
      <c r="AU361" s="99" t="s">
        <v>3411</v>
      </c>
      <c r="AV361" s="99" t="s">
        <v>177</v>
      </c>
      <c r="AW361" s="99" t="s">
        <v>3411</v>
      </c>
      <c r="AX361" s="99" t="s">
        <v>3420</v>
      </c>
      <c r="AY361" s="99" t="s">
        <v>252</v>
      </c>
      <c r="AZ361" s="99" t="s">
        <v>3416</v>
      </c>
      <c r="BA361" s="99" t="s">
        <v>4275</v>
      </c>
      <c r="BB361" s="99" t="s">
        <v>3059</v>
      </c>
      <c r="BC361" s="125">
        <v>37</v>
      </c>
      <c r="BD361" s="99" t="s">
        <v>3135</v>
      </c>
      <c r="BE361" s="99" t="s">
        <v>3136</v>
      </c>
    </row>
    <row r="362" spans="1:57" ht="12.95" customHeight="1">
      <c r="A362" s="124">
        <v>15</v>
      </c>
      <c r="B362" s="124">
        <v>2981</v>
      </c>
      <c r="C362" s="99" t="s">
        <v>165</v>
      </c>
      <c r="D362" s="99" t="s">
        <v>2781</v>
      </c>
      <c r="E362" s="99" t="s">
        <v>870</v>
      </c>
      <c r="F362" s="99" t="s">
        <v>2782</v>
      </c>
      <c r="G362" s="99" t="s">
        <v>870</v>
      </c>
      <c r="H362" s="99" t="s">
        <v>4271</v>
      </c>
      <c r="I362" s="99" t="s">
        <v>871</v>
      </c>
      <c r="J362" s="99" t="s">
        <v>873</v>
      </c>
      <c r="K362" s="99" t="s">
        <v>874</v>
      </c>
      <c r="L362" s="99" t="s">
        <v>875</v>
      </c>
      <c r="M362" s="99" t="s">
        <v>5</v>
      </c>
      <c r="N362" s="99" t="s">
        <v>3407</v>
      </c>
      <c r="O362" s="99" t="s">
        <v>114</v>
      </c>
      <c r="P362" s="99" t="s">
        <v>3422</v>
      </c>
      <c r="Q362" s="99" t="s">
        <v>169</v>
      </c>
      <c r="R362" s="99" t="s">
        <v>3409</v>
      </c>
      <c r="S362" s="99" t="s">
        <v>2636</v>
      </c>
      <c r="T362" s="99" t="s">
        <v>52</v>
      </c>
      <c r="U362" s="99" t="s">
        <v>427</v>
      </c>
      <c r="V362" s="99" t="s">
        <v>428</v>
      </c>
      <c r="W362" s="99" t="s">
        <v>4276</v>
      </c>
      <c r="X362" s="99" t="s">
        <v>4276</v>
      </c>
      <c r="Y362" s="99" t="s">
        <v>4277</v>
      </c>
      <c r="Z362" s="99" t="s">
        <v>172</v>
      </c>
      <c r="AA362" s="99" t="s">
        <v>173</v>
      </c>
      <c r="AB362" s="99" t="s">
        <v>174</v>
      </c>
      <c r="AC362" s="99" t="s">
        <v>3411</v>
      </c>
      <c r="AD362" s="99" t="s">
        <v>175</v>
      </c>
      <c r="AE362" s="99" t="s">
        <v>3411</v>
      </c>
      <c r="AF362" s="99" t="s">
        <v>3411</v>
      </c>
      <c r="AG362" s="124">
        <v>2981</v>
      </c>
      <c r="AH362" s="99" t="s">
        <v>3413</v>
      </c>
      <c r="AI362" s="125">
        <v>100</v>
      </c>
      <c r="AJ362" s="99" t="s">
        <v>176</v>
      </c>
      <c r="AK362" s="99" t="s">
        <v>4276</v>
      </c>
      <c r="AL362" s="99" t="s">
        <v>3411</v>
      </c>
      <c r="AM362" s="99" t="s">
        <v>177</v>
      </c>
      <c r="AN362" s="99" t="s">
        <v>3411</v>
      </c>
      <c r="AO362" s="99" t="s">
        <v>178</v>
      </c>
      <c r="AP362" s="99" t="s">
        <v>2570</v>
      </c>
      <c r="AQ362" s="99" t="s">
        <v>3411</v>
      </c>
      <c r="AR362" s="99" t="s">
        <v>3411</v>
      </c>
      <c r="AS362" s="99" t="s">
        <v>876</v>
      </c>
      <c r="AT362" s="99" t="s">
        <v>1</v>
      </c>
      <c r="AU362" s="99" t="s">
        <v>179</v>
      </c>
      <c r="AV362" s="99" t="s">
        <v>3414</v>
      </c>
      <c r="AW362" s="99" t="s">
        <v>180</v>
      </c>
      <c r="AX362" s="99" t="s">
        <v>3420</v>
      </c>
      <c r="AY362" s="99" t="s">
        <v>252</v>
      </c>
      <c r="AZ362" s="99" t="s">
        <v>3416</v>
      </c>
      <c r="BA362" s="99" t="s">
        <v>4275</v>
      </c>
      <c r="BB362" s="99" t="s">
        <v>3059</v>
      </c>
      <c r="BC362" s="125">
        <v>43</v>
      </c>
      <c r="BD362" s="99" t="s">
        <v>3135</v>
      </c>
      <c r="BE362" s="99" t="s">
        <v>3136</v>
      </c>
    </row>
    <row r="363" spans="1:57" ht="12.95" customHeight="1">
      <c r="A363" s="124">
        <v>15</v>
      </c>
      <c r="B363" s="124">
        <v>2022</v>
      </c>
      <c r="C363" s="99" t="s">
        <v>165</v>
      </c>
      <c r="D363" s="99" t="s">
        <v>2781</v>
      </c>
      <c r="E363" s="99" t="s">
        <v>870</v>
      </c>
      <c r="F363" s="99" t="s">
        <v>2782</v>
      </c>
      <c r="G363" s="99" t="s">
        <v>870</v>
      </c>
      <c r="H363" s="99" t="s">
        <v>4278</v>
      </c>
      <c r="I363" s="99" t="s">
        <v>877</v>
      </c>
      <c r="J363" s="99" t="s">
        <v>878</v>
      </c>
      <c r="K363" s="99" t="s">
        <v>879</v>
      </c>
      <c r="L363" s="99" t="s">
        <v>880</v>
      </c>
      <c r="M363" s="99" t="s">
        <v>1</v>
      </c>
      <c r="N363" s="99" t="s">
        <v>3407</v>
      </c>
      <c r="O363" s="99" t="s">
        <v>114</v>
      </c>
      <c r="P363" s="99" t="s">
        <v>3422</v>
      </c>
      <c r="Q363" s="99" t="s">
        <v>169</v>
      </c>
      <c r="R363" s="99" t="s">
        <v>3409</v>
      </c>
      <c r="S363" s="99" t="s">
        <v>2636</v>
      </c>
      <c r="T363" s="99" t="s">
        <v>52</v>
      </c>
      <c r="U363" s="99" t="s">
        <v>427</v>
      </c>
      <c r="V363" s="99" t="s">
        <v>428</v>
      </c>
      <c r="W363" s="99" t="s">
        <v>4279</v>
      </c>
      <c r="X363" s="99" t="s">
        <v>4279</v>
      </c>
      <c r="Y363" s="99" t="s">
        <v>4280</v>
      </c>
      <c r="Z363" s="99" t="s">
        <v>172</v>
      </c>
      <c r="AA363" s="99" t="s">
        <v>173</v>
      </c>
      <c r="AB363" s="99" t="s">
        <v>174</v>
      </c>
      <c r="AC363" s="99" t="s">
        <v>3411</v>
      </c>
      <c r="AD363" s="99" t="s">
        <v>175</v>
      </c>
      <c r="AE363" s="99" t="s">
        <v>3411</v>
      </c>
      <c r="AF363" s="99" t="s">
        <v>3411</v>
      </c>
      <c r="AG363" s="124">
        <v>1551</v>
      </c>
      <c r="AH363" s="99" t="s">
        <v>3413</v>
      </c>
      <c r="AI363" s="125">
        <v>100</v>
      </c>
      <c r="AJ363" s="99" t="s">
        <v>176</v>
      </c>
      <c r="AK363" s="99" t="s">
        <v>4279</v>
      </c>
      <c r="AL363" s="99" t="s">
        <v>3411</v>
      </c>
      <c r="AM363" s="99" t="s">
        <v>177</v>
      </c>
      <c r="AN363" s="99" t="s">
        <v>3411</v>
      </c>
      <c r="AO363" s="99" t="s">
        <v>178</v>
      </c>
      <c r="AP363" s="99" t="s">
        <v>2570</v>
      </c>
      <c r="AQ363" s="99" t="s">
        <v>3411</v>
      </c>
      <c r="AR363" s="99" t="s">
        <v>3411</v>
      </c>
      <c r="AS363" s="99" t="s">
        <v>881</v>
      </c>
      <c r="AT363" s="99" t="s">
        <v>1</v>
      </c>
      <c r="AU363" s="99" t="s">
        <v>179</v>
      </c>
      <c r="AV363" s="99" t="s">
        <v>3414</v>
      </c>
      <c r="AW363" s="99" t="s">
        <v>180</v>
      </c>
      <c r="AX363" s="99" t="s">
        <v>3420</v>
      </c>
      <c r="AY363" s="99" t="s">
        <v>252</v>
      </c>
      <c r="AZ363" s="99" t="s">
        <v>3416</v>
      </c>
      <c r="BA363" s="99" t="s">
        <v>4275</v>
      </c>
      <c r="BB363" s="99" t="s">
        <v>3059</v>
      </c>
      <c r="BC363" s="125">
        <v>52</v>
      </c>
      <c r="BD363" s="99" t="s">
        <v>3135</v>
      </c>
      <c r="BE363" s="99" t="s">
        <v>3136</v>
      </c>
    </row>
    <row r="364" spans="1:57" ht="12.95" customHeight="1">
      <c r="A364" s="124">
        <v>15</v>
      </c>
      <c r="B364" s="124">
        <v>3059</v>
      </c>
      <c r="C364" s="99" t="s">
        <v>165</v>
      </c>
      <c r="D364" s="99" t="s">
        <v>1477</v>
      </c>
      <c r="E364" s="99" t="s">
        <v>1478</v>
      </c>
      <c r="F364" s="99" t="s">
        <v>74</v>
      </c>
      <c r="G364" s="99" t="s">
        <v>75</v>
      </c>
      <c r="H364" s="99" t="s">
        <v>4281</v>
      </c>
      <c r="I364" s="99" t="s">
        <v>1479</v>
      </c>
      <c r="J364" s="99" t="s">
        <v>2716</v>
      </c>
      <c r="K364" s="99" t="s">
        <v>372</v>
      </c>
      <c r="L364" s="99" t="s">
        <v>2717</v>
      </c>
      <c r="M364" s="99" t="s">
        <v>5</v>
      </c>
      <c r="N364" s="99" t="s">
        <v>3407</v>
      </c>
      <c r="O364" s="99" t="s">
        <v>114</v>
      </c>
      <c r="P364" s="99" t="s">
        <v>4282</v>
      </c>
      <c r="Q364" s="99" t="s">
        <v>169</v>
      </c>
      <c r="R364" s="99" t="s">
        <v>71</v>
      </c>
      <c r="S364" s="99" t="s">
        <v>2691</v>
      </c>
      <c r="T364" s="99" t="s">
        <v>49</v>
      </c>
      <c r="U364" s="99" t="s">
        <v>1480</v>
      </c>
      <c r="V364" s="99" t="s">
        <v>50</v>
      </c>
      <c r="W364" s="99" t="s">
        <v>4282</v>
      </c>
      <c r="X364" s="99" t="s">
        <v>4282</v>
      </c>
      <c r="Y364" s="99" t="s">
        <v>4283</v>
      </c>
      <c r="Z364" s="99" t="s">
        <v>172</v>
      </c>
      <c r="AA364" s="99" t="s">
        <v>173</v>
      </c>
      <c r="AB364" s="99" t="s">
        <v>174</v>
      </c>
      <c r="AC364" s="99" t="s">
        <v>3411</v>
      </c>
      <c r="AD364" s="99" t="s">
        <v>175</v>
      </c>
      <c r="AE364" s="99" t="s">
        <v>3411</v>
      </c>
      <c r="AF364" s="99" t="s">
        <v>3411</v>
      </c>
      <c r="AG364" s="124">
        <v>3059</v>
      </c>
      <c r="AH364" s="99" t="s">
        <v>3413</v>
      </c>
      <c r="AI364" s="125">
        <v>100</v>
      </c>
      <c r="AJ364" s="99" t="s">
        <v>176</v>
      </c>
      <c r="AK364" s="99" t="s">
        <v>4282</v>
      </c>
      <c r="AL364" s="99" t="s">
        <v>3411</v>
      </c>
      <c r="AM364" s="99" t="s">
        <v>177</v>
      </c>
      <c r="AN364" s="99" t="s">
        <v>3411</v>
      </c>
      <c r="AO364" s="99" t="s">
        <v>1481</v>
      </c>
      <c r="AP364" s="99" t="s">
        <v>2594</v>
      </c>
      <c r="AQ364" s="99" t="s">
        <v>76</v>
      </c>
      <c r="AR364" s="99" t="s">
        <v>3411</v>
      </c>
      <c r="AS364" s="99" t="s">
        <v>2718</v>
      </c>
      <c r="AT364" s="99" t="s">
        <v>190</v>
      </c>
      <c r="AU364" s="99" t="s">
        <v>191</v>
      </c>
      <c r="AV364" s="99" t="s">
        <v>3928</v>
      </c>
      <c r="AW364" s="99" t="s">
        <v>519</v>
      </c>
      <c r="AX364" s="99" t="s">
        <v>3420</v>
      </c>
      <c r="AY364" s="99" t="s">
        <v>252</v>
      </c>
      <c r="AZ364" s="99" t="s">
        <v>3416</v>
      </c>
      <c r="BA364" s="99" t="s">
        <v>4284</v>
      </c>
      <c r="BB364" s="99" t="s">
        <v>3370</v>
      </c>
      <c r="BC364" s="125">
        <v>51</v>
      </c>
      <c r="BD364" s="99" t="s">
        <v>3135</v>
      </c>
      <c r="BE364" s="99" t="s">
        <v>3136</v>
      </c>
    </row>
    <row r="365" spans="1:57" ht="12.95" customHeight="1">
      <c r="A365" s="124">
        <v>15</v>
      </c>
      <c r="B365" s="124">
        <v>3154</v>
      </c>
      <c r="C365" s="99" t="s">
        <v>165</v>
      </c>
      <c r="D365" s="99" t="s">
        <v>1477</v>
      </c>
      <c r="E365" s="99" t="s">
        <v>1478</v>
      </c>
      <c r="F365" s="99" t="s">
        <v>74</v>
      </c>
      <c r="G365" s="99" t="s">
        <v>75</v>
      </c>
      <c r="H365" s="99" t="s">
        <v>4281</v>
      </c>
      <c r="I365" s="99" t="s">
        <v>1479</v>
      </c>
      <c r="J365" s="99" t="s">
        <v>1483</v>
      </c>
      <c r="K365" s="99" t="s">
        <v>1484</v>
      </c>
      <c r="L365" s="99" t="s">
        <v>1485</v>
      </c>
      <c r="M365" s="99" t="s">
        <v>5</v>
      </c>
      <c r="N365" s="99" t="s">
        <v>3407</v>
      </c>
      <c r="O365" s="99" t="s">
        <v>114</v>
      </c>
      <c r="P365" s="99" t="s">
        <v>4285</v>
      </c>
      <c r="Q365" s="99" t="s">
        <v>169</v>
      </c>
      <c r="R365" s="99" t="s">
        <v>71</v>
      </c>
      <c r="S365" s="99" t="s">
        <v>2691</v>
      </c>
      <c r="T365" s="99" t="s">
        <v>49</v>
      </c>
      <c r="U365" s="99" t="s">
        <v>170</v>
      </c>
      <c r="V365" s="99" t="s">
        <v>60</v>
      </c>
      <c r="W365" s="99" t="s">
        <v>4285</v>
      </c>
      <c r="X365" s="99" t="s">
        <v>4285</v>
      </c>
      <c r="Y365" s="99" t="s">
        <v>4286</v>
      </c>
      <c r="Z365" s="99" t="s">
        <v>172</v>
      </c>
      <c r="AA365" s="99" t="s">
        <v>173</v>
      </c>
      <c r="AB365" s="99" t="s">
        <v>3060</v>
      </c>
      <c r="AC365" s="99" t="s">
        <v>3411</v>
      </c>
      <c r="AD365" s="99" t="s">
        <v>264</v>
      </c>
      <c r="AE365" s="99" t="s">
        <v>4287</v>
      </c>
      <c r="AF365" s="99" t="s">
        <v>3411</v>
      </c>
      <c r="AG365" s="124">
        <v>3154</v>
      </c>
      <c r="AH365" s="99" t="s">
        <v>3413</v>
      </c>
      <c r="AI365" s="125">
        <v>100</v>
      </c>
      <c r="AJ365" s="99" t="s">
        <v>176</v>
      </c>
      <c r="AK365" s="99" t="s">
        <v>4285</v>
      </c>
      <c r="AL365" s="99" t="s">
        <v>3411</v>
      </c>
      <c r="AM365" s="99" t="s">
        <v>177</v>
      </c>
      <c r="AN365" s="99" t="s">
        <v>3411</v>
      </c>
      <c r="AO365" s="99" t="s">
        <v>1482</v>
      </c>
      <c r="AP365" s="99" t="s">
        <v>2595</v>
      </c>
      <c r="AQ365" s="99" t="s">
        <v>77</v>
      </c>
      <c r="AR365" s="99" t="s">
        <v>3411</v>
      </c>
      <c r="AS365" s="99" t="s">
        <v>1486</v>
      </c>
      <c r="AT365" s="99" t="s">
        <v>190</v>
      </c>
      <c r="AU365" s="99" t="s">
        <v>191</v>
      </c>
      <c r="AV365" s="99" t="s">
        <v>3928</v>
      </c>
      <c r="AW365" s="99" t="s">
        <v>519</v>
      </c>
      <c r="AX365" s="99" t="s">
        <v>3411</v>
      </c>
      <c r="AY365" s="99" t="s">
        <v>3411</v>
      </c>
      <c r="AZ365" s="99" t="s">
        <v>3411</v>
      </c>
      <c r="BA365" s="99" t="s">
        <v>3421</v>
      </c>
      <c r="BB365" s="99" t="s">
        <v>381</v>
      </c>
      <c r="BC365" s="125">
        <v>71</v>
      </c>
      <c r="BD365" s="99" t="s">
        <v>3135</v>
      </c>
      <c r="BE365" s="99" t="s">
        <v>3136</v>
      </c>
    </row>
    <row r="366" spans="1:57" ht="12.95" customHeight="1">
      <c r="A366" s="124">
        <v>15</v>
      </c>
      <c r="B366" s="124">
        <v>1987</v>
      </c>
      <c r="C366" s="99" t="s">
        <v>165</v>
      </c>
      <c r="D366" s="99" t="s">
        <v>1477</v>
      </c>
      <c r="E366" s="99" t="s">
        <v>1478</v>
      </c>
      <c r="F366" s="99" t="s">
        <v>74</v>
      </c>
      <c r="G366" s="99" t="s">
        <v>75</v>
      </c>
      <c r="H366" s="99" t="s">
        <v>4288</v>
      </c>
      <c r="I366" s="99" t="s">
        <v>1487</v>
      </c>
      <c r="J366" s="99" t="s">
        <v>1488</v>
      </c>
      <c r="K366" s="99" t="s">
        <v>1489</v>
      </c>
      <c r="L366" s="99" t="s">
        <v>1490</v>
      </c>
      <c r="M366" s="99" t="s">
        <v>5</v>
      </c>
      <c r="N366" s="99" t="s">
        <v>4289</v>
      </c>
      <c r="O366" s="99" t="s">
        <v>78</v>
      </c>
      <c r="P366" s="99" t="s">
        <v>4290</v>
      </c>
      <c r="Q366" s="99" t="s">
        <v>1491</v>
      </c>
      <c r="R366" s="99" t="s">
        <v>71</v>
      </c>
      <c r="S366" s="99" t="s">
        <v>2691</v>
      </c>
      <c r="T366" s="99" t="s">
        <v>49</v>
      </c>
      <c r="U366" s="99" t="s">
        <v>1492</v>
      </c>
      <c r="V366" s="99" t="s">
        <v>55</v>
      </c>
      <c r="W366" s="99" t="s">
        <v>4291</v>
      </c>
      <c r="X366" s="99" t="s">
        <v>4291</v>
      </c>
      <c r="Y366" s="99" t="s">
        <v>4292</v>
      </c>
      <c r="Z366" s="99" t="s">
        <v>172</v>
      </c>
      <c r="AA366" s="99" t="s">
        <v>173</v>
      </c>
      <c r="AB366" s="99" t="s">
        <v>174</v>
      </c>
      <c r="AC366" s="99" t="s">
        <v>3411</v>
      </c>
      <c r="AD366" s="99" t="s">
        <v>175</v>
      </c>
      <c r="AE366" s="99" t="s">
        <v>3411</v>
      </c>
      <c r="AF366" s="99" t="s">
        <v>3411</v>
      </c>
      <c r="AG366" s="124">
        <v>418</v>
      </c>
      <c r="AH366" s="99" t="s">
        <v>3413</v>
      </c>
      <c r="AI366" s="125">
        <v>100</v>
      </c>
      <c r="AJ366" s="99" t="s">
        <v>176</v>
      </c>
      <c r="AK366" s="99" t="s">
        <v>4291</v>
      </c>
      <c r="AL366" s="99" t="s">
        <v>3411</v>
      </c>
      <c r="AM366" s="99" t="s">
        <v>177</v>
      </c>
      <c r="AN366" s="99" t="s">
        <v>3411</v>
      </c>
      <c r="AO366" s="99" t="s">
        <v>1482</v>
      </c>
      <c r="AP366" s="99" t="s">
        <v>2596</v>
      </c>
      <c r="AQ366" s="99" t="s">
        <v>79</v>
      </c>
      <c r="AR366" s="99" t="s">
        <v>1010</v>
      </c>
      <c r="AS366" s="99" t="s">
        <v>1493</v>
      </c>
      <c r="AT366" s="99" t="s">
        <v>190</v>
      </c>
      <c r="AU366" s="99" t="s">
        <v>191</v>
      </c>
      <c r="AV366" s="99" t="s">
        <v>3581</v>
      </c>
      <c r="AW366" s="99" t="s">
        <v>529</v>
      </c>
      <c r="AX366" s="99" t="s">
        <v>3420</v>
      </c>
      <c r="AY366" s="99" t="s">
        <v>252</v>
      </c>
      <c r="AZ366" s="99" t="s">
        <v>3416</v>
      </c>
      <c r="BA366" s="99" t="s">
        <v>4293</v>
      </c>
      <c r="BB366" s="99" t="s">
        <v>3315</v>
      </c>
      <c r="BC366" s="125">
        <v>58</v>
      </c>
      <c r="BD366" s="99" t="s">
        <v>3135</v>
      </c>
      <c r="BE366" s="99" t="s">
        <v>3136</v>
      </c>
    </row>
    <row r="367" spans="1:57" ht="12.95" customHeight="1">
      <c r="A367" s="124">
        <v>15</v>
      </c>
      <c r="B367" s="124">
        <v>2156</v>
      </c>
      <c r="C367" s="99" t="s">
        <v>165</v>
      </c>
      <c r="D367" s="99" t="s">
        <v>1477</v>
      </c>
      <c r="E367" s="99" t="s">
        <v>1478</v>
      </c>
      <c r="F367" s="99" t="s">
        <v>74</v>
      </c>
      <c r="G367" s="99" t="s">
        <v>75</v>
      </c>
      <c r="H367" s="99" t="s">
        <v>4288</v>
      </c>
      <c r="I367" s="99" t="s">
        <v>1487</v>
      </c>
      <c r="J367" s="99" t="s">
        <v>1494</v>
      </c>
      <c r="K367" s="99" t="s">
        <v>1495</v>
      </c>
      <c r="L367" s="99" t="s">
        <v>1496</v>
      </c>
      <c r="M367" s="99" t="s">
        <v>5</v>
      </c>
      <c r="N367" s="99" t="s">
        <v>4294</v>
      </c>
      <c r="O367" s="99" t="s">
        <v>80</v>
      </c>
      <c r="P367" s="99" t="s">
        <v>4295</v>
      </c>
      <c r="Q367" s="99" t="s">
        <v>1497</v>
      </c>
      <c r="R367" s="99" t="s">
        <v>71</v>
      </c>
      <c r="S367" s="99" t="s">
        <v>2691</v>
      </c>
      <c r="T367" s="99" t="s">
        <v>49</v>
      </c>
      <c r="U367" s="99" t="s">
        <v>1492</v>
      </c>
      <c r="V367" s="99" t="s">
        <v>55</v>
      </c>
      <c r="W367" s="99" t="s">
        <v>4228</v>
      </c>
      <c r="X367" s="99" t="s">
        <v>4228</v>
      </c>
      <c r="Y367" s="99" t="s">
        <v>4296</v>
      </c>
      <c r="Z367" s="99" t="s">
        <v>172</v>
      </c>
      <c r="AA367" s="99" t="s">
        <v>173</v>
      </c>
      <c r="AB367" s="99" t="s">
        <v>174</v>
      </c>
      <c r="AC367" s="99" t="s">
        <v>3411</v>
      </c>
      <c r="AD367" s="99" t="s">
        <v>175</v>
      </c>
      <c r="AE367" s="99" t="s">
        <v>3411</v>
      </c>
      <c r="AF367" s="99" t="s">
        <v>3411</v>
      </c>
      <c r="AG367" s="124">
        <v>503</v>
      </c>
      <c r="AH367" s="99" t="s">
        <v>3413</v>
      </c>
      <c r="AI367" s="125">
        <v>100</v>
      </c>
      <c r="AJ367" s="99" t="s">
        <v>176</v>
      </c>
      <c r="AK367" s="99" t="s">
        <v>4228</v>
      </c>
      <c r="AL367" s="99" t="s">
        <v>3411</v>
      </c>
      <c r="AM367" s="99" t="s">
        <v>177</v>
      </c>
      <c r="AN367" s="99" t="s">
        <v>3411</v>
      </c>
      <c r="AO367" s="99" t="s">
        <v>1482</v>
      </c>
      <c r="AP367" s="99" t="s">
        <v>2596</v>
      </c>
      <c r="AQ367" s="99" t="s">
        <v>79</v>
      </c>
      <c r="AR367" s="99" t="s">
        <v>1010</v>
      </c>
      <c r="AS367" s="99" t="s">
        <v>1498</v>
      </c>
      <c r="AT367" s="99" t="s">
        <v>190</v>
      </c>
      <c r="AU367" s="99" t="s">
        <v>191</v>
      </c>
      <c r="AV367" s="99" t="s">
        <v>3928</v>
      </c>
      <c r="AW367" s="99" t="s">
        <v>519</v>
      </c>
      <c r="AX367" s="99" t="s">
        <v>3420</v>
      </c>
      <c r="AY367" s="99" t="s">
        <v>252</v>
      </c>
      <c r="AZ367" s="99" t="s">
        <v>3416</v>
      </c>
      <c r="BA367" s="99" t="s">
        <v>4293</v>
      </c>
      <c r="BB367" s="99" t="s">
        <v>3315</v>
      </c>
      <c r="BC367" s="125">
        <v>59</v>
      </c>
      <c r="BD367" s="99" t="s">
        <v>3135</v>
      </c>
      <c r="BE367" s="99" t="s">
        <v>3136</v>
      </c>
    </row>
    <row r="368" spans="1:57" ht="12.95" customHeight="1">
      <c r="A368" s="124">
        <v>15</v>
      </c>
      <c r="B368" s="124">
        <v>1912</v>
      </c>
      <c r="C368" s="99" t="s">
        <v>165</v>
      </c>
      <c r="D368" s="99" t="s">
        <v>1477</v>
      </c>
      <c r="E368" s="99" t="s">
        <v>1478</v>
      </c>
      <c r="F368" s="99" t="s">
        <v>74</v>
      </c>
      <c r="G368" s="99" t="s">
        <v>75</v>
      </c>
      <c r="H368" s="99" t="s">
        <v>4288</v>
      </c>
      <c r="I368" s="99" t="s">
        <v>1487</v>
      </c>
      <c r="J368" s="99" t="s">
        <v>1499</v>
      </c>
      <c r="K368" s="99" t="s">
        <v>402</v>
      </c>
      <c r="L368" s="99" t="s">
        <v>1500</v>
      </c>
      <c r="M368" s="99" t="s">
        <v>1</v>
      </c>
      <c r="N368" s="99" t="s">
        <v>4297</v>
      </c>
      <c r="O368" s="99" t="s">
        <v>3339</v>
      </c>
      <c r="P368" s="99" t="s">
        <v>4298</v>
      </c>
      <c r="Q368" s="99" t="s">
        <v>3340</v>
      </c>
      <c r="R368" s="99" t="s">
        <v>71</v>
      </c>
      <c r="S368" s="99" t="s">
        <v>2691</v>
      </c>
      <c r="T368" s="99" t="s">
        <v>49</v>
      </c>
      <c r="U368" s="99" t="s">
        <v>1492</v>
      </c>
      <c r="V368" s="99" t="s">
        <v>55</v>
      </c>
      <c r="W368" s="99" t="s">
        <v>4299</v>
      </c>
      <c r="X368" s="99" t="s">
        <v>4299</v>
      </c>
      <c r="Y368" s="99" t="s">
        <v>4300</v>
      </c>
      <c r="Z368" s="99" t="s">
        <v>172</v>
      </c>
      <c r="AA368" s="99" t="s">
        <v>173</v>
      </c>
      <c r="AB368" s="99" t="s">
        <v>174</v>
      </c>
      <c r="AC368" s="99" t="s">
        <v>3411</v>
      </c>
      <c r="AD368" s="99" t="s">
        <v>175</v>
      </c>
      <c r="AE368" s="99" t="s">
        <v>3411</v>
      </c>
      <c r="AF368" s="99" t="s">
        <v>3411</v>
      </c>
      <c r="AG368" s="124">
        <v>373</v>
      </c>
      <c r="AH368" s="99" t="s">
        <v>3413</v>
      </c>
      <c r="AI368" s="125">
        <v>100</v>
      </c>
      <c r="AJ368" s="99" t="s">
        <v>176</v>
      </c>
      <c r="AK368" s="99" t="s">
        <v>4299</v>
      </c>
      <c r="AL368" s="99" t="s">
        <v>3411</v>
      </c>
      <c r="AM368" s="99" t="s">
        <v>177</v>
      </c>
      <c r="AN368" s="99" t="s">
        <v>3411</v>
      </c>
      <c r="AO368" s="99" t="s">
        <v>1482</v>
      </c>
      <c r="AP368" s="99" t="s">
        <v>2596</v>
      </c>
      <c r="AQ368" s="99" t="s">
        <v>79</v>
      </c>
      <c r="AR368" s="99" t="s">
        <v>1010</v>
      </c>
      <c r="AS368" s="99" t="s">
        <v>1501</v>
      </c>
      <c r="AT368" s="99" t="s">
        <v>190</v>
      </c>
      <c r="AU368" s="99" t="s">
        <v>191</v>
      </c>
      <c r="AV368" s="99" t="s">
        <v>3581</v>
      </c>
      <c r="AW368" s="99" t="s">
        <v>529</v>
      </c>
      <c r="AX368" s="99" t="s">
        <v>3411</v>
      </c>
      <c r="AY368" s="99" t="s">
        <v>3411</v>
      </c>
      <c r="AZ368" s="99" t="s">
        <v>3411</v>
      </c>
      <c r="BA368" s="99" t="s">
        <v>4293</v>
      </c>
      <c r="BB368" s="99" t="s">
        <v>3315</v>
      </c>
      <c r="BC368" s="125">
        <v>56</v>
      </c>
      <c r="BD368" s="99" t="s">
        <v>3135</v>
      </c>
      <c r="BE368" s="99" t="s">
        <v>3136</v>
      </c>
    </row>
    <row r="369" spans="1:57" ht="12.95" customHeight="1">
      <c r="A369" s="124">
        <v>15</v>
      </c>
      <c r="B369" s="124">
        <v>1955</v>
      </c>
      <c r="C369" s="99" t="s">
        <v>165</v>
      </c>
      <c r="D369" s="99" t="s">
        <v>1477</v>
      </c>
      <c r="E369" s="99" t="s">
        <v>1478</v>
      </c>
      <c r="F369" s="99" t="s">
        <v>74</v>
      </c>
      <c r="G369" s="99" t="s">
        <v>75</v>
      </c>
      <c r="H369" s="99" t="s">
        <v>4288</v>
      </c>
      <c r="I369" s="99" t="s">
        <v>1487</v>
      </c>
      <c r="J369" s="99" t="s">
        <v>1502</v>
      </c>
      <c r="K369" s="99" t="s">
        <v>466</v>
      </c>
      <c r="L369" s="99" t="s">
        <v>1503</v>
      </c>
      <c r="M369" s="99" t="s">
        <v>1</v>
      </c>
      <c r="N369" s="99" t="s">
        <v>4301</v>
      </c>
      <c r="O369" s="99" t="s">
        <v>2948</v>
      </c>
      <c r="P369" s="99" t="s">
        <v>4302</v>
      </c>
      <c r="Q369" s="99" t="s">
        <v>1504</v>
      </c>
      <c r="R369" s="99" t="s">
        <v>71</v>
      </c>
      <c r="S369" s="99" t="s">
        <v>2691</v>
      </c>
      <c r="T369" s="99" t="s">
        <v>49</v>
      </c>
      <c r="U369" s="99" t="s">
        <v>1492</v>
      </c>
      <c r="V369" s="99" t="s">
        <v>55</v>
      </c>
      <c r="W369" s="99" t="s">
        <v>4303</v>
      </c>
      <c r="X369" s="99" t="s">
        <v>4303</v>
      </c>
      <c r="Y369" s="99" t="s">
        <v>4304</v>
      </c>
      <c r="Z369" s="99" t="s">
        <v>172</v>
      </c>
      <c r="AA369" s="99" t="s">
        <v>173</v>
      </c>
      <c r="AB369" s="99" t="s">
        <v>174</v>
      </c>
      <c r="AC369" s="99" t="s">
        <v>4305</v>
      </c>
      <c r="AD369" s="99" t="s">
        <v>175</v>
      </c>
      <c r="AE369" s="99" t="s">
        <v>3411</v>
      </c>
      <c r="AF369" s="99" t="s">
        <v>3411</v>
      </c>
      <c r="AG369" s="124">
        <v>400</v>
      </c>
      <c r="AH369" s="99" t="s">
        <v>3413</v>
      </c>
      <c r="AI369" s="125">
        <v>100</v>
      </c>
      <c r="AJ369" s="99" t="s">
        <v>176</v>
      </c>
      <c r="AK369" s="99" t="s">
        <v>4303</v>
      </c>
      <c r="AL369" s="99" t="s">
        <v>3411</v>
      </c>
      <c r="AM369" s="99" t="s">
        <v>177</v>
      </c>
      <c r="AN369" s="99" t="s">
        <v>3411</v>
      </c>
      <c r="AO369" s="99" t="s">
        <v>1482</v>
      </c>
      <c r="AP369" s="99" t="s">
        <v>2596</v>
      </c>
      <c r="AQ369" s="99" t="s">
        <v>79</v>
      </c>
      <c r="AR369" s="99" t="s">
        <v>1010</v>
      </c>
      <c r="AS369" s="99" t="s">
        <v>1505</v>
      </c>
      <c r="AT369" s="99" t="s">
        <v>190</v>
      </c>
      <c r="AU369" s="99" t="s">
        <v>191</v>
      </c>
      <c r="AV369" s="99" t="s">
        <v>3414</v>
      </c>
      <c r="AW369" s="99" t="s">
        <v>180</v>
      </c>
      <c r="AX369" s="99" t="s">
        <v>3420</v>
      </c>
      <c r="AY369" s="99" t="s">
        <v>252</v>
      </c>
      <c r="AZ369" s="99" t="s">
        <v>3416</v>
      </c>
      <c r="BA369" s="99" t="s">
        <v>4293</v>
      </c>
      <c r="BB369" s="99" t="s">
        <v>3315</v>
      </c>
      <c r="BC369" s="125">
        <v>52</v>
      </c>
      <c r="BD369" s="99" t="s">
        <v>3135</v>
      </c>
      <c r="BE369" s="99" t="s">
        <v>3136</v>
      </c>
    </row>
    <row r="370" spans="1:57" ht="12.95" customHeight="1">
      <c r="A370" s="124">
        <v>15</v>
      </c>
      <c r="B370" s="124">
        <v>1983</v>
      </c>
      <c r="C370" s="99" t="s">
        <v>165</v>
      </c>
      <c r="D370" s="99" t="s">
        <v>1477</v>
      </c>
      <c r="E370" s="99" t="s">
        <v>1478</v>
      </c>
      <c r="F370" s="99" t="s">
        <v>74</v>
      </c>
      <c r="G370" s="99" t="s">
        <v>75</v>
      </c>
      <c r="H370" s="99" t="s">
        <v>4288</v>
      </c>
      <c r="I370" s="99" t="s">
        <v>1487</v>
      </c>
      <c r="J370" s="99" t="s">
        <v>1506</v>
      </c>
      <c r="K370" s="99" t="s">
        <v>1507</v>
      </c>
      <c r="L370" s="99" t="s">
        <v>1508</v>
      </c>
      <c r="M370" s="99" t="s">
        <v>1</v>
      </c>
      <c r="N370" s="99" t="s">
        <v>4306</v>
      </c>
      <c r="O370" s="99" t="s">
        <v>1509</v>
      </c>
      <c r="P370" s="99" t="s">
        <v>4307</v>
      </c>
      <c r="Q370" s="99" t="s">
        <v>1510</v>
      </c>
      <c r="R370" s="99" t="s">
        <v>71</v>
      </c>
      <c r="S370" s="99" t="s">
        <v>2691</v>
      </c>
      <c r="T370" s="99" t="s">
        <v>49</v>
      </c>
      <c r="U370" s="99" t="s">
        <v>1511</v>
      </c>
      <c r="V370" s="99" t="s">
        <v>54</v>
      </c>
      <c r="W370" s="99" t="s">
        <v>4308</v>
      </c>
      <c r="X370" s="99" t="s">
        <v>4308</v>
      </c>
      <c r="Y370" s="99" t="s">
        <v>4309</v>
      </c>
      <c r="Z370" s="99" t="s">
        <v>172</v>
      </c>
      <c r="AA370" s="99" t="s">
        <v>173</v>
      </c>
      <c r="AB370" s="99" t="s">
        <v>174</v>
      </c>
      <c r="AC370" s="99" t="s">
        <v>3411</v>
      </c>
      <c r="AD370" s="99" t="s">
        <v>175</v>
      </c>
      <c r="AE370" s="99" t="s">
        <v>3411</v>
      </c>
      <c r="AF370" s="99" t="s">
        <v>3411</v>
      </c>
      <c r="AG370" s="124">
        <v>415</v>
      </c>
      <c r="AH370" s="99" t="s">
        <v>3413</v>
      </c>
      <c r="AI370" s="125">
        <v>100</v>
      </c>
      <c r="AJ370" s="99" t="s">
        <v>176</v>
      </c>
      <c r="AK370" s="99" t="s">
        <v>4308</v>
      </c>
      <c r="AL370" s="99" t="s">
        <v>3411</v>
      </c>
      <c r="AM370" s="99" t="s">
        <v>177</v>
      </c>
      <c r="AN370" s="99" t="s">
        <v>3411</v>
      </c>
      <c r="AO370" s="99" t="s">
        <v>1482</v>
      </c>
      <c r="AP370" s="99" t="s">
        <v>2596</v>
      </c>
      <c r="AQ370" s="99" t="s">
        <v>79</v>
      </c>
      <c r="AR370" s="99" t="s">
        <v>1010</v>
      </c>
      <c r="AS370" s="99" t="s">
        <v>1512</v>
      </c>
      <c r="AT370" s="99" t="s">
        <v>190</v>
      </c>
      <c r="AU370" s="99" t="s">
        <v>191</v>
      </c>
      <c r="AV370" s="99" t="s">
        <v>3581</v>
      </c>
      <c r="AW370" s="99" t="s">
        <v>529</v>
      </c>
      <c r="AX370" s="99" t="s">
        <v>3420</v>
      </c>
      <c r="AY370" s="99" t="s">
        <v>252</v>
      </c>
      <c r="AZ370" s="99" t="s">
        <v>3416</v>
      </c>
      <c r="BA370" s="99" t="s">
        <v>4293</v>
      </c>
      <c r="BB370" s="99" t="s">
        <v>3315</v>
      </c>
      <c r="BC370" s="125">
        <v>62</v>
      </c>
      <c r="BD370" s="99" t="s">
        <v>3135</v>
      </c>
      <c r="BE370" s="99" t="s">
        <v>3136</v>
      </c>
    </row>
    <row r="371" spans="1:57" ht="12.95" customHeight="1">
      <c r="A371" s="124">
        <v>15</v>
      </c>
      <c r="B371" s="124">
        <v>1168</v>
      </c>
      <c r="C371" s="99" t="s">
        <v>165</v>
      </c>
      <c r="D371" s="99" t="s">
        <v>1477</v>
      </c>
      <c r="E371" s="99" t="s">
        <v>1478</v>
      </c>
      <c r="F371" s="99" t="s">
        <v>74</v>
      </c>
      <c r="G371" s="99" t="s">
        <v>75</v>
      </c>
      <c r="H371" s="99" t="s">
        <v>4310</v>
      </c>
      <c r="I371" s="99" t="s">
        <v>1513</v>
      </c>
      <c r="J371" s="99" t="s">
        <v>710</v>
      </c>
      <c r="K371" s="99" t="s">
        <v>1514</v>
      </c>
      <c r="L371" s="99" t="s">
        <v>1515</v>
      </c>
      <c r="M371" s="99" t="s">
        <v>5</v>
      </c>
      <c r="N371" s="99" t="s">
        <v>3407</v>
      </c>
      <c r="O371" s="99" t="s">
        <v>114</v>
      </c>
      <c r="P371" s="99" t="s">
        <v>3422</v>
      </c>
      <c r="Q371" s="99" t="s">
        <v>169</v>
      </c>
      <c r="R371" s="99" t="s">
        <v>71</v>
      </c>
      <c r="S371" s="99" t="s">
        <v>2691</v>
      </c>
      <c r="T371" s="99" t="s">
        <v>49</v>
      </c>
      <c r="U371" s="99" t="s">
        <v>1008</v>
      </c>
      <c r="V371" s="99" t="s">
        <v>53</v>
      </c>
      <c r="W371" s="99" t="s">
        <v>4311</v>
      </c>
      <c r="X371" s="99" t="s">
        <v>4311</v>
      </c>
      <c r="Y371" s="99" t="s">
        <v>4312</v>
      </c>
      <c r="Z371" s="99" t="s">
        <v>172</v>
      </c>
      <c r="AA371" s="99" t="s">
        <v>173</v>
      </c>
      <c r="AB371" s="99" t="s">
        <v>174</v>
      </c>
      <c r="AC371" s="99" t="s">
        <v>3411</v>
      </c>
      <c r="AD371" s="99" t="s">
        <v>175</v>
      </c>
      <c r="AE371" s="99" t="s">
        <v>3411</v>
      </c>
      <c r="AF371" s="99" t="s">
        <v>3411</v>
      </c>
      <c r="AG371" s="124">
        <v>250</v>
      </c>
      <c r="AH371" s="99" t="s">
        <v>3413</v>
      </c>
      <c r="AI371" s="125">
        <v>100</v>
      </c>
      <c r="AJ371" s="99" t="s">
        <v>176</v>
      </c>
      <c r="AK371" s="99" t="s">
        <v>4311</v>
      </c>
      <c r="AL371" s="99" t="s">
        <v>3411</v>
      </c>
      <c r="AM371" s="99" t="s">
        <v>177</v>
      </c>
      <c r="AN371" s="99" t="s">
        <v>3411</v>
      </c>
      <c r="AO371" s="99" t="s">
        <v>1482</v>
      </c>
      <c r="AP371" s="99" t="s">
        <v>2597</v>
      </c>
      <c r="AQ371" s="99" t="s">
        <v>96</v>
      </c>
      <c r="AR371" s="99" t="s">
        <v>3411</v>
      </c>
      <c r="AS371" s="99" t="s">
        <v>1516</v>
      </c>
      <c r="AT371" s="99" t="s">
        <v>190</v>
      </c>
      <c r="AU371" s="99" t="s">
        <v>191</v>
      </c>
      <c r="AV371" s="99" t="s">
        <v>3928</v>
      </c>
      <c r="AW371" s="99" t="s">
        <v>519</v>
      </c>
      <c r="AX371" s="99" t="s">
        <v>3866</v>
      </c>
      <c r="AY371" s="99" t="s">
        <v>252</v>
      </c>
      <c r="AZ371" s="99" t="s">
        <v>3867</v>
      </c>
      <c r="BA371" s="99" t="s">
        <v>4313</v>
      </c>
      <c r="BB371" s="99" t="s">
        <v>3411</v>
      </c>
      <c r="BC371" s="125">
        <v>58</v>
      </c>
      <c r="BD371" s="99" t="s">
        <v>3135</v>
      </c>
      <c r="BE371" s="99" t="s">
        <v>3136</v>
      </c>
    </row>
    <row r="372" spans="1:57" ht="12.95" customHeight="1">
      <c r="A372" s="124">
        <v>15</v>
      </c>
      <c r="B372" s="124">
        <v>2016</v>
      </c>
      <c r="C372" s="99" t="s">
        <v>165</v>
      </c>
      <c r="D372" s="99" t="s">
        <v>1477</v>
      </c>
      <c r="E372" s="99" t="s">
        <v>1478</v>
      </c>
      <c r="F372" s="99" t="s">
        <v>74</v>
      </c>
      <c r="G372" s="99" t="s">
        <v>75</v>
      </c>
      <c r="H372" s="99" t="s">
        <v>4314</v>
      </c>
      <c r="I372" s="99" t="s">
        <v>1520</v>
      </c>
      <c r="J372" s="99" t="s">
        <v>1521</v>
      </c>
      <c r="K372" s="99" t="s">
        <v>832</v>
      </c>
      <c r="L372" s="99" t="s">
        <v>1522</v>
      </c>
      <c r="M372" s="99" t="s">
        <v>5</v>
      </c>
      <c r="N372" s="99" t="s">
        <v>3407</v>
      </c>
      <c r="O372" s="99" t="s">
        <v>114</v>
      </c>
      <c r="P372" s="99" t="s">
        <v>3422</v>
      </c>
      <c r="Q372" s="99" t="s">
        <v>169</v>
      </c>
      <c r="R372" s="99" t="s">
        <v>71</v>
      </c>
      <c r="S372" s="99" t="s">
        <v>2691</v>
      </c>
      <c r="T372" s="99" t="s">
        <v>49</v>
      </c>
      <c r="U372" s="99" t="s">
        <v>1511</v>
      </c>
      <c r="V372" s="99" t="s">
        <v>54</v>
      </c>
      <c r="W372" s="99" t="s">
        <v>4315</v>
      </c>
      <c r="X372" s="99" t="s">
        <v>4315</v>
      </c>
      <c r="Y372" s="99" t="s">
        <v>4316</v>
      </c>
      <c r="Z372" s="99" t="s">
        <v>172</v>
      </c>
      <c r="AA372" s="99" t="s">
        <v>173</v>
      </c>
      <c r="AB372" s="99" t="s">
        <v>174</v>
      </c>
      <c r="AC372" s="99" t="s">
        <v>3411</v>
      </c>
      <c r="AD372" s="99" t="s">
        <v>175</v>
      </c>
      <c r="AE372" s="99" t="s">
        <v>3411</v>
      </c>
      <c r="AF372" s="99" t="s">
        <v>3411</v>
      </c>
      <c r="AG372" s="124">
        <v>438</v>
      </c>
      <c r="AH372" s="99" t="s">
        <v>3413</v>
      </c>
      <c r="AI372" s="125">
        <v>100</v>
      </c>
      <c r="AJ372" s="99" t="s">
        <v>176</v>
      </c>
      <c r="AK372" s="99" t="s">
        <v>4315</v>
      </c>
      <c r="AL372" s="99" t="s">
        <v>3411</v>
      </c>
      <c r="AM372" s="99" t="s">
        <v>3480</v>
      </c>
      <c r="AN372" s="99" t="s">
        <v>233</v>
      </c>
      <c r="AO372" s="99" t="s">
        <v>1482</v>
      </c>
      <c r="AP372" s="99" t="s">
        <v>2599</v>
      </c>
      <c r="AQ372" s="99" t="s">
        <v>82</v>
      </c>
      <c r="AR372" s="99" t="s">
        <v>1010</v>
      </c>
      <c r="AS372" s="99" t="s">
        <v>1523</v>
      </c>
      <c r="AT372" s="99" t="s">
        <v>190</v>
      </c>
      <c r="AU372" s="99" t="s">
        <v>191</v>
      </c>
      <c r="AV372" s="99" t="s">
        <v>3581</v>
      </c>
      <c r="AW372" s="99" t="s">
        <v>529</v>
      </c>
      <c r="AX372" s="99" t="s">
        <v>3420</v>
      </c>
      <c r="AY372" s="99" t="s">
        <v>252</v>
      </c>
      <c r="AZ372" s="99" t="s">
        <v>3416</v>
      </c>
      <c r="BA372" s="99" t="s">
        <v>4317</v>
      </c>
      <c r="BB372" s="99" t="s">
        <v>3316</v>
      </c>
      <c r="BC372" s="125">
        <v>63</v>
      </c>
      <c r="BD372" s="99" t="s">
        <v>3135</v>
      </c>
      <c r="BE372" s="99" t="s">
        <v>3136</v>
      </c>
    </row>
    <row r="373" spans="1:57" ht="12.95" customHeight="1">
      <c r="A373" s="124">
        <v>15</v>
      </c>
      <c r="B373" s="124">
        <v>2911</v>
      </c>
      <c r="C373" s="99" t="s">
        <v>165</v>
      </c>
      <c r="D373" s="99" t="s">
        <v>1477</v>
      </c>
      <c r="E373" s="99" t="s">
        <v>1478</v>
      </c>
      <c r="F373" s="99" t="s">
        <v>74</v>
      </c>
      <c r="G373" s="99" t="s">
        <v>75</v>
      </c>
      <c r="H373" s="99" t="s">
        <v>4314</v>
      </c>
      <c r="I373" s="99" t="s">
        <v>1520</v>
      </c>
      <c r="J373" s="99" t="s">
        <v>1524</v>
      </c>
      <c r="K373" s="99" t="s">
        <v>1525</v>
      </c>
      <c r="L373" s="99" t="s">
        <v>1526</v>
      </c>
      <c r="M373" s="99" t="s">
        <v>5</v>
      </c>
      <c r="N373" s="99" t="s">
        <v>3407</v>
      </c>
      <c r="O373" s="99" t="s">
        <v>114</v>
      </c>
      <c r="P373" s="99" t="s">
        <v>3422</v>
      </c>
      <c r="Q373" s="99" t="s">
        <v>169</v>
      </c>
      <c r="R373" s="99" t="s">
        <v>71</v>
      </c>
      <c r="S373" s="99" t="s">
        <v>2691</v>
      </c>
      <c r="T373" s="99" t="s">
        <v>49</v>
      </c>
      <c r="U373" s="99" t="s">
        <v>1492</v>
      </c>
      <c r="V373" s="99" t="s">
        <v>55</v>
      </c>
      <c r="W373" s="99" t="s">
        <v>4318</v>
      </c>
      <c r="X373" s="99" t="s">
        <v>4318</v>
      </c>
      <c r="Y373" s="99" t="s">
        <v>4319</v>
      </c>
      <c r="Z373" s="99" t="s">
        <v>172</v>
      </c>
      <c r="AA373" s="99" t="s">
        <v>173</v>
      </c>
      <c r="AB373" s="99" t="s">
        <v>174</v>
      </c>
      <c r="AC373" s="99" t="s">
        <v>3411</v>
      </c>
      <c r="AD373" s="99" t="s">
        <v>175</v>
      </c>
      <c r="AE373" s="99" t="s">
        <v>3411</v>
      </c>
      <c r="AF373" s="99" t="s">
        <v>3411</v>
      </c>
      <c r="AG373" s="124">
        <v>2911</v>
      </c>
      <c r="AH373" s="99" t="s">
        <v>3413</v>
      </c>
      <c r="AI373" s="125">
        <v>100</v>
      </c>
      <c r="AJ373" s="99" t="s">
        <v>176</v>
      </c>
      <c r="AK373" s="99" t="s">
        <v>4318</v>
      </c>
      <c r="AL373" s="99" t="s">
        <v>3411</v>
      </c>
      <c r="AM373" s="99" t="s">
        <v>177</v>
      </c>
      <c r="AN373" s="99" t="s">
        <v>3411</v>
      </c>
      <c r="AO373" s="99" t="s">
        <v>1481</v>
      </c>
      <c r="AP373" s="99" t="s">
        <v>2600</v>
      </c>
      <c r="AQ373" s="99" t="s">
        <v>83</v>
      </c>
      <c r="AR373" s="99" t="s">
        <v>3411</v>
      </c>
      <c r="AS373" s="99" t="s">
        <v>1527</v>
      </c>
      <c r="AT373" s="99" t="s">
        <v>190</v>
      </c>
      <c r="AU373" s="99" t="s">
        <v>191</v>
      </c>
      <c r="AV373" s="99" t="s">
        <v>3928</v>
      </c>
      <c r="AW373" s="99" t="s">
        <v>519</v>
      </c>
      <c r="AX373" s="99" t="s">
        <v>3420</v>
      </c>
      <c r="AY373" s="99" t="s">
        <v>252</v>
      </c>
      <c r="AZ373" s="99" t="s">
        <v>3416</v>
      </c>
      <c r="BA373" s="99" t="s">
        <v>4313</v>
      </c>
      <c r="BB373" s="99" t="s">
        <v>3411</v>
      </c>
      <c r="BC373" s="125">
        <v>45</v>
      </c>
      <c r="BD373" s="99" t="s">
        <v>3135</v>
      </c>
      <c r="BE373" s="99" t="s">
        <v>3136</v>
      </c>
    </row>
    <row r="374" spans="1:57" ht="12.95" customHeight="1">
      <c r="A374" s="124">
        <v>15</v>
      </c>
      <c r="B374" s="124">
        <v>2276</v>
      </c>
      <c r="C374" s="99" t="s">
        <v>165</v>
      </c>
      <c r="D374" s="99" t="s">
        <v>1477</v>
      </c>
      <c r="E374" s="99" t="s">
        <v>1478</v>
      </c>
      <c r="F374" s="99" t="s">
        <v>74</v>
      </c>
      <c r="G374" s="99" t="s">
        <v>75</v>
      </c>
      <c r="H374" s="99" t="s">
        <v>4314</v>
      </c>
      <c r="I374" s="99" t="s">
        <v>1520</v>
      </c>
      <c r="J374" s="99" t="s">
        <v>1528</v>
      </c>
      <c r="K374" s="99" t="s">
        <v>1529</v>
      </c>
      <c r="L374" s="99" t="s">
        <v>1530</v>
      </c>
      <c r="M374" s="99" t="s">
        <v>5</v>
      </c>
      <c r="N374" s="99" t="s">
        <v>3407</v>
      </c>
      <c r="O374" s="99" t="s">
        <v>114</v>
      </c>
      <c r="P374" s="99" t="s">
        <v>3422</v>
      </c>
      <c r="Q374" s="99" t="s">
        <v>169</v>
      </c>
      <c r="R374" s="99" t="s">
        <v>71</v>
      </c>
      <c r="S374" s="99" t="s">
        <v>2691</v>
      </c>
      <c r="T374" s="99" t="s">
        <v>49</v>
      </c>
      <c r="U374" s="99" t="s">
        <v>1519</v>
      </c>
      <c r="V374" s="99" t="s">
        <v>56</v>
      </c>
      <c r="W374" s="99" t="s">
        <v>4201</v>
      </c>
      <c r="X374" s="99" t="s">
        <v>4201</v>
      </c>
      <c r="Y374" s="99" t="s">
        <v>4320</v>
      </c>
      <c r="Z374" s="99" t="s">
        <v>172</v>
      </c>
      <c r="AA374" s="99" t="s">
        <v>173</v>
      </c>
      <c r="AB374" s="99" t="s">
        <v>174</v>
      </c>
      <c r="AC374" s="99" t="s">
        <v>3411</v>
      </c>
      <c r="AD374" s="99" t="s">
        <v>175</v>
      </c>
      <c r="AE374" s="99" t="s">
        <v>3411</v>
      </c>
      <c r="AF374" s="99" t="s">
        <v>3411</v>
      </c>
      <c r="AG374" s="124">
        <v>548</v>
      </c>
      <c r="AH374" s="99" t="s">
        <v>3413</v>
      </c>
      <c r="AI374" s="125">
        <v>100</v>
      </c>
      <c r="AJ374" s="99" t="s">
        <v>176</v>
      </c>
      <c r="AK374" s="99" t="s">
        <v>4201</v>
      </c>
      <c r="AL374" s="99" t="s">
        <v>3411</v>
      </c>
      <c r="AM374" s="99" t="s">
        <v>177</v>
      </c>
      <c r="AN374" s="99" t="s">
        <v>3411</v>
      </c>
      <c r="AO374" s="99" t="s">
        <v>1482</v>
      </c>
      <c r="AP374" s="99" t="s">
        <v>2598</v>
      </c>
      <c r="AQ374" s="99" t="s">
        <v>81</v>
      </c>
      <c r="AR374" s="99" t="s">
        <v>3411</v>
      </c>
      <c r="AS374" s="99" t="s">
        <v>1531</v>
      </c>
      <c r="AT374" s="99" t="s">
        <v>190</v>
      </c>
      <c r="AU374" s="99" t="s">
        <v>191</v>
      </c>
      <c r="AV374" s="99" t="s">
        <v>3928</v>
      </c>
      <c r="AW374" s="99" t="s">
        <v>519</v>
      </c>
      <c r="AX374" s="99" t="s">
        <v>3420</v>
      </c>
      <c r="AY374" s="99" t="s">
        <v>252</v>
      </c>
      <c r="AZ374" s="99" t="s">
        <v>3416</v>
      </c>
      <c r="BA374" s="99" t="s">
        <v>4313</v>
      </c>
      <c r="BB374" s="99" t="s">
        <v>3411</v>
      </c>
      <c r="BC374" s="125">
        <v>54</v>
      </c>
      <c r="BD374" s="99" t="s">
        <v>3135</v>
      </c>
      <c r="BE374" s="99" t="s">
        <v>3136</v>
      </c>
    </row>
    <row r="375" spans="1:57" ht="12.95" customHeight="1">
      <c r="A375" s="124">
        <v>15</v>
      </c>
      <c r="B375" s="124">
        <v>526</v>
      </c>
      <c r="C375" s="99" t="s">
        <v>165</v>
      </c>
      <c r="D375" s="99" t="s">
        <v>1477</v>
      </c>
      <c r="E375" s="99" t="s">
        <v>1478</v>
      </c>
      <c r="F375" s="99" t="s">
        <v>74</v>
      </c>
      <c r="G375" s="99" t="s">
        <v>75</v>
      </c>
      <c r="H375" s="99" t="s">
        <v>4314</v>
      </c>
      <c r="I375" s="99" t="s">
        <v>1520</v>
      </c>
      <c r="J375" s="99" t="s">
        <v>1532</v>
      </c>
      <c r="K375" s="99" t="s">
        <v>997</v>
      </c>
      <c r="L375" s="99" t="s">
        <v>1533</v>
      </c>
      <c r="M375" s="99" t="s">
        <v>1</v>
      </c>
      <c r="N375" s="99" t="s">
        <v>3407</v>
      </c>
      <c r="O375" s="99" t="s">
        <v>114</v>
      </c>
      <c r="P375" s="99" t="s">
        <v>3422</v>
      </c>
      <c r="Q375" s="99" t="s">
        <v>169</v>
      </c>
      <c r="R375" s="99" t="s">
        <v>71</v>
      </c>
      <c r="S375" s="99" t="s">
        <v>2691</v>
      </c>
      <c r="T375" s="99" t="s">
        <v>49</v>
      </c>
      <c r="U375" s="99" t="s">
        <v>1492</v>
      </c>
      <c r="V375" s="99" t="s">
        <v>55</v>
      </c>
      <c r="W375" s="99" t="s">
        <v>4321</v>
      </c>
      <c r="X375" s="99" t="s">
        <v>4321</v>
      </c>
      <c r="Y375" s="99" t="s">
        <v>4322</v>
      </c>
      <c r="Z375" s="99" t="s">
        <v>172</v>
      </c>
      <c r="AA375" s="99" t="s">
        <v>173</v>
      </c>
      <c r="AB375" s="99" t="s">
        <v>174</v>
      </c>
      <c r="AC375" s="99" t="s">
        <v>3411</v>
      </c>
      <c r="AD375" s="99" t="s">
        <v>175</v>
      </c>
      <c r="AE375" s="99" t="s">
        <v>3411</v>
      </c>
      <c r="AF375" s="99" t="s">
        <v>3411</v>
      </c>
      <c r="AG375" s="124">
        <v>156</v>
      </c>
      <c r="AH375" s="99" t="s">
        <v>3413</v>
      </c>
      <c r="AI375" s="125">
        <v>100</v>
      </c>
      <c r="AJ375" s="99" t="s">
        <v>176</v>
      </c>
      <c r="AK375" s="99" t="s">
        <v>4321</v>
      </c>
      <c r="AL375" s="99" t="s">
        <v>3411</v>
      </c>
      <c r="AM375" s="99" t="s">
        <v>177</v>
      </c>
      <c r="AN375" s="99" t="s">
        <v>3411</v>
      </c>
      <c r="AO375" s="99" t="s">
        <v>1482</v>
      </c>
      <c r="AP375" s="99" t="s">
        <v>2601</v>
      </c>
      <c r="AQ375" s="99" t="s">
        <v>84</v>
      </c>
      <c r="AR375" s="99" t="s">
        <v>1010</v>
      </c>
      <c r="AS375" s="99" t="s">
        <v>1534</v>
      </c>
      <c r="AT375" s="99" t="s">
        <v>190</v>
      </c>
      <c r="AU375" s="99" t="s">
        <v>191</v>
      </c>
      <c r="AV375" s="99" t="s">
        <v>3928</v>
      </c>
      <c r="AW375" s="99" t="s">
        <v>519</v>
      </c>
      <c r="AX375" s="99" t="s">
        <v>3420</v>
      </c>
      <c r="AY375" s="99" t="s">
        <v>252</v>
      </c>
      <c r="AZ375" s="99" t="s">
        <v>3416</v>
      </c>
      <c r="BA375" s="99" t="s">
        <v>4313</v>
      </c>
      <c r="BB375" s="99" t="s">
        <v>3411</v>
      </c>
      <c r="BC375" s="125">
        <v>62</v>
      </c>
      <c r="BD375" s="99" t="s">
        <v>3135</v>
      </c>
      <c r="BE375" s="99" t="s">
        <v>3136</v>
      </c>
    </row>
    <row r="376" spans="1:57" ht="12.95" customHeight="1">
      <c r="A376" s="124">
        <v>15</v>
      </c>
      <c r="B376" s="124">
        <v>1424</v>
      </c>
      <c r="C376" s="99" t="s">
        <v>165</v>
      </c>
      <c r="D376" s="99" t="s">
        <v>1477</v>
      </c>
      <c r="E376" s="99" t="s">
        <v>1478</v>
      </c>
      <c r="F376" s="99" t="s">
        <v>74</v>
      </c>
      <c r="G376" s="99" t="s">
        <v>75</v>
      </c>
      <c r="H376" s="99" t="s">
        <v>4314</v>
      </c>
      <c r="I376" s="99" t="s">
        <v>1520</v>
      </c>
      <c r="J376" s="99" t="s">
        <v>1535</v>
      </c>
      <c r="K376" s="99" t="s">
        <v>1536</v>
      </c>
      <c r="L376" s="99" t="s">
        <v>1537</v>
      </c>
      <c r="M376" s="99" t="s">
        <v>5</v>
      </c>
      <c r="N376" s="99" t="s">
        <v>3454</v>
      </c>
      <c r="O376" s="99" t="s">
        <v>70</v>
      </c>
      <c r="P376" s="99" t="s">
        <v>3904</v>
      </c>
      <c r="Q376" s="99" t="s">
        <v>247</v>
      </c>
      <c r="R376" s="99" t="s">
        <v>71</v>
      </c>
      <c r="S376" s="99" t="s">
        <v>2691</v>
      </c>
      <c r="T376" s="99" t="s">
        <v>49</v>
      </c>
      <c r="U376" s="99" t="s">
        <v>1008</v>
      </c>
      <c r="V376" s="99" t="s">
        <v>53</v>
      </c>
      <c r="W376" s="99" t="s">
        <v>4189</v>
      </c>
      <c r="X376" s="99" t="s">
        <v>4189</v>
      </c>
      <c r="Y376" s="99" t="s">
        <v>4324</v>
      </c>
      <c r="Z376" s="99" t="s">
        <v>172</v>
      </c>
      <c r="AA376" s="99" t="s">
        <v>173</v>
      </c>
      <c r="AB376" s="99" t="s">
        <v>174</v>
      </c>
      <c r="AC376" s="99" t="s">
        <v>3411</v>
      </c>
      <c r="AD376" s="99" t="s">
        <v>175</v>
      </c>
      <c r="AE376" s="99" t="s">
        <v>3411</v>
      </c>
      <c r="AF376" s="99" t="s">
        <v>3411</v>
      </c>
      <c r="AG376" s="124">
        <v>295</v>
      </c>
      <c r="AH376" s="99" t="s">
        <v>3413</v>
      </c>
      <c r="AI376" s="125">
        <v>100</v>
      </c>
      <c r="AJ376" s="99" t="s">
        <v>176</v>
      </c>
      <c r="AK376" s="99" t="s">
        <v>4189</v>
      </c>
      <c r="AL376" s="99" t="s">
        <v>3411</v>
      </c>
      <c r="AM376" s="99" t="s">
        <v>177</v>
      </c>
      <c r="AN376" s="99" t="s">
        <v>3411</v>
      </c>
      <c r="AO376" s="99" t="s">
        <v>1482</v>
      </c>
      <c r="AP376" s="99" t="s">
        <v>2603</v>
      </c>
      <c r="AQ376" s="99" t="s">
        <v>98</v>
      </c>
      <c r="AR376" s="99" t="s">
        <v>1010</v>
      </c>
      <c r="AS376" s="99" t="s">
        <v>1538</v>
      </c>
      <c r="AT376" s="99" t="s">
        <v>190</v>
      </c>
      <c r="AU376" s="99" t="s">
        <v>191</v>
      </c>
      <c r="AV376" s="99" t="s">
        <v>3414</v>
      </c>
      <c r="AW376" s="99" t="s">
        <v>180</v>
      </c>
      <c r="AX376" s="99" t="s">
        <v>3420</v>
      </c>
      <c r="AY376" s="99" t="s">
        <v>252</v>
      </c>
      <c r="AZ376" s="99" t="s">
        <v>3416</v>
      </c>
      <c r="BA376" s="99" t="s">
        <v>4325</v>
      </c>
      <c r="BB376" s="99" t="s">
        <v>3249</v>
      </c>
      <c r="BC376" s="125">
        <v>54</v>
      </c>
      <c r="BD376" s="99" t="s">
        <v>3135</v>
      </c>
      <c r="BE376" s="99" t="s">
        <v>3136</v>
      </c>
    </row>
    <row r="377" spans="1:57" ht="12.95" customHeight="1">
      <c r="A377" s="124">
        <v>15</v>
      </c>
      <c r="B377" s="124">
        <v>2068</v>
      </c>
      <c r="C377" s="99" t="s">
        <v>165</v>
      </c>
      <c r="D377" s="99" t="s">
        <v>1477</v>
      </c>
      <c r="E377" s="99" t="s">
        <v>1478</v>
      </c>
      <c r="F377" s="99" t="s">
        <v>74</v>
      </c>
      <c r="G377" s="99" t="s">
        <v>75</v>
      </c>
      <c r="H377" s="99" t="s">
        <v>4314</v>
      </c>
      <c r="I377" s="99" t="s">
        <v>1520</v>
      </c>
      <c r="J377" s="99" t="s">
        <v>1539</v>
      </c>
      <c r="K377" s="99" t="s">
        <v>1202</v>
      </c>
      <c r="L377" s="99" t="s">
        <v>1540</v>
      </c>
      <c r="M377" s="99" t="s">
        <v>1</v>
      </c>
      <c r="N377" s="99" t="s">
        <v>3407</v>
      </c>
      <c r="O377" s="99" t="s">
        <v>114</v>
      </c>
      <c r="P377" s="99" t="s">
        <v>3422</v>
      </c>
      <c r="Q377" s="99" t="s">
        <v>169</v>
      </c>
      <c r="R377" s="99" t="s">
        <v>71</v>
      </c>
      <c r="S377" s="99" t="s">
        <v>2691</v>
      </c>
      <c r="T377" s="99" t="s">
        <v>49</v>
      </c>
      <c r="U377" s="99" t="s">
        <v>1008</v>
      </c>
      <c r="V377" s="99" t="s">
        <v>53</v>
      </c>
      <c r="W377" s="99" t="s">
        <v>4326</v>
      </c>
      <c r="X377" s="99" t="s">
        <v>4326</v>
      </c>
      <c r="Y377" s="99" t="s">
        <v>4327</v>
      </c>
      <c r="Z377" s="99" t="s">
        <v>172</v>
      </c>
      <c r="AA377" s="99" t="s">
        <v>173</v>
      </c>
      <c r="AB377" s="99" t="s">
        <v>400</v>
      </c>
      <c r="AC377" s="99" t="s">
        <v>3411</v>
      </c>
      <c r="AD377" s="99" t="s">
        <v>175</v>
      </c>
      <c r="AE377" s="99" t="s">
        <v>3411</v>
      </c>
      <c r="AF377" s="99" t="s">
        <v>3411</v>
      </c>
      <c r="AG377" s="124">
        <v>465</v>
      </c>
      <c r="AH377" s="99" t="s">
        <v>3413</v>
      </c>
      <c r="AI377" s="125">
        <v>100</v>
      </c>
      <c r="AJ377" s="99" t="s">
        <v>176</v>
      </c>
      <c r="AK377" s="99" t="s">
        <v>4328</v>
      </c>
      <c r="AL377" s="99" t="s">
        <v>3411</v>
      </c>
      <c r="AM377" s="99" t="s">
        <v>177</v>
      </c>
      <c r="AN377" s="99" t="s">
        <v>3411</v>
      </c>
      <c r="AO377" s="99" t="s">
        <v>1482</v>
      </c>
      <c r="AP377" s="99" t="s">
        <v>2601</v>
      </c>
      <c r="AQ377" s="99" t="s">
        <v>84</v>
      </c>
      <c r="AR377" s="99" t="s">
        <v>1010</v>
      </c>
      <c r="AS377" s="99" t="s">
        <v>1541</v>
      </c>
      <c r="AT377" s="99" t="s">
        <v>190</v>
      </c>
      <c r="AU377" s="99" t="s">
        <v>191</v>
      </c>
      <c r="AV377" s="99" t="s">
        <v>3928</v>
      </c>
      <c r="AW377" s="99" t="s">
        <v>519</v>
      </c>
      <c r="AX377" s="99" t="s">
        <v>3420</v>
      </c>
      <c r="AY377" s="99" t="s">
        <v>252</v>
      </c>
      <c r="AZ377" s="99" t="s">
        <v>3416</v>
      </c>
      <c r="BA377" s="99" t="s">
        <v>4313</v>
      </c>
      <c r="BB377" s="99" t="s">
        <v>3411</v>
      </c>
      <c r="BC377" s="125">
        <v>53</v>
      </c>
      <c r="BD377" s="99" t="s">
        <v>3135</v>
      </c>
      <c r="BE377" s="99" t="s">
        <v>3136</v>
      </c>
    </row>
    <row r="378" spans="1:57" ht="12.95" customHeight="1">
      <c r="A378" s="124">
        <v>15</v>
      </c>
      <c r="B378" s="124">
        <v>2065</v>
      </c>
      <c r="C378" s="99" t="s">
        <v>165</v>
      </c>
      <c r="D378" s="99" t="s">
        <v>1477</v>
      </c>
      <c r="E378" s="99" t="s">
        <v>1478</v>
      </c>
      <c r="F378" s="99" t="s">
        <v>74</v>
      </c>
      <c r="G378" s="99" t="s">
        <v>75</v>
      </c>
      <c r="H378" s="99" t="s">
        <v>4314</v>
      </c>
      <c r="I378" s="99" t="s">
        <v>1520</v>
      </c>
      <c r="J378" s="99" t="s">
        <v>1542</v>
      </c>
      <c r="K378" s="99" t="s">
        <v>275</v>
      </c>
      <c r="L378" s="99" t="s">
        <v>1543</v>
      </c>
      <c r="M378" s="99" t="s">
        <v>5</v>
      </c>
      <c r="N378" s="99" t="s">
        <v>3407</v>
      </c>
      <c r="O378" s="99" t="s">
        <v>114</v>
      </c>
      <c r="P378" s="99" t="s">
        <v>3422</v>
      </c>
      <c r="Q378" s="99" t="s">
        <v>169</v>
      </c>
      <c r="R378" s="99" t="s">
        <v>71</v>
      </c>
      <c r="S378" s="99" t="s">
        <v>2691</v>
      </c>
      <c r="T378" s="99" t="s">
        <v>49</v>
      </c>
      <c r="U378" s="99" t="s">
        <v>1008</v>
      </c>
      <c r="V378" s="99" t="s">
        <v>53</v>
      </c>
      <c r="W378" s="99" t="s">
        <v>4329</v>
      </c>
      <c r="X378" s="99" t="s">
        <v>4329</v>
      </c>
      <c r="Y378" s="99" t="s">
        <v>4330</v>
      </c>
      <c r="Z378" s="99" t="s">
        <v>172</v>
      </c>
      <c r="AA378" s="99" t="s">
        <v>173</v>
      </c>
      <c r="AB378" s="99" t="s">
        <v>174</v>
      </c>
      <c r="AC378" s="99" t="s">
        <v>3411</v>
      </c>
      <c r="AD378" s="99" t="s">
        <v>175</v>
      </c>
      <c r="AE378" s="99" t="s">
        <v>3411</v>
      </c>
      <c r="AF378" s="99" t="s">
        <v>3411</v>
      </c>
      <c r="AG378" s="124">
        <v>462</v>
      </c>
      <c r="AH378" s="99" t="s">
        <v>3413</v>
      </c>
      <c r="AI378" s="125">
        <v>100</v>
      </c>
      <c r="AJ378" s="99" t="s">
        <v>176</v>
      </c>
      <c r="AK378" s="99" t="s">
        <v>4329</v>
      </c>
      <c r="AL378" s="99" t="s">
        <v>3411</v>
      </c>
      <c r="AM378" s="99" t="s">
        <v>177</v>
      </c>
      <c r="AN378" s="99" t="s">
        <v>3411</v>
      </c>
      <c r="AO378" s="99" t="s">
        <v>1482</v>
      </c>
      <c r="AP378" s="99" t="s">
        <v>2271</v>
      </c>
      <c r="AQ378" s="99" t="s">
        <v>85</v>
      </c>
      <c r="AR378" s="99" t="s">
        <v>3411</v>
      </c>
      <c r="AS378" s="99" t="s">
        <v>1544</v>
      </c>
      <c r="AT378" s="99" t="s">
        <v>190</v>
      </c>
      <c r="AU378" s="99" t="s">
        <v>191</v>
      </c>
      <c r="AV378" s="99" t="s">
        <v>3928</v>
      </c>
      <c r="AW378" s="99" t="s">
        <v>519</v>
      </c>
      <c r="AX378" s="99" t="s">
        <v>3420</v>
      </c>
      <c r="AY378" s="99" t="s">
        <v>252</v>
      </c>
      <c r="AZ378" s="99" t="s">
        <v>3416</v>
      </c>
      <c r="BA378" s="99" t="s">
        <v>4293</v>
      </c>
      <c r="BB378" s="99" t="s">
        <v>3315</v>
      </c>
      <c r="BC378" s="125">
        <v>51</v>
      </c>
      <c r="BD378" s="99" t="s">
        <v>3135</v>
      </c>
      <c r="BE378" s="99" t="s">
        <v>3136</v>
      </c>
    </row>
    <row r="379" spans="1:57" ht="12.95" customHeight="1">
      <c r="A379" s="124">
        <v>15</v>
      </c>
      <c r="B379" s="124">
        <v>2057</v>
      </c>
      <c r="C379" s="99" t="s">
        <v>165</v>
      </c>
      <c r="D379" s="99" t="s">
        <v>1477</v>
      </c>
      <c r="E379" s="99" t="s">
        <v>1478</v>
      </c>
      <c r="F379" s="99" t="s">
        <v>74</v>
      </c>
      <c r="G379" s="99" t="s">
        <v>75</v>
      </c>
      <c r="H379" s="99" t="s">
        <v>4314</v>
      </c>
      <c r="I379" s="99" t="s">
        <v>1520</v>
      </c>
      <c r="J379" s="99" t="s">
        <v>1545</v>
      </c>
      <c r="K379" s="99" t="s">
        <v>1546</v>
      </c>
      <c r="L379" s="99" t="s">
        <v>1547</v>
      </c>
      <c r="M379" s="99" t="s">
        <v>1</v>
      </c>
      <c r="N379" s="99" t="s">
        <v>3407</v>
      </c>
      <c r="O379" s="99" t="s">
        <v>114</v>
      </c>
      <c r="P379" s="99" t="s">
        <v>3422</v>
      </c>
      <c r="Q379" s="99" t="s">
        <v>169</v>
      </c>
      <c r="R379" s="99" t="s">
        <v>71</v>
      </c>
      <c r="S379" s="99" t="s">
        <v>2691</v>
      </c>
      <c r="T379" s="99" t="s">
        <v>49</v>
      </c>
      <c r="U379" s="99" t="s">
        <v>1008</v>
      </c>
      <c r="V379" s="99" t="s">
        <v>53</v>
      </c>
      <c r="W379" s="99" t="s">
        <v>4331</v>
      </c>
      <c r="X379" s="99" t="s">
        <v>4331</v>
      </c>
      <c r="Y379" s="99" t="s">
        <v>4332</v>
      </c>
      <c r="Z379" s="99" t="s">
        <v>172</v>
      </c>
      <c r="AA379" s="99" t="s">
        <v>173</v>
      </c>
      <c r="AB379" s="99" t="s">
        <v>174</v>
      </c>
      <c r="AC379" s="99" t="s">
        <v>3411</v>
      </c>
      <c r="AD379" s="99" t="s">
        <v>175</v>
      </c>
      <c r="AE379" s="99" t="s">
        <v>3411</v>
      </c>
      <c r="AF379" s="99" t="s">
        <v>3411</v>
      </c>
      <c r="AG379" s="124">
        <v>455</v>
      </c>
      <c r="AH379" s="99" t="s">
        <v>3413</v>
      </c>
      <c r="AI379" s="125">
        <v>100</v>
      </c>
      <c r="AJ379" s="99" t="s">
        <v>176</v>
      </c>
      <c r="AK379" s="99" t="s">
        <v>4331</v>
      </c>
      <c r="AL379" s="99" t="s">
        <v>3411</v>
      </c>
      <c r="AM379" s="99" t="s">
        <v>177</v>
      </c>
      <c r="AN379" s="99" t="s">
        <v>3411</v>
      </c>
      <c r="AO379" s="99" t="s">
        <v>1482</v>
      </c>
      <c r="AP379" s="99" t="s">
        <v>2599</v>
      </c>
      <c r="AQ379" s="99" t="s">
        <v>82</v>
      </c>
      <c r="AR379" s="99" t="s">
        <v>3411</v>
      </c>
      <c r="AS379" s="99" t="s">
        <v>1548</v>
      </c>
      <c r="AT379" s="99" t="s">
        <v>190</v>
      </c>
      <c r="AU379" s="99" t="s">
        <v>191</v>
      </c>
      <c r="AV379" s="99" t="s">
        <v>3581</v>
      </c>
      <c r="AW379" s="99" t="s">
        <v>529</v>
      </c>
      <c r="AX379" s="99" t="s">
        <v>3420</v>
      </c>
      <c r="AY379" s="99" t="s">
        <v>252</v>
      </c>
      <c r="AZ379" s="99" t="s">
        <v>3416</v>
      </c>
      <c r="BA379" s="99" t="s">
        <v>4317</v>
      </c>
      <c r="BB379" s="99" t="s">
        <v>3316</v>
      </c>
      <c r="BC379" s="125">
        <v>57</v>
      </c>
      <c r="BD379" s="99" t="s">
        <v>3135</v>
      </c>
      <c r="BE379" s="99" t="s">
        <v>3136</v>
      </c>
    </row>
    <row r="380" spans="1:57" ht="12.95" customHeight="1">
      <c r="A380" s="124">
        <v>15</v>
      </c>
      <c r="B380" s="124">
        <v>1901</v>
      </c>
      <c r="C380" s="99" t="s">
        <v>165</v>
      </c>
      <c r="D380" s="99" t="s">
        <v>1477</v>
      </c>
      <c r="E380" s="99" t="s">
        <v>1478</v>
      </c>
      <c r="F380" s="99" t="s">
        <v>74</v>
      </c>
      <c r="G380" s="99" t="s">
        <v>75</v>
      </c>
      <c r="H380" s="99" t="s">
        <v>4314</v>
      </c>
      <c r="I380" s="99" t="s">
        <v>1520</v>
      </c>
      <c r="J380" s="99" t="s">
        <v>1549</v>
      </c>
      <c r="K380" s="99" t="s">
        <v>255</v>
      </c>
      <c r="L380" s="99" t="s">
        <v>1550</v>
      </c>
      <c r="M380" s="99" t="s">
        <v>5</v>
      </c>
      <c r="N380" s="99" t="s">
        <v>3407</v>
      </c>
      <c r="O380" s="99" t="s">
        <v>114</v>
      </c>
      <c r="P380" s="99" t="s">
        <v>3422</v>
      </c>
      <c r="Q380" s="99" t="s">
        <v>169</v>
      </c>
      <c r="R380" s="99" t="s">
        <v>71</v>
      </c>
      <c r="S380" s="99" t="s">
        <v>2691</v>
      </c>
      <c r="T380" s="99" t="s">
        <v>49</v>
      </c>
      <c r="U380" s="99" t="s">
        <v>1551</v>
      </c>
      <c r="V380" s="99" t="s">
        <v>51</v>
      </c>
      <c r="W380" s="99" t="s">
        <v>4333</v>
      </c>
      <c r="X380" s="99" t="s">
        <v>4333</v>
      </c>
      <c r="Y380" s="99" t="s">
        <v>4334</v>
      </c>
      <c r="Z380" s="99" t="s">
        <v>172</v>
      </c>
      <c r="AA380" s="99" t="s">
        <v>173</v>
      </c>
      <c r="AB380" s="99" t="s">
        <v>174</v>
      </c>
      <c r="AC380" s="99" t="s">
        <v>3411</v>
      </c>
      <c r="AD380" s="99" t="s">
        <v>175</v>
      </c>
      <c r="AE380" s="99" t="s">
        <v>3411</v>
      </c>
      <c r="AF380" s="99" t="s">
        <v>3411</v>
      </c>
      <c r="AG380" s="124">
        <v>368</v>
      </c>
      <c r="AH380" s="99" t="s">
        <v>3413</v>
      </c>
      <c r="AI380" s="125">
        <v>100</v>
      </c>
      <c r="AJ380" s="99" t="s">
        <v>176</v>
      </c>
      <c r="AK380" s="99" t="s">
        <v>4333</v>
      </c>
      <c r="AL380" s="99" t="s">
        <v>3411</v>
      </c>
      <c r="AM380" s="99" t="s">
        <v>177</v>
      </c>
      <c r="AN380" s="99" t="s">
        <v>3411</v>
      </c>
      <c r="AO380" s="99" t="s">
        <v>1482</v>
      </c>
      <c r="AP380" s="99" t="s">
        <v>2604</v>
      </c>
      <c r="AQ380" s="99" t="s">
        <v>86</v>
      </c>
      <c r="AR380" s="99" t="s">
        <v>1010</v>
      </c>
      <c r="AS380" s="99" t="s">
        <v>1552</v>
      </c>
      <c r="AT380" s="99" t="s">
        <v>190</v>
      </c>
      <c r="AU380" s="99" t="s">
        <v>191</v>
      </c>
      <c r="AV380" s="99" t="s">
        <v>3928</v>
      </c>
      <c r="AW380" s="99" t="s">
        <v>519</v>
      </c>
      <c r="AX380" s="99" t="s">
        <v>3411</v>
      </c>
      <c r="AY380" s="99" t="s">
        <v>3411</v>
      </c>
      <c r="AZ380" s="99" t="s">
        <v>3411</v>
      </c>
      <c r="BA380" s="99" t="s">
        <v>4313</v>
      </c>
      <c r="BB380" s="99" t="s">
        <v>3411</v>
      </c>
      <c r="BC380" s="125">
        <v>60</v>
      </c>
      <c r="BD380" s="99" t="s">
        <v>3135</v>
      </c>
      <c r="BE380" s="99" t="s">
        <v>3136</v>
      </c>
    </row>
    <row r="381" spans="1:57" ht="12.95" customHeight="1">
      <c r="A381" s="124">
        <v>15</v>
      </c>
      <c r="B381" s="124">
        <v>2067</v>
      </c>
      <c r="C381" s="99" t="s">
        <v>165</v>
      </c>
      <c r="D381" s="99" t="s">
        <v>1477</v>
      </c>
      <c r="E381" s="99" t="s">
        <v>1478</v>
      </c>
      <c r="F381" s="99" t="s">
        <v>74</v>
      </c>
      <c r="G381" s="99" t="s">
        <v>75</v>
      </c>
      <c r="H381" s="99" t="s">
        <v>4314</v>
      </c>
      <c r="I381" s="99" t="s">
        <v>1520</v>
      </c>
      <c r="J381" s="99" t="s">
        <v>1553</v>
      </c>
      <c r="K381" s="99" t="s">
        <v>409</v>
      </c>
      <c r="L381" s="99" t="s">
        <v>1554</v>
      </c>
      <c r="M381" s="99" t="s">
        <v>5</v>
      </c>
      <c r="N381" s="99" t="s">
        <v>3407</v>
      </c>
      <c r="O381" s="99" t="s">
        <v>114</v>
      </c>
      <c r="P381" s="99" t="s">
        <v>3422</v>
      </c>
      <c r="Q381" s="99" t="s">
        <v>169</v>
      </c>
      <c r="R381" s="99" t="s">
        <v>71</v>
      </c>
      <c r="S381" s="99" t="s">
        <v>2691</v>
      </c>
      <c r="T381" s="99" t="s">
        <v>49</v>
      </c>
      <c r="U381" s="99" t="s">
        <v>1620</v>
      </c>
      <c r="V381" s="99" t="s">
        <v>59</v>
      </c>
      <c r="W381" s="99" t="s">
        <v>4326</v>
      </c>
      <c r="X381" s="99" t="s">
        <v>4326</v>
      </c>
      <c r="Y381" s="99" t="s">
        <v>4335</v>
      </c>
      <c r="Z381" s="99" t="s">
        <v>172</v>
      </c>
      <c r="AA381" s="99" t="s">
        <v>173</v>
      </c>
      <c r="AB381" s="99" t="s">
        <v>174</v>
      </c>
      <c r="AC381" s="99" t="s">
        <v>3411</v>
      </c>
      <c r="AD381" s="99" t="s">
        <v>175</v>
      </c>
      <c r="AE381" s="99" t="s">
        <v>3411</v>
      </c>
      <c r="AF381" s="99" t="s">
        <v>3411</v>
      </c>
      <c r="AG381" s="124">
        <v>464</v>
      </c>
      <c r="AH381" s="99" t="s">
        <v>3413</v>
      </c>
      <c r="AI381" s="125">
        <v>100</v>
      </c>
      <c r="AJ381" s="99" t="s">
        <v>176</v>
      </c>
      <c r="AK381" s="99" t="s">
        <v>4326</v>
      </c>
      <c r="AL381" s="99" t="s">
        <v>3411</v>
      </c>
      <c r="AM381" s="99" t="s">
        <v>177</v>
      </c>
      <c r="AN381" s="99" t="s">
        <v>3411</v>
      </c>
      <c r="AO381" s="99" t="s">
        <v>1482</v>
      </c>
      <c r="AP381" s="99" t="s">
        <v>2601</v>
      </c>
      <c r="AQ381" s="99" t="s">
        <v>84</v>
      </c>
      <c r="AR381" s="99" t="s">
        <v>2719</v>
      </c>
      <c r="AS381" s="99" t="s">
        <v>1555</v>
      </c>
      <c r="AT381" s="99" t="s">
        <v>190</v>
      </c>
      <c r="AU381" s="99" t="s">
        <v>191</v>
      </c>
      <c r="AV381" s="99" t="s">
        <v>3928</v>
      </c>
      <c r="AW381" s="99" t="s">
        <v>519</v>
      </c>
      <c r="AX381" s="99" t="s">
        <v>3420</v>
      </c>
      <c r="AY381" s="99" t="s">
        <v>252</v>
      </c>
      <c r="AZ381" s="99" t="s">
        <v>3416</v>
      </c>
      <c r="BA381" s="99" t="s">
        <v>4313</v>
      </c>
      <c r="BB381" s="99" t="s">
        <v>3411</v>
      </c>
      <c r="BC381" s="125">
        <v>55</v>
      </c>
      <c r="BD381" s="99" t="s">
        <v>3135</v>
      </c>
      <c r="BE381" s="99" t="s">
        <v>3136</v>
      </c>
    </row>
    <row r="382" spans="1:57" ht="12.95" customHeight="1">
      <c r="A382" s="124">
        <v>15</v>
      </c>
      <c r="B382" s="124">
        <v>1953</v>
      </c>
      <c r="C382" s="99" t="s">
        <v>165</v>
      </c>
      <c r="D382" s="99" t="s">
        <v>1477</v>
      </c>
      <c r="E382" s="99" t="s">
        <v>1478</v>
      </c>
      <c r="F382" s="99" t="s">
        <v>74</v>
      </c>
      <c r="G382" s="99" t="s">
        <v>75</v>
      </c>
      <c r="H382" s="99" t="s">
        <v>4314</v>
      </c>
      <c r="I382" s="99" t="s">
        <v>1520</v>
      </c>
      <c r="J382" s="99" t="s">
        <v>1556</v>
      </c>
      <c r="K382" s="99" t="s">
        <v>370</v>
      </c>
      <c r="L382" s="99" t="s">
        <v>1557</v>
      </c>
      <c r="M382" s="99" t="s">
        <v>5</v>
      </c>
      <c r="N382" s="99" t="s">
        <v>3407</v>
      </c>
      <c r="O382" s="99" t="s">
        <v>114</v>
      </c>
      <c r="P382" s="99" t="s">
        <v>3422</v>
      </c>
      <c r="Q382" s="99" t="s">
        <v>169</v>
      </c>
      <c r="R382" s="99" t="s">
        <v>71</v>
      </c>
      <c r="S382" s="99" t="s">
        <v>2691</v>
      </c>
      <c r="T382" s="99" t="s">
        <v>49</v>
      </c>
      <c r="U382" s="99" t="s">
        <v>1511</v>
      </c>
      <c r="V382" s="99" t="s">
        <v>54</v>
      </c>
      <c r="W382" s="99" t="s">
        <v>4303</v>
      </c>
      <c r="X382" s="99" t="s">
        <v>4303</v>
      </c>
      <c r="Y382" s="99" t="s">
        <v>4336</v>
      </c>
      <c r="Z382" s="99" t="s">
        <v>172</v>
      </c>
      <c r="AA382" s="99" t="s">
        <v>173</v>
      </c>
      <c r="AB382" s="99" t="s">
        <v>174</v>
      </c>
      <c r="AC382" s="99" t="s">
        <v>3411</v>
      </c>
      <c r="AD382" s="99" t="s">
        <v>175</v>
      </c>
      <c r="AE382" s="99" t="s">
        <v>3411</v>
      </c>
      <c r="AF382" s="99" t="s">
        <v>3411</v>
      </c>
      <c r="AG382" s="124">
        <v>398</v>
      </c>
      <c r="AH382" s="99" t="s">
        <v>3413</v>
      </c>
      <c r="AI382" s="125">
        <v>100</v>
      </c>
      <c r="AJ382" s="99" t="s">
        <v>176</v>
      </c>
      <c r="AK382" s="99" t="s">
        <v>4303</v>
      </c>
      <c r="AL382" s="99" t="s">
        <v>3411</v>
      </c>
      <c r="AM382" s="99" t="s">
        <v>177</v>
      </c>
      <c r="AN382" s="99" t="s">
        <v>3411</v>
      </c>
      <c r="AO382" s="99" t="s">
        <v>1482</v>
      </c>
      <c r="AP382" s="99" t="s">
        <v>2604</v>
      </c>
      <c r="AQ382" s="99" t="s">
        <v>86</v>
      </c>
      <c r="AR382" s="99" t="s">
        <v>1010</v>
      </c>
      <c r="AS382" s="99" t="s">
        <v>1558</v>
      </c>
      <c r="AT382" s="99" t="s">
        <v>190</v>
      </c>
      <c r="AU382" s="99" t="s">
        <v>191</v>
      </c>
      <c r="AV382" s="99" t="s">
        <v>3414</v>
      </c>
      <c r="AW382" s="99" t="s">
        <v>180</v>
      </c>
      <c r="AX382" s="99" t="s">
        <v>3420</v>
      </c>
      <c r="AY382" s="99" t="s">
        <v>252</v>
      </c>
      <c r="AZ382" s="99" t="s">
        <v>3416</v>
      </c>
      <c r="BA382" s="99" t="s">
        <v>4293</v>
      </c>
      <c r="BB382" s="99" t="s">
        <v>3315</v>
      </c>
      <c r="BC382" s="125">
        <v>49</v>
      </c>
      <c r="BD382" s="99" t="s">
        <v>3135</v>
      </c>
      <c r="BE382" s="99" t="s">
        <v>3136</v>
      </c>
    </row>
    <row r="383" spans="1:57" ht="12.95" customHeight="1">
      <c r="A383" s="124">
        <v>15</v>
      </c>
      <c r="B383" s="124">
        <v>1884</v>
      </c>
      <c r="C383" s="99" t="s">
        <v>165</v>
      </c>
      <c r="D383" s="99" t="s">
        <v>1477</v>
      </c>
      <c r="E383" s="99" t="s">
        <v>1478</v>
      </c>
      <c r="F383" s="99" t="s">
        <v>74</v>
      </c>
      <c r="G383" s="99" t="s">
        <v>75</v>
      </c>
      <c r="H383" s="99" t="s">
        <v>4314</v>
      </c>
      <c r="I383" s="99" t="s">
        <v>1520</v>
      </c>
      <c r="J383" s="99" t="s">
        <v>1559</v>
      </c>
      <c r="K383" s="99" t="s">
        <v>671</v>
      </c>
      <c r="L383" s="99" t="s">
        <v>1560</v>
      </c>
      <c r="M383" s="99" t="s">
        <v>5</v>
      </c>
      <c r="N383" s="99" t="s">
        <v>3407</v>
      </c>
      <c r="O383" s="99" t="s">
        <v>114</v>
      </c>
      <c r="P383" s="99" t="s">
        <v>3422</v>
      </c>
      <c r="Q383" s="99" t="s">
        <v>169</v>
      </c>
      <c r="R383" s="99" t="s">
        <v>71</v>
      </c>
      <c r="S383" s="99" t="s">
        <v>2691</v>
      </c>
      <c r="T383" s="99" t="s">
        <v>49</v>
      </c>
      <c r="U383" s="99" t="s">
        <v>1492</v>
      </c>
      <c r="V383" s="99" t="s">
        <v>55</v>
      </c>
      <c r="W383" s="99" t="s">
        <v>4337</v>
      </c>
      <c r="X383" s="99" t="s">
        <v>4337</v>
      </c>
      <c r="Y383" s="99" t="s">
        <v>4338</v>
      </c>
      <c r="Z383" s="99" t="s">
        <v>172</v>
      </c>
      <c r="AA383" s="99" t="s">
        <v>173</v>
      </c>
      <c r="AB383" s="99" t="s">
        <v>174</v>
      </c>
      <c r="AC383" s="99" t="s">
        <v>3411</v>
      </c>
      <c r="AD383" s="99" t="s">
        <v>175</v>
      </c>
      <c r="AE383" s="99" t="s">
        <v>3411</v>
      </c>
      <c r="AF383" s="99" t="s">
        <v>3411</v>
      </c>
      <c r="AG383" s="124">
        <v>365</v>
      </c>
      <c r="AH383" s="99" t="s">
        <v>3413</v>
      </c>
      <c r="AI383" s="125">
        <v>100</v>
      </c>
      <c r="AJ383" s="99" t="s">
        <v>176</v>
      </c>
      <c r="AK383" s="99" t="s">
        <v>4337</v>
      </c>
      <c r="AL383" s="99" t="s">
        <v>3411</v>
      </c>
      <c r="AM383" s="99" t="s">
        <v>177</v>
      </c>
      <c r="AN383" s="99" t="s">
        <v>3411</v>
      </c>
      <c r="AO383" s="99" t="s">
        <v>1482</v>
      </c>
      <c r="AP383" s="99" t="s">
        <v>2605</v>
      </c>
      <c r="AQ383" s="99" t="s">
        <v>87</v>
      </c>
      <c r="AR383" s="99" t="s">
        <v>1010</v>
      </c>
      <c r="AS383" s="99" t="s">
        <v>1561</v>
      </c>
      <c r="AT383" s="99" t="s">
        <v>190</v>
      </c>
      <c r="AU383" s="99" t="s">
        <v>191</v>
      </c>
      <c r="AV383" s="99" t="s">
        <v>3581</v>
      </c>
      <c r="AW383" s="99" t="s">
        <v>529</v>
      </c>
      <c r="AX383" s="99" t="s">
        <v>3411</v>
      </c>
      <c r="AY383" s="99" t="s">
        <v>3411</v>
      </c>
      <c r="AZ383" s="99" t="s">
        <v>3411</v>
      </c>
      <c r="BA383" s="99" t="s">
        <v>4313</v>
      </c>
      <c r="BB383" s="99" t="s">
        <v>3411</v>
      </c>
      <c r="BC383" s="125">
        <v>54</v>
      </c>
      <c r="BD383" s="99" t="s">
        <v>3135</v>
      </c>
      <c r="BE383" s="99" t="s">
        <v>3136</v>
      </c>
    </row>
    <row r="384" spans="1:57" ht="12.95" customHeight="1">
      <c r="A384" s="124">
        <v>15</v>
      </c>
      <c r="B384" s="124">
        <v>2232</v>
      </c>
      <c r="C384" s="99" t="s">
        <v>165</v>
      </c>
      <c r="D384" s="99" t="s">
        <v>1477</v>
      </c>
      <c r="E384" s="99" t="s">
        <v>1478</v>
      </c>
      <c r="F384" s="99" t="s">
        <v>74</v>
      </c>
      <c r="G384" s="99" t="s">
        <v>75</v>
      </c>
      <c r="H384" s="99" t="s">
        <v>4314</v>
      </c>
      <c r="I384" s="99" t="s">
        <v>1520</v>
      </c>
      <c r="J384" s="99" t="s">
        <v>1562</v>
      </c>
      <c r="K384" s="99" t="s">
        <v>348</v>
      </c>
      <c r="L384" s="99" t="s">
        <v>1563</v>
      </c>
      <c r="M384" s="99" t="s">
        <v>5</v>
      </c>
      <c r="N384" s="99" t="s">
        <v>3407</v>
      </c>
      <c r="O384" s="99" t="s">
        <v>114</v>
      </c>
      <c r="P384" s="99" t="s">
        <v>3422</v>
      </c>
      <c r="Q384" s="99" t="s">
        <v>169</v>
      </c>
      <c r="R384" s="99" t="s">
        <v>71</v>
      </c>
      <c r="S384" s="99" t="s">
        <v>2691</v>
      </c>
      <c r="T384" s="99" t="s">
        <v>49</v>
      </c>
      <c r="U384" s="99" t="s">
        <v>1492</v>
      </c>
      <c r="V384" s="99" t="s">
        <v>55</v>
      </c>
      <c r="W384" s="99" t="s">
        <v>3557</v>
      </c>
      <c r="X384" s="99" t="s">
        <v>3557</v>
      </c>
      <c r="Y384" s="99" t="s">
        <v>4339</v>
      </c>
      <c r="Z384" s="99" t="s">
        <v>172</v>
      </c>
      <c r="AA384" s="99" t="s">
        <v>173</v>
      </c>
      <c r="AB384" s="99" t="s">
        <v>174</v>
      </c>
      <c r="AC384" s="99" t="s">
        <v>3411</v>
      </c>
      <c r="AD384" s="99" t="s">
        <v>175</v>
      </c>
      <c r="AE384" s="99" t="s">
        <v>3411</v>
      </c>
      <c r="AF384" s="99" t="s">
        <v>3411</v>
      </c>
      <c r="AG384" s="124">
        <v>529</v>
      </c>
      <c r="AH384" s="99" t="s">
        <v>3413</v>
      </c>
      <c r="AI384" s="125">
        <v>100</v>
      </c>
      <c r="AJ384" s="99" t="s">
        <v>176</v>
      </c>
      <c r="AK384" s="99" t="s">
        <v>3557</v>
      </c>
      <c r="AL384" s="99" t="s">
        <v>3411</v>
      </c>
      <c r="AM384" s="99" t="s">
        <v>177</v>
      </c>
      <c r="AN384" s="99" t="s">
        <v>3411</v>
      </c>
      <c r="AO384" s="99" t="s">
        <v>1482</v>
      </c>
      <c r="AP384" s="99" t="s">
        <v>2605</v>
      </c>
      <c r="AQ384" s="99" t="s">
        <v>87</v>
      </c>
      <c r="AR384" s="99" t="s">
        <v>3411</v>
      </c>
      <c r="AS384" s="99" t="s">
        <v>1564</v>
      </c>
      <c r="AT384" s="99" t="s">
        <v>190</v>
      </c>
      <c r="AU384" s="99" t="s">
        <v>191</v>
      </c>
      <c r="AV384" s="99" t="s">
        <v>3581</v>
      </c>
      <c r="AW384" s="99" t="s">
        <v>529</v>
      </c>
      <c r="AX384" s="99" t="s">
        <v>3411</v>
      </c>
      <c r="AY384" s="99" t="s">
        <v>3411</v>
      </c>
      <c r="AZ384" s="99" t="s">
        <v>3411</v>
      </c>
      <c r="BA384" s="99" t="s">
        <v>4313</v>
      </c>
      <c r="BB384" s="99" t="s">
        <v>3411</v>
      </c>
      <c r="BC384" s="125">
        <v>52</v>
      </c>
      <c r="BD384" s="99" t="s">
        <v>3135</v>
      </c>
      <c r="BE384" s="99" t="s">
        <v>3136</v>
      </c>
    </row>
    <row r="385" spans="1:57" ht="12.95" customHeight="1">
      <c r="A385" s="124">
        <v>15</v>
      </c>
      <c r="B385" s="124">
        <v>1749</v>
      </c>
      <c r="C385" s="99" t="s">
        <v>165</v>
      </c>
      <c r="D385" s="99" t="s">
        <v>1477</v>
      </c>
      <c r="E385" s="99" t="s">
        <v>1478</v>
      </c>
      <c r="F385" s="99" t="s">
        <v>74</v>
      </c>
      <c r="G385" s="99" t="s">
        <v>75</v>
      </c>
      <c r="H385" s="99" t="s">
        <v>4314</v>
      </c>
      <c r="I385" s="99" t="s">
        <v>1520</v>
      </c>
      <c r="J385" s="99" t="s">
        <v>1569</v>
      </c>
      <c r="K385" s="99" t="s">
        <v>879</v>
      </c>
      <c r="L385" s="99" t="s">
        <v>1570</v>
      </c>
      <c r="M385" s="99" t="s">
        <v>1</v>
      </c>
      <c r="N385" s="99" t="s">
        <v>3407</v>
      </c>
      <c r="O385" s="99" t="s">
        <v>114</v>
      </c>
      <c r="P385" s="99" t="s">
        <v>3422</v>
      </c>
      <c r="Q385" s="99" t="s">
        <v>169</v>
      </c>
      <c r="R385" s="99" t="s">
        <v>71</v>
      </c>
      <c r="S385" s="99" t="s">
        <v>2691</v>
      </c>
      <c r="T385" s="99" t="s">
        <v>49</v>
      </c>
      <c r="U385" s="99" t="s">
        <v>1492</v>
      </c>
      <c r="V385" s="99" t="s">
        <v>55</v>
      </c>
      <c r="W385" s="99" t="s">
        <v>3668</v>
      </c>
      <c r="X385" s="99" t="s">
        <v>3668</v>
      </c>
      <c r="Y385" s="99" t="s">
        <v>4340</v>
      </c>
      <c r="Z385" s="99" t="s">
        <v>172</v>
      </c>
      <c r="AA385" s="99" t="s">
        <v>173</v>
      </c>
      <c r="AB385" s="99" t="s">
        <v>174</v>
      </c>
      <c r="AC385" s="99" t="s">
        <v>3411</v>
      </c>
      <c r="AD385" s="99" t="s">
        <v>175</v>
      </c>
      <c r="AE385" s="99" t="s">
        <v>3411</v>
      </c>
      <c r="AF385" s="99" t="s">
        <v>3411</v>
      </c>
      <c r="AG385" s="124">
        <v>345</v>
      </c>
      <c r="AH385" s="99" t="s">
        <v>4341</v>
      </c>
      <c r="AI385" s="125">
        <v>75</v>
      </c>
      <c r="AJ385" s="99" t="s">
        <v>1571</v>
      </c>
      <c r="AK385" s="99" t="s">
        <v>4342</v>
      </c>
      <c r="AL385" s="99" t="s">
        <v>5013</v>
      </c>
      <c r="AM385" s="99" t="s">
        <v>177</v>
      </c>
      <c r="AN385" s="99" t="s">
        <v>3411</v>
      </c>
      <c r="AO385" s="99" t="s">
        <v>1482</v>
      </c>
      <c r="AP385" s="99" t="s">
        <v>2606</v>
      </c>
      <c r="AQ385" s="99" t="s">
        <v>89</v>
      </c>
      <c r="AR385" s="99" t="s">
        <v>3411</v>
      </c>
      <c r="AS385" s="99" t="s">
        <v>1572</v>
      </c>
      <c r="AT385" s="99" t="s">
        <v>190</v>
      </c>
      <c r="AU385" s="99" t="s">
        <v>191</v>
      </c>
      <c r="AV385" s="99" t="s">
        <v>3581</v>
      </c>
      <c r="AW385" s="99" t="s">
        <v>529</v>
      </c>
      <c r="AX385" s="99" t="s">
        <v>3420</v>
      </c>
      <c r="AY385" s="99" t="s">
        <v>252</v>
      </c>
      <c r="AZ385" s="99" t="s">
        <v>3416</v>
      </c>
      <c r="BA385" s="99" t="s">
        <v>4313</v>
      </c>
      <c r="BB385" s="99" t="s">
        <v>3411</v>
      </c>
      <c r="BC385" s="125">
        <v>54</v>
      </c>
      <c r="BD385" s="99" t="s">
        <v>3135</v>
      </c>
      <c r="BE385" s="99" t="s">
        <v>3136</v>
      </c>
    </row>
    <row r="386" spans="1:57" ht="12.95" customHeight="1">
      <c r="A386" s="124">
        <v>15</v>
      </c>
      <c r="B386" s="124">
        <v>2698</v>
      </c>
      <c r="C386" s="99" t="s">
        <v>165</v>
      </c>
      <c r="D386" s="99" t="s">
        <v>1477</v>
      </c>
      <c r="E386" s="99" t="s">
        <v>1478</v>
      </c>
      <c r="F386" s="99" t="s">
        <v>74</v>
      </c>
      <c r="G386" s="99" t="s">
        <v>75</v>
      </c>
      <c r="H386" s="99" t="s">
        <v>4314</v>
      </c>
      <c r="I386" s="99" t="s">
        <v>1520</v>
      </c>
      <c r="J386" s="99" t="s">
        <v>2018</v>
      </c>
      <c r="K386" s="99" t="s">
        <v>711</v>
      </c>
      <c r="L386" s="99" t="s">
        <v>2019</v>
      </c>
      <c r="M386" s="99" t="s">
        <v>1</v>
      </c>
      <c r="N386" s="99" t="s">
        <v>3407</v>
      </c>
      <c r="O386" s="99" t="s">
        <v>114</v>
      </c>
      <c r="P386" s="99" t="s">
        <v>3422</v>
      </c>
      <c r="Q386" s="99" t="s">
        <v>169</v>
      </c>
      <c r="R386" s="99" t="s">
        <v>71</v>
      </c>
      <c r="S386" s="99" t="s">
        <v>2691</v>
      </c>
      <c r="T386" s="99" t="s">
        <v>49</v>
      </c>
      <c r="U386" s="99" t="s">
        <v>1492</v>
      </c>
      <c r="V386" s="99" t="s">
        <v>55</v>
      </c>
      <c r="W386" s="99" t="s">
        <v>3435</v>
      </c>
      <c r="X386" s="99" t="s">
        <v>4343</v>
      </c>
      <c r="Y386" s="99" t="s">
        <v>4344</v>
      </c>
      <c r="Z386" s="99" t="s">
        <v>5043</v>
      </c>
      <c r="AA386" s="99" t="s">
        <v>5044</v>
      </c>
      <c r="AB386" s="99" t="s">
        <v>174</v>
      </c>
      <c r="AC386" s="99" t="s">
        <v>3411</v>
      </c>
      <c r="AD386" s="99" t="s">
        <v>175</v>
      </c>
      <c r="AE386" s="99" t="s">
        <v>3411</v>
      </c>
      <c r="AF386" s="99" t="s">
        <v>3411</v>
      </c>
      <c r="AG386" s="124">
        <v>2698</v>
      </c>
      <c r="AH386" s="99" t="s">
        <v>3413</v>
      </c>
      <c r="AI386" s="125">
        <v>100</v>
      </c>
      <c r="AJ386" s="99" t="s">
        <v>176</v>
      </c>
      <c r="AK386" s="99" t="s">
        <v>4343</v>
      </c>
      <c r="AL386" s="99" t="s">
        <v>3411</v>
      </c>
      <c r="AM386" s="99" t="s">
        <v>177</v>
      </c>
      <c r="AN386" s="99" t="s">
        <v>3411</v>
      </c>
      <c r="AO386" s="99" t="s">
        <v>1482</v>
      </c>
      <c r="AP386" s="99" t="s">
        <v>2604</v>
      </c>
      <c r="AQ386" s="99" t="s">
        <v>86</v>
      </c>
      <c r="AR386" s="99" t="s">
        <v>1010</v>
      </c>
      <c r="AS386" s="99" t="s">
        <v>3317</v>
      </c>
      <c r="AT386" s="99" t="s">
        <v>190</v>
      </c>
      <c r="AU386" s="99" t="s">
        <v>191</v>
      </c>
      <c r="AV386" s="99" t="s">
        <v>3581</v>
      </c>
      <c r="AW386" s="99" t="s">
        <v>529</v>
      </c>
      <c r="AX386" s="99" t="s">
        <v>3411</v>
      </c>
      <c r="AY386" s="99" t="s">
        <v>3411</v>
      </c>
      <c r="AZ386" s="99" t="s">
        <v>3411</v>
      </c>
      <c r="BA386" s="99" t="s">
        <v>4313</v>
      </c>
      <c r="BB386" s="99" t="s">
        <v>3411</v>
      </c>
      <c r="BC386" s="125">
        <v>49</v>
      </c>
      <c r="BD386" s="99" t="s">
        <v>3135</v>
      </c>
      <c r="BE386" s="99" t="s">
        <v>3136</v>
      </c>
    </row>
    <row r="387" spans="1:57" ht="12.95" customHeight="1">
      <c r="A387" s="124">
        <v>15</v>
      </c>
      <c r="B387" s="124">
        <v>1374</v>
      </c>
      <c r="C387" s="99" t="s">
        <v>165</v>
      </c>
      <c r="D387" s="99" t="s">
        <v>1477</v>
      </c>
      <c r="E387" s="99" t="s">
        <v>1478</v>
      </c>
      <c r="F387" s="99" t="s">
        <v>74</v>
      </c>
      <c r="G387" s="99" t="s">
        <v>75</v>
      </c>
      <c r="H387" s="99" t="s">
        <v>4314</v>
      </c>
      <c r="I387" s="99" t="s">
        <v>1520</v>
      </c>
      <c r="J387" s="99" t="s">
        <v>1573</v>
      </c>
      <c r="K387" s="99" t="s">
        <v>1574</v>
      </c>
      <c r="L387" s="99" t="s">
        <v>1575</v>
      </c>
      <c r="M387" s="99" t="s">
        <v>5</v>
      </c>
      <c r="N387" s="99" t="s">
        <v>3407</v>
      </c>
      <c r="O387" s="99" t="s">
        <v>114</v>
      </c>
      <c r="P387" s="99" t="s">
        <v>3422</v>
      </c>
      <c r="Q387" s="99" t="s">
        <v>169</v>
      </c>
      <c r="R387" s="99" t="s">
        <v>71</v>
      </c>
      <c r="S387" s="99" t="s">
        <v>2691</v>
      </c>
      <c r="T387" s="99" t="s">
        <v>49</v>
      </c>
      <c r="U387" s="99" t="s">
        <v>1008</v>
      </c>
      <c r="V387" s="99" t="s">
        <v>53</v>
      </c>
      <c r="W387" s="99" t="s">
        <v>4345</v>
      </c>
      <c r="X387" s="99" t="s">
        <v>4345</v>
      </c>
      <c r="Y387" s="99" t="s">
        <v>4346</v>
      </c>
      <c r="Z387" s="99" t="s">
        <v>172</v>
      </c>
      <c r="AA387" s="99" t="s">
        <v>173</v>
      </c>
      <c r="AB387" s="99" t="s">
        <v>174</v>
      </c>
      <c r="AC387" s="99" t="s">
        <v>3411</v>
      </c>
      <c r="AD387" s="99" t="s">
        <v>175</v>
      </c>
      <c r="AE387" s="99" t="s">
        <v>3411</v>
      </c>
      <c r="AF387" s="99" t="s">
        <v>3411</v>
      </c>
      <c r="AG387" s="124">
        <v>280</v>
      </c>
      <c r="AH387" s="99" t="s">
        <v>3413</v>
      </c>
      <c r="AI387" s="125">
        <v>100</v>
      </c>
      <c r="AJ387" s="99" t="s">
        <v>176</v>
      </c>
      <c r="AK387" s="99" t="s">
        <v>4345</v>
      </c>
      <c r="AL387" s="99" t="s">
        <v>3411</v>
      </c>
      <c r="AM387" s="99" t="s">
        <v>177</v>
      </c>
      <c r="AN387" s="99" t="s">
        <v>3411</v>
      </c>
      <c r="AO387" s="99" t="s">
        <v>1482</v>
      </c>
      <c r="AP387" s="99" t="s">
        <v>2382</v>
      </c>
      <c r="AQ387" s="99" t="s">
        <v>88</v>
      </c>
      <c r="AR387" s="99" t="s">
        <v>1010</v>
      </c>
      <c r="AS387" s="99" t="s">
        <v>1576</v>
      </c>
      <c r="AT387" s="99" t="s">
        <v>190</v>
      </c>
      <c r="AU387" s="99" t="s">
        <v>191</v>
      </c>
      <c r="AV387" s="99" t="s">
        <v>3928</v>
      </c>
      <c r="AW387" s="99" t="s">
        <v>519</v>
      </c>
      <c r="AX387" s="99" t="s">
        <v>3420</v>
      </c>
      <c r="AY387" s="99" t="s">
        <v>252</v>
      </c>
      <c r="AZ387" s="99" t="s">
        <v>3416</v>
      </c>
      <c r="BA387" s="99" t="s">
        <v>4347</v>
      </c>
      <c r="BB387" s="99" t="s">
        <v>3369</v>
      </c>
      <c r="BC387" s="125">
        <v>63</v>
      </c>
      <c r="BD387" s="99" t="s">
        <v>3135</v>
      </c>
      <c r="BE387" s="99" t="s">
        <v>3136</v>
      </c>
    </row>
    <row r="388" spans="1:57" ht="12.95" customHeight="1">
      <c r="A388" s="124">
        <v>15</v>
      </c>
      <c r="B388" s="124">
        <v>1741</v>
      </c>
      <c r="C388" s="99" t="s">
        <v>165</v>
      </c>
      <c r="D388" s="99" t="s">
        <v>1477</v>
      </c>
      <c r="E388" s="99" t="s">
        <v>1478</v>
      </c>
      <c r="F388" s="99" t="s">
        <v>74</v>
      </c>
      <c r="G388" s="99" t="s">
        <v>75</v>
      </c>
      <c r="H388" s="99" t="s">
        <v>4314</v>
      </c>
      <c r="I388" s="99" t="s">
        <v>1520</v>
      </c>
      <c r="J388" s="99" t="s">
        <v>1577</v>
      </c>
      <c r="K388" s="99" t="s">
        <v>1578</v>
      </c>
      <c r="L388" s="99" t="s">
        <v>1579</v>
      </c>
      <c r="M388" s="99" t="s">
        <v>1</v>
      </c>
      <c r="N388" s="99" t="s">
        <v>3407</v>
      </c>
      <c r="O388" s="99" t="s">
        <v>114</v>
      </c>
      <c r="P388" s="99" t="s">
        <v>3422</v>
      </c>
      <c r="Q388" s="99" t="s">
        <v>169</v>
      </c>
      <c r="R388" s="99" t="s">
        <v>71</v>
      </c>
      <c r="S388" s="99" t="s">
        <v>2691</v>
      </c>
      <c r="T388" s="99" t="s">
        <v>49</v>
      </c>
      <c r="U388" s="99" t="s">
        <v>1492</v>
      </c>
      <c r="V388" s="99" t="s">
        <v>55</v>
      </c>
      <c r="W388" s="99" t="s">
        <v>4348</v>
      </c>
      <c r="X388" s="99" t="s">
        <v>4348</v>
      </c>
      <c r="Y388" s="99" t="s">
        <v>4349</v>
      </c>
      <c r="Z388" s="99" t="s">
        <v>172</v>
      </c>
      <c r="AA388" s="99" t="s">
        <v>173</v>
      </c>
      <c r="AB388" s="99" t="s">
        <v>174</v>
      </c>
      <c r="AC388" s="99" t="s">
        <v>3411</v>
      </c>
      <c r="AD388" s="99" t="s">
        <v>175</v>
      </c>
      <c r="AE388" s="99" t="s">
        <v>3411</v>
      </c>
      <c r="AF388" s="99" t="s">
        <v>3411</v>
      </c>
      <c r="AG388" s="124">
        <v>338</v>
      </c>
      <c r="AH388" s="99" t="s">
        <v>3413</v>
      </c>
      <c r="AI388" s="125">
        <v>100</v>
      </c>
      <c r="AJ388" s="99" t="s">
        <v>176</v>
      </c>
      <c r="AK388" s="99" t="s">
        <v>4348</v>
      </c>
      <c r="AL388" s="99" t="s">
        <v>3411</v>
      </c>
      <c r="AM388" s="99" t="s">
        <v>177</v>
      </c>
      <c r="AN388" s="99" t="s">
        <v>3411</v>
      </c>
      <c r="AO388" s="99" t="s">
        <v>1482</v>
      </c>
      <c r="AP388" s="99" t="s">
        <v>2424</v>
      </c>
      <c r="AQ388" s="99" t="s">
        <v>90</v>
      </c>
      <c r="AR388" s="99" t="s">
        <v>1010</v>
      </c>
      <c r="AS388" s="99" t="s">
        <v>1580</v>
      </c>
      <c r="AT388" s="99" t="s">
        <v>190</v>
      </c>
      <c r="AU388" s="99" t="s">
        <v>191</v>
      </c>
      <c r="AV388" s="99" t="s">
        <v>3928</v>
      </c>
      <c r="AW388" s="99" t="s">
        <v>519</v>
      </c>
      <c r="AX388" s="99" t="s">
        <v>3420</v>
      </c>
      <c r="AY388" s="99" t="s">
        <v>252</v>
      </c>
      <c r="AZ388" s="99" t="s">
        <v>3416</v>
      </c>
      <c r="BA388" s="99" t="s">
        <v>520</v>
      </c>
      <c r="BB388" s="99" t="s">
        <v>3411</v>
      </c>
      <c r="BC388" s="125">
        <v>50</v>
      </c>
      <c r="BD388" s="99" t="s">
        <v>3135</v>
      </c>
      <c r="BE388" s="99" t="s">
        <v>3136</v>
      </c>
    </row>
    <row r="389" spans="1:57" ht="12.95" customHeight="1">
      <c r="A389" s="124">
        <v>15</v>
      </c>
      <c r="B389" s="124">
        <v>1982</v>
      </c>
      <c r="C389" s="99" t="s">
        <v>165</v>
      </c>
      <c r="D389" s="99" t="s">
        <v>1477</v>
      </c>
      <c r="E389" s="99" t="s">
        <v>1478</v>
      </c>
      <c r="F389" s="99" t="s">
        <v>74</v>
      </c>
      <c r="G389" s="99" t="s">
        <v>75</v>
      </c>
      <c r="H389" s="99" t="s">
        <v>4314</v>
      </c>
      <c r="I389" s="99" t="s">
        <v>1520</v>
      </c>
      <c r="J389" s="99" t="s">
        <v>1581</v>
      </c>
      <c r="K389" s="99" t="s">
        <v>579</v>
      </c>
      <c r="L389" s="99" t="s">
        <v>1582</v>
      </c>
      <c r="M389" s="99" t="s">
        <v>5</v>
      </c>
      <c r="N389" s="99" t="s">
        <v>3407</v>
      </c>
      <c r="O389" s="99" t="s">
        <v>114</v>
      </c>
      <c r="P389" s="99" t="s">
        <v>3422</v>
      </c>
      <c r="Q389" s="99" t="s">
        <v>169</v>
      </c>
      <c r="R389" s="99" t="s">
        <v>71</v>
      </c>
      <c r="S389" s="99" t="s">
        <v>2691</v>
      </c>
      <c r="T389" s="99" t="s">
        <v>49</v>
      </c>
      <c r="U389" s="99" t="s">
        <v>1511</v>
      </c>
      <c r="V389" s="99" t="s">
        <v>54</v>
      </c>
      <c r="W389" s="99" t="s">
        <v>4308</v>
      </c>
      <c r="X389" s="99" t="s">
        <v>4308</v>
      </c>
      <c r="Y389" s="99" t="s">
        <v>4350</v>
      </c>
      <c r="Z389" s="99" t="s">
        <v>172</v>
      </c>
      <c r="AA389" s="99" t="s">
        <v>173</v>
      </c>
      <c r="AB389" s="99" t="s">
        <v>174</v>
      </c>
      <c r="AC389" s="99" t="s">
        <v>3411</v>
      </c>
      <c r="AD389" s="99" t="s">
        <v>175</v>
      </c>
      <c r="AE389" s="99" t="s">
        <v>3411</v>
      </c>
      <c r="AF389" s="99" t="s">
        <v>3411</v>
      </c>
      <c r="AG389" s="124">
        <v>414</v>
      </c>
      <c r="AH389" s="99" t="s">
        <v>3413</v>
      </c>
      <c r="AI389" s="125">
        <v>100</v>
      </c>
      <c r="AJ389" s="99" t="s">
        <v>176</v>
      </c>
      <c r="AK389" s="99" t="s">
        <v>4308</v>
      </c>
      <c r="AL389" s="99" t="s">
        <v>3411</v>
      </c>
      <c r="AM389" s="99" t="s">
        <v>177</v>
      </c>
      <c r="AN389" s="99" t="s">
        <v>3411</v>
      </c>
      <c r="AO389" s="99" t="s">
        <v>1482</v>
      </c>
      <c r="AP389" s="99" t="s">
        <v>2382</v>
      </c>
      <c r="AQ389" s="99" t="s">
        <v>88</v>
      </c>
      <c r="AR389" s="99" t="s">
        <v>1010</v>
      </c>
      <c r="AS389" s="99" t="s">
        <v>1583</v>
      </c>
      <c r="AT389" s="99" t="s">
        <v>190</v>
      </c>
      <c r="AU389" s="99" t="s">
        <v>191</v>
      </c>
      <c r="AV389" s="99" t="s">
        <v>3581</v>
      </c>
      <c r="AW389" s="99" t="s">
        <v>529</v>
      </c>
      <c r="AX389" s="99" t="s">
        <v>3420</v>
      </c>
      <c r="AY389" s="99" t="s">
        <v>252</v>
      </c>
      <c r="AZ389" s="99" t="s">
        <v>3416</v>
      </c>
      <c r="BA389" s="99" t="s">
        <v>4347</v>
      </c>
      <c r="BB389" s="99" t="s">
        <v>3369</v>
      </c>
      <c r="BC389" s="125">
        <v>57</v>
      </c>
      <c r="BD389" s="99" t="s">
        <v>3135</v>
      </c>
      <c r="BE389" s="99" t="s">
        <v>3136</v>
      </c>
    </row>
    <row r="390" spans="1:57" ht="12.95" customHeight="1">
      <c r="A390" s="124">
        <v>15</v>
      </c>
      <c r="B390" s="124">
        <v>2259</v>
      </c>
      <c r="C390" s="99" t="s">
        <v>165</v>
      </c>
      <c r="D390" s="99" t="s">
        <v>1477</v>
      </c>
      <c r="E390" s="99" t="s">
        <v>1478</v>
      </c>
      <c r="F390" s="99" t="s">
        <v>74</v>
      </c>
      <c r="G390" s="99" t="s">
        <v>75</v>
      </c>
      <c r="H390" s="99" t="s">
        <v>4314</v>
      </c>
      <c r="I390" s="99" t="s">
        <v>1520</v>
      </c>
      <c r="J390" s="99" t="s">
        <v>1584</v>
      </c>
      <c r="K390" s="99" t="s">
        <v>919</v>
      </c>
      <c r="L390" s="99" t="s">
        <v>1585</v>
      </c>
      <c r="M390" s="99" t="s">
        <v>5</v>
      </c>
      <c r="N390" s="99" t="s">
        <v>3407</v>
      </c>
      <c r="O390" s="99" t="s">
        <v>114</v>
      </c>
      <c r="P390" s="99" t="s">
        <v>3422</v>
      </c>
      <c r="Q390" s="99" t="s">
        <v>169</v>
      </c>
      <c r="R390" s="99" t="s">
        <v>71</v>
      </c>
      <c r="S390" s="99" t="s">
        <v>2691</v>
      </c>
      <c r="T390" s="99" t="s">
        <v>49</v>
      </c>
      <c r="U390" s="99" t="s">
        <v>1492</v>
      </c>
      <c r="V390" s="99" t="s">
        <v>55</v>
      </c>
      <c r="W390" s="99" t="s">
        <v>4351</v>
      </c>
      <c r="X390" s="99" t="s">
        <v>4351</v>
      </c>
      <c r="Y390" s="99" t="s">
        <v>4352</v>
      </c>
      <c r="Z390" s="99" t="s">
        <v>172</v>
      </c>
      <c r="AA390" s="99" t="s">
        <v>173</v>
      </c>
      <c r="AB390" s="99" t="s">
        <v>174</v>
      </c>
      <c r="AC390" s="99" t="s">
        <v>3411</v>
      </c>
      <c r="AD390" s="99" t="s">
        <v>175</v>
      </c>
      <c r="AE390" s="99" t="s">
        <v>3411</v>
      </c>
      <c r="AF390" s="99" t="s">
        <v>3411</v>
      </c>
      <c r="AG390" s="124">
        <v>540</v>
      </c>
      <c r="AH390" s="99" t="s">
        <v>3413</v>
      </c>
      <c r="AI390" s="125">
        <v>100</v>
      </c>
      <c r="AJ390" s="99" t="s">
        <v>176</v>
      </c>
      <c r="AK390" s="99" t="s">
        <v>4351</v>
      </c>
      <c r="AL390" s="99" t="s">
        <v>3411</v>
      </c>
      <c r="AM390" s="99" t="s">
        <v>177</v>
      </c>
      <c r="AN390" s="99" t="s">
        <v>3411</v>
      </c>
      <c r="AO390" s="99" t="s">
        <v>1482</v>
      </c>
      <c r="AP390" s="99" t="s">
        <v>2599</v>
      </c>
      <c r="AQ390" s="99" t="s">
        <v>82</v>
      </c>
      <c r="AR390" s="99" t="s">
        <v>3411</v>
      </c>
      <c r="AS390" s="99" t="s">
        <v>1586</v>
      </c>
      <c r="AT390" s="99" t="s">
        <v>190</v>
      </c>
      <c r="AU390" s="99" t="s">
        <v>191</v>
      </c>
      <c r="AV390" s="99" t="s">
        <v>3581</v>
      </c>
      <c r="AW390" s="99" t="s">
        <v>529</v>
      </c>
      <c r="AX390" s="99" t="s">
        <v>3420</v>
      </c>
      <c r="AY390" s="99" t="s">
        <v>252</v>
      </c>
      <c r="AZ390" s="99" t="s">
        <v>3416</v>
      </c>
      <c r="BA390" s="99" t="s">
        <v>4317</v>
      </c>
      <c r="BB390" s="99" t="s">
        <v>3316</v>
      </c>
      <c r="BC390" s="125">
        <v>57</v>
      </c>
      <c r="BD390" s="99" t="s">
        <v>3135</v>
      </c>
      <c r="BE390" s="99" t="s">
        <v>3136</v>
      </c>
    </row>
    <row r="391" spans="1:57" ht="12.95" customHeight="1">
      <c r="A391" s="124">
        <v>15</v>
      </c>
      <c r="B391" s="124">
        <v>2082</v>
      </c>
      <c r="C391" s="99" t="s">
        <v>165</v>
      </c>
      <c r="D391" s="99" t="s">
        <v>1477</v>
      </c>
      <c r="E391" s="99" t="s">
        <v>1478</v>
      </c>
      <c r="F391" s="99" t="s">
        <v>74</v>
      </c>
      <c r="G391" s="99" t="s">
        <v>75</v>
      </c>
      <c r="H391" s="99" t="s">
        <v>4314</v>
      </c>
      <c r="I391" s="99" t="s">
        <v>1520</v>
      </c>
      <c r="J391" s="99" t="s">
        <v>1587</v>
      </c>
      <c r="K391" s="99" t="s">
        <v>168</v>
      </c>
      <c r="L391" s="99" t="s">
        <v>1588</v>
      </c>
      <c r="M391" s="99" t="s">
        <v>1</v>
      </c>
      <c r="N391" s="99" t="s">
        <v>3407</v>
      </c>
      <c r="O391" s="99" t="s">
        <v>114</v>
      </c>
      <c r="P391" s="99" t="s">
        <v>3422</v>
      </c>
      <c r="Q391" s="99" t="s">
        <v>169</v>
      </c>
      <c r="R391" s="99" t="s">
        <v>71</v>
      </c>
      <c r="S391" s="99" t="s">
        <v>2691</v>
      </c>
      <c r="T391" s="99" t="s">
        <v>49</v>
      </c>
      <c r="U391" s="99" t="s">
        <v>1511</v>
      </c>
      <c r="V391" s="99" t="s">
        <v>54</v>
      </c>
      <c r="W391" s="99" t="s">
        <v>4353</v>
      </c>
      <c r="X391" s="99" t="s">
        <v>4353</v>
      </c>
      <c r="Y391" s="99" t="s">
        <v>4354</v>
      </c>
      <c r="Z391" s="99" t="s">
        <v>172</v>
      </c>
      <c r="AA391" s="99" t="s">
        <v>173</v>
      </c>
      <c r="AB391" s="99" t="s">
        <v>174</v>
      </c>
      <c r="AC391" s="99" t="s">
        <v>3411</v>
      </c>
      <c r="AD391" s="99" t="s">
        <v>175</v>
      </c>
      <c r="AE391" s="99" t="s">
        <v>3411</v>
      </c>
      <c r="AF391" s="99" t="s">
        <v>3411</v>
      </c>
      <c r="AG391" s="124">
        <v>480</v>
      </c>
      <c r="AH391" s="99" t="s">
        <v>3413</v>
      </c>
      <c r="AI391" s="125">
        <v>100</v>
      </c>
      <c r="AJ391" s="99" t="s">
        <v>176</v>
      </c>
      <c r="AK391" s="99" t="s">
        <v>4353</v>
      </c>
      <c r="AL391" s="99" t="s">
        <v>3411</v>
      </c>
      <c r="AM391" s="99" t="s">
        <v>177</v>
      </c>
      <c r="AN391" s="99" t="s">
        <v>3411</v>
      </c>
      <c r="AO391" s="99" t="s">
        <v>1482</v>
      </c>
      <c r="AP391" s="99" t="s">
        <v>2604</v>
      </c>
      <c r="AQ391" s="99" t="s">
        <v>86</v>
      </c>
      <c r="AR391" s="99" t="s">
        <v>207</v>
      </c>
      <c r="AS391" s="99" t="s">
        <v>1589</v>
      </c>
      <c r="AT391" s="99" t="s">
        <v>190</v>
      </c>
      <c r="AU391" s="99" t="s">
        <v>191</v>
      </c>
      <c r="AV391" s="99" t="s">
        <v>3928</v>
      </c>
      <c r="AW391" s="99" t="s">
        <v>519</v>
      </c>
      <c r="AX391" s="99" t="s">
        <v>3420</v>
      </c>
      <c r="AY391" s="99" t="s">
        <v>252</v>
      </c>
      <c r="AZ391" s="99" t="s">
        <v>3416</v>
      </c>
      <c r="BA391" s="99" t="s">
        <v>4293</v>
      </c>
      <c r="BB391" s="99" t="s">
        <v>3315</v>
      </c>
      <c r="BC391" s="125">
        <v>49</v>
      </c>
      <c r="BD391" s="99" t="s">
        <v>3135</v>
      </c>
      <c r="BE391" s="99" t="s">
        <v>3136</v>
      </c>
    </row>
    <row r="392" spans="1:57" ht="12.95" customHeight="1">
      <c r="A392" s="124">
        <v>15</v>
      </c>
      <c r="B392" s="124">
        <v>2935</v>
      </c>
      <c r="C392" s="99" t="s">
        <v>165</v>
      </c>
      <c r="D392" s="99" t="s">
        <v>1477</v>
      </c>
      <c r="E392" s="99" t="s">
        <v>1478</v>
      </c>
      <c r="F392" s="99" t="s">
        <v>74</v>
      </c>
      <c r="G392" s="99" t="s">
        <v>75</v>
      </c>
      <c r="H392" s="99" t="s">
        <v>4314</v>
      </c>
      <c r="I392" s="99" t="s">
        <v>1520</v>
      </c>
      <c r="J392" s="99" t="s">
        <v>1587</v>
      </c>
      <c r="K392" s="99" t="s">
        <v>1590</v>
      </c>
      <c r="L392" s="99" t="s">
        <v>1591</v>
      </c>
      <c r="M392" s="99" t="s">
        <v>1</v>
      </c>
      <c r="N392" s="99" t="s">
        <v>3407</v>
      </c>
      <c r="O392" s="99" t="s">
        <v>114</v>
      </c>
      <c r="P392" s="99" t="s">
        <v>3422</v>
      </c>
      <c r="Q392" s="99" t="s">
        <v>169</v>
      </c>
      <c r="R392" s="99" t="s">
        <v>71</v>
      </c>
      <c r="S392" s="99" t="s">
        <v>2691</v>
      </c>
      <c r="T392" s="99" t="s">
        <v>49</v>
      </c>
      <c r="U392" s="99" t="s">
        <v>1492</v>
      </c>
      <c r="V392" s="99" t="s">
        <v>55</v>
      </c>
      <c r="W392" s="99" t="s">
        <v>4355</v>
      </c>
      <c r="X392" s="99" t="s">
        <v>4355</v>
      </c>
      <c r="Y392" s="99" t="s">
        <v>4356</v>
      </c>
      <c r="Z392" s="99" t="s">
        <v>3327</v>
      </c>
      <c r="AA392" s="99" t="s">
        <v>3328</v>
      </c>
      <c r="AB392" s="99" t="s">
        <v>174</v>
      </c>
      <c r="AC392" s="99" t="s">
        <v>3411</v>
      </c>
      <c r="AD392" s="99" t="s">
        <v>175</v>
      </c>
      <c r="AE392" s="99" t="s">
        <v>3411</v>
      </c>
      <c r="AF392" s="99" t="s">
        <v>3411</v>
      </c>
      <c r="AG392" s="124">
        <v>2935</v>
      </c>
      <c r="AH392" s="99" t="s">
        <v>3413</v>
      </c>
      <c r="AI392" s="125">
        <v>100</v>
      </c>
      <c r="AJ392" s="99" t="s">
        <v>176</v>
      </c>
      <c r="AK392" s="99" t="s">
        <v>4355</v>
      </c>
      <c r="AL392" s="99" t="s">
        <v>3411</v>
      </c>
      <c r="AM392" s="99" t="s">
        <v>177</v>
      </c>
      <c r="AN392" s="99" t="s">
        <v>3411</v>
      </c>
      <c r="AO392" s="99" t="s">
        <v>1481</v>
      </c>
      <c r="AP392" s="99" t="s">
        <v>2401</v>
      </c>
      <c r="AQ392" s="99" t="s">
        <v>91</v>
      </c>
      <c r="AR392" s="99" t="s">
        <v>3411</v>
      </c>
      <c r="AS392" s="99" t="s">
        <v>1592</v>
      </c>
      <c r="AT392" s="99" t="s">
        <v>190</v>
      </c>
      <c r="AU392" s="99" t="s">
        <v>191</v>
      </c>
      <c r="AV392" s="99" t="s">
        <v>3581</v>
      </c>
      <c r="AW392" s="99" t="s">
        <v>529</v>
      </c>
      <c r="AX392" s="99" t="s">
        <v>3420</v>
      </c>
      <c r="AY392" s="99" t="s">
        <v>252</v>
      </c>
      <c r="AZ392" s="99" t="s">
        <v>3416</v>
      </c>
      <c r="BA392" s="99" t="s">
        <v>4313</v>
      </c>
      <c r="BB392" s="99" t="s">
        <v>3411</v>
      </c>
      <c r="BC392" s="125">
        <v>42</v>
      </c>
      <c r="BD392" s="99" t="s">
        <v>3135</v>
      </c>
      <c r="BE392" s="99" t="s">
        <v>3136</v>
      </c>
    </row>
    <row r="393" spans="1:57" ht="12.95" customHeight="1">
      <c r="A393" s="124">
        <v>15</v>
      </c>
      <c r="B393" s="124">
        <v>2564</v>
      </c>
      <c r="C393" s="99" t="s">
        <v>165</v>
      </c>
      <c r="D393" s="99" t="s">
        <v>1477</v>
      </c>
      <c r="E393" s="99" t="s">
        <v>1478</v>
      </c>
      <c r="F393" s="99" t="s">
        <v>74</v>
      </c>
      <c r="G393" s="99" t="s">
        <v>75</v>
      </c>
      <c r="H393" s="99" t="s">
        <v>4314</v>
      </c>
      <c r="I393" s="99" t="s">
        <v>1520</v>
      </c>
      <c r="J393" s="99" t="s">
        <v>1593</v>
      </c>
      <c r="K393" s="99" t="s">
        <v>267</v>
      </c>
      <c r="L393" s="99" t="s">
        <v>1594</v>
      </c>
      <c r="M393" s="99" t="s">
        <v>1</v>
      </c>
      <c r="N393" s="99" t="s">
        <v>3407</v>
      </c>
      <c r="O393" s="99" t="s">
        <v>114</v>
      </c>
      <c r="P393" s="99" t="s">
        <v>3422</v>
      </c>
      <c r="Q393" s="99" t="s">
        <v>169</v>
      </c>
      <c r="R393" s="99" t="s">
        <v>71</v>
      </c>
      <c r="S393" s="99" t="s">
        <v>2691</v>
      </c>
      <c r="T393" s="99" t="s">
        <v>49</v>
      </c>
      <c r="U393" s="99" t="s">
        <v>1492</v>
      </c>
      <c r="V393" s="99" t="s">
        <v>55</v>
      </c>
      <c r="W393" s="99" t="s">
        <v>4357</v>
      </c>
      <c r="X393" s="99" t="s">
        <v>4357</v>
      </c>
      <c r="Y393" s="99" t="s">
        <v>4358</v>
      </c>
      <c r="Z393" s="99" t="s">
        <v>172</v>
      </c>
      <c r="AA393" s="99" t="s">
        <v>173</v>
      </c>
      <c r="AB393" s="99" t="s">
        <v>174</v>
      </c>
      <c r="AC393" s="99" t="s">
        <v>3411</v>
      </c>
      <c r="AD393" s="99" t="s">
        <v>175</v>
      </c>
      <c r="AE393" s="99" t="s">
        <v>3411</v>
      </c>
      <c r="AF393" s="99" t="s">
        <v>3411</v>
      </c>
      <c r="AG393" s="124">
        <v>2564</v>
      </c>
      <c r="AH393" s="99" t="s">
        <v>3413</v>
      </c>
      <c r="AI393" s="125">
        <v>100</v>
      </c>
      <c r="AJ393" s="99" t="s">
        <v>176</v>
      </c>
      <c r="AK393" s="99" t="s">
        <v>4357</v>
      </c>
      <c r="AL393" s="99" t="s">
        <v>3411</v>
      </c>
      <c r="AM393" s="99" t="s">
        <v>177</v>
      </c>
      <c r="AN393" s="99" t="s">
        <v>3411</v>
      </c>
      <c r="AO393" s="99" t="s">
        <v>1482</v>
      </c>
      <c r="AP393" s="99" t="s">
        <v>2598</v>
      </c>
      <c r="AQ393" s="99" t="s">
        <v>81</v>
      </c>
      <c r="AR393" s="99" t="s">
        <v>3411</v>
      </c>
      <c r="AS393" s="99" t="s">
        <v>1595</v>
      </c>
      <c r="AT393" s="99" t="s">
        <v>190</v>
      </c>
      <c r="AU393" s="99" t="s">
        <v>191</v>
      </c>
      <c r="AV393" s="99" t="s">
        <v>3581</v>
      </c>
      <c r="AW393" s="99" t="s">
        <v>529</v>
      </c>
      <c r="AX393" s="99" t="s">
        <v>3420</v>
      </c>
      <c r="AY393" s="99" t="s">
        <v>252</v>
      </c>
      <c r="AZ393" s="99" t="s">
        <v>3416</v>
      </c>
      <c r="BA393" s="99" t="s">
        <v>4313</v>
      </c>
      <c r="BB393" s="99" t="s">
        <v>3411</v>
      </c>
      <c r="BC393" s="125">
        <v>47</v>
      </c>
      <c r="BD393" s="99" t="s">
        <v>3135</v>
      </c>
      <c r="BE393" s="99" t="s">
        <v>3136</v>
      </c>
    </row>
    <row r="394" spans="1:57" ht="12.95" customHeight="1">
      <c r="A394" s="124">
        <v>15</v>
      </c>
      <c r="B394" s="124">
        <v>1951</v>
      </c>
      <c r="C394" s="99" t="s">
        <v>165</v>
      </c>
      <c r="D394" s="99" t="s">
        <v>1477</v>
      </c>
      <c r="E394" s="99" t="s">
        <v>1478</v>
      </c>
      <c r="F394" s="99" t="s">
        <v>74</v>
      </c>
      <c r="G394" s="99" t="s">
        <v>75</v>
      </c>
      <c r="H394" s="99" t="s">
        <v>4314</v>
      </c>
      <c r="I394" s="99" t="s">
        <v>1520</v>
      </c>
      <c r="J394" s="99" t="s">
        <v>1596</v>
      </c>
      <c r="K394" s="99" t="s">
        <v>267</v>
      </c>
      <c r="L394" s="99" t="s">
        <v>1597</v>
      </c>
      <c r="M394" s="99" t="s">
        <v>1</v>
      </c>
      <c r="N394" s="99" t="s">
        <v>3407</v>
      </c>
      <c r="O394" s="99" t="s">
        <v>114</v>
      </c>
      <c r="P394" s="99" t="s">
        <v>3422</v>
      </c>
      <c r="Q394" s="99" t="s">
        <v>169</v>
      </c>
      <c r="R394" s="99" t="s">
        <v>71</v>
      </c>
      <c r="S394" s="99" t="s">
        <v>2691</v>
      </c>
      <c r="T394" s="99" t="s">
        <v>49</v>
      </c>
      <c r="U394" s="99" t="s">
        <v>1492</v>
      </c>
      <c r="V394" s="99" t="s">
        <v>55</v>
      </c>
      <c r="W394" s="99" t="s">
        <v>4303</v>
      </c>
      <c r="X394" s="99" t="s">
        <v>4303</v>
      </c>
      <c r="Y394" s="99" t="s">
        <v>4359</v>
      </c>
      <c r="Z394" s="99" t="s">
        <v>172</v>
      </c>
      <c r="AA394" s="99" t="s">
        <v>173</v>
      </c>
      <c r="AB394" s="99" t="s">
        <v>174</v>
      </c>
      <c r="AC394" s="99" t="s">
        <v>3411</v>
      </c>
      <c r="AD394" s="99" t="s">
        <v>175</v>
      </c>
      <c r="AE394" s="99" t="s">
        <v>3411</v>
      </c>
      <c r="AF394" s="99" t="s">
        <v>3411</v>
      </c>
      <c r="AG394" s="124">
        <v>396</v>
      </c>
      <c r="AH394" s="99" t="s">
        <v>3413</v>
      </c>
      <c r="AI394" s="125">
        <v>100</v>
      </c>
      <c r="AJ394" s="99" t="s">
        <v>176</v>
      </c>
      <c r="AK394" s="99" t="s">
        <v>4303</v>
      </c>
      <c r="AL394" s="99" t="s">
        <v>3411</v>
      </c>
      <c r="AM394" s="99" t="s">
        <v>177</v>
      </c>
      <c r="AN394" s="99" t="s">
        <v>3411</v>
      </c>
      <c r="AO394" s="99" t="s">
        <v>1482</v>
      </c>
      <c r="AP394" s="99" t="s">
        <v>2599</v>
      </c>
      <c r="AQ394" s="99" t="s">
        <v>82</v>
      </c>
      <c r="AR394" s="99" t="s">
        <v>3411</v>
      </c>
      <c r="AS394" s="99" t="s">
        <v>1598</v>
      </c>
      <c r="AT394" s="99" t="s">
        <v>190</v>
      </c>
      <c r="AU394" s="99" t="s">
        <v>191</v>
      </c>
      <c r="AV394" s="99" t="s">
        <v>3928</v>
      </c>
      <c r="AW394" s="99" t="s">
        <v>519</v>
      </c>
      <c r="AX394" s="99" t="s">
        <v>3420</v>
      </c>
      <c r="AY394" s="99" t="s">
        <v>252</v>
      </c>
      <c r="AZ394" s="99" t="s">
        <v>3416</v>
      </c>
      <c r="BA394" s="99" t="s">
        <v>4317</v>
      </c>
      <c r="BB394" s="99" t="s">
        <v>3316</v>
      </c>
      <c r="BC394" s="125">
        <v>51</v>
      </c>
      <c r="BD394" s="99" t="s">
        <v>3135</v>
      </c>
      <c r="BE394" s="99" t="s">
        <v>3136</v>
      </c>
    </row>
    <row r="395" spans="1:57" ht="12.95" customHeight="1">
      <c r="A395" s="124">
        <v>15</v>
      </c>
      <c r="B395" s="124">
        <v>1558</v>
      </c>
      <c r="C395" s="99" t="s">
        <v>165</v>
      </c>
      <c r="D395" s="99" t="s">
        <v>1477</v>
      </c>
      <c r="E395" s="99" t="s">
        <v>1478</v>
      </c>
      <c r="F395" s="99" t="s">
        <v>74</v>
      </c>
      <c r="G395" s="99" t="s">
        <v>75</v>
      </c>
      <c r="H395" s="99" t="s">
        <v>4314</v>
      </c>
      <c r="I395" s="99" t="s">
        <v>1520</v>
      </c>
      <c r="J395" s="99" t="s">
        <v>1599</v>
      </c>
      <c r="K395" s="99" t="s">
        <v>1600</v>
      </c>
      <c r="L395" s="99" t="s">
        <v>1601</v>
      </c>
      <c r="M395" s="99" t="s">
        <v>5</v>
      </c>
      <c r="N395" s="99" t="s">
        <v>3407</v>
      </c>
      <c r="O395" s="99" t="s">
        <v>114</v>
      </c>
      <c r="P395" s="99" t="s">
        <v>3422</v>
      </c>
      <c r="Q395" s="99" t="s">
        <v>169</v>
      </c>
      <c r="R395" s="99" t="s">
        <v>71</v>
      </c>
      <c r="S395" s="99" t="s">
        <v>2691</v>
      </c>
      <c r="T395" s="99" t="s">
        <v>49</v>
      </c>
      <c r="U395" s="99" t="s">
        <v>1492</v>
      </c>
      <c r="V395" s="99" t="s">
        <v>55</v>
      </c>
      <c r="W395" s="99" t="s">
        <v>3724</v>
      </c>
      <c r="X395" s="99" t="s">
        <v>3724</v>
      </c>
      <c r="Y395" s="99" t="s">
        <v>4360</v>
      </c>
      <c r="Z395" s="99" t="s">
        <v>172</v>
      </c>
      <c r="AA395" s="99" t="s">
        <v>173</v>
      </c>
      <c r="AB395" s="99" t="s">
        <v>174</v>
      </c>
      <c r="AC395" s="99" t="s">
        <v>3411</v>
      </c>
      <c r="AD395" s="99" t="s">
        <v>175</v>
      </c>
      <c r="AE395" s="99" t="s">
        <v>3411</v>
      </c>
      <c r="AF395" s="99" t="s">
        <v>3411</v>
      </c>
      <c r="AG395" s="124">
        <v>315</v>
      </c>
      <c r="AH395" s="99" t="s">
        <v>3413</v>
      </c>
      <c r="AI395" s="125">
        <v>100</v>
      </c>
      <c r="AJ395" s="99" t="s">
        <v>176</v>
      </c>
      <c r="AK395" s="99" t="s">
        <v>3724</v>
      </c>
      <c r="AL395" s="99" t="s">
        <v>3411</v>
      </c>
      <c r="AM395" s="99" t="s">
        <v>177</v>
      </c>
      <c r="AN395" s="99" t="s">
        <v>3411</v>
      </c>
      <c r="AO395" s="99" t="s">
        <v>1482</v>
      </c>
      <c r="AP395" s="99" t="s">
        <v>2599</v>
      </c>
      <c r="AQ395" s="99" t="s">
        <v>82</v>
      </c>
      <c r="AR395" s="99" t="s">
        <v>3411</v>
      </c>
      <c r="AS395" s="99" t="s">
        <v>1602</v>
      </c>
      <c r="AT395" s="99" t="s">
        <v>190</v>
      </c>
      <c r="AU395" s="99" t="s">
        <v>191</v>
      </c>
      <c r="AV395" s="99" t="s">
        <v>3928</v>
      </c>
      <c r="AW395" s="99" t="s">
        <v>519</v>
      </c>
      <c r="AX395" s="99" t="s">
        <v>3420</v>
      </c>
      <c r="AY395" s="99" t="s">
        <v>252</v>
      </c>
      <c r="AZ395" s="99" t="s">
        <v>3416</v>
      </c>
      <c r="BA395" s="99" t="s">
        <v>4317</v>
      </c>
      <c r="BB395" s="99" t="s">
        <v>3316</v>
      </c>
      <c r="BC395" s="125">
        <v>55</v>
      </c>
      <c r="BD395" s="99" t="s">
        <v>3135</v>
      </c>
      <c r="BE395" s="99" t="s">
        <v>3136</v>
      </c>
    </row>
    <row r="396" spans="1:57" ht="12.95" customHeight="1">
      <c r="A396" s="124">
        <v>15</v>
      </c>
      <c r="B396" s="124">
        <v>789</v>
      </c>
      <c r="C396" s="99" t="s">
        <v>165</v>
      </c>
      <c r="D396" s="99" t="s">
        <v>1477</v>
      </c>
      <c r="E396" s="99" t="s">
        <v>1478</v>
      </c>
      <c r="F396" s="99" t="s">
        <v>74</v>
      </c>
      <c r="G396" s="99" t="s">
        <v>75</v>
      </c>
      <c r="H396" s="99" t="s">
        <v>4314</v>
      </c>
      <c r="I396" s="99" t="s">
        <v>1520</v>
      </c>
      <c r="J396" s="99" t="s">
        <v>1603</v>
      </c>
      <c r="K396" s="99" t="s">
        <v>1604</v>
      </c>
      <c r="L396" s="99" t="s">
        <v>1605</v>
      </c>
      <c r="M396" s="99" t="s">
        <v>5</v>
      </c>
      <c r="N396" s="99" t="s">
        <v>3407</v>
      </c>
      <c r="O396" s="99" t="s">
        <v>114</v>
      </c>
      <c r="P396" s="99" t="s">
        <v>3422</v>
      </c>
      <c r="Q396" s="99" t="s">
        <v>169</v>
      </c>
      <c r="R396" s="99" t="s">
        <v>71</v>
      </c>
      <c r="S396" s="99" t="s">
        <v>2691</v>
      </c>
      <c r="T396" s="99" t="s">
        <v>49</v>
      </c>
      <c r="U396" s="99" t="s">
        <v>1008</v>
      </c>
      <c r="V396" s="99" t="s">
        <v>53</v>
      </c>
      <c r="W396" s="99" t="s">
        <v>3873</v>
      </c>
      <c r="X396" s="99" t="s">
        <v>3873</v>
      </c>
      <c r="Y396" s="99" t="s">
        <v>4361</v>
      </c>
      <c r="Z396" s="99" t="s">
        <v>172</v>
      </c>
      <c r="AA396" s="99" t="s">
        <v>173</v>
      </c>
      <c r="AB396" s="99" t="s">
        <v>174</v>
      </c>
      <c r="AC396" s="99" t="s">
        <v>3411</v>
      </c>
      <c r="AD396" s="99" t="s">
        <v>175</v>
      </c>
      <c r="AE396" s="99" t="s">
        <v>3411</v>
      </c>
      <c r="AF396" s="99" t="s">
        <v>3411</v>
      </c>
      <c r="AG396" s="124">
        <v>196</v>
      </c>
      <c r="AH396" s="99" t="s">
        <v>3413</v>
      </c>
      <c r="AI396" s="125">
        <v>100</v>
      </c>
      <c r="AJ396" s="99" t="s">
        <v>176</v>
      </c>
      <c r="AK396" s="99" t="s">
        <v>3873</v>
      </c>
      <c r="AL396" s="99" t="s">
        <v>3411</v>
      </c>
      <c r="AM396" s="99" t="s">
        <v>177</v>
      </c>
      <c r="AN396" s="99" t="s">
        <v>3411</v>
      </c>
      <c r="AO396" s="99" t="s">
        <v>1482</v>
      </c>
      <c r="AP396" s="99" t="s">
        <v>2602</v>
      </c>
      <c r="AQ396" s="99" t="s">
        <v>92</v>
      </c>
      <c r="AR396" s="99" t="s">
        <v>3411</v>
      </c>
      <c r="AS396" s="99" t="s">
        <v>1606</v>
      </c>
      <c r="AT396" s="99" t="s">
        <v>190</v>
      </c>
      <c r="AU396" s="99" t="s">
        <v>191</v>
      </c>
      <c r="AV396" s="99" t="s">
        <v>3928</v>
      </c>
      <c r="AW396" s="99" t="s">
        <v>519</v>
      </c>
      <c r="AX396" s="99" t="s">
        <v>3420</v>
      </c>
      <c r="AY396" s="99" t="s">
        <v>252</v>
      </c>
      <c r="AZ396" s="99" t="s">
        <v>3416</v>
      </c>
      <c r="BA396" s="99" t="s">
        <v>4313</v>
      </c>
      <c r="BB396" s="99" t="s">
        <v>3411</v>
      </c>
      <c r="BC396" s="125">
        <v>63</v>
      </c>
      <c r="BD396" s="99" t="s">
        <v>3135</v>
      </c>
      <c r="BE396" s="99" t="s">
        <v>3136</v>
      </c>
    </row>
    <row r="397" spans="1:57" ht="12.95" customHeight="1">
      <c r="A397" s="124">
        <v>15</v>
      </c>
      <c r="B397" s="124">
        <v>337</v>
      </c>
      <c r="C397" s="99" t="s">
        <v>165</v>
      </c>
      <c r="D397" s="99" t="s">
        <v>1477</v>
      </c>
      <c r="E397" s="99" t="s">
        <v>1478</v>
      </c>
      <c r="F397" s="99" t="s">
        <v>74</v>
      </c>
      <c r="G397" s="99" t="s">
        <v>75</v>
      </c>
      <c r="H397" s="99" t="s">
        <v>4314</v>
      </c>
      <c r="I397" s="99" t="s">
        <v>1520</v>
      </c>
      <c r="J397" s="99" t="s">
        <v>1607</v>
      </c>
      <c r="K397" s="99" t="s">
        <v>825</v>
      </c>
      <c r="L397" s="99" t="s">
        <v>1608</v>
      </c>
      <c r="M397" s="99" t="s">
        <v>5</v>
      </c>
      <c r="N397" s="99" t="s">
        <v>3407</v>
      </c>
      <c r="O397" s="99" t="s">
        <v>114</v>
      </c>
      <c r="P397" s="99" t="s">
        <v>3422</v>
      </c>
      <c r="Q397" s="99" t="s">
        <v>169</v>
      </c>
      <c r="R397" s="99" t="s">
        <v>71</v>
      </c>
      <c r="S397" s="99" t="s">
        <v>2691</v>
      </c>
      <c r="T397" s="99" t="s">
        <v>49</v>
      </c>
      <c r="U397" s="99" t="s">
        <v>1519</v>
      </c>
      <c r="V397" s="99" t="s">
        <v>56</v>
      </c>
      <c r="W397" s="99" t="s">
        <v>4363</v>
      </c>
      <c r="X397" s="99" t="s">
        <v>4363</v>
      </c>
      <c r="Y397" s="99" t="s">
        <v>4364</v>
      </c>
      <c r="Z397" s="99" t="s">
        <v>172</v>
      </c>
      <c r="AA397" s="99" t="s">
        <v>173</v>
      </c>
      <c r="AB397" s="99" t="s">
        <v>174</v>
      </c>
      <c r="AC397" s="99" t="s">
        <v>3411</v>
      </c>
      <c r="AD397" s="99" t="s">
        <v>175</v>
      </c>
      <c r="AE397" s="99" t="s">
        <v>3411</v>
      </c>
      <c r="AF397" s="99" t="s">
        <v>3411</v>
      </c>
      <c r="AG397" s="124">
        <v>97</v>
      </c>
      <c r="AH397" s="99" t="s">
        <v>3413</v>
      </c>
      <c r="AI397" s="125">
        <v>100</v>
      </c>
      <c r="AJ397" s="99" t="s">
        <v>176</v>
      </c>
      <c r="AK397" s="99" t="s">
        <v>4363</v>
      </c>
      <c r="AL397" s="99" t="s">
        <v>3411</v>
      </c>
      <c r="AM397" s="99" t="s">
        <v>177</v>
      </c>
      <c r="AN397" s="99" t="s">
        <v>3411</v>
      </c>
      <c r="AO397" s="99" t="s">
        <v>1482</v>
      </c>
      <c r="AP397" s="99" t="s">
        <v>2604</v>
      </c>
      <c r="AQ397" s="99" t="s">
        <v>86</v>
      </c>
      <c r="AR397" s="99" t="s">
        <v>1010</v>
      </c>
      <c r="AS397" s="99" t="s">
        <v>1609</v>
      </c>
      <c r="AT397" s="99" t="s">
        <v>190</v>
      </c>
      <c r="AU397" s="99" t="s">
        <v>191</v>
      </c>
      <c r="AV397" s="99" t="s">
        <v>3570</v>
      </c>
      <c r="AW397" s="99" t="s">
        <v>406</v>
      </c>
      <c r="AX397" s="99" t="s">
        <v>3420</v>
      </c>
      <c r="AY397" s="99" t="s">
        <v>252</v>
      </c>
      <c r="AZ397" s="99" t="s">
        <v>3416</v>
      </c>
      <c r="BA397" s="99" t="s">
        <v>4293</v>
      </c>
      <c r="BB397" s="99" t="s">
        <v>3315</v>
      </c>
      <c r="BC397" s="125">
        <v>65</v>
      </c>
      <c r="BD397" s="99" t="s">
        <v>3135</v>
      </c>
      <c r="BE397" s="99" t="s">
        <v>3136</v>
      </c>
    </row>
    <row r="398" spans="1:57" ht="12.95" customHeight="1">
      <c r="A398" s="124">
        <v>15</v>
      </c>
      <c r="B398" s="124">
        <v>1256</v>
      </c>
      <c r="C398" s="99" t="s">
        <v>165</v>
      </c>
      <c r="D398" s="99" t="s">
        <v>1477</v>
      </c>
      <c r="E398" s="99" t="s">
        <v>1478</v>
      </c>
      <c r="F398" s="99" t="s">
        <v>74</v>
      </c>
      <c r="G398" s="99" t="s">
        <v>75</v>
      </c>
      <c r="H398" s="99" t="s">
        <v>4314</v>
      </c>
      <c r="I398" s="99" t="s">
        <v>1520</v>
      </c>
      <c r="J398" s="99" t="s">
        <v>1610</v>
      </c>
      <c r="K398" s="99" t="s">
        <v>1611</v>
      </c>
      <c r="L398" s="99" t="s">
        <v>1612</v>
      </c>
      <c r="M398" s="99" t="s">
        <v>1</v>
      </c>
      <c r="N398" s="99" t="s">
        <v>3407</v>
      </c>
      <c r="O398" s="99" t="s">
        <v>114</v>
      </c>
      <c r="P398" s="99" t="s">
        <v>3422</v>
      </c>
      <c r="Q398" s="99" t="s">
        <v>169</v>
      </c>
      <c r="R398" s="99" t="s">
        <v>71</v>
      </c>
      <c r="S398" s="99" t="s">
        <v>2691</v>
      </c>
      <c r="T398" s="99" t="s">
        <v>49</v>
      </c>
      <c r="U398" s="99" t="s">
        <v>1008</v>
      </c>
      <c r="V398" s="99" t="s">
        <v>53</v>
      </c>
      <c r="W398" s="99" t="s">
        <v>4365</v>
      </c>
      <c r="X398" s="99" t="s">
        <v>4365</v>
      </c>
      <c r="Y398" s="99" t="s">
        <v>4366</v>
      </c>
      <c r="Z398" s="99" t="s">
        <v>172</v>
      </c>
      <c r="AA398" s="99" t="s">
        <v>173</v>
      </c>
      <c r="AB398" s="99" t="s">
        <v>174</v>
      </c>
      <c r="AC398" s="99" t="s">
        <v>3411</v>
      </c>
      <c r="AD398" s="99" t="s">
        <v>175</v>
      </c>
      <c r="AE398" s="99" t="s">
        <v>3411</v>
      </c>
      <c r="AF398" s="99" t="s">
        <v>3411</v>
      </c>
      <c r="AG398" s="124">
        <v>264</v>
      </c>
      <c r="AH398" s="99" t="s">
        <v>3413</v>
      </c>
      <c r="AI398" s="125">
        <v>100</v>
      </c>
      <c r="AJ398" s="99" t="s">
        <v>176</v>
      </c>
      <c r="AK398" s="99" t="s">
        <v>4365</v>
      </c>
      <c r="AL398" s="99" t="s">
        <v>3411</v>
      </c>
      <c r="AM398" s="99" t="s">
        <v>177</v>
      </c>
      <c r="AN398" s="99" t="s">
        <v>3411</v>
      </c>
      <c r="AO398" s="99" t="s">
        <v>1482</v>
      </c>
      <c r="AP398" s="99" t="s">
        <v>2601</v>
      </c>
      <c r="AQ398" s="99" t="s">
        <v>84</v>
      </c>
      <c r="AR398" s="99" t="s">
        <v>2719</v>
      </c>
      <c r="AS398" s="99" t="s">
        <v>1613</v>
      </c>
      <c r="AT398" s="99" t="s">
        <v>190</v>
      </c>
      <c r="AU398" s="99" t="s">
        <v>191</v>
      </c>
      <c r="AV398" s="99" t="s">
        <v>3928</v>
      </c>
      <c r="AW398" s="99" t="s">
        <v>519</v>
      </c>
      <c r="AX398" s="99" t="s">
        <v>5045</v>
      </c>
      <c r="AY398" s="99" t="s">
        <v>252</v>
      </c>
      <c r="AZ398" s="99" t="s">
        <v>5046</v>
      </c>
      <c r="BA398" s="99" t="s">
        <v>4313</v>
      </c>
      <c r="BB398" s="99" t="s">
        <v>3411</v>
      </c>
      <c r="BC398" s="125">
        <v>53</v>
      </c>
      <c r="BD398" s="99" t="s">
        <v>3135</v>
      </c>
      <c r="BE398" s="99" t="s">
        <v>3136</v>
      </c>
    </row>
    <row r="399" spans="1:57" ht="12.95" customHeight="1">
      <c r="A399" s="124">
        <v>15</v>
      </c>
      <c r="B399" s="124">
        <v>1386</v>
      </c>
      <c r="C399" s="99" t="s">
        <v>165</v>
      </c>
      <c r="D399" s="99" t="s">
        <v>1477</v>
      </c>
      <c r="E399" s="99" t="s">
        <v>1478</v>
      </c>
      <c r="F399" s="99" t="s">
        <v>74</v>
      </c>
      <c r="G399" s="99" t="s">
        <v>75</v>
      </c>
      <c r="H399" s="99" t="s">
        <v>4314</v>
      </c>
      <c r="I399" s="99" t="s">
        <v>1520</v>
      </c>
      <c r="J399" s="99" t="s">
        <v>1614</v>
      </c>
      <c r="K399" s="99" t="s">
        <v>527</v>
      </c>
      <c r="L399" s="99" t="s">
        <v>1615</v>
      </c>
      <c r="M399" s="99" t="s">
        <v>5</v>
      </c>
      <c r="N399" s="99" t="s">
        <v>3407</v>
      </c>
      <c r="O399" s="99" t="s">
        <v>114</v>
      </c>
      <c r="P399" s="99" t="s">
        <v>3422</v>
      </c>
      <c r="Q399" s="99" t="s">
        <v>169</v>
      </c>
      <c r="R399" s="99" t="s">
        <v>71</v>
      </c>
      <c r="S399" s="99" t="s">
        <v>2691</v>
      </c>
      <c r="T399" s="99" t="s">
        <v>49</v>
      </c>
      <c r="U399" s="99" t="s">
        <v>1511</v>
      </c>
      <c r="V399" s="99" t="s">
        <v>54</v>
      </c>
      <c r="W399" s="99" t="s">
        <v>4367</v>
      </c>
      <c r="X399" s="99" t="s">
        <v>4367</v>
      </c>
      <c r="Y399" s="99" t="s">
        <v>4368</v>
      </c>
      <c r="Z399" s="99" t="s">
        <v>172</v>
      </c>
      <c r="AA399" s="99" t="s">
        <v>173</v>
      </c>
      <c r="AB399" s="99" t="s">
        <v>174</v>
      </c>
      <c r="AC399" s="99" t="s">
        <v>3411</v>
      </c>
      <c r="AD399" s="99" t="s">
        <v>175</v>
      </c>
      <c r="AE399" s="99" t="s">
        <v>3411</v>
      </c>
      <c r="AF399" s="99" t="s">
        <v>3411</v>
      </c>
      <c r="AG399" s="124">
        <v>282</v>
      </c>
      <c r="AH399" s="99" t="s">
        <v>3413</v>
      </c>
      <c r="AI399" s="125">
        <v>100</v>
      </c>
      <c r="AJ399" s="99" t="s">
        <v>176</v>
      </c>
      <c r="AK399" s="99" t="s">
        <v>4367</v>
      </c>
      <c r="AL399" s="99" t="s">
        <v>3411</v>
      </c>
      <c r="AM399" s="99" t="s">
        <v>177</v>
      </c>
      <c r="AN399" s="99" t="s">
        <v>3411</v>
      </c>
      <c r="AO399" s="99" t="s">
        <v>1482</v>
      </c>
      <c r="AP399" s="99" t="s">
        <v>2401</v>
      </c>
      <c r="AQ399" s="99" t="s">
        <v>91</v>
      </c>
      <c r="AR399" s="99" t="s">
        <v>2719</v>
      </c>
      <c r="AS399" s="99" t="s">
        <v>1616</v>
      </c>
      <c r="AT399" s="99" t="s">
        <v>190</v>
      </c>
      <c r="AU399" s="99" t="s">
        <v>191</v>
      </c>
      <c r="AV399" s="99" t="s">
        <v>3928</v>
      </c>
      <c r="AW399" s="99" t="s">
        <v>519</v>
      </c>
      <c r="AX399" s="99" t="s">
        <v>3420</v>
      </c>
      <c r="AY399" s="99" t="s">
        <v>252</v>
      </c>
      <c r="AZ399" s="99" t="s">
        <v>3416</v>
      </c>
      <c r="BA399" s="99" t="s">
        <v>4313</v>
      </c>
      <c r="BB399" s="99" t="s">
        <v>3411</v>
      </c>
      <c r="BC399" s="125">
        <v>61</v>
      </c>
      <c r="BD399" s="99" t="s">
        <v>3135</v>
      </c>
      <c r="BE399" s="99" t="s">
        <v>3136</v>
      </c>
    </row>
    <row r="400" spans="1:57" ht="12.95" customHeight="1">
      <c r="A400" s="124">
        <v>15</v>
      </c>
      <c r="B400" s="124">
        <v>1603</v>
      </c>
      <c r="C400" s="99" t="s">
        <v>165</v>
      </c>
      <c r="D400" s="99" t="s">
        <v>1477</v>
      </c>
      <c r="E400" s="99" t="s">
        <v>1478</v>
      </c>
      <c r="F400" s="99" t="s">
        <v>74</v>
      </c>
      <c r="G400" s="99" t="s">
        <v>75</v>
      </c>
      <c r="H400" s="99" t="s">
        <v>4314</v>
      </c>
      <c r="I400" s="99" t="s">
        <v>1520</v>
      </c>
      <c r="J400" s="99" t="s">
        <v>1617</v>
      </c>
      <c r="K400" s="99" t="s">
        <v>1618</v>
      </c>
      <c r="L400" s="99" t="s">
        <v>1619</v>
      </c>
      <c r="M400" s="99" t="s">
        <v>1</v>
      </c>
      <c r="N400" s="99" t="s">
        <v>3407</v>
      </c>
      <c r="O400" s="99" t="s">
        <v>114</v>
      </c>
      <c r="P400" s="99" t="s">
        <v>3422</v>
      </c>
      <c r="Q400" s="99" t="s">
        <v>169</v>
      </c>
      <c r="R400" s="99" t="s">
        <v>71</v>
      </c>
      <c r="S400" s="99" t="s">
        <v>2691</v>
      </c>
      <c r="T400" s="99" t="s">
        <v>49</v>
      </c>
      <c r="U400" s="99" t="s">
        <v>1519</v>
      </c>
      <c r="V400" s="99" t="s">
        <v>56</v>
      </c>
      <c r="W400" s="99" t="s">
        <v>4369</v>
      </c>
      <c r="X400" s="99" t="s">
        <v>4369</v>
      </c>
      <c r="Y400" s="99" t="s">
        <v>4370</v>
      </c>
      <c r="Z400" s="99" t="s">
        <v>172</v>
      </c>
      <c r="AA400" s="99" t="s">
        <v>173</v>
      </c>
      <c r="AB400" s="99" t="s">
        <v>174</v>
      </c>
      <c r="AC400" s="99" t="s">
        <v>3411</v>
      </c>
      <c r="AD400" s="99" t="s">
        <v>175</v>
      </c>
      <c r="AE400" s="99" t="s">
        <v>3411</v>
      </c>
      <c r="AF400" s="99" t="s">
        <v>3411</v>
      </c>
      <c r="AG400" s="124">
        <v>317</v>
      </c>
      <c r="AH400" s="99" t="s">
        <v>3413</v>
      </c>
      <c r="AI400" s="125">
        <v>100</v>
      </c>
      <c r="AJ400" s="99" t="s">
        <v>176</v>
      </c>
      <c r="AK400" s="99" t="s">
        <v>4369</v>
      </c>
      <c r="AL400" s="99" t="s">
        <v>3411</v>
      </c>
      <c r="AM400" s="99" t="s">
        <v>177</v>
      </c>
      <c r="AN400" s="99" t="s">
        <v>3411</v>
      </c>
      <c r="AO400" s="99" t="s">
        <v>1482</v>
      </c>
      <c r="AP400" s="99" t="s">
        <v>2607</v>
      </c>
      <c r="AQ400" s="99" t="s">
        <v>94</v>
      </c>
      <c r="AR400" s="99" t="s">
        <v>1010</v>
      </c>
      <c r="AS400" s="99" t="s">
        <v>1621</v>
      </c>
      <c r="AT400" s="99" t="s">
        <v>190</v>
      </c>
      <c r="AU400" s="99" t="s">
        <v>191</v>
      </c>
      <c r="AV400" s="99" t="s">
        <v>3414</v>
      </c>
      <c r="AW400" s="99" t="s">
        <v>180</v>
      </c>
      <c r="AX400" s="99" t="s">
        <v>3420</v>
      </c>
      <c r="AY400" s="99" t="s">
        <v>252</v>
      </c>
      <c r="AZ400" s="99" t="s">
        <v>3416</v>
      </c>
      <c r="BA400" s="99" t="s">
        <v>4313</v>
      </c>
      <c r="BB400" s="99" t="s">
        <v>3411</v>
      </c>
      <c r="BC400" s="125">
        <v>56</v>
      </c>
      <c r="BD400" s="99" t="s">
        <v>3135</v>
      </c>
      <c r="BE400" s="99" t="s">
        <v>3136</v>
      </c>
    </row>
    <row r="401" spans="1:57" ht="12.95" customHeight="1">
      <c r="A401" s="124">
        <v>15</v>
      </c>
      <c r="B401" s="124">
        <v>3046</v>
      </c>
      <c r="C401" s="99" t="s">
        <v>165</v>
      </c>
      <c r="D401" s="99" t="s">
        <v>1477</v>
      </c>
      <c r="E401" s="99" t="s">
        <v>1478</v>
      </c>
      <c r="F401" s="99" t="s">
        <v>74</v>
      </c>
      <c r="G401" s="99" t="s">
        <v>75</v>
      </c>
      <c r="H401" s="99" t="s">
        <v>4314</v>
      </c>
      <c r="I401" s="99" t="s">
        <v>1520</v>
      </c>
      <c r="J401" s="99" t="s">
        <v>2720</v>
      </c>
      <c r="K401" s="99" t="s">
        <v>1004</v>
      </c>
      <c r="L401" s="99" t="s">
        <v>2721</v>
      </c>
      <c r="M401" s="99" t="s">
        <v>1</v>
      </c>
      <c r="N401" s="99" t="s">
        <v>3407</v>
      </c>
      <c r="O401" s="99" t="s">
        <v>114</v>
      </c>
      <c r="P401" s="99" t="s">
        <v>4371</v>
      </c>
      <c r="Q401" s="99" t="s">
        <v>169</v>
      </c>
      <c r="R401" s="99" t="s">
        <v>71</v>
      </c>
      <c r="S401" s="99" t="s">
        <v>2691</v>
      </c>
      <c r="T401" s="99" t="s">
        <v>49</v>
      </c>
      <c r="U401" s="99" t="s">
        <v>1492</v>
      </c>
      <c r="V401" s="99" t="s">
        <v>55</v>
      </c>
      <c r="W401" s="99" t="s">
        <v>4371</v>
      </c>
      <c r="X401" s="99" t="s">
        <v>4371</v>
      </c>
      <c r="Y401" s="99" t="s">
        <v>4372</v>
      </c>
      <c r="Z401" s="99" t="s">
        <v>172</v>
      </c>
      <c r="AA401" s="99" t="s">
        <v>173</v>
      </c>
      <c r="AB401" s="99" t="s">
        <v>174</v>
      </c>
      <c r="AC401" s="99" t="s">
        <v>3411</v>
      </c>
      <c r="AD401" s="99" t="s">
        <v>175</v>
      </c>
      <c r="AE401" s="99" t="s">
        <v>3411</v>
      </c>
      <c r="AF401" s="99" t="s">
        <v>3411</v>
      </c>
      <c r="AG401" s="124">
        <v>3046</v>
      </c>
      <c r="AH401" s="99" t="s">
        <v>3413</v>
      </c>
      <c r="AI401" s="125">
        <v>100</v>
      </c>
      <c r="AJ401" s="99" t="s">
        <v>176</v>
      </c>
      <c r="AK401" s="99" t="s">
        <v>4371</v>
      </c>
      <c r="AL401" s="99" t="s">
        <v>3411</v>
      </c>
      <c r="AM401" s="99" t="s">
        <v>177</v>
      </c>
      <c r="AN401" s="99" t="s">
        <v>3411</v>
      </c>
      <c r="AO401" s="99" t="s">
        <v>1481</v>
      </c>
      <c r="AP401" s="99" t="s">
        <v>2382</v>
      </c>
      <c r="AQ401" s="99" t="s">
        <v>88</v>
      </c>
      <c r="AR401" s="99" t="s">
        <v>3411</v>
      </c>
      <c r="AS401" s="99" t="s">
        <v>2722</v>
      </c>
      <c r="AT401" s="99" t="s">
        <v>190</v>
      </c>
      <c r="AU401" s="99" t="s">
        <v>191</v>
      </c>
      <c r="AV401" s="99" t="s">
        <v>3570</v>
      </c>
      <c r="AW401" s="99" t="s">
        <v>406</v>
      </c>
      <c r="AX401" s="99" t="s">
        <v>3420</v>
      </c>
      <c r="AY401" s="99" t="s">
        <v>252</v>
      </c>
      <c r="AZ401" s="99" t="s">
        <v>3416</v>
      </c>
      <c r="BA401" s="99" t="s">
        <v>4347</v>
      </c>
      <c r="BB401" s="99" t="s">
        <v>3369</v>
      </c>
      <c r="BC401" s="125">
        <v>33</v>
      </c>
      <c r="BD401" s="99" t="s">
        <v>3135</v>
      </c>
      <c r="BE401" s="99" t="s">
        <v>3136</v>
      </c>
    </row>
    <row r="402" spans="1:57" ht="12.95" customHeight="1">
      <c r="A402" s="124">
        <v>15</v>
      </c>
      <c r="B402" s="124">
        <v>2710</v>
      </c>
      <c r="C402" s="99" t="s">
        <v>165</v>
      </c>
      <c r="D402" s="99" t="s">
        <v>1477</v>
      </c>
      <c r="E402" s="99" t="s">
        <v>1478</v>
      </c>
      <c r="F402" s="99" t="s">
        <v>74</v>
      </c>
      <c r="G402" s="99" t="s">
        <v>75</v>
      </c>
      <c r="H402" s="99" t="s">
        <v>4314</v>
      </c>
      <c r="I402" s="99" t="s">
        <v>1520</v>
      </c>
      <c r="J402" s="99" t="s">
        <v>1622</v>
      </c>
      <c r="K402" s="99" t="s">
        <v>3218</v>
      </c>
      <c r="L402" s="99" t="s">
        <v>1623</v>
      </c>
      <c r="M402" s="99" t="s">
        <v>1</v>
      </c>
      <c r="N402" s="99" t="s">
        <v>3407</v>
      </c>
      <c r="O402" s="99" t="s">
        <v>114</v>
      </c>
      <c r="P402" s="99" t="s">
        <v>3422</v>
      </c>
      <c r="Q402" s="99" t="s">
        <v>169</v>
      </c>
      <c r="R402" s="99" t="s">
        <v>71</v>
      </c>
      <c r="S402" s="99" t="s">
        <v>2691</v>
      </c>
      <c r="T402" s="99" t="s">
        <v>49</v>
      </c>
      <c r="U402" s="99" t="s">
        <v>1008</v>
      </c>
      <c r="V402" s="99" t="s">
        <v>53</v>
      </c>
      <c r="W402" s="99" t="s">
        <v>3435</v>
      </c>
      <c r="X402" s="99" t="s">
        <v>4373</v>
      </c>
      <c r="Y402" s="99" t="s">
        <v>4374</v>
      </c>
      <c r="Z402" s="99" t="s">
        <v>172</v>
      </c>
      <c r="AA402" s="99" t="s">
        <v>173</v>
      </c>
      <c r="AB402" s="99" t="s">
        <v>174</v>
      </c>
      <c r="AC402" s="99" t="s">
        <v>3411</v>
      </c>
      <c r="AD402" s="99" t="s">
        <v>175</v>
      </c>
      <c r="AE402" s="99" t="s">
        <v>3411</v>
      </c>
      <c r="AF402" s="99" t="s">
        <v>3411</v>
      </c>
      <c r="AG402" s="124">
        <v>2710</v>
      </c>
      <c r="AH402" s="99" t="s">
        <v>3413</v>
      </c>
      <c r="AI402" s="125">
        <v>100</v>
      </c>
      <c r="AJ402" s="99" t="s">
        <v>176</v>
      </c>
      <c r="AK402" s="99" t="s">
        <v>4290</v>
      </c>
      <c r="AL402" s="99" t="s">
        <v>3411</v>
      </c>
      <c r="AM402" s="99" t="s">
        <v>177</v>
      </c>
      <c r="AN402" s="99" t="s">
        <v>3411</v>
      </c>
      <c r="AO402" s="99" t="s">
        <v>1624</v>
      </c>
      <c r="AP402" s="99" t="s">
        <v>2382</v>
      </c>
      <c r="AQ402" s="99" t="s">
        <v>88</v>
      </c>
      <c r="AR402" s="99" t="s">
        <v>1010</v>
      </c>
      <c r="AS402" s="99" t="s">
        <v>3003</v>
      </c>
      <c r="AT402" s="99" t="s">
        <v>190</v>
      </c>
      <c r="AU402" s="99" t="s">
        <v>191</v>
      </c>
      <c r="AV402" s="99" t="s">
        <v>3581</v>
      </c>
      <c r="AW402" s="99" t="s">
        <v>529</v>
      </c>
      <c r="AX402" s="99" t="s">
        <v>3420</v>
      </c>
      <c r="AY402" s="99" t="s">
        <v>252</v>
      </c>
      <c r="AZ402" s="99" t="s">
        <v>3416</v>
      </c>
      <c r="BA402" s="99" t="s">
        <v>4347</v>
      </c>
      <c r="BB402" s="99" t="s">
        <v>3369</v>
      </c>
      <c r="BC402" s="125">
        <v>57</v>
      </c>
      <c r="BD402" s="99" t="s">
        <v>3135</v>
      </c>
      <c r="BE402" s="99" t="s">
        <v>3136</v>
      </c>
    </row>
    <row r="403" spans="1:57" ht="12.95" customHeight="1">
      <c r="A403" s="124">
        <v>15</v>
      </c>
      <c r="B403" s="124">
        <v>2079</v>
      </c>
      <c r="C403" s="99" t="s">
        <v>165</v>
      </c>
      <c r="D403" s="99" t="s">
        <v>1477</v>
      </c>
      <c r="E403" s="99" t="s">
        <v>1478</v>
      </c>
      <c r="F403" s="99" t="s">
        <v>74</v>
      </c>
      <c r="G403" s="99" t="s">
        <v>75</v>
      </c>
      <c r="H403" s="99" t="s">
        <v>4314</v>
      </c>
      <c r="I403" s="99" t="s">
        <v>1520</v>
      </c>
      <c r="J403" s="99" t="s">
        <v>1625</v>
      </c>
      <c r="K403" s="99" t="s">
        <v>1626</v>
      </c>
      <c r="L403" s="99" t="s">
        <v>1627</v>
      </c>
      <c r="M403" s="99" t="s">
        <v>5</v>
      </c>
      <c r="N403" s="99" t="s">
        <v>3407</v>
      </c>
      <c r="O403" s="99" t="s">
        <v>114</v>
      </c>
      <c r="P403" s="99" t="s">
        <v>3422</v>
      </c>
      <c r="Q403" s="99" t="s">
        <v>169</v>
      </c>
      <c r="R403" s="99" t="s">
        <v>71</v>
      </c>
      <c r="S403" s="99" t="s">
        <v>2691</v>
      </c>
      <c r="T403" s="99" t="s">
        <v>49</v>
      </c>
      <c r="U403" s="99" t="s">
        <v>1492</v>
      </c>
      <c r="V403" s="99" t="s">
        <v>55</v>
      </c>
      <c r="W403" s="99" t="s">
        <v>4375</v>
      </c>
      <c r="X403" s="99" t="s">
        <v>4375</v>
      </c>
      <c r="Y403" s="99" t="s">
        <v>4376</v>
      </c>
      <c r="Z403" s="99" t="s">
        <v>172</v>
      </c>
      <c r="AA403" s="99" t="s">
        <v>173</v>
      </c>
      <c r="AB403" s="99" t="s">
        <v>174</v>
      </c>
      <c r="AC403" s="99" t="s">
        <v>3411</v>
      </c>
      <c r="AD403" s="99" t="s">
        <v>175</v>
      </c>
      <c r="AE403" s="99" t="s">
        <v>3411</v>
      </c>
      <c r="AF403" s="99" t="s">
        <v>3411</v>
      </c>
      <c r="AG403" s="124">
        <v>477</v>
      </c>
      <c r="AH403" s="99" t="s">
        <v>3413</v>
      </c>
      <c r="AI403" s="125">
        <v>100</v>
      </c>
      <c r="AJ403" s="99" t="s">
        <v>176</v>
      </c>
      <c r="AK403" s="99" t="s">
        <v>4375</v>
      </c>
      <c r="AL403" s="99" t="s">
        <v>3411</v>
      </c>
      <c r="AM403" s="99" t="s">
        <v>177</v>
      </c>
      <c r="AN403" s="99" t="s">
        <v>3411</v>
      </c>
      <c r="AO403" s="99" t="s">
        <v>1482</v>
      </c>
      <c r="AP403" s="99" t="s">
        <v>2401</v>
      </c>
      <c r="AQ403" s="99" t="s">
        <v>91</v>
      </c>
      <c r="AR403" s="99" t="s">
        <v>1010</v>
      </c>
      <c r="AS403" s="99" t="s">
        <v>1628</v>
      </c>
      <c r="AT403" s="99" t="s">
        <v>190</v>
      </c>
      <c r="AU403" s="99" t="s">
        <v>191</v>
      </c>
      <c r="AV403" s="99" t="s">
        <v>3928</v>
      </c>
      <c r="AW403" s="99" t="s">
        <v>519</v>
      </c>
      <c r="AX403" s="99" t="s">
        <v>3420</v>
      </c>
      <c r="AY403" s="99" t="s">
        <v>252</v>
      </c>
      <c r="AZ403" s="99" t="s">
        <v>3416</v>
      </c>
      <c r="BA403" s="99" t="s">
        <v>4313</v>
      </c>
      <c r="BB403" s="99" t="s">
        <v>3411</v>
      </c>
      <c r="BC403" s="125">
        <v>58</v>
      </c>
      <c r="BD403" s="99" t="s">
        <v>3135</v>
      </c>
      <c r="BE403" s="99" t="s">
        <v>3136</v>
      </c>
    </row>
    <row r="404" spans="1:57" ht="12.95" customHeight="1">
      <c r="A404" s="124">
        <v>15</v>
      </c>
      <c r="B404" s="124">
        <v>1978</v>
      </c>
      <c r="C404" s="99" t="s">
        <v>165</v>
      </c>
      <c r="D404" s="99" t="s">
        <v>1477</v>
      </c>
      <c r="E404" s="99" t="s">
        <v>1478</v>
      </c>
      <c r="F404" s="99" t="s">
        <v>74</v>
      </c>
      <c r="G404" s="99" t="s">
        <v>75</v>
      </c>
      <c r="H404" s="99" t="s">
        <v>4314</v>
      </c>
      <c r="I404" s="99" t="s">
        <v>1520</v>
      </c>
      <c r="J404" s="99" t="s">
        <v>1629</v>
      </c>
      <c r="K404" s="99" t="s">
        <v>450</v>
      </c>
      <c r="L404" s="99" t="s">
        <v>1630</v>
      </c>
      <c r="M404" s="99" t="s">
        <v>1</v>
      </c>
      <c r="N404" s="99" t="s">
        <v>3407</v>
      </c>
      <c r="O404" s="99" t="s">
        <v>114</v>
      </c>
      <c r="P404" s="99" t="s">
        <v>3422</v>
      </c>
      <c r="Q404" s="99" t="s">
        <v>169</v>
      </c>
      <c r="R404" s="99" t="s">
        <v>71</v>
      </c>
      <c r="S404" s="99" t="s">
        <v>2691</v>
      </c>
      <c r="T404" s="99" t="s">
        <v>49</v>
      </c>
      <c r="U404" s="99" t="s">
        <v>1511</v>
      </c>
      <c r="V404" s="99" t="s">
        <v>54</v>
      </c>
      <c r="W404" s="99" t="s">
        <v>4377</v>
      </c>
      <c r="X404" s="99" t="s">
        <v>4377</v>
      </c>
      <c r="Y404" s="99" t="s">
        <v>4378</v>
      </c>
      <c r="Z404" s="99" t="s">
        <v>172</v>
      </c>
      <c r="AA404" s="99" t="s">
        <v>173</v>
      </c>
      <c r="AB404" s="99" t="s">
        <v>174</v>
      </c>
      <c r="AC404" s="99" t="s">
        <v>3411</v>
      </c>
      <c r="AD404" s="99" t="s">
        <v>175</v>
      </c>
      <c r="AE404" s="99" t="s">
        <v>3411</v>
      </c>
      <c r="AF404" s="99" t="s">
        <v>3411</v>
      </c>
      <c r="AG404" s="124">
        <v>410</v>
      </c>
      <c r="AH404" s="99" t="s">
        <v>3413</v>
      </c>
      <c r="AI404" s="125">
        <v>100</v>
      </c>
      <c r="AJ404" s="99" t="s">
        <v>176</v>
      </c>
      <c r="AK404" s="99" t="s">
        <v>4377</v>
      </c>
      <c r="AL404" s="99" t="s">
        <v>3411</v>
      </c>
      <c r="AM404" s="99" t="s">
        <v>177</v>
      </c>
      <c r="AN404" s="99" t="s">
        <v>3411</v>
      </c>
      <c r="AO404" s="99" t="s">
        <v>1482</v>
      </c>
      <c r="AP404" s="99" t="s">
        <v>2599</v>
      </c>
      <c r="AQ404" s="99" t="s">
        <v>82</v>
      </c>
      <c r="AR404" s="99" t="s">
        <v>1010</v>
      </c>
      <c r="AS404" s="99" t="s">
        <v>1631</v>
      </c>
      <c r="AT404" s="99" t="s">
        <v>190</v>
      </c>
      <c r="AU404" s="99" t="s">
        <v>191</v>
      </c>
      <c r="AV404" s="99" t="s">
        <v>3414</v>
      </c>
      <c r="AW404" s="99" t="s">
        <v>180</v>
      </c>
      <c r="AX404" s="99" t="s">
        <v>5047</v>
      </c>
      <c r="AY404" s="99" t="s">
        <v>252</v>
      </c>
      <c r="AZ404" s="99" t="s">
        <v>3416</v>
      </c>
      <c r="BA404" s="99" t="s">
        <v>4317</v>
      </c>
      <c r="BB404" s="99" t="s">
        <v>3316</v>
      </c>
      <c r="BC404" s="125">
        <v>54</v>
      </c>
      <c r="BD404" s="99" t="s">
        <v>3135</v>
      </c>
      <c r="BE404" s="99" t="s">
        <v>3136</v>
      </c>
    </row>
    <row r="405" spans="1:57" ht="12.95" customHeight="1">
      <c r="A405" s="124">
        <v>15</v>
      </c>
      <c r="B405" s="124">
        <v>455</v>
      </c>
      <c r="C405" s="99" t="s">
        <v>165</v>
      </c>
      <c r="D405" s="99" t="s">
        <v>1477</v>
      </c>
      <c r="E405" s="99" t="s">
        <v>1478</v>
      </c>
      <c r="F405" s="99" t="s">
        <v>74</v>
      </c>
      <c r="G405" s="99" t="s">
        <v>75</v>
      </c>
      <c r="H405" s="99" t="s">
        <v>4314</v>
      </c>
      <c r="I405" s="99" t="s">
        <v>1520</v>
      </c>
      <c r="J405" s="99" t="s">
        <v>1632</v>
      </c>
      <c r="K405" s="99" t="s">
        <v>671</v>
      </c>
      <c r="L405" s="99" t="s">
        <v>1633</v>
      </c>
      <c r="M405" s="99" t="s">
        <v>5</v>
      </c>
      <c r="N405" s="99" t="s">
        <v>3407</v>
      </c>
      <c r="O405" s="99" t="s">
        <v>114</v>
      </c>
      <c r="P405" s="99" t="s">
        <v>3422</v>
      </c>
      <c r="Q405" s="99" t="s">
        <v>169</v>
      </c>
      <c r="R405" s="99" t="s">
        <v>71</v>
      </c>
      <c r="S405" s="99" t="s">
        <v>2691</v>
      </c>
      <c r="T405" s="99" t="s">
        <v>49</v>
      </c>
      <c r="U405" s="99" t="s">
        <v>1492</v>
      </c>
      <c r="V405" s="99" t="s">
        <v>55</v>
      </c>
      <c r="W405" s="99" t="s">
        <v>4379</v>
      </c>
      <c r="X405" s="99" t="s">
        <v>4379</v>
      </c>
      <c r="Y405" s="99" t="s">
        <v>4380</v>
      </c>
      <c r="Z405" s="99" t="s">
        <v>172</v>
      </c>
      <c r="AA405" s="99" t="s">
        <v>173</v>
      </c>
      <c r="AB405" s="99" t="s">
        <v>174</v>
      </c>
      <c r="AC405" s="99" t="s">
        <v>3411</v>
      </c>
      <c r="AD405" s="99" t="s">
        <v>175</v>
      </c>
      <c r="AE405" s="99" t="s">
        <v>3411</v>
      </c>
      <c r="AF405" s="99" t="s">
        <v>3411</v>
      </c>
      <c r="AG405" s="124">
        <v>128</v>
      </c>
      <c r="AH405" s="99" t="s">
        <v>3413</v>
      </c>
      <c r="AI405" s="125">
        <v>100</v>
      </c>
      <c r="AJ405" s="99" t="s">
        <v>176</v>
      </c>
      <c r="AK405" s="99" t="s">
        <v>4379</v>
      </c>
      <c r="AL405" s="99" t="s">
        <v>3411</v>
      </c>
      <c r="AM405" s="99" t="s">
        <v>177</v>
      </c>
      <c r="AN405" s="99" t="s">
        <v>3411</v>
      </c>
      <c r="AO405" s="99" t="s">
        <v>1482</v>
      </c>
      <c r="AP405" s="99" t="s">
        <v>2424</v>
      </c>
      <c r="AQ405" s="99" t="s">
        <v>90</v>
      </c>
      <c r="AR405" s="99" t="s">
        <v>1010</v>
      </c>
      <c r="AS405" s="99" t="s">
        <v>1634</v>
      </c>
      <c r="AT405" s="99" t="s">
        <v>190</v>
      </c>
      <c r="AU405" s="99" t="s">
        <v>191</v>
      </c>
      <c r="AV405" s="99" t="s">
        <v>3928</v>
      </c>
      <c r="AW405" s="99" t="s">
        <v>519</v>
      </c>
      <c r="AX405" s="99" t="s">
        <v>3420</v>
      </c>
      <c r="AY405" s="99" t="s">
        <v>252</v>
      </c>
      <c r="AZ405" s="99" t="s">
        <v>3416</v>
      </c>
      <c r="BA405" s="99" t="s">
        <v>4313</v>
      </c>
      <c r="BB405" s="99" t="s">
        <v>3411</v>
      </c>
      <c r="BC405" s="125">
        <v>65</v>
      </c>
      <c r="BD405" s="99" t="s">
        <v>3135</v>
      </c>
      <c r="BE405" s="99" t="s">
        <v>3136</v>
      </c>
    </row>
    <row r="406" spans="1:57" ht="12.95" customHeight="1">
      <c r="A406" s="124">
        <v>15</v>
      </c>
      <c r="B406" s="124">
        <v>2604</v>
      </c>
      <c r="C406" s="99" t="s">
        <v>165</v>
      </c>
      <c r="D406" s="99" t="s">
        <v>1477</v>
      </c>
      <c r="E406" s="99" t="s">
        <v>1478</v>
      </c>
      <c r="F406" s="99" t="s">
        <v>74</v>
      </c>
      <c r="G406" s="99" t="s">
        <v>75</v>
      </c>
      <c r="H406" s="99" t="s">
        <v>4314</v>
      </c>
      <c r="I406" s="99" t="s">
        <v>1520</v>
      </c>
      <c r="J406" s="99" t="s">
        <v>1635</v>
      </c>
      <c r="K406" s="99" t="s">
        <v>255</v>
      </c>
      <c r="L406" s="99" t="s">
        <v>1636</v>
      </c>
      <c r="M406" s="99" t="s">
        <v>5</v>
      </c>
      <c r="N406" s="99" t="s">
        <v>3407</v>
      </c>
      <c r="O406" s="99" t="s">
        <v>114</v>
      </c>
      <c r="P406" s="99" t="s">
        <v>3422</v>
      </c>
      <c r="Q406" s="99" t="s">
        <v>169</v>
      </c>
      <c r="R406" s="99" t="s">
        <v>71</v>
      </c>
      <c r="S406" s="99" t="s">
        <v>2691</v>
      </c>
      <c r="T406" s="99" t="s">
        <v>49</v>
      </c>
      <c r="U406" s="99" t="s">
        <v>1492</v>
      </c>
      <c r="V406" s="99" t="s">
        <v>55</v>
      </c>
      <c r="W406" s="99" t="s">
        <v>4381</v>
      </c>
      <c r="X406" s="99" t="s">
        <v>4381</v>
      </c>
      <c r="Y406" s="99" t="s">
        <v>4382</v>
      </c>
      <c r="Z406" s="99" t="s">
        <v>172</v>
      </c>
      <c r="AA406" s="99" t="s">
        <v>173</v>
      </c>
      <c r="AB406" s="99" t="s">
        <v>400</v>
      </c>
      <c r="AC406" s="99" t="s">
        <v>3411</v>
      </c>
      <c r="AD406" s="99" t="s">
        <v>175</v>
      </c>
      <c r="AE406" s="99" t="s">
        <v>3411</v>
      </c>
      <c r="AF406" s="99" t="s">
        <v>3411</v>
      </c>
      <c r="AG406" s="124">
        <v>2604</v>
      </c>
      <c r="AH406" s="99" t="s">
        <v>3413</v>
      </c>
      <c r="AI406" s="125">
        <v>100</v>
      </c>
      <c r="AJ406" s="99" t="s">
        <v>176</v>
      </c>
      <c r="AK406" s="99" t="s">
        <v>4381</v>
      </c>
      <c r="AL406" s="99" t="s">
        <v>3411</v>
      </c>
      <c r="AM406" s="99" t="s">
        <v>177</v>
      </c>
      <c r="AN406" s="99" t="s">
        <v>3411</v>
      </c>
      <c r="AO406" s="99" t="s">
        <v>1482</v>
      </c>
      <c r="AP406" s="99" t="s">
        <v>2599</v>
      </c>
      <c r="AQ406" s="99" t="s">
        <v>82</v>
      </c>
      <c r="AR406" s="99" t="s">
        <v>1010</v>
      </c>
      <c r="AS406" s="99" t="s">
        <v>1637</v>
      </c>
      <c r="AT406" s="99" t="s">
        <v>190</v>
      </c>
      <c r="AU406" s="99" t="s">
        <v>191</v>
      </c>
      <c r="AV406" s="99" t="s">
        <v>3581</v>
      </c>
      <c r="AW406" s="99" t="s">
        <v>529</v>
      </c>
      <c r="AX406" s="99" t="s">
        <v>3420</v>
      </c>
      <c r="AY406" s="99" t="s">
        <v>252</v>
      </c>
      <c r="AZ406" s="99" t="s">
        <v>3416</v>
      </c>
      <c r="BA406" s="99" t="s">
        <v>4317</v>
      </c>
      <c r="BB406" s="99" t="s">
        <v>3316</v>
      </c>
      <c r="BC406" s="125">
        <v>45</v>
      </c>
      <c r="BD406" s="99" t="s">
        <v>3135</v>
      </c>
      <c r="BE406" s="99" t="s">
        <v>3136</v>
      </c>
    </row>
    <row r="407" spans="1:57" ht="12.95" customHeight="1">
      <c r="A407" s="124">
        <v>15</v>
      </c>
      <c r="B407" s="124">
        <v>739</v>
      </c>
      <c r="C407" s="99" t="s">
        <v>165</v>
      </c>
      <c r="D407" s="99" t="s">
        <v>1477</v>
      </c>
      <c r="E407" s="99" t="s">
        <v>1478</v>
      </c>
      <c r="F407" s="99" t="s">
        <v>74</v>
      </c>
      <c r="G407" s="99" t="s">
        <v>75</v>
      </c>
      <c r="H407" s="99" t="s">
        <v>4314</v>
      </c>
      <c r="I407" s="99" t="s">
        <v>1520</v>
      </c>
      <c r="J407" s="99" t="s">
        <v>1638</v>
      </c>
      <c r="K407" s="99" t="s">
        <v>1639</v>
      </c>
      <c r="L407" s="99" t="s">
        <v>1640</v>
      </c>
      <c r="M407" s="99" t="s">
        <v>1</v>
      </c>
      <c r="N407" s="99" t="s">
        <v>3407</v>
      </c>
      <c r="O407" s="99" t="s">
        <v>114</v>
      </c>
      <c r="P407" s="99" t="s">
        <v>3422</v>
      </c>
      <c r="Q407" s="99" t="s">
        <v>169</v>
      </c>
      <c r="R407" s="99" t="s">
        <v>71</v>
      </c>
      <c r="S407" s="99" t="s">
        <v>2691</v>
      </c>
      <c r="T407" s="99" t="s">
        <v>49</v>
      </c>
      <c r="U407" s="99" t="s">
        <v>1551</v>
      </c>
      <c r="V407" s="99" t="s">
        <v>51</v>
      </c>
      <c r="W407" s="99" t="s">
        <v>4383</v>
      </c>
      <c r="X407" s="99" t="s">
        <v>4383</v>
      </c>
      <c r="Y407" s="99" t="s">
        <v>4384</v>
      </c>
      <c r="Z407" s="99" t="s">
        <v>172</v>
      </c>
      <c r="AA407" s="99" t="s">
        <v>173</v>
      </c>
      <c r="AB407" s="99" t="s">
        <v>174</v>
      </c>
      <c r="AC407" s="99" t="s">
        <v>3411</v>
      </c>
      <c r="AD407" s="99" t="s">
        <v>175</v>
      </c>
      <c r="AE407" s="99" t="s">
        <v>3411</v>
      </c>
      <c r="AF407" s="99" t="s">
        <v>3411</v>
      </c>
      <c r="AG407" s="124">
        <v>189</v>
      </c>
      <c r="AH407" s="99" t="s">
        <v>3413</v>
      </c>
      <c r="AI407" s="125">
        <v>100</v>
      </c>
      <c r="AJ407" s="99" t="s">
        <v>176</v>
      </c>
      <c r="AK407" s="99" t="s">
        <v>4383</v>
      </c>
      <c r="AL407" s="99" t="s">
        <v>3411</v>
      </c>
      <c r="AM407" s="99" t="s">
        <v>177</v>
      </c>
      <c r="AN407" s="99" t="s">
        <v>3411</v>
      </c>
      <c r="AO407" s="99" t="s">
        <v>1482</v>
      </c>
      <c r="AP407" s="99" t="s">
        <v>2382</v>
      </c>
      <c r="AQ407" s="99" t="s">
        <v>88</v>
      </c>
      <c r="AR407" s="99" t="s">
        <v>2719</v>
      </c>
      <c r="AS407" s="99" t="s">
        <v>1641</v>
      </c>
      <c r="AT407" s="99" t="s">
        <v>190</v>
      </c>
      <c r="AU407" s="99" t="s">
        <v>191</v>
      </c>
      <c r="AV407" s="99" t="s">
        <v>3928</v>
      </c>
      <c r="AW407" s="99" t="s">
        <v>519</v>
      </c>
      <c r="AX407" s="99" t="s">
        <v>3420</v>
      </c>
      <c r="AY407" s="99" t="s">
        <v>252</v>
      </c>
      <c r="AZ407" s="99" t="s">
        <v>3416</v>
      </c>
      <c r="BA407" s="99" t="s">
        <v>4284</v>
      </c>
      <c r="BB407" s="99" t="s">
        <v>3370</v>
      </c>
      <c r="BC407" s="125">
        <v>63</v>
      </c>
      <c r="BD407" s="99" t="s">
        <v>3135</v>
      </c>
      <c r="BE407" s="99" t="s">
        <v>3136</v>
      </c>
    </row>
    <row r="408" spans="1:57" ht="12.95" customHeight="1">
      <c r="A408" s="124">
        <v>15</v>
      </c>
      <c r="B408" s="124">
        <v>2320</v>
      </c>
      <c r="C408" s="99" t="s">
        <v>165</v>
      </c>
      <c r="D408" s="99" t="s">
        <v>1477</v>
      </c>
      <c r="E408" s="99" t="s">
        <v>1478</v>
      </c>
      <c r="F408" s="99" t="s">
        <v>74</v>
      </c>
      <c r="G408" s="99" t="s">
        <v>75</v>
      </c>
      <c r="H408" s="99" t="s">
        <v>4314</v>
      </c>
      <c r="I408" s="99" t="s">
        <v>1520</v>
      </c>
      <c r="J408" s="99" t="s">
        <v>2115</v>
      </c>
      <c r="K408" s="99" t="s">
        <v>776</v>
      </c>
      <c r="L408" s="99" t="s">
        <v>2116</v>
      </c>
      <c r="M408" s="99" t="s">
        <v>1</v>
      </c>
      <c r="N408" s="99" t="s">
        <v>3407</v>
      </c>
      <c r="O408" s="99" t="s">
        <v>114</v>
      </c>
      <c r="P408" s="99" t="s">
        <v>3422</v>
      </c>
      <c r="Q408" s="99" t="s">
        <v>169</v>
      </c>
      <c r="R408" s="99" t="s">
        <v>71</v>
      </c>
      <c r="S408" s="99" t="s">
        <v>2691</v>
      </c>
      <c r="T408" s="99" t="s">
        <v>49</v>
      </c>
      <c r="U408" s="99" t="s">
        <v>1511</v>
      </c>
      <c r="V408" s="99" t="s">
        <v>54</v>
      </c>
      <c r="W408" s="99" t="s">
        <v>4385</v>
      </c>
      <c r="X408" s="99" t="s">
        <v>4385</v>
      </c>
      <c r="Y408" s="99" t="s">
        <v>4386</v>
      </c>
      <c r="Z408" s="99" t="s">
        <v>172</v>
      </c>
      <c r="AA408" s="99" t="s">
        <v>173</v>
      </c>
      <c r="AB408" s="99" t="s">
        <v>174</v>
      </c>
      <c r="AC408" s="99" t="s">
        <v>3411</v>
      </c>
      <c r="AD408" s="99" t="s">
        <v>175</v>
      </c>
      <c r="AE408" s="99" t="s">
        <v>3411</v>
      </c>
      <c r="AF408" s="99" t="s">
        <v>3411</v>
      </c>
      <c r="AG408" s="124">
        <v>568</v>
      </c>
      <c r="AH408" s="99" t="s">
        <v>3413</v>
      </c>
      <c r="AI408" s="125">
        <v>100</v>
      </c>
      <c r="AJ408" s="99" t="s">
        <v>176</v>
      </c>
      <c r="AK408" s="99" t="s">
        <v>4385</v>
      </c>
      <c r="AL408" s="99" t="s">
        <v>3411</v>
      </c>
      <c r="AM408" s="99" t="s">
        <v>177</v>
      </c>
      <c r="AN408" s="99" t="s">
        <v>3411</v>
      </c>
      <c r="AO408" s="99" t="s">
        <v>1481</v>
      </c>
      <c r="AP408" s="99" t="s">
        <v>2604</v>
      </c>
      <c r="AQ408" s="99" t="s">
        <v>86</v>
      </c>
      <c r="AR408" s="99" t="s">
        <v>1010</v>
      </c>
      <c r="AS408" s="99" t="s">
        <v>2117</v>
      </c>
      <c r="AT408" s="99" t="s">
        <v>190</v>
      </c>
      <c r="AU408" s="99" t="s">
        <v>191</v>
      </c>
      <c r="AV408" s="99" t="s">
        <v>3581</v>
      </c>
      <c r="AW408" s="99" t="s">
        <v>529</v>
      </c>
      <c r="AX408" s="99" t="s">
        <v>3420</v>
      </c>
      <c r="AY408" s="99" t="s">
        <v>252</v>
      </c>
      <c r="AZ408" s="99" t="s">
        <v>3416</v>
      </c>
      <c r="BA408" s="99" t="s">
        <v>4293</v>
      </c>
      <c r="BB408" s="99" t="s">
        <v>3315</v>
      </c>
      <c r="BC408" s="125">
        <v>44</v>
      </c>
      <c r="BD408" s="99" t="s">
        <v>3135</v>
      </c>
      <c r="BE408" s="99" t="s">
        <v>3136</v>
      </c>
    </row>
    <row r="409" spans="1:57" ht="12.95" customHeight="1">
      <c r="A409" s="124">
        <v>15</v>
      </c>
      <c r="B409" s="124">
        <v>956</v>
      </c>
      <c r="C409" s="99" t="s">
        <v>165</v>
      </c>
      <c r="D409" s="99" t="s">
        <v>1477</v>
      </c>
      <c r="E409" s="99" t="s">
        <v>1478</v>
      </c>
      <c r="F409" s="99" t="s">
        <v>74</v>
      </c>
      <c r="G409" s="99" t="s">
        <v>75</v>
      </c>
      <c r="H409" s="99" t="s">
        <v>4314</v>
      </c>
      <c r="I409" s="99" t="s">
        <v>1520</v>
      </c>
      <c r="J409" s="99" t="s">
        <v>1642</v>
      </c>
      <c r="K409" s="99" t="s">
        <v>1643</v>
      </c>
      <c r="L409" s="99" t="s">
        <v>1644</v>
      </c>
      <c r="M409" s="99" t="s">
        <v>5</v>
      </c>
      <c r="N409" s="99" t="s">
        <v>3407</v>
      </c>
      <c r="O409" s="99" t="s">
        <v>114</v>
      </c>
      <c r="P409" s="99" t="s">
        <v>3422</v>
      </c>
      <c r="Q409" s="99" t="s">
        <v>169</v>
      </c>
      <c r="R409" s="99" t="s">
        <v>71</v>
      </c>
      <c r="S409" s="99" t="s">
        <v>2691</v>
      </c>
      <c r="T409" s="99" t="s">
        <v>49</v>
      </c>
      <c r="U409" s="99" t="s">
        <v>1480</v>
      </c>
      <c r="V409" s="99" t="s">
        <v>50</v>
      </c>
      <c r="W409" s="99" t="s">
        <v>4387</v>
      </c>
      <c r="X409" s="99" t="s">
        <v>4387</v>
      </c>
      <c r="Y409" s="99" t="s">
        <v>4388</v>
      </c>
      <c r="Z409" s="99" t="s">
        <v>172</v>
      </c>
      <c r="AA409" s="99" t="s">
        <v>173</v>
      </c>
      <c r="AB409" s="99" t="s">
        <v>174</v>
      </c>
      <c r="AC409" s="99" t="s">
        <v>3411</v>
      </c>
      <c r="AD409" s="99" t="s">
        <v>175</v>
      </c>
      <c r="AE409" s="99" t="s">
        <v>3411</v>
      </c>
      <c r="AF409" s="99" t="s">
        <v>3411</v>
      </c>
      <c r="AG409" s="124">
        <v>223</v>
      </c>
      <c r="AH409" s="99" t="s">
        <v>3413</v>
      </c>
      <c r="AI409" s="125">
        <v>100</v>
      </c>
      <c r="AJ409" s="99" t="s">
        <v>176</v>
      </c>
      <c r="AK409" s="99" t="s">
        <v>4387</v>
      </c>
      <c r="AL409" s="99" t="s">
        <v>3411</v>
      </c>
      <c r="AM409" s="99" t="s">
        <v>177</v>
      </c>
      <c r="AN409" s="99" t="s">
        <v>3411</v>
      </c>
      <c r="AO409" s="99" t="s">
        <v>1482</v>
      </c>
      <c r="AP409" s="99" t="s">
        <v>2382</v>
      </c>
      <c r="AQ409" s="99" t="s">
        <v>88</v>
      </c>
      <c r="AR409" s="99" t="s">
        <v>1010</v>
      </c>
      <c r="AS409" s="99" t="s">
        <v>1645</v>
      </c>
      <c r="AT409" s="99" t="s">
        <v>190</v>
      </c>
      <c r="AU409" s="99" t="s">
        <v>191</v>
      </c>
      <c r="AV409" s="99" t="s">
        <v>3928</v>
      </c>
      <c r="AW409" s="99" t="s">
        <v>519</v>
      </c>
      <c r="AX409" s="99" t="s">
        <v>3420</v>
      </c>
      <c r="AY409" s="99" t="s">
        <v>252</v>
      </c>
      <c r="AZ409" s="99" t="s">
        <v>3416</v>
      </c>
      <c r="BA409" s="99" t="s">
        <v>4284</v>
      </c>
      <c r="BB409" s="99" t="s">
        <v>3370</v>
      </c>
      <c r="BC409" s="125">
        <v>60</v>
      </c>
      <c r="BD409" s="99" t="s">
        <v>3135</v>
      </c>
      <c r="BE409" s="99" t="s">
        <v>3136</v>
      </c>
    </row>
    <row r="410" spans="1:57" ht="12.95" customHeight="1">
      <c r="A410" s="124">
        <v>15</v>
      </c>
      <c r="B410" s="124">
        <v>513</v>
      </c>
      <c r="C410" s="99" t="s">
        <v>165</v>
      </c>
      <c r="D410" s="99" t="s">
        <v>1477</v>
      </c>
      <c r="E410" s="99" t="s">
        <v>1478</v>
      </c>
      <c r="F410" s="99" t="s">
        <v>74</v>
      </c>
      <c r="G410" s="99" t="s">
        <v>75</v>
      </c>
      <c r="H410" s="99" t="s">
        <v>4314</v>
      </c>
      <c r="I410" s="99" t="s">
        <v>1520</v>
      </c>
      <c r="J410" s="99" t="s">
        <v>1646</v>
      </c>
      <c r="K410" s="99" t="s">
        <v>1647</v>
      </c>
      <c r="L410" s="99" t="s">
        <v>1648</v>
      </c>
      <c r="M410" s="99" t="s">
        <v>1</v>
      </c>
      <c r="N410" s="99" t="s">
        <v>3407</v>
      </c>
      <c r="O410" s="99" t="s">
        <v>114</v>
      </c>
      <c r="P410" s="99" t="s">
        <v>3422</v>
      </c>
      <c r="Q410" s="99" t="s">
        <v>169</v>
      </c>
      <c r="R410" s="99" t="s">
        <v>71</v>
      </c>
      <c r="S410" s="99" t="s">
        <v>2691</v>
      </c>
      <c r="T410" s="99" t="s">
        <v>49</v>
      </c>
      <c r="U410" s="99" t="s">
        <v>1008</v>
      </c>
      <c r="V410" s="99" t="s">
        <v>53</v>
      </c>
      <c r="W410" s="99" t="s">
        <v>4389</v>
      </c>
      <c r="X410" s="99" t="s">
        <v>4389</v>
      </c>
      <c r="Y410" s="99" t="s">
        <v>4390</v>
      </c>
      <c r="Z410" s="99" t="s">
        <v>172</v>
      </c>
      <c r="AA410" s="99" t="s">
        <v>173</v>
      </c>
      <c r="AB410" s="99" t="s">
        <v>174</v>
      </c>
      <c r="AC410" s="99" t="s">
        <v>3411</v>
      </c>
      <c r="AD410" s="99" t="s">
        <v>175</v>
      </c>
      <c r="AE410" s="99" t="s">
        <v>3411</v>
      </c>
      <c r="AF410" s="99" t="s">
        <v>3411</v>
      </c>
      <c r="AG410" s="124">
        <v>296</v>
      </c>
      <c r="AH410" s="99" t="s">
        <v>3413</v>
      </c>
      <c r="AI410" s="125">
        <v>100</v>
      </c>
      <c r="AJ410" s="99" t="s">
        <v>176</v>
      </c>
      <c r="AK410" s="99" t="s">
        <v>4389</v>
      </c>
      <c r="AL410" s="99" t="s">
        <v>3411</v>
      </c>
      <c r="AM410" s="99" t="s">
        <v>177</v>
      </c>
      <c r="AN410" s="99" t="s">
        <v>3411</v>
      </c>
      <c r="AO410" s="99" t="s">
        <v>1482</v>
      </c>
      <c r="AP410" s="99" t="s">
        <v>2401</v>
      </c>
      <c r="AQ410" s="99" t="s">
        <v>91</v>
      </c>
      <c r="AR410" s="99" t="s">
        <v>3411</v>
      </c>
      <c r="AS410" s="99" t="s">
        <v>1649</v>
      </c>
      <c r="AT410" s="99" t="s">
        <v>190</v>
      </c>
      <c r="AU410" s="99" t="s">
        <v>191</v>
      </c>
      <c r="AV410" s="99" t="s">
        <v>3928</v>
      </c>
      <c r="AW410" s="99" t="s">
        <v>519</v>
      </c>
      <c r="AX410" s="99" t="s">
        <v>3420</v>
      </c>
      <c r="AY410" s="99" t="s">
        <v>252</v>
      </c>
      <c r="AZ410" s="99" t="s">
        <v>3416</v>
      </c>
      <c r="BA410" s="99" t="s">
        <v>4313</v>
      </c>
      <c r="BB410" s="99" t="s">
        <v>3411</v>
      </c>
      <c r="BC410" s="125">
        <v>58</v>
      </c>
      <c r="BD410" s="99" t="s">
        <v>3135</v>
      </c>
      <c r="BE410" s="99" t="s">
        <v>3136</v>
      </c>
    </row>
    <row r="411" spans="1:57" ht="12.95" customHeight="1">
      <c r="A411" s="124">
        <v>15</v>
      </c>
      <c r="B411" s="124">
        <v>1922</v>
      </c>
      <c r="C411" s="99" t="s">
        <v>165</v>
      </c>
      <c r="D411" s="99" t="s">
        <v>1477</v>
      </c>
      <c r="E411" s="99" t="s">
        <v>1478</v>
      </c>
      <c r="F411" s="99" t="s">
        <v>74</v>
      </c>
      <c r="G411" s="99" t="s">
        <v>75</v>
      </c>
      <c r="H411" s="99" t="s">
        <v>4314</v>
      </c>
      <c r="I411" s="99" t="s">
        <v>1520</v>
      </c>
      <c r="J411" s="99" t="s">
        <v>1653</v>
      </c>
      <c r="K411" s="99" t="s">
        <v>1654</v>
      </c>
      <c r="L411" s="99" t="s">
        <v>1655</v>
      </c>
      <c r="M411" s="99" t="s">
        <v>1</v>
      </c>
      <c r="N411" s="99" t="s">
        <v>3407</v>
      </c>
      <c r="O411" s="99" t="s">
        <v>114</v>
      </c>
      <c r="P411" s="99" t="s">
        <v>3422</v>
      </c>
      <c r="Q411" s="99" t="s">
        <v>169</v>
      </c>
      <c r="R411" s="99" t="s">
        <v>71</v>
      </c>
      <c r="S411" s="99" t="s">
        <v>2691</v>
      </c>
      <c r="T411" s="99" t="s">
        <v>49</v>
      </c>
      <c r="U411" s="99" t="s">
        <v>1511</v>
      </c>
      <c r="V411" s="99" t="s">
        <v>54</v>
      </c>
      <c r="W411" s="99" t="s">
        <v>4391</v>
      </c>
      <c r="X411" s="99" t="s">
        <v>4391</v>
      </c>
      <c r="Y411" s="99" t="s">
        <v>4392</v>
      </c>
      <c r="Z411" s="99" t="s">
        <v>172</v>
      </c>
      <c r="AA411" s="99" t="s">
        <v>173</v>
      </c>
      <c r="AB411" s="99" t="s">
        <v>174</v>
      </c>
      <c r="AC411" s="99" t="s">
        <v>3411</v>
      </c>
      <c r="AD411" s="99" t="s">
        <v>175</v>
      </c>
      <c r="AE411" s="99" t="s">
        <v>3411</v>
      </c>
      <c r="AF411" s="99" t="s">
        <v>3411</v>
      </c>
      <c r="AG411" s="124">
        <v>381</v>
      </c>
      <c r="AH411" s="99" t="s">
        <v>3413</v>
      </c>
      <c r="AI411" s="125">
        <v>100</v>
      </c>
      <c r="AJ411" s="99" t="s">
        <v>176</v>
      </c>
      <c r="AK411" s="99" t="s">
        <v>4393</v>
      </c>
      <c r="AL411" s="99" t="s">
        <v>3411</v>
      </c>
      <c r="AM411" s="99" t="s">
        <v>177</v>
      </c>
      <c r="AN411" s="99" t="s">
        <v>3411</v>
      </c>
      <c r="AO411" s="99" t="s">
        <v>1482</v>
      </c>
      <c r="AP411" s="99" t="s">
        <v>2601</v>
      </c>
      <c r="AQ411" s="99" t="s">
        <v>84</v>
      </c>
      <c r="AR411" s="99" t="s">
        <v>3411</v>
      </c>
      <c r="AS411" s="99" t="s">
        <v>1656</v>
      </c>
      <c r="AT411" s="99" t="s">
        <v>190</v>
      </c>
      <c r="AU411" s="99" t="s">
        <v>191</v>
      </c>
      <c r="AV411" s="99" t="s">
        <v>3581</v>
      </c>
      <c r="AW411" s="99" t="s">
        <v>529</v>
      </c>
      <c r="AX411" s="99" t="s">
        <v>3420</v>
      </c>
      <c r="AY411" s="99" t="s">
        <v>252</v>
      </c>
      <c r="AZ411" s="99" t="s">
        <v>3416</v>
      </c>
      <c r="BA411" s="99" t="s">
        <v>4313</v>
      </c>
      <c r="BB411" s="99" t="s">
        <v>3411</v>
      </c>
      <c r="BC411" s="125">
        <v>53</v>
      </c>
      <c r="BD411" s="99" t="s">
        <v>3135</v>
      </c>
      <c r="BE411" s="99" t="s">
        <v>3136</v>
      </c>
    </row>
    <row r="412" spans="1:57" ht="12.95" customHeight="1">
      <c r="A412" s="124">
        <v>15</v>
      </c>
      <c r="B412" s="124">
        <v>1773</v>
      </c>
      <c r="C412" s="99" t="s">
        <v>165</v>
      </c>
      <c r="D412" s="99" t="s">
        <v>1477</v>
      </c>
      <c r="E412" s="99" t="s">
        <v>1478</v>
      </c>
      <c r="F412" s="99" t="s">
        <v>74</v>
      </c>
      <c r="G412" s="99" t="s">
        <v>75</v>
      </c>
      <c r="H412" s="99" t="s">
        <v>4314</v>
      </c>
      <c r="I412" s="99" t="s">
        <v>1520</v>
      </c>
      <c r="J412" s="99" t="s">
        <v>1657</v>
      </c>
      <c r="K412" s="99" t="s">
        <v>1195</v>
      </c>
      <c r="L412" s="99" t="s">
        <v>1658</v>
      </c>
      <c r="M412" s="99" t="s">
        <v>5</v>
      </c>
      <c r="N412" s="99" t="s">
        <v>3407</v>
      </c>
      <c r="O412" s="99" t="s">
        <v>114</v>
      </c>
      <c r="P412" s="99" t="s">
        <v>3422</v>
      </c>
      <c r="Q412" s="99" t="s">
        <v>169</v>
      </c>
      <c r="R412" s="99" t="s">
        <v>71</v>
      </c>
      <c r="S412" s="99" t="s">
        <v>2691</v>
      </c>
      <c r="T412" s="99" t="s">
        <v>49</v>
      </c>
      <c r="U412" s="99" t="s">
        <v>1492</v>
      </c>
      <c r="V412" s="99" t="s">
        <v>55</v>
      </c>
      <c r="W412" s="99" t="s">
        <v>4394</v>
      </c>
      <c r="X412" s="99" t="s">
        <v>4394</v>
      </c>
      <c r="Y412" s="99" t="s">
        <v>4395</v>
      </c>
      <c r="Z412" s="99" t="s">
        <v>172</v>
      </c>
      <c r="AA412" s="99" t="s">
        <v>173</v>
      </c>
      <c r="AB412" s="99" t="s">
        <v>174</v>
      </c>
      <c r="AC412" s="99" t="s">
        <v>3411</v>
      </c>
      <c r="AD412" s="99" t="s">
        <v>175</v>
      </c>
      <c r="AE412" s="99" t="s">
        <v>3411</v>
      </c>
      <c r="AF412" s="99" t="s">
        <v>3411</v>
      </c>
      <c r="AG412" s="124">
        <v>349</v>
      </c>
      <c r="AH412" s="99" t="s">
        <v>3413</v>
      </c>
      <c r="AI412" s="125">
        <v>100</v>
      </c>
      <c r="AJ412" s="99" t="s">
        <v>176</v>
      </c>
      <c r="AK412" s="99" t="s">
        <v>4394</v>
      </c>
      <c r="AL412" s="99" t="s">
        <v>3411</v>
      </c>
      <c r="AM412" s="99" t="s">
        <v>177</v>
      </c>
      <c r="AN412" s="99" t="s">
        <v>3411</v>
      </c>
      <c r="AO412" s="99" t="s">
        <v>1482</v>
      </c>
      <c r="AP412" s="99" t="s">
        <v>2424</v>
      </c>
      <c r="AQ412" s="99" t="s">
        <v>90</v>
      </c>
      <c r="AR412" s="99" t="s">
        <v>1010</v>
      </c>
      <c r="AS412" s="99" t="s">
        <v>1659</v>
      </c>
      <c r="AT412" s="99" t="s">
        <v>190</v>
      </c>
      <c r="AU412" s="99" t="s">
        <v>191</v>
      </c>
      <c r="AV412" s="99" t="s">
        <v>3581</v>
      </c>
      <c r="AW412" s="99" t="s">
        <v>529</v>
      </c>
      <c r="AX412" s="99" t="s">
        <v>3420</v>
      </c>
      <c r="AY412" s="99" t="s">
        <v>252</v>
      </c>
      <c r="AZ412" s="99" t="s">
        <v>3416</v>
      </c>
      <c r="BA412" s="99" t="s">
        <v>4313</v>
      </c>
      <c r="BB412" s="99" t="s">
        <v>3411</v>
      </c>
      <c r="BC412" s="125">
        <v>53</v>
      </c>
      <c r="BD412" s="99" t="s">
        <v>3135</v>
      </c>
      <c r="BE412" s="99" t="s">
        <v>3136</v>
      </c>
    </row>
    <row r="413" spans="1:57" ht="12.95" customHeight="1">
      <c r="A413" s="124">
        <v>15</v>
      </c>
      <c r="B413" s="124">
        <v>1979</v>
      </c>
      <c r="C413" s="99" t="s">
        <v>165</v>
      </c>
      <c r="D413" s="99" t="s">
        <v>1477</v>
      </c>
      <c r="E413" s="99" t="s">
        <v>1478</v>
      </c>
      <c r="F413" s="99" t="s">
        <v>74</v>
      </c>
      <c r="G413" s="99" t="s">
        <v>75</v>
      </c>
      <c r="H413" s="99" t="s">
        <v>4314</v>
      </c>
      <c r="I413" s="99" t="s">
        <v>1520</v>
      </c>
      <c r="J413" s="99" t="s">
        <v>1879</v>
      </c>
      <c r="K413" s="99" t="s">
        <v>267</v>
      </c>
      <c r="L413" s="99" t="s">
        <v>1880</v>
      </c>
      <c r="M413" s="99" t="s">
        <v>1</v>
      </c>
      <c r="N413" s="99" t="s">
        <v>3407</v>
      </c>
      <c r="O413" s="99" t="s">
        <v>114</v>
      </c>
      <c r="P413" s="99" t="s">
        <v>4396</v>
      </c>
      <c r="Q413" s="99" t="s">
        <v>169</v>
      </c>
      <c r="R413" s="99" t="s">
        <v>71</v>
      </c>
      <c r="S413" s="99" t="s">
        <v>2691</v>
      </c>
      <c r="T413" s="99" t="s">
        <v>49</v>
      </c>
      <c r="U413" s="99" t="s">
        <v>1551</v>
      </c>
      <c r="V413" s="99" t="s">
        <v>51</v>
      </c>
      <c r="W413" s="99" t="s">
        <v>4377</v>
      </c>
      <c r="X413" s="99" t="s">
        <v>4377</v>
      </c>
      <c r="Y413" s="99" t="s">
        <v>4397</v>
      </c>
      <c r="Z413" s="99" t="s">
        <v>172</v>
      </c>
      <c r="AA413" s="99" t="s">
        <v>173</v>
      </c>
      <c r="AB413" s="99" t="s">
        <v>174</v>
      </c>
      <c r="AC413" s="99" t="s">
        <v>3411</v>
      </c>
      <c r="AD413" s="99" t="s">
        <v>175</v>
      </c>
      <c r="AE413" s="99" t="s">
        <v>3411</v>
      </c>
      <c r="AF413" s="99" t="s">
        <v>3411</v>
      </c>
      <c r="AG413" s="124">
        <v>411</v>
      </c>
      <c r="AH413" s="99" t="s">
        <v>3413</v>
      </c>
      <c r="AI413" s="125">
        <v>100</v>
      </c>
      <c r="AJ413" s="99" t="s">
        <v>176</v>
      </c>
      <c r="AK413" s="99" t="s">
        <v>4377</v>
      </c>
      <c r="AL413" s="99" t="s">
        <v>3411</v>
      </c>
      <c r="AM413" s="99" t="s">
        <v>177</v>
      </c>
      <c r="AN413" s="99" t="s">
        <v>3411</v>
      </c>
      <c r="AO413" s="99" t="s">
        <v>1482</v>
      </c>
      <c r="AP413" s="99" t="s">
        <v>2604</v>
      </c>
      <c r="AQ413" s="99" t="s">
        <v>86</v>
      </c>
      <c r="AR413" s="99" t="s">
        <v>3411</v>
      </c>
      <c r="AS413" s="99" t="s">
        <v>1881</v>
      </c>
      <c r="AT413" s="99" t="s">
        <v>190</v>
      </c>
      <c r="AU413" s="99" t="s">
        <v>191</v>
      </c>
      <c r="AV413" s="99" t="s">
        <v>3928</v>
      </c>
      <c r="AW413" s="99" t="s">
        <v>519</v>
      </c>
      <c r="AX413" s="99" t="s">
        <v>3420</v>
      </c>
      <c r="AY413" s="99" t="s">
        <v>252</v>
      </c>
      <c r="AZ413" s="99" t="s">
        <v>3416</v>
      </c>
      <c r="BA413" s="99" t="s">
        <v>4284</v>
      </c>
      <c r="BB413" s="99" t="s">
        <v>3370</v>
      </c>
      <c r="BC413" s="125">
        <v>57</v>
      </c>
      <c r="BD413" s="99" t="s">
        <v>3135</v>
      </c>
      <c r="BE413" s="99" t="s">
        <v>3136</v>
      </c>
    </row>
    <row r="414" spans="1:57" ht="12.95" customHeight="1">
      <c r="A414" s="124">
        <v>15</v>
      </c>
      <c r="B414" s="124">
        <v>2075</v>
      </c>
      <c r="C414" s="99" t="s">
        <v>165</v>
      </c>
      <c r="D414" s="99" t="s">
        <v>1477</v>
      </c>
      <c r="E414" s="99" t="s">
        <v>1478</v>
      </c>
      <c r="F414" s="99" t="s">
        <v>74</v>
      </c>
      <c r="G414" s="99" t="s">
        <v>75</v>
      </c>
      <c r="H414" s="99" t="s">
        <v>4314</v>
      </c>
      <c r="I414" s="99" t="s">
        <v>1520</v>
      </c>
      <c r="J414" s="99" t="s">
        <v>1660</v>
      </c>
      <c r="K414" s="99" t="s">
        <v>409</v>
      </c>
      <c r="L414" s="99" t="s">
        <v>1661</v>
      </c>
      <c r="M414" s="99" t="s">
        <v>5</v>
      </c>
      <c r="N414" s="99" t="s">
        <v>3407</v>
      </c>
      <c r="O414" s="99" t="s">
        <v>114</v>
      </c>
      <c r="P414" s="99" t="s">
        <v>3422</v>
      </c>
      <c r="Q414" s="99" t="s">
        <v>169</v>
      </c>
      <c r="R414" s="99" t="s">
        <v>71</v>
      </c>
      <c r="S414" s="99" t="s">
        <v>2691</v>
      </c>
      <c r="T414" s="99" t="s">
        <v>49</v>
      </c>
      <c r="U414" s="99" t="s">
        <v>1492</v>
      </c>
      <c r="V414" s="99" t="s">
        <v>55</v>
      </c>
      <c r="W414" s="99" t="s">
        <v>4398</v>
      </c>
      <c r="X414" s="99" t="s">
        <v>4398</v>
      </c>
      <c r="Y414" s="99" t="s">
        <v>4399</v>
      </c>
      <c r="Z414" s="99" t="s">
        <v>172</v>
      </c>
      <c r="AA414" s="99" t="s">
        <v>173</v>
      </c>
      <c r="AB414" s="99" t="s">
        <v>174</v>
      </c>
      <c r="AC414" s="99" t="s">
        <v>3411</v>
      </c>
      <c r="AD414" s="99" t="s">
        <v>175</v>
      </c>
      <c r="AE414" s="99" t="s">
        <v>3411</v>
      </c>
      <c r="AF414" s="99" t="s">
        <v>3411</v>
      </c>
      <c r="AG414" s="124">
        <v>473</v>
      </c>
      <c r="AH414" s="99" t="s">
        <v>3413</v>
      </c>
      <c r="AI414" s="125">
        <v>100</v>
      </c>
      <c r="AJ414" s="99" t="s">
        <v>176</v>
      </c>
      <c r="AK414" s="99" t="s">
        <v>4398</v>
      </c>
      <c r="AL414" s="99" t="s">
        <v>3411</v>
      </c>
      <c r="AM414" s="99" t="s">
        <v>177</v>
      </c>
      <c r="AN414" s="99" t="s">
        <v>3411</v>
      </c>
      <c r="AO414" s="99" t="s">
        <v>1482</v>
      </c>
      <c r="AP414" s="99" t="s">
        <v>2401</v>
      </c>
      <c r="AQ414" s="99" t="s">
        <v>91</v>
      </c>
      <c r="AR414" s="99" t="s">
        <v>1010</v>
      </c>
      <c r="AS414" s="99" t="s">
        <v>1662</v>
      </c>
      <c r="AT414" s="99" t="s">
        <v>190</v>
      </c>
      <c r="AU414" s="99" t="s">
        <v>191</v>
      </c>
      <c r="AV414" s="99" t="s">
        <v>3928</v>
      </c>
      <c r="AW414" s="99" t="s">
        <v>519</v>
      </c>
      <c r="AX414" s="99" t="s">
        <v>3420</v>
      </c>
      <c r="AY414" s="99" t="s">
        <v>252</v>
      </c>
      <c r="AZ414" s="99" t="s">
        <v>3416</v>
      </c>
      <c r="BA414" s="99" t="s">
        <v>4313</v>
      </c>
      <c r="BB414" s="99" t="s">
        <v>3411</v>
      </c>
      <c r="BC414" s="125">
        <v>63</v>
      </c>
      <c r="BD414" s="99" t="s">
        <v>3135</v>
      </c>
      <c r="BE414" s="99" t="s">
        <v>3136</v>
      </c>
    </row>
    <row r="415" spans="1:57" ht="12.95" customHeight="1">
      <c r="A415" s="124">
        <v>15</v>
      </c>
      <c r="B415" s="124">
        <v>1961</v>
      </c>
      <c r="C415" s="99" t="s">
        <v>165</v>
      </c>
      <c r="D415" s="99" t="s">
        <v>1477</v>
      </c>
      <c r="E415" s="99" t="s">
        <v>1478</v>
      </c>
      <c r="F415" s="99" t="s">
        <v>74</v>
      </c>
      <c r="G415" s="99" t="s">
        <v>75</v>
      </c>
      <c r="H415" s="99" t="s">
        <v>4314</v>
      </c>
      <c r="I415" s="99" t="s">
        <v>1520</v>
      </c>
      <c r="J415" s="99" t="s">
        <v>1664</v>
      </c>
      <c r="K415" s="99" t="s">
        <v>1024</v>
      </c>
      <c r="L415" s="99" t="s">
        <v>1665</v>
      </c>
      <c r="M415" s="99" t="s">
        <v>5</v>
      </c>
      <c r="N415" s="99" t="s">
        <v>3407</v>
      </c>
      <c r="O415" s="99" t="s">
        <v>114</v>
      </c>
      <c r="P415" s="99" t="s">
        <v>3422</v>
      </c>
      <c r="Q415" s="99" t="s">
        <v>169</v>
      </c>
      <c r="R415" s="99" t="s">
        <v>71</v>
      </c>
      <c r="S415" s="99" t="s">
        <v>2691</v>
      </c>
      <c r="T415" s="99" t="s">
        <v>49</v>
      </c>
      <c r="U415" s="99" t="s">
        <v>1511</v>
      </c>
      <c r="V415" s="99" t="s">
        <v>54</v>
      </c>
      <c r="W415" s="99" t="s">
        <v>3926</v>
      </c>
      <c r="X415" s="99" t="s">
        <v>3926</v>
      </c>
      <c r="Y415" s="99" t="s">
        <v>4400</v>
      </c>
      <c r="Z415" s="99" t="s">
        <v>172</v>
      </c>
      <c r="AA415" s="99" t="s">
        <v>173</v>
      </c>
      <c r="AB415" s="99" t="s">
        <v>174</v>
      </c>
      <c r="AC415" s="99" t="s">
        <v>3411</v>
      </c>
      <c r="AD415" s="99" t="s">
        <v>175</v>
      </c>
      <c r="AE415" s="99" t="s">
        <v>3411</v>
      </c>
      <c r="AF415" s="99" t="s">
        <v>3411</v>
      </c>
      <c r="AG415" s="124">
        <v>403</v>
      </c>
      <c r="AH415" s="99" t="s">
        <v>3413</v>
      </c>
      <c r="AI415" s="125">
        <v>100</v>
      </c>
      <c r="AJ415" s="99" t="s">
        <v>176</v>
      </c>
      <c r="AK415" s="99" t="s">
        <v>3926</v>
      </c>
      <c r="AL415" s="99" t="s">
        <v>3411</v>
      </c>
      <c r="AM415" s="99" t="s">
        <v>177</v>
      </c>
      <c r="AN415" s="99" t="s">
        <v>3411</v>
      </c>
      <c r="AO415" s="99" t="s">
        <v>1482</v>
      </c>
      <c r="AP415" s="99" t="s">
        <v>2599</v>
      </c>
      <c r="AQ415" s="99" t="s">
        <v>82</v>
      </c>
      <c r="AR415" s="99" t="s">
        <v>3411</v>
      </c>
      <c r="AS415" s="99" t="s">
        <v>1666</v>
      </c>
      <c r="AT415" s="99" t="s">
        <v>190</v>
      </c>
      <c r="AU415" s="99" t="s">
        <v>191</v>
      </c>
      <c r="AV415" s="99" t="s">
        <v>3928</v>
      </c>
      <c r="AW415" s="99" t="s">
        <v>519</v>
      </c>
      <c r="AX415" s="99" t="s">
        <v>3420</v>
      </c>
      <c r="AY415" s="99" t="s">
        <v>252</v>
      </c>
      <c r="AZ415" s="99" t="s">
        <v>3416</v>
      </c>
      <c r="BA415" s="99" t="s">
        <v>4317</v>
      </c>
      <c r="BB415" s="99" t="s">
        <v>3316</v>
      </c>
      <c r="BC415" s="125">
        <v>59</v>
      </c>
      <c r="BD415" s="99" t="s">
        <v>3135</v>
      </c>
      <c r="BE415" s="99" t="s">
        <v>3136</v>
      </c>
    </row>
    <row r="416" spans="1:57" ht="12.95" customHeight="1">
      <c r="A416" s="124">
        <v>15</v>
      </c>
      <c r="B416" s="124">
        <v>866</v>
      </c>
      <c r="C416" s="99" t="s">
        <v>165</v>
      </c>
      <c r="D416" s="99" t="s">
        <v>1477</v>
      </c>
      <c r="E416" s="99" t="s">
        <v>1478</v>
      </c>
      <c r="F416" s="99" t="s">
        <v>74</v>
      </c>
      <c r="G416" s="99" t="s">
        <v>75</v>
      </c>
      <c r="H416" s="99" t="s">
        <v>4314</v>
      </c>
      <c r="I416" s="99" t="s">
        <v>1520</v>
      </c>
      <c r="J416" s="99" t="s">
        <v>1960</v>
      </c>
      <c r="K416" s="99" t="s">
        <v>1961</v>
      </c>
      <c r="L416" s="99" t="s">
        <v>1962</v>
      </c>
      <c r="M416" s="99" t="s">
        <v>5</v>
      </c>
      <c r="N416" s="99" t="s">
        <v>3407</v>
      </c>
      <c r="O416" s="99" t="s">
        <v>114</v>
      </c>
      <c r="P416" s="99" t="s">
        <v>3422</v>
      </c>
      <c r="Q416" s="99" t="s">
        <v>169</v>
      </c>
      <c r="R416" s="99" t="s">
        <v>71</v>
      </c>
      <c r="S416" s="99" t="s">
        <v>2691</v>
      </c>
      <c r="T416" s="99" t="s">
        <v>49</v>
      </c>
      <c r="U416" s="99" t="s">
        <v>1492</v>
      </c>
      <c r="V416" s="99" t="s">
        <v>55</v>
      </c>
      <c r="W416" s="99" t="s">
        <v>4401</v>
      </c>
      <c r="X416" s="99" t="s">
        <v>4401</v>
      </c>
      <c r="Y416" s="99" t="s">
        <v>4402</v>
      </c>
      <c r="Z416" s="99" t="s">
        <v>172</v>
      </c>
      <c r="AA416" s="99" t="s">
        <v>173</v>
      </c>
      <c r="AB416" s="99" t="s">
        <v>174</v>
      </c>
      <c r="AC416" s="99" t="s">
        <v>3411</v>
      </c>
      <c r="AD416" s="99" t="s">
        <v>175</v>
      </c>
      <c r="AE416" s="99" t="s">
        <v>3411</v>
      </c>
      <c r="AF416" s="99" t="s">
        <v>3411</v>
      </c>
      <c r="AG416" s="124">
        <v>205</v>
      </c>
      <c r="AH416" s="99" t="s">
        <v>3413</v>
      </c>
      <c r="AI416" s="125">
        <v>100</v>
      </c>
      <c r="AJ416" s="99" t="s">
        <v>176</v>
      </c>
      <c r="AK416" s="99" t="s">
        <v>4401</v>
      </c>
      <c r="AL416" s="99" t="s">
        <v>3411</v>
      </c>
      <c r="AM416" s="99" t="s">
        <v>177</v>
      </c>
      <c r="AN416" s="99" t="s">
        <v>3411</v>
      </c>
      <c r="AO416" s="99" t="s">
        <v>1482</v>
      </c>
      <c r="AP416" s="99" t="s">
        <v>2401</v>
      </c>
      <c r="AQ416" s="99" t="s">
        <v>91</v>
      </c>
      <c r="AR416" s="99" t="s">
        <v>1010</v>
      </c>
      <c r="AS416" s="99" t="s">
        <v>1963</v>
      </c>
      <c r="AT416" s="99" t="s">
        <v>190</v>
      </c>
      <c r="AU416" s="99" t="s">
        <v>191</v>
      </c>
      <c r="AV416" s="99" t="s">
        <v>3928</v>
      </c>
      <c r="AW416" s="99" t="s">
        <v>519</v>
      </c>
      <c r="AX416" s="99" t="s">
        <v>3420</v>
      </c>
      <c r="AY416" s="99" t="s">
        <v>252</v>
      </c>
      <c r="AZ416" s="99" t="s">
        <v>3416</v>
      </c>
      <c r="BA416" s="99" t="s">
        <v>4313</v>
      </c>
      <c r="BB416" s="99" t="s">
        <v>3411</v>
      </c>
      <c r="BC416" s="125">
        <v>59</v>
      </c>
      <c r="BD416" s="99" t="s">
        <v>3135</v>
      </c>
      <c r="BE416" s="99" t="s">
        <v>3136</v>
      </c>
    </row>
    <row r="417" spans="1:57" ht="12.95" customHeight="1">
      <c r="A417" s="124">
        <v>15</v>
      </c>
      <c r="B417" s="124">
        <v>2264</v>
      </c>
      <c r="C417" s="99" t="s">
        <v>165</v>
      </c>
      <c r="D417" s="99" t="s">
        <v>1477</v>
      </c>
      <c r="E417" s="99" t="s">
        <v>1478</v>
      </c>
      <c r="F417" s="99" t="s">
        <v>74</v>
      </c>
      <c r="G417" s="99" t="s">
        <v>75</v>
      </c>
      <c r="H417" s="99" t="s">
        <v>4314</v>
      </c>
      <c r="I417" s="99" t="s">
        <v>1520</v>
      </c>
      <c r="J417" s="99" t="s">
        <v>619</v>
      </c>
      <c r="K417" s="99" t="s">
        <v>278</v>
      </c>
      <c r="L417" s="99" t="s">
        <v>1671</v>
      </c>
      <c r="M417" s="99" t="s">
        <v>5</v>
      </c>
      <c r="N417" s="99" t="s">
        <v>3407</v>
      </c>
      <c r="O417" s="99" t="s">
        <v>114</v>
      </c>
      <c r="P417" s="99" t="s">
        <v>3422</v>
      </c>
      <c r="Q417" s="99" t="s">
        <v>169</v>
      </c>
      <c r="R417" s="99" t="s">
        <v>71</v>
      </c>
      <c r="S417" s="99" t="s">
        <v>2691</v>
      </c>
      <c r="T417" s="99" t="s">
        <v>49</v>
      </c>
      <c r="U417" s="99" t="s">
        <v>1008</v>
      </c>
      <c r="V417" s="99" t="s">
        <v>53</v>
      </c>
      <c r="W417" s="99" t="s">
        <v>4403</v>
      </c>
      <c r="X417" s="99" t="s">
        <v>4403</v>
      </c>
      <c r="Y417" s="99" t="s">
        <v>4404</v>
      </c>
      <c r="Z417" s="99" t="s">
        <v>172</v>
      </c>
      <c r="AA417" s="99" t="s">
        <v>173</v>
      </c>
      <c r="AB417" s="99" t="s">
        <v>174</v>
      </c>
      <c r="AC417" s="99" t="s">
        <v>3411</v>
      </c>
      <c r="AD417" s="99" t="s">
        <v>175</v>
      </c>
      <c r="AE417" s="99" t="s">
        <v>3411</v>
      </c>
      <c r="AF417" s="99" t="s">
        <v>3411</v>
      </c>
      <c r="AG417" s="124">
        <v>541</v>
      </c>
      <c r="AH417" s="99" t="s">
        <v>3413</v>
      </c>
      <c r="AI417" s="125">
        <v>100</v>
      </c>
      <c r="AJ417" s="99" t="s">
        <v>176</v>
      </c>
      <c r="AK417" s="99" t="s">
        <v>4403</v>
      </c>
      <c r="AL417" s="99" t="s">
        <v>3411</v>
      </c>
      <c r="AM417" s="99" t="s">
        <v>177</v>
      </c>
      <c r="AN417" s="99" t="s">
        <v>3411</v>
      </c>
      <c r="AO417" s="99" t="s">
        <v>1482</v>
      </c>
      <c r="AP417" s="99" t="s">
        <v>2382</v>
      </c>
      <c r="AQ417" s="99" t="s">
        <v>88</v>
      </c>
      <c r="AR417" s="99" t="s">
        <v>2719</v>
      </c>
      <c r="AS417" s="99" t="s">
        <v>1672</v>
      </c>
      <c r="AT417" s="99" t="s">
        <v>190</v>
      </c>
      <c r="AU417" s="99" t="s">
        <v>191</v>
      </c>
      <c r="AV417" s="99" t="s">
        <v>3928</v>
      </c>
      <c r="AW417" s="99" t="s">
        <v>519</v>
      </c>
      <c r="AX417" s="99" t="s">
        <v>3420</v>
      </c>
      <c r="AY417" s="99" t="s">
        <v>252</v>
      </c>
      <c r="AZ417" s="99" t="s">
        <v>3416</v>
      </c>
      <c r="BA417" s="99" t="s">
        <v>4347</v>
      </c>
      <c r="BB417" s="99" t="s">
        <v>3369</v>
      </c>
      <c r="BC417" s="125">
        <v>59</v>
      </c>
      <c r="BD417" s="99" t="s">
        <v>3135</v>
      </c>
      <c r="BE417" s="99" t="s">
        <v>3136</v>
      </c>
    </row>
    <row r="418" spans="1:57" ht="12.95" customHeight="1">
      <c r="A418" s="124">
        <v>15</v>
      </c>
      <c r="B418" s="124">
        <v>2241</v>
      </c>
      <c r="C418" s="99" t="s">
        <v>165</v>
      </c>
      <c r="D418" s="99" t="s">
        <v>1477</v>
      </c>
      <c r="E418" s="99" t="s">
        <v>1478</v>
      </c>
      <c r="F418" s="99" t="s">
        <v>74</v>
      </c>
      <c r="G418" s="99" t="s">
        <v>75</v>
      </c>
      <c r="H418" s="99" t="s">
        <v>4314</v>
      </c>
      <c r="I418" s="99" t="s">
        <v>1520</v>
      </c>
      <c r="J418" s="99" t="s">
        <v>1673</v>
      </c>
      <c r="K418" s="99" t="s">
        <v>267</v>
      </c>
      <c r="L418" s="99" t="s">
        <v>1674</v>
      </c>
      <c r="M418" s="99" t="s">
        <v>1</v>
      </c>
      <c r="N418" s="99" t="s">
        <v>3407</v>
      </c>
      <c r="O418" s="99" t="s">
        <v>114</v>
      </c>
      <c r="P418" s="99" t="s">
        <v>3422</v>
      </c>
      <c r="Q418" s="99" t="s">
        <v>169</v>
      </c>
      <c r="R418" s="99" t="s">
        <v>71</v>
      </c>
      <c r="S418" s="99" t="s">
        <v>2691</v>
      </c>
      <c r="T418" s="99" t="s">
        <v>49</v>
      </c>
      <c r="U418" s="99" t="s">
        <v>1519</v>
      </c>
      <c r="V418" s="99" t="s">
        <v>56</v>
      </c>
      <c r="W418" s="99" t="s">
        <v>4405</v>
      </c>
      <c r="X418" s="99" t="s">
        <v>4405</v>
      </c>
      <c r="Y418" s="99" t="s">
        <v>4406</v>
      </c>
      <c r="Z418" s="99" t="s">
        <v>172</v>
      </c>
      <c r="AA418" s="99" t="s">
        <v>173</v>
      </c>
      <c r="AB418" s="99" t="s">
        <v>174</v>
      </c>
      <c r="AC418" s="99" t="s">
        <v>3411</v>
      </c>
      <c r="AD418" s="99" t="s">
        <v>175</v>
      </c>
      <c r="AE418" s="99" t="s">
        <v>3411</v>
      </c>
      <c r="AF418" s="99" t="s">
        <v>3411</v>
      </c>
      <c r="AG418" s="124">
        <v>535</v>
      </c>
      <c r="AH418" s="99" t="s">
        <v>3413</v>
      </c>
      <c r="AI418" s="125">
        <v>100</v>
      </c>
      <c r="AJ418" s="99" t="s">
        <v>176</v>
      </c>
      <c r="AK418" s="99" t="s">
        <v>4405</v>
      </c>
      <c r="AL418" s="99" t="s">
        <v>3411</v>
      </c>
      <c r="AM418" s="99" t="s">
        <v>177</v>
      </c>
      <c r="AN418" s="99" t="s">
        <v>3411</v>
      </c>
      <c r="AO418" s="99" t="s">
        <v>1482</v>
      </c>
      <c r="AP418" s="99" t="s">
        <v>2604</v>
      </c>
      <c r="AQ418" s="99" t="s">
        <v>86</v>
      </c>
      <c r="AR418" s="99" t="s">
        <v>3411</v>
      </c>
      <c r="AS418" s="99" t="s">
        <v>1675</v>
      </c>
      <c r="AT418" s="99" t="s">
        <v>190</v>
      </c>
      <c r="AU418" s="99" t="s">
        <v>191</v>
      </c>
      <c r="AV418" s="99" t="s">
        <v>3581</v>
      </c>
      <c r="AW418" s="99" t="s">
        <v>529</v>
      </c>
      <c r="AX418" s="99" t="s">
        <v>3420</v>
      </c>
      <c r="AY418" s="99" t="s">
        <v>252</v>
      </c>
      <c r="AZ418" s="99" t="s">
        <v>3416</v>
      </c>
      <c r="BA418" s="99" t="s">
        <v>4293</v>
      </c>
      <c r="BB418" s="99" t="s">
        <v>3315</v>
      </c>
      <c r="BC418" s="125">
        <v>50</v>
      </c>
      <c r="BD418" s="99" t="s">
        <v>3135</v>
      </c>
      <c r="BE418" s="99" t="s">
        <v>3136</v>
      </c>
    </row>
    <row r="419" spans="1:57" ht="12.95" customHeight="1">
      <c r="A419" s="124">
        <v>15</v>
      </c>
      <c r="B419" s="124">
        <v>1906</v>
      </c>
      <c r="C419" s="99" t="s">
        <v>165</v>
      </c>
      <c r="D419" s="99" t="s">
        <v>1477</v>
      </c>
      <c r="E419" s="99" t="s">
        <v>1478</v>
      </c>
      <c r="F419" s="99" t="s">
        <v>74</v>
      </c>
      <c r="G419" s="99" t="s">
        <v>75</v>
      </c>
      <c r="H419" s="99" t="s">
        <v>4314</v>
      </c>
      <c r="I419" s="99" t="s">
        <v>1520</v>
      </c>
      <c r="J419" s="99" t="s">
        <v>1676</v>
      </c>
      <c r="K419" s="99" t="s">
        <v>888</v>
      </c>
      <c r="L419" s="99" t="s">
        <v>1677</v>
      </c>
      <c r="M419" s="99" t="s">
        <v>1</v>
      </c>
      <c r="N419" s="99" t="s">
        <v>3407</v>
      </c>
      <c r="O419" s="99" t="s">
        <v>114</v>
      </c>
      <c r="P419" s="99" t="s">
        <v>3422</v>
      </c>
      <c r="Q419" s="99" t="s">
        <v>169</v>
      </c>
      <c r="R419" s="99" t="s">
        <v>71</v>
      </c>
      <c r="S419" s="99" t="s">
        <v>2691</v>
      </c>
      <c r="T419" s="99" t="s">
        <v>49</v>
      </c>
      <c r="U419" s="99" t="s">
        <v>1008</v>
      </c>
      <c r="V419" s="99" t="s">
        <v>53</v>
      </c>
      <c r="W419" s="99" t="s">
        <v>4407</v>
      </c>
      <c r="X419" s="99" t="s">
        <v>4407</v>
      </c>
      <c r="Y419" s="99" t="s">
        <v>4408</v>
      </c>
      <c r="Z419" s="99" t="s">
        <v>172</v>
      </c>
      <c r="AA419" s="99" t="s">
        <v>173</v>
      </c>
      <c r="AB419" s="99" t="s">
        <v>174</v>
      </c>
      <c r="AC419" s="99" t="s">
        <v>3411</v>
      </c>
      <c r="AD419" s="99" t="s">
        <v>175</v>
      </c>
      <c r="AE419" s="99" t="s">
        <v>3411</v>
      </c>
      <c r="AF419" s="99" t="s">
        <v>3411</v>
      </c>
      <c r="AG419" s="124">
        <v>369</v>
      </c>
      <c r="AH419" s="99" t="s">
        <v>3413</v>
      </c>
      <c r="AI419" s="125">
        <v>100</v>
      </c>
      <c r="AJ419" s="99" t="s">
        <v>176</v>
      </c>
      <c r="AK419" s="99" t="s">
        <v>4407</v>
      </c>
      <c r="AL419" s="99" t="s">
        <v>3411</v>
      </c>
      <c r="AM419" s="99" t="s">
        <v>177</v>
      </c>
      <c r="AN419" s="99" t="s">
        <v>3411</v>
      </c>
      <c r="AO419" s="99" t="s">
        <v>1482</v>
      </c>
      <c r="AP419" s="99" t="s">
        <v>2604</v>
      </c>
      <c r="AQ419" s="99" t="s">
        <v>86</v>
      </c>
      <c r="AR419" s="99" t="s">
        <v>1010</v>
      </c>
      <c r="AS419" s="99" t="s">
        <v>1678</v>
      </c>
      <c r="AT419" s="99" t="s">
        <v>190</v>
      </c>
      <c r="AU419" s="99" t="s">
        <v>191</v>
      </c>
      <c r="AV419" s="99" t="s">
        <v>3928</v>
      </c>
      <c r="AW419" s="99" t="s">
        <v>519</v>
      </c>
      <c r="AX419" s="99" t="s">
        <v>3420</v>
      </c>
      <c r="AY419" s="99" t="s">
        <v>252</v>
      </c>
      <c r="AZ419" s="99" t="s">
        <v>3416</v>
      </c>
      <c r="BA419" s="99" t="s">
        <v>4293</v>
      </c>
      <c r="BB419" s="99" t="s">
        <v>3315</v>
      </c>
      <c r="BC419" s="125">
        <v>57</v>
      </c>
      <c r="BD419" s="99" t="s">
        <v>3135</v>
      </c>
      <c r="BE419" s="99" t="s">
        <v>3136</v>
      </c>
    </row>
    <row r="420" spans="1:57" ht="12.95" customHeight="1">
      <c r="A420" s="124">
        <v>15</v>
      </c>
      <c r="B420" s="124">
        <v>1446</v>
      </c>
      <c r="C420" s="99" t="s">
        <v>165</v>
      </c>
      <c r="D420" s="99" t="s">
        <v>1477</v>
      </c>
      <c r="E420" s="99" t="s">
        <v>1478</v>
      </c>
      <c r="F420" s="99" t="s">
        <v>74</v>
      </c>
      <c r="G420" s="99" t="s">
        <v>75</v>
      </c>
      <c r="H420" s="99" t="s">
        <v>4314</v>
      </c>
      <c r="I420" s="99" t="s">
        <v>1520</v>
      </c>
      <c r="J420" s="99" t="s">
        <v>1679</v>
      </c>
      <c r="K420" s="99" t="s">
        <v>370</v>
      </c>
      <c r="L420" s="99" t="s">
        <v>1680</v>
      </c>
      <c r="M420" s="99" t="s">
        <v>5</v>
      </c>
      <c r="N420" s="99" t="s">
        <v>3407</v>
      </c>
      <c r="O420" s="99" t="s">
        <v>114</v>
      </c>
      <c r="P420" s="99" t="s">
        <v>3422</v>
      </c>
      <c r="Q420" s="99" t="s">
        <v>169</v>
      </c>
      <c r="R420" s="99" t="s">
        <v>71</v>
      </c>
      <c r="S420" s="99" t="s">
        <v>2691</v>
      </c>
      <c r="T420" s="99" t="s">
        <v>49</v>
      </c>
      <c r="U420" s="99" t="s">
        <v>1663</v>
      </c>
      <c r="V420" s="99" t="s">
        <v>57</v>
      </c>
      <c r="W420" s="99" t="s">
        <v>4409</v>
      </c>
      <c r="X420" s="99" t="s">
        <v>4410</v>
      </c>
      <c r="Y420" s="99" t="s">
        <v>4411</v>
      </c>
      <c r="Z420" s="99" t="s">
        <v>172</v>
      </c>
      <c r="AA420" s="99" t="s">
        <v>173</v>
      </c>
      <c r="AB420" s="99" t="s">
        <v>174</v>
      </c>
      <c r="AC420" s="99" t="s">
        <v>3411</v>
      </c>
      <c r="AD420" s="99" t="s">
        <v>175</v>
      </c>
      <c r="AE420" s="99" t="s">
        <v>3411</v>
      </c>
      <c r="AF420" s="99" t="s">
        <v>3411</v>
      </c>
      <c r="AG420" s="124">
        <v>297</v>
      </c>
      <c r="AH420" s="99" t="s">
        <v>3413</v>
      </c>
      <c r="AI420" s="125">
        <v>100</v>
      </c>
      <c r="AJ420" s="99" t="s">
        <v>176</v>
      </c>
      <c r="AK420" s="99" t="s">
        <v>4409</v>
      </c>
      <c r="AL420" s="99" t="s">
        <v>3411</v>
      </c>
      <c r="AM420" s="99" t="s">
        <v>177</v>
      </c>
      <c r="AN420" s="99" t="s">
        <v>3411</v>
      </c>
      <c r="AO420" s="99" t="s">
        <v>1482</v>
      </c>
      <c r="AP420" s="99" t="s">
        <v>2401</v>
      </c>
      <c r="AQ420" s="99" t="s">
        <v>91</v>
      </c>
      <c r="AR420" s="99" t="s">
        <v>1010</v>
      </c>
      <c r="AS420" s="99" t="s">
        <v>1681</v>
      </c>
      <c r="AT420" s="99" t="s">
        <v>190</v>
      </c>
      <c r="AU420" s="99" t="s">
        <v>191</v>
      </c>
      <c r="AV420" s="99" t="s">
        <v>3581</v>
      </c>
      <c r="AW420" s="99" t="s">
        <v>529</v>
      </c>
      <c r="AX420" s="99" t="s">
        <v>3411</v>
      </c>
      <c r="AY420" s="99" t="s">
        <v>3411</v>
      </c>
      <c r="AZ420" s="99" t="s">
        <v>3411</v>
      </c>
      <c r="BA420" s="99" t="s">
        <v>4313</v>
      </c>
      <c r="BB420" s="99" t="s">
        <v>3411</v>
      </c>
      <c r="BC420" s="125">
        <v>56</v>
      </c>
      <c r="BD420" s="99" t="s">
        <v>3135</v>
      </c>
      <c r="BE420" s="99" t="s">
        <v>3136</v>
      </c>
    </row>
    <row r="421" spans="1:57" ht="12.95" customHeight="1">
      <c r="A421" s="124">
        <v>15</v>
      </c>
      <c r="B421" s="124">
        <v>1731</v>
      </c>
      <c r="C421" s="99" t="s">
        <v>165</v>
      </c>
      <c r="D421" s="99" t="s">
        <v>1477</v>
      </c>
      <c r="E421" s="99" t="s">
        <v>1478</v>
      </c>
      <c r="F421" s="99" t="s">
        <v>74</v>
      </c>
      <c r="G421" s="99" t="s">
        <v>75</v>
      </c>
      <c r="H421" s="99" t="s">
        <v>4314</v>
      </c>
      <c r="I421" s="99" t="s">
        <v>1520</v>
      </c>
      <c r="J421" s="99" t="s">
        <v>1682</v>
      </c>
      <c r="K421" s="99" t="s">
        <v>1683</v>
      </c>
      <c r="L421" s="99" t="s">
        <v>1684</v>
      </c>
      <c r="M421" s="99" t="s">
        <v>1</v>
      </c>
      <c r="N421" s="99" t="s">
        <v>3407</v>
      </c>
      <c r="O421" s="99" t="s">
        <v>114</v>
      </c>
      <c r="P421" s="99" t="s">
        <v>3422</v>
      </c>
      <c r="Q421" s="99" t="s">
        <v>169</v>
      </c>
      <c r="R421" s="99" t="s">
        <v>71</v>
      </c>
      <c r="S421" s="99" t="s">
        <v>2691</v>
      </c>
      <c r="T421" s="99" t="s">
        <v>49</v>
      </c>
      <c r="U421" s="99" t="s">
        <v>1492</v>
      </c>
      <c r="V421" s="99" t="s">
        <v>55</v>
      </c>
      <c r="W421" s="99" t="s">
        <v>3563</v>
      </c>
      <c r="X421" s="99" t="s">
        <v>3563</v>
      </c>
      <c r="Y421" s="99" t="s">
        <v>4412</v>
      </c>
      <c r="Z421" s="99" t="s">
        <v>172</v>
      </c>
      <c r="AA421" s="99" t="s">
        <v>173</v>
      </c>
      <c r="AB421" s="99" t="s">
        <v>174</v>
      </c>
      <c r="AC421" s="99" t="s">
        <v>3411</v>
      </c>
      <c r="AD421" s="99" t="s">
        <v>175</v>
      </c>
      <c r="AE421" s="99" t="s">
        <v>3411</v>
      </c>
      <c r="AF421" s="99" t="s">
        <v>3411</v>
      </c>
      <c r="AG421" s="124">
        <v>336</v>
      </c>
      <c r="AH421" s="99" t="s">
        <v>3413</v>
      </c>
      <c r="AI421" s="125">
        <v>100</v>
      </c>
      <c r="AJ421" s="99" t="s">
        <v>176</v>
      </c>
      <c r="AK421" s="99" t="s">
        <v>3971</v>
      </c>
      <c r="AL421" s="99" t="s">
        <v>3411</v>
      </c>
      <c r="AM421" s="99" t="s">
        <v>177</v>
      </c>
      <c r="AN421" s="99" t="s">
        <v>3411</v>
      </c>
      <c r="AO421" s="99" t="s">
        <v>1482</v>
      </c>
      <c r="AP421" s="99" t="s">
        <v>2607</v>
      </c>
      <c r="AQ421" s="99" t="s">
        <v>94</v>
      </c>
      <c r="AR421" s="99" t="s">
        <v>1010</v>
      </c>
      <c r="AS421" s="99" t="s">
        <v>1685</v>
      </c>
      <c r="AT421" s="99" t="s">
        <v>190</v>
      </c>
      <c r="AU421" s="99" t="s">
        <v>191</v>
      </c>
      <c r="AV421" s="99" t="s">
        <v>3928</v>
      </c>
      <c r="AW421" s="99" t="s">
        <v>519</v>
      </c>
      <c r="AX421" s="99" t="s">
        <v>3420</v>
      </c>
      <c r="AY421" s="99" t="s">
        <v>252</v>
      </c>
      <c r="AZ421" s="99" t="s">
        <v>3416</v>
      </c>
      <c r="BA421" s="99" t="s">
        <v>4313</v>
      </c>
      <c r="BB421" s="99" t="s">
        <v>3411</v>
      </c>
      <c r="BC421" s="125">
        <v>52</v>
      </c>
      <c r="BD421" s="99" t="s">
        <v>3135</v>
      </c>
      <c r="BE421" s="99" t="s">
        <v>3136</v>
      </c>
    </row>
    <row r="422" spans="1:57" ht="12.95" customHeight="1">
      <c r="A422" s="124">
        <v>15</v>
      </c>
      <c r="B422" s="124">
        <v>2179</v>
      </c>
      <c r="C422" s="99" t="s">
        <v>165</v>
      </c>
      <c r="D422" s="99" t="s">
        <v>1477</v>
      </c>
      <c r="E422" s="99" t="s">
        <v>1478</v>
      </c>
      <c r="F422" s="99" t="s">
        <v>74</v>
      </c>
      <c r="G422" s="99" t="s">
        <v>75</v>
      </c>
      <c r="H422" s="99" t="s">
        <v>4314</v>
      </c>
      <c r="I422" s="99" t="s">
        <v>1520</v>
      </c>
      <c r="J422" s="99" t="s">
        <v>1686</v>
      </c>
      <c r="K422" s="99" t="s">
        <v>186</v>
      </c>
      <c r="L422" s="99" t="s">
        <v>1687</v>
      </c>
      <c r="M422" s="99" t="s">
        <v>5</v>
      </c>
      <c r="N422" s="99" t="s">
        <v>3407</v>
      </c>
      <c r="O422" s="99" t="s">
        <v>114</v>
      </c>
      <c r="P422" s="99" t="s">
        <v>3422</v>
      </c>
      <c r="Q422" s="99" t="s">
        <v>169</v>
      </c>
      <c r="R422" s="99" t="s">
        <v>71</v>
      </c>
      <c r="S422" s="99" t="s">
        <v>2691</v>
      </c>
      <c r="T422" s="99" t="s">
        <v>49</v>
      </c>
      <c r="U422" s="99" t="s">
        <v>1008</v>
      </c>
      <c r="V422" s="99" t="s">
        <v>53</v>
      </c>
      <c r="W422" s="99" t="s">
        <v>4413</v>
      </c>
      <c r="X422" s="99" t="s">
        <v>4413</v>
      </c>
      <c r="Y422" s="99" t="s">
        <v>4414</v>
      </c>
      <c r="Z422" s="99" t="s">
        <v>172</v>
      </c>
      <c r="AA422" s="99" t="s">
        <v>173</v>
      </c>
      <c r="AB422" s="99" t="s">
        <v>174</v>
      </c>
      <c r="AC422" s="99" t="s">
        <v>3411</v>
      </c>
      <c r="AD422" s="99" t="s">
        <v>175</v>
      </c>
      <c r="AE422" s="99" t="s">
        <v>3411</v>
      </c>
      <c r="AF422" s="99" t="s">
        <v>3411</v>
      </c>
      <c r="AG422" s="124">
        <v>513</v>
      </c>
      <c r="AH422" s="99" t="s">
        <v>3413</v>
      </c>
      <c r="AI422" s="125">
        <v>100</v>
      </c>
      <c r="AJ422" s="99" t="s">
        <v>176</v>
      </c>
      <c r="AK422" s="99" t="s">
        <v>4413</v>
      </c>
      <c r="AL422" s="99" t="s">
        <v>3411</v>
      </c>
      <c r="AM422" s="99" t="s">
        <v>177</v>
      </c>
      <c r="AN422" s="99" t="s">
        <v>3411</v>
      </c>
      <c r="AO422" s="99" t="s">
        <v>1482</v>
      </c>
      <c r="AP422" s="99" t="s">
        <v>2602</v>
      </c>
      <c r="AQ422" s="99" t="s">
        <v>92</v>
      </c>
      <c r="AR422" s="99" t="s">
        <v>3411</v>
      </c>
      <c r="AS422" s="99" t="s">
        <v>1688</v>
      </c>
      <c r="AT422" s="99" t="s">
        <v>190</v>
      </c>
      <c r="AU422" s="99" t="s">
        <v>191</v>
      </c>
      <c r="AV422" s="99" t="s">
        <v>3928</v>
      </c>
      <c r="AW422" s="99" t="s">
        <v>519</v>
      </c>
      <c r="AX422" s="99" t="s">
        <v>3420</v>
      </c>
      <c r="AY422" s="99" t="s">
        <v>252</v>
      </c>
      <c r="AZ422" s="99" t="s">
        <v>3416</v>
      </c>
      <c r="BA422" s="99" t="s">
        <v>520</v>
      </c>
      <c r="BB422" s="99" t="s">
        <v>3411</v>
      </c>
      <c r="BC422" s="125">
        <v>51</v>
      </c>
      <c r="BD422" s="99" t="s">
        <v>3135</v>
      </c>
      <c r="BE422" s="99" t="s">
        <v>3136</v>
      </c>
    </row>
    <row r="423" spans="1:57" ht="12.95" customHeight="1">
      <c r="A423" s="124">
        <v>15</v>
      </c>
      <c r="B423" s="124">
        <v>2010</v>
      </c>
      <c r="C423" s="99" t="s">
        <v>165</v>
      </c>
      <c r="D423" s="99" t="s">
        <v>1477</v>
      </c>
      <c r="E423" s="99" t="s">
        <v>1478</v>
      </c>
      <c r="F423" s="99" t="s">
        <v>74</v>
      </c>
      <c r="G423" s="99" t="s">
        <v>75</v>
      </c>
      <c r="H423" s="99" t="s">
        <v>4314</v>
      </c>
      <c r="I423" s="99" t="s">
        <v>1520</v>
      </c>
      <c r="J423" s="99" t="s">
        <v>1689</v>
      </c>
      <c r="K423" s="99" t="s">
        <v>832</v>
      </c>
      <c r="L423" s="99" t="s">
        <v>1690</v>
      </c>
      <c r="M423" s="99" t="s">
        <v>5</v>
      </c>
      <c r="N423" s="99" t="s">
        <v>3407</v>
      </c>
      <c r="O423" s="99" t="s">
        <v>114</v>
      </c>
      <c r="P423" s="99" t="s">
        <v>3422</v>
      </c>
      <c r="Q423" s="99" t="s">
        <v>169</v>
      </c>
      <c r="R423" s="99" t="s">
        <v>71</v>
      </c>
      <c r="S423" s="99" t="s">
        <v>2691</v>
      </c>
      <c r="T423" s="99" t="s">
        <v>49</v>
      </c>
      <c r="U423" s="99" t="s">
        <v>1551</v>
      </c>
      <c r="V423" s="99" t="s">
        <v>51</v>
      </c>
      <c r="W423" s="99" t="s">
        <v>4415</v>
      </c>
      <c r="X423" s="99" t="s">
        <v>4415</v>
      </c>
      <c r="Y423" s="99" t="s">
        <v>4416</v>
      </c>
      <c r="Z423" s="99" t="s">
        <v>172</v>
      </c>
      <c r="AA423" s="99" t="s">
        <v>173</v>
      </c>
      <c r="AB423" s="99" t="s">
        <v>174</v>
      </c>
      <c r="AC423" s="99" t="s">
        <v>3411</v>
      </c>
      <c r="AD423" s="99" t="s">
        <v>175</v>
      </c>
      <c r="AE423" s="99" t="s">
        <v>3411</v>
      </c>
      <c r="AF423" s="99" t="s">
        <v>3411</v>
      </c>
      <c r="AG423" s="124">
        <v>433</v>
      </c>
      <c r="AH423" s="99" t="s">
        <v>3413</v>
      </c>
      <c r="AI423" s="125">
        <v>100</v>
      </c>
      <c r="AJ423" s="99" t="s">
        <v>176</v>
      </c>
      <c r="AK423" s="99" t="s">
        <v>4415</v>
      </c>
      <c r="AL423" s="99" t="s">
        <v>3411</v>
      </c>
      <c r="AM423" s="99" t="s">
        <v>177</v>
      </c>
      <c r="AN423" s="99" t="s">
        <v>3411</v>
      </c>
      <c r="AO423" s="99" t="s">
        <v>1482</v>
      </c>
      <c r="AP423" s="99" t="s">
        <v>2271</v>
      </c>
      <c r="AQ423" s="99" t="s">
        <v>85</v>
      </c>
      <c r="AR423" s="99" t="s">
        <v>3411</v>
      </c>
      <c r="AS423" s="99" t="s">
        <v>1691</v>
      </c>
      <c r="AT423" s="99" t="s">
        <v>190</v>
      </c>
      <c r="AU423" s="99" t="s">
        <v>191</v>
      </c>
      <c r="AV423" s="99" t="s">
        <v>3928</v>
      </c>
      <c r="AW423" s="99" t="s">
        <v>519</v>
      </c>
      <c r="AX423" s="99" t="s">
        <v>3420</v>
      </c>
      <c r="AY423" s="99" t="s">
        <v>252</v>
      </c>
      <c r="AZ423" s="99" t="s">
        <v>3416</v>
      </c>
      <c r="BA423" s="99" t="s">
        <v>4284</v>
      </c>
      <c r="BB423" s="99" t="s">
        <v>3370</v>
      </c>
      <c r="BC423" s="125">
        <v>55</v>
      </c>
      <c r="BD423" s="99" t="s">
        <v>3135</v>
      </c>
      <c r="BE423" s="99" t="s">
        <v>3136</v>
      </c>
    </row>
    <row r="424" spans="1:57" ht="12.95" customHeight="1">
      <c r="A424" s="124">
        <v>15</v>
      </c>
      <c r="B424" s="124">
        <v>683</v>
      </c>
      <c r="C424" s="99" t="s">
        <v>165</v>
      </c>
      <c r="D424" s="99" t="s">
        <v>1477</v>
      </c>
      <c r="E424" s="99" t="s">
        <v>1478</v>
      </c>
      <c r="F424" s="99" t="s">
        <v>74</v>
      </c>
      <c r="G424" s="99" t="s">
        <v>75</v>
      </c>
      <c r="H424" s="99" t="s">
        <v>4314</v>
      </c>
      <c r="I424" s="99" t="s">
        <v>1520</v>
      </c>
      <c r="J424" s="99" t="s">
        <v>1692</v>
      </c>
      <c r="K424" s="99" t="s">
        <v>476</v>
      </c>
      <c r="L424" s="99" t="s">
        <v>1693</v>
      </c>
      <c r="M424" s="99" t="s">
        <v>5</v>
      </c>
      <c r="N424" s="99" t="s">
        <v>3407</v>
      </c>
      <c r="O424" s="99" t="s">
        <v>114</v>
      </c>
      <c r="P424" s="99" t="s">
        <v>3422</v>
      </c>
      <c r="Q424" s="99" t="s">
        <v>169</v>
      </c>
      <c r="R424" s="99" t="s">
        <v>71</v>
      </c>
      <c r="S424" s="99" t="s">
        <v>2691</v>
      </c>
      <c r="T424" s="99" t="s">
        <v>49</v>
      </c>
      <c r="U424" s="99" t="s">
        <v>1008</v>
      </c>
      <c r="V424" s="99" t="s">
        <v>53</v>
      </c>
      <c r="W424" s="99" t="s">
        <v>4417</v>
      </c>
      <c r="X424" s="99" t="s">
        <v>4417</v>
      </c>
      <c r="Y424" s="99" t="s">
        <v>4418</v>
      </c>
      <c r="Z424" s="99" t="s">
        <v>172</v>
      </c>
      <c r="AA424" s="99" t="s">
        <v>173</v>
      </c>
      <c r="AB424" s="99" t="s">
        <v>174</v>
      </c>
      <c r="AC424" s="99" t="s">
        <v>3411</v>
      </c>
      <c r="AD424" s="99" t="s">
        <v>175</v>
      </c>
      <c r="AE424" s="99" t="s">
        <v>3411</v>
      </c>
      <c r="AF424" s="99" t="s">
        <v>3411</v>
      </c>
      <c r="AG424" s="124">
        <v>182</v>
      </c>
      <c r="AH424" s="99" t="s">
        <v>3413</v>
      </c>
      <c r="AI424" s="125">
        <v>100</v>
      </c>
      <c r="AJ424" s="99" t="s">
        <v>176</v>
      </c>
      <c r="AK424" s="99" t="s">
        <v>4417</v>
      </c>
      <c r="AL424" s="99" t="s">
        <v>3411</v>
      </c>
      <c r="AM424" s="99" t="s">
        <v>177</v>
      </c>
      <c r="AN424" s="99" t="s">
        <v>3411</v>
      </c>
      <c r="AO424" s="99" t="s">
        <v>1482</v>
      </c>
      <c r="AP424" s="99" t="s">
        <v>2604</v>
      </c>
      <c r="AQ424" s="99" t="s">
        <v>86</v>
      </c>
      <c r="AR424" s="99" t="s">
        <v>3411</v>
      </c>
      <c r="AS424" s="99" t="s">
        <v>1694</v>
      </c>
      <c r="AT424" s="99" t="s">
        <v>190</v>
      </c>
      <c r="AU424" s="99" t="s">
        <v>191</v>
      </c>
      <c r="AV424" s="99" t="s">
        <v>3928</v>
      </c>
      <c r="AW424" s="99" t="s">
        <v>519</v>
      </c>
      <c r="AX424" s="99" t="s">
        <v>3420</v>
      </c>
      <c r="AY424" s="99" t="s">
        <v>252</v>
      </c>
      <c r="AZ424" s="99" t="s">
        <v>3416</v>
      </c>
      <c r="BA424" s="99" t="s">
        <v>4313</v>
      </c>
      <c r="BB424" s="99" t="s">
        <v>3411</v>
      </c>
      <c r="BC424" s="125">
        <v>56</v>
      </c>
      <c r="BD424" s="99" t="s">
        <v>3135</v>
      </c>
      <c r="BE424" s="99" t="s">
        <v>3136</v>
      </c>
    </row>
    <row r="425" spans="1:57" ht="12.95" customHeight="1">
      <c r="A425" s="124">
        <v>15</v>
      </c>
      <c r="B425" s="124">
        <v>1269</v>
      </c>
      <c r="C425" s="99" t="s">
        <v>165</v>
      </c>
      <c r="D425" s="99" t="s">
        <v>1477</v>
      </c>
      <c r="E425" s="99" t="s">
        <v>1478</v>
      </c>
      <c r="F425" s="99" t="s">
        <v>74</v>
      </c>
      <c r="G425" s="99" t="s">
        <v>75</v>
      </c>
      <c r="H425" s="99" t="s">
        <v>4314</v>
      </c>
      <c r="I425" s="99" t="s">
        <v>1520</v>
      </c>
      <c r="J425" s="99" t="s">
        <v>524</v>
      </c>
      <c r="K425" s="99" t="s">
        <v>278</v>
      </c>
      <c r="L425" s="99" t="s">
        <v>1695</v>
      </c>
      <c r="M425" s="99" t="s">
        <v>5</v>
      </c>
      <c r="N425" s="99" t="s">
        <v>3407</v>
      </c>
      <c r="O425" s="99" t="s">
        <v>114</v>
      </c>
      <c r="P425" s="99" t="s">
        <v>3422</v>
      </c>
      <c r="Q425" s="99" t="s">
        <v>169</v>
      </c>
      <c r="R425" s="99" t="s">
        <v>71</v>
      </c>
      <c r="S425" s="99" t="s">
        <v>2691</v>
      </c>
      <c r="T425" s="99" t="s">
        <v>49</v>
      </c>
      <c r="U425" s="99" t="s">
        <v>1519</v>
      </c>
      <c r="V425" s="99" t="s">
        <v>56</v>
      </c>
      <c r="W425" s="99" t="s">
        <v>4419</v>
      </c>
      <c r="X425" s="99" t="s">
        <v>4419</v>
      </c>
      <c r="Y425" s="99" t="s">
        <v>4420</v>
      </c>
      <c r="Z425" s="99" t="s">
        <v>172</v>
      </c>
      <c r="AA425" s="99" t="s">
        <v>173</v>
      </c>
      <c r="AB425" s="99" t="s">
        <v>174</v>
      </c>
      <c r="AC425" s="99" t="s">
        <v>3411</v>
      </c>
      <c r="AD425" s="99" t="s">
        <v>175</v>
      </c>
      <c r="AE425" s="99" t="s">
        <v>3411</v>
      </c>
      <c r="AF425" s="99" t="s">
        <v>3411</v>
      </c>
      <c r="AG425" s="124">
        <v>270</v>
      </c>
      <c r="AH425" s="99" t="s">
        <v>3413</v>
      </c>
      <c r="AI425" s="125">
        <v>100</v>
      </c>
      <c r="AJ425" s="99" t="s">
        <v>176</v>
      </c>
      <c r="AK425" s="99" t="s">
        <v>4419</v>
      </c>
      <c r="AL425" s="99" t="s">
        <v>3411</v>
      </c>
      <c r="AM425" s="99" t="s">
        <v>177</v>
      </c>
      <c r="AN425" s="99" t="s">
        <v>3411</v>
      </c>
      <c r="AO425" s="99" t="s">
        <v>1482</v>
      </c>
      <c r="AP425" s="99" t="s">
        <v>2599</v>
      </c>
      <c r="AQ425" s="99" t="s">
        <v>82</v>
      </c>
      <c r="AR425" s="99" t="s">
        <v>3411</v>
      </c>
      <c r="AS425" s="99" t="s">
        <v>1696</v>
      </c>
      <c r="AT425" s="99" t="s">
        <v>190</v>
      </c>
      <c r="AU425" s="99" t="s">
        <v>191</v>
      </c>
      <c r="AV425" s="99" t="s">
        <v>3928</v>
      </c>
      <c r="AW425" s="99" t="s">
        <v>519</v>
      </c>
      <c r="AX425" s="99" t="s">
        <v>3420</v>
      </c>
      <c r="AY425" s="99" t="s">
        <v>252</v>
      </c>
      <c r="AZ425" s="99" t="s">
        <v>3416</v>
      </c>
      <c r="BA425" s="99" t="s">
        <v>4317</v>
      </c>
      <c r="BB425" s="99" t="s">
        <v>3316</v>
      </c>
      <c r="BC425" s="125">
        <v>61</v>
      </c>
      <c r="BD425" s="99" t="s">
        <v>3135</v>
      </c>
      <c r="BE425" s="99" t="s">
        <v>3136</v>
      </c>
    </row>
    <row r="426" spans="1:57" ht="12.95" customHeight="1">
      <c r="A426" s="124">
        <v>15</v>
      </c>
      <c r="B426" s="124">
        <v>1493</v>
      </c>
      <c r="C426" s="99" t="s">
        <v>165</v>
      </c>
      <c r="D426" s="99" t="s">
        <v>1477</v>
      </c>
      <c r="E426" s="99" t="s">
        <v>1478</v>
      </c>
      <c r="F426" s="99" t="s">
        <v>74</v>
      </c>
      <c r="G426" s="99" t="s">
        <v>75</v>
      </c>
      <c r="H426" s="99" t="s">
        <v>4314</v>
      </c>
      <c r="I426" s="99" t="s">
        <v>1520</v>
      </c>
      <c r="J426" s="99" t="s">
        <v>1697</v>
      </c>
      <c r="K426" s="99" t="s">
        <v>1698</v>
      </c>
      <c r="L426" s="99" t="s">
        <v>1699</v>
      </c>
      <c r="M426" s="99" t="s">
        <v>1</v>
      </c>
      <c r="N426" s="99" t="s">
        <v>3407</v>
      </c>
      <c r="O426" s="99" t="s">
        <v>114</v>
      </c>
      <c r="P426" s="99" t="s">
        <v>3422</v>
      </c>
      <c r="Q426" s="99" t="s">
        <v>169</v>
      </c>
      <c r="R426" s="99" t="s">
        <v>71</v>
      </c>
      <c r="S426" s="99" t="s">
        <v>2691</v>
      </c>
      <c r="T426" s="99" t="s">
        <v>49</v>
      </c>
      <c r="U426" s="99" t="s">
        <v>1492</v>
      </c>
      <c r="V426" s="99" t="s">
        <v>55</v>
      </c>
      <c r="W426" s="99" t="s">
        <v>4256</v>
      </c>
      <c r="X426" s="99" t="s">
        <v>4256</v>
      </c>
      <c r="Y426" s="99" t="s">
        <v>4421</v>
      </c>
      <c r="Z426" s="99" t="s">
        <v>172</v>
      </c>
      <c r="AA426" s="99" t="s">
        <v>173</v>
      </c>
      <c r="AB426" s="99" t="s">
        <v>174</v>
      </c>
      <c r="AC426" s="99" t="s">
        <v>3411</v>
      </c>
      <c r="AD426" s="99" t="s">
        <v>175</v>
      </c>
      <c r="AE426" s="99" t="s">
        <v>3411</v>
      </c>
      <c r="AF426" s="99" t="s">
        <v>3411</v>
      </c>
      <c r="AG426" s="124">
        <v>306</v>
      </c>
      <c r="AH426" s="99" t="s">
        <v>3413</v>
      </c>
      <c r="AI426" s="125">
        <v>100</v>
      </c>
      <c r="AJ426" s="99" t="s">
        <v>176</v>
      </c>
      <c r="AK426" s="99" t="s">
        <v>4422</v>
      </c>
      <c r="AL426" s="99" t="s">
        <v>3411</v>
      </c>
      <c r="AM426" s="99" t="s">
        <v>177</v>
      </c>
      <c r="AN426" s="99" t="s">
        <v>3411</v>
      </c>
      <c r="AO426" s="99" t="s">
        <v>1482</v>
      </c>
      <c r="AP426" s="99" t="s">
        <v>2401</v>
      </c>
      <c r="AQ426" s="99" t="s">
        <v>91</v>
      </c>
      <c r="AR426" s="99" t="s">
        <v>1010</v>
      </c>
      <c r="AS426" s="99" t="s">
        <v>1700</v>
      </c>
      <c r="AT426" s="99" t="s">
        <v>190</v>
      </c>
      <c r="AU426" s="99" t="s">
        <v>191</v>
      </c>
      <c r="AV426" s="99" t="s">
        <v>3581</v>
      </c>
      <c r="AW426" s="99" t="s">
        <v>529</v>
      </c>
      <c r="AX426" s="99" t="s">
        <v>3420</v>
      </c>
      <c r="AY426" s="99" t="s">
        <v>252</v>
      </c>
      <c r="AZ426" s="99" t="s">
        <v>3416</v>
      </c>
      <c r="BA426" s="99" t="s">
        <v>4313</v>
      </c>
      <c r="BB426" s="99" t="s">
        <v>3411</v>
      </c>
      <c r="BC426" s="125">
        <v>61</v>
      </c>
      <c r="BD426" s="99" t="s">
        <v>3135</v>
      </c>
      <c r="BE426" s="99" t="s">
        <v>3136</v>
      </c>
    </row>
    <row r="427" spans="1:57" ht="12.95" customHeight="1">
      <c r="A427" s="124">
        <v>15</v>
      </c>
      <c r="B427" s="124">
        <v>924</v>
      </c>
      <c r="C427" s="99" t="s">
        <v>165</v>
      </c>
      <c r="D427" s="99" t="s">
        <v>1477</v>
      </c>
      <c r="E427" s="99" t="s">
        <v>1478</v>
      </c>
      <c r="F427" s="99" t="s">
        <v>74</v>
      </c>
      <c r="G427" s="99" t="s">
        <v>75</v>
      </c>
      <c r="H427" s="99" t="s">
        <v>4314</v>
      </c>
      <c r="I427" s="99" t="s">
        <v>1520</v>
      </c>
      <c r="J427" s="99" t="s">
        <v>1701</v>
      </c>
      <c r="K427" s="99" t="s">
        <v>671</v>
      </c>
      <c r="L427" s="99" t="s">
        <v>1702</v>
      </c>
      <c r="M427" s="99" t="s">
        <v>5</v>
      </c>
      <c r="N427" s="99" t="s">
        <v>3407</v>
      </c>
      <c r="O427" s="99" t="s">
        <v>114</v>
      </c>
      <c r="P427" s="99" t="s">
        <v>3422</v>
      </c>
      <c r="Q427" s="99" t="s">
        <v>169</v>
      </c>
      <c r="R427" s="99" t="s">
        <v>71</v>
      </c>
      <c r="S427" s="99" t="s">
        <v>2691</v>
      </c>
      <c r="T427" s="99" t="s">
        <v>49</v>
      </c>
      <c r="U427" s="99" t="s">
        <v>1480</v>
      </c>
      <c r="V427" s="99" t="s">
        <v>50</v>
      </c>
      <c r="W427" s="99" t="s">
        <v>4323</v>
      </c>
      <c r="X427" s="99" t="s">
        <v>4323</v>
      </c>
      <c r="Y427" s="99" t="s">
        <v>4423</v>
      </c>
      <c r="Z427" s="99" t="s">
        <v>172</v>
      </c>
      <c r="AA427" s="99" t="s">
        <v>173</v>
      </c>
      <c r="AB427" s="99" t="s">
        <v>174</v>
      </c>
      <c r="AC427" s="99" t="s">
        <v>3411</v>
      </c>
      <c r="AD427" s="99" t="s">
        <v>175</v>
      </c>
      <c r="AE427" s="99" t="s">
        <v>3411</v>
      </c>
      <c r="AF427" s="99" t="s">
        <v>3411</v>
      </c>
      <c r="AG427" s="124">
        <v>215</v>
      </c>
      <c r="AH427" s="99" t="s">
        <v>3413</v>
      </c>
      <c r="AI427" s="125">
        <v>100</v>
      </c>
      <c r="AJ427" s="99" t="s">
        <v>176</v>
      </c>
      <c r="AK427" s="99" t="s">
        <v>4323</v>
      </c>
      <c r="AL427" s="99" t="s">
        <v>3411</v>
      </c>
      <c r="AM427" s="99" t="s">
        <v>177</v>
      </c>
      <c r="AN427" s="99" t="s">
        <v>3411</v>
      </c>
      <c r="AO427" s="99" t="s">
        <v>1482</v>
      </c>
      <c r="AP427" s="99" t="s">
        <v>2602</v>
      </c>
      <c r="AQ427" s="99" t="s">
        <v>92</v>
      </c>
      <c r="AR427" s="99" t="s">
        <v>3411</v>
      </c>
      <c r="AS427" s="99" t="s">
        <v>1703</v>
      </c>
      <c r="AT427" s="99" t="s">
        <v>190</v>
      </c>
      <c r="AU427" s="99" t="s">
        <v>191</v>
      </c>
      <c r="AV427" s="99" t="s">
        <v>3581</v>
      </c>
      <c r="AW427" s="99" t="s">
        <v>529</v>
      </c>
      <c r="AX427" s="99" t="s">
        <v>3411</v>
      </c>
      <c r="AY427" s="99" t="s">
        <v>3411</v>
      </c>
      <c r="AZ427" s="99" t="s">
        <v>3411</v>
      </c>
      <c r="BA427" s="99" t="s">
        <v>4284</v>
      </c>
      <c r="BB427" s="99" t="s">
        <v>3370</v>
      </c>
      <c r="BC427" s="125">
        <v>63</v>
      </c>
      <c r="BD427" s="99" t="s">
        <v>3135</v>
      </c>
      <c r="BE427" s="99" t="s">
        <v>3136</v>
      </c>
    </row>
    <row r="428" spans="1:57" ht="12.95" customHeight="1">
      <c r="A428" s="124">
        <v>15</v>
      </c>
      <c r="B428" s="124">
        <v>1090</v>
      </c>
      <c r="C428" s="99" t="s">
        <v>165</v>
      </c>
      <c r="D428" s="99" t="s">
        <v>1477</v>
      </c>
      <c r="E428" s="99" t="s">
        <v>1478</v>
      </c>
      <c r="F428" s="99" t="s">
        <v>74</v>
      </c>
      <c r="G428" s="99" t="s">
        <v>75</v>
      </c>
      <c r="H428" s="99" t="s">
        <v>4314</v>
      </c>
      <c r="I428" s="99" t="s">
        <v>1520</v>
      </c>
      <c r="J428" s="99" t="s">
        <v>1704</v>
      </c>
      <c r="K428" s="99" t="s">
        <v>267</v>
      </c>
      <c r="L428" s="99" t="s">
        <v>1705</v>
      </c>
      <c r="M428" s="99" t="s">
        <v>1</v>
      </c>
      <c r="N428" s="99" t="s">
        <v>3407</v>
      </c>
      <c r="O428" s="99" t="s">
        <v>114</v>
      </c>
      <c r="P428" s="99" t="s">
        <v>3422</v>
      </c>
      <c r="Q428" s="99" t="s">
        <v>169</v>
      </c>
      <c r="R428" s="99" t="s">
        <v>71</v>
      </c>
      <c r="S428" s="99" t="s">
        <v>2691</v>
      </c>
      <c r="T428" s="99" t="s">
        <v>49</v>
      </c>
      <c r="U428" s="99" t="s">
        <v>1551</v>
      </c>
      <c r="V428" s="99" t="s">
        <v>51</v>
      </c>
      <c r="W428" s="99" t="s">
        <v>4424</v>
      </c>
      <c r="X428" s="99" t="s">
        <v>4424</v>
      </c>
      <c r="Y428" s="99" t="s">
        <v>4425</v>
      </c>
      <c r="Z428" s="99" t="s">
        <v>172</v>
      </c>
      <c r="AA428" s="99" t="s">
        <v>173</v>
      </c>
      <c r="AB428" s="99" t="s">
        <v>174</v>
      </c>
      <c r="AC428" s="99" t="s">
        <v>3411</v>
      </c>
      <c r="AD428" s="99" t="s">
        <v>175</v>
      </c>
      <c r="AE428" s="99" t="s">
        <v>3411</v>
      </c>
      <c r="AF428" s="99" t="s">
        <v>3411</v>
      </c>
      <c r="AG428" s="124">
        <v>236</v>
      </c>
      <c r="AH428" s="99" t="s">
        <v>3413</v>
      </c>
      <c r="AI428" s="125">
        <v>100</v>
      </c>
      <c r="AJ428" s="99" t="s">
        <v>176</v>
      </c>
      <c r="AK428" s="99" t="s">
        <v>4424</v>
      </c>
      <c r="AL428" s="99" t="s">
        <v>3411</v>
      </c>
      <c r="AM428" s="99" t="s">
        <v>177</v>
      </c>
      <c r="AN428" s="99" t="s">
        <v>3411</v>
      </c>
      <c r="AO428" s="99" t="s">
        <v>1482</v>
      </c>
      <c r="AP428" s="99" t="s">
        <v>2606</v>
      </c>
      <c r="AQ428" s="99" t="s">
        <v>89</v>
      </c>
      <c r="AR428" s="99" t="s">
        <v>2719</v>
      </c>
      <c r="AS428" s="99" t="s">
        <v>1706</v>
      </c>
      <c r="AT428" s="99" t="s">
        <v>190</v>
      </c>
      <c r="AU428" s="99" t="s">
        <v>191</v>
      </c>
      <c r="AV428" s="99" t="s">
        <v>3928</v>
      </c>
      <c r="AW428" s="99" t="s">
        <v>519</v>
      </c>
      <c r="AX428" s="99" t="s">
        <v>3420</v>
      </c>
      <c r="AY428" s="99" t="s">
        <v>252</v>
      </c>
      <c r="AZ428" s="99" t="s">
        <v>3416</v>
      </c>
      <c r="BA428" s="99" t="s">
        <v>4313</v>
      </c>
      <c r="BB428" s="99" t="s">
        <v>3411</v>
      </c>
      <c r="BC428" s="125">
        <v>56</v>
      </c>
      <c r="BD428" s="99" t="s">
        <v>3135</v>
      </c>
      <c r="BE428" s="99" t="s">
        <v>3136</v>
      </c>
    </row>
    <row r="429" spans="1:57" ht="12.95" customHeight="1">
      <c r="A429" s="124">
        <v>15</v>
      </c>
      <c r="B429" s="124">
        <v>2941</v>
      </c>
      <c r="C429" s="99" t="s">
        <v>165</v>
      </c>
      <c r="D429" s="99" t="s">
        <v>1477</v>
      </c>
      <c r="E429" s="99" t="s">
        <v>1478</v>
      </c>
      <c r="F429" s="99" t="s">
        <v>74</v>
      </c>
      <c r="G429" s="99" t="s">
        <v>75</v>
      </c>
      <c r="H429" s="99" t="s">
        <v>4314</v>
      </c>
      <c r="I429" s="99" t="s">
        <v>1520</v>
      </c>
      <c r="J429" s="99" t="s">
        <v>1707</v>
      </c>
      <c r="K429" s="99" t="s">
        <v>230</v>
      </c>
      <c r="L429" s="99" t="s">
        <v>1708</v>
      </c>
      <c r="M429" s="99" t="s">
        <v>5</v>
      </c>
      <c r="N429" s="99" t="s">
        <v>3407</v>
      </c>
      <c r="O429" s="99" t="s">
        <v>114</v>
      </c>
      <c r="P429" s="99" t="s">
        <v>3422</v>
      </c>
      <c r="Q429" s="99" t="s">
        <v>169</v>
      </c>
      <c r="R429" s="99" t="s">
        <v>71</v>
      </c>
      <c r="S429" s="99" t="s">
        <v>2691</v>
      </c>
      <c r="T429" s="99" t="s">
        <v>49</v>
      </c>
      <c r="U429" s="99" t="s">
        <v>1492</v>
      </c>
      <c r="V429" s="99" t="s">
        <v>55</v>
      </c>
      <c r="W429" s="99" t="s">
        <v>4426</v>
      </c>
      <c r="X429" s="99" t="s">
        <v>4426</v>
      </c>
      <c r="Y429" s="99" t="s">
        <v>4427</v>
      </c>
      <c r="Z429" s="99" t="s">
        <v>172</v>
      </c>
      <c r="AA429" s="99" t="s">
        <v>173</v>
      </c>
      <c r="AB429" s="99" t="s">
        <v>174</v>
      </c>
      <c r="AC429" s="99" t="s">
        <v>3411</v>
      </c>
      <c r="AD429" s="99" t="s">
        <v>175</v>
      </c>
      <c r="AE429" s="99" t="s">
        <v>3411</v>
      </c>
      <c r="AF429" s="99" t="s">
        <v>3411</v>
      </c>
      <c r="AG429" s="124">
        <v>2941</v>
      </c>
      <c r="AH429" s="99" t="s">
        <v>3413</v>
      </c>
      <c r="AI429" s="125">
        <v>100</v>
      </c>
      <c r="AJ429" s="99" t="s">
        <v>176</v>
      </c>
      <c r="AK429" s="99" t="s">
        <v>4426</v>
      </c>
      <c r="AL429" s="99" t="s">
        <v>3411</v>
      </c>
      <c r="AM429" s="99" t="s">
        <v>177</v>
      </c>
      <c r="AN429" s="99" t="s">
        <v>3411</v>
      </c>
      <c r="AO429" s="99" t="s">
        <v>1481</v>
      </c>
      <c r="AP429" s="99" t="s">
        <v>2382</v>
      </c>
      <c r="AQ429" s="99" t="s">
        <v>88</v>
      </c>
      <c r="AR429" s="99" t="s">
        <v>3411</v>
      </c>
      <c r="AS429" s="99" t="s">
        <v>1709</v>
      </c>
      <c r="AT429" s="99" t="s">
        <v>190</v>
      </c>
      <c r="AU429" s="99" t="s">
        <v>191</v>
      </c>
      <c r="AV429" s="99" t="s">
        <v>3581</v>
      </c>
      <c r="AW429" s="99" t="s">
        <v>529</v>
      </c>
      <c r="AX429" s="99" t="s">
        <v>3420</v>
      </c>
      <c r="AY429" s="99" t="s">
        <v>252</v>
      </c>
      <c r="AZ429" s="99" t="s">
        <v>3416</v>
      </c>
      <c r="BA429" s="99" t="s">
        <v>4347</v>
      </c>
      <c r="BB429" s="99" t="s">
        <v>3369</v>
      </c>
      <c r="BC429" s="125">
        <v>44</v>
      </c>
      <c r="BD429" s="99" t="s">
        <v>3135</v>
      </c>
      <c r="BE429" s="99" t="s">
        <v>3136</v>
      </c>
    </row>
    <row r="430" spans="1:57" ht="12.95" customHeight="1">
      <c r="A430" s="124">
        <v>15</v>
      </c>
      <c r="B430" s="124">
        <v>1729</v>
      </c>
      <c r="C430" s="99" t="s">
        <v>165</v>
      </c>
      <c r="D430" s="99" t="s">
        <v>1477</v>
      </c>
      <c r="E430" s="99" t="s">
        <v>1478</v>
      </c>
      <c r="F430" s="99" t="s">
        <v>74</v>
      </c>
      <c r="G430" s="99" t="s">
        <v>75</v>
      </c>
      <c r="H430" s="99" t="s">
        <v>4314</v>
      </c>
      <c r="I430" s="99" t="s">
        <v>1520</v>
      </c>
      <c r="J430" s="99" t="s">
        <v>551</v>
      </c>
      <c r="K430" s="99" t="s">
        <v>1710</v>
      </c>
      <c r="L430" s="99" t="s">
        <v>1711</v>
      </c>
      <c r="M430" s="99" t="s">
        <v>5</v>
      </c>
      <c r="N430" s="99" t="s">
        <v>3407</v>
      </c>
      <c r="O430" s="99" t="s">
        <v>114</v>
      </c>
      <c r="P430" s="99" t="s">
        <v>3422</v>
      </c>
      <c r="Q430" s="99" t="s">
        <v>169</v>
      </c>
      <c r="R430" s="99" t="s">
        <v>71</v>
      </c>
      <c r="S430" s="99" t="s">
        <v>2691</v>
      </c>
      <c r="T430" s="99" t="s">
        <v>49</v>
      </c>
      <c r="U430" s="99" t="s">
        <v>1008</v>
      </c>
      <c r="V430" s="99" t="s">
        <v>53</v>
      </c>
      <c r="W430" s="99" t="s">
        <v>3563</v>
      </c>
      <c r="X430" s="99" t="s">
        <v>3563</v>
      </c>
      <c r="Y430" s="99" t="s">
        <v>4428</v>
      </c>
      <c r="Z430" s="99" t="s">
        <v>172</v>
      </c>
      <c r="AA430" s="99" t="s">
        <v>173</v>
      </c>
      <c r="AB430" s="99" t="s">
        <v>174</v>
      </c>
      <c r="AC430" s="99" t="s">
        <v>3411</v>
      </c>
      <c r="AD430" s="99" t="s">
        <v>175</v>
      </c>
      <c r="AE430" s="99" t="s">
        <v>3411</v>
      </c>
      <c r="AF430" s="99" t="s">
        <v>3411</v>
      </c>
      <c r="AG430" s="124">
        <v>334</v>
      </c>
      <c r="AH430" s="99" t="s">
        <v>3413</v>
      </c>
      <c r="AI430" s="125">
        <v>100</v>
      </c>
      <c r="AJ430" s="99" t="s">
        <v>176</v>
      </c>
      <c r="AK430" s="99" t="s">
        <v>3563</v>
      </c>
      <c r="AL430" s="99" t="s">
        <v>3411</v>
      </c>
      <c r="AM430" s="99" t="s">
        <v>177</v>
      </c>
      <c r="AN430" s="99" t="s">
        <v>3411</v>
      </c>
      <c r="AO430" s="99" t="s">
        <v>1482</v>
      </c>
      <c r="AP430" s="99" t="s">
        <v>2599</v>
      </c>
      <c r="AQ430" s="99" t="s">
        <v>82</v>
      </c>
      <c r="AR430" s="99" t="s">
        <v>3411</v>
      </c>
      <c r="AS430" s="99" t="s">
        <v>1712</v>
      </c>
      <c r="AT430" s="99" t="s">
        <v>190</v>
      </c>
      <c r="AU430" s="99" t="s">
        <v>191</v>
      </c>
      <c r="AV430" s="99" t="s">
        <v>3928</v>
      </c>
      <c r="AW430" s="99" t="s">
        <v>519</v>
      </c>
      <c r="AX430" s="99" t="s">
        <v>3420</v>
      </c>
      <c r="AY430" s="99" t="s">
        <v>252</v>
      </c>
      <c r="AZ430" s="99" t="s">
        <v>3416</v>
      </c>
      <c r="BA430" s="99" t="s">
        <v>4317</v>
      </c>
      <c r="BB430" s="99" t="s">
        <v>3316</v>
      </c>
      <c r="BC430" s="125">
        <v>50</v>
      </c>
      <c r="BD430" s="99" t="s">
        <v>3135</v>
      </c>
      <c r="BE430" s="99" t="s">
        <v>3136</v>
      </c>
    </row>
    <row r="431" spans="1:57" ht="12.95" customHeight="1">
      <c r="A431" s="124">
        <v>15</v>
      </c>
      <c r="B431" s="124">
        <v>2140</v>
      </c>
      <c r="C431" s="99" t="s">
        <v>165</v>
      </c>
      <c r="D431" s="99" t="s">
        <v>1477</v>
      </c>
      <c r="E431" s="99" t="s">
        <v>1478</v>
      </c>
      <c r="F431" s="99" t="s">
        <v>74</v>
      </c>
      <c r="G431" s="99" t="s">
        <v>75</v>
      </c>
      <c r="H431" s="99" t="s">
        <v>4314</v>
      </c>
      <c r="I431" s="99" t="s">
        <v>1520</v>
      </c>
      <c r="J431" s="99" t="s">
        <v>1713</v>
      </c>
      <c r="K431" s="99" t="s">
        <v>1714</v>
      </c>
      <c r="L431" s="99" t="s">
        <v>1715</v>
      </c>
      <c r="M431" s="99" t="s">
        <v>5</v>
      </c>
      <c r="N431" s="99" t="s">
        <v>3407</v>
      </c>
      <c r="O431" s="99" t="s">
        <v>114</v>
      </c>
      <c r="P431" s="99" t="s">
        <v>3422</v>
      </c>
      <c r="Q431" s="99" t="s">
        <v>169</v>
      </c>
      <c r="R431" s="99" t="s">
        <v>71</v>
      </c>
      <c r="S431" s="99" t="s">
        <v>2691</v>
      </c>
      <c r="T431" s="99" t="s">
        <v>49</v>
      </c>
      <c r="U431" s="99" t="s">
        <v>1492</v>
      </c>
      <c r="V431" s="99" t="s">
        <v>55</v>
      </c>
      <c r="W431" s="99" t="s">
        <v>4429</v>
      </c>
      <c r="X431" s="99" t="s">
        <v>4429</v>
      </c>
      <c r="Y431" s="99" t="s">
        <v>4430</v>
      </c>
      <c r="Z431" s="99" t="s">
        <v>172</v>
      </c>
      <c r="AA431" s="99" t="s">
        <v>173</v>
      </c>
      <c r="AB431" s="99" t="s">
        <v>174</v>
      </c>
      <c r="AC431" s="99" t="s">
        <v>3411</v>
      </c>
      <c r="AD431" s="99" t="s">
        <v>175</v>
      </c>
      <c r="AE431" s="99" t="s">
        <v>3411</v>
      </c>
      <c r="AF431" s="99" t="s">
        <v>3411</v>
      </c>
      <c r="AG431" s="124">
        <v>496</v>
      </c>
      <c r="AH431" s="99" t="s">
        <v>3413</v>
      </c>
      <c r="AI431" s="125">
        <v>100</v>
      </c>
      <c r="AJ431" s="99" t="s">
        <v>176</v>
      </c>
      <c r="AK431" s="99" t="s">
        <v>4429</v>
      </c>
      <c r="AL431" s="99" t="s">
        <v>3411</v>
      </c>
      <c r="AM431" s="99" t="s">
        <v>177</v>
      </c>
      <c r="AN431" s="99" t="s">
        <v>3411</v>
      </c>
      <c r="AO431" s="99" t="s">
        <v>1482</v>
      </c>
      <c r="AP431" s="99" t="s">
        <v>2599</v>
      </c>
      <c r="AQ431" s="99" t="s">
        <v>82</v>
      </c>
      <c r="AR431" s="99" t="s">
        <v>3411</v>
      </c>
      <c r="AS431" s="99" t="s">
        <v>1716</v>
      </c>
      <c r="AT431" s="99" t="s">
        <v>190</v>
      </c>
      <c r="AU431" s="99" t="s">
        <v>191</v>
      </c>
      <c r="AV431" s="99" t="s">
        <v>3581</v>
      </c>
      <c r="AW431" s="99" t="s">
        <v>529</v>
      </c>
      <c r="AX431" s="99" t="s">
        <v>3420</v>
      </c>
      <c r="AY431" s="99" t="s">
        <v>252</v>
      </c>
      <c r="AZ431" s="99" t="s">
        <v>3416</v>
      </c>
      <c r="BA431" s="99" t="s">
        <v>4317</v>
      </c>
      <c r="BB431" s="99" t="s">
        <v>3316</v>
      </c>
      <c r="BC431" s="125">
        <v>47</v>
      </c>
      <c r="BD431" s="99" t="s">
        <v>3135</v>
      </c>
      <c r="BE431" s="99" t="s">
        <v>3136</v>
      </c>
    </row>
    <row r="432" spans="1:57" ht="12.95" customHeight="1">
      <c r="A432" s="124">
        <v>15</v>
      </c>
      <c r="B432" s="124">
        <v>1413</v>
      </c>
      <c r="C432" s="99" t="s">
        <v>165</v>
      </c>
      <c r="D432" s="99" t="s">
        <v>1477</v>
      </c>
      <c r="E432" s="99" t="s">
        <v>1478</v>
      </c>
      <c r="F432" s="99" t="s">
        <v>74</v>
      </c>
      <c r="G432" s="99" t="s">
        <v>75</v>
      </c>
      <c r="H432" s="99" t="s">
        <v>4314</v>
      </c>
      <c r="I432" s="99" t="s">
        <v>1520</v>
      </c>
      <c r="J432" s="99" t="s">
        <v>1717</v>
      </c>
      <c r="K432" s="99" t="s">
        <v>444</v>
      </c>
      <c r="L432" s="99" t="s">
        <v>1718</v>
      </c>
      <c r="M432" s="99" t="s">
        <v>1</v>
      </c>
      <c r="N432" s="99" t="s">
        <v>3454</v>
      </c>
      <c r="O432" s="99" t="s">
        <v>70</v>
      </c>
      <c r="P432" s="99" t="s">
        <v>3904</v>
      </c>
      <c r="Q432" s="99" t="s">
        <v>247</v>
      </c>
      <c r="R432" s="99" t="s">
        <v>71</v>
      </c>
      <c r="S432" s="99" t="s">
        <v>2691</v>
      </c>
      <c r="T432" s="99" t="s">
        <v>49</v>
      </c>
      <c r="U432" s="99" t="s">
        <v>1492</v>
      </c>
      <c r="V432" s="99" t="s">
        <v>55</v>
      </c>
      <c r="W432" s="99" t="s">
        <v>4431</v>
      </c>
      <c r="X432" s="99" t="s">
        <v>4431</v>
      </c>
      <c r="Y432" s="99" t="s">
        <v>4432</v>
      </c>
      <c r="Z432" s="99" t="s">
        <v>172</v>
      </c>
      <c r="AA432" s="99" t="s">
        <v>173</v>
      </c>
      <c r="AB432" s="99" t="s">
        <v>174</v>
      </c>
      <c r="AC432" s="99" t="s">
        <v>3411</v>
      </c>
      <c r="AD432" s="99" t="s">
        <v>175</v>
      </c>
      <c r="AE432" s="99" t="s">
        <v>3411</v>
      </c>
      <c r="AF432" s="99" t="s">
        <v>3411</v>
      </c>
      <c r="AG432" s="124">
        <v>289</v>
      </c>
      <c r="AH432" s="99" t="s">
        <v>3413</v>
      </c>
      <c r="AI432" s="125">
        <v>100</v>
      </c>
      <c r="AJ432" s="99" t="s">
        <v>176</v>
      </c>
      <c r="AK432" s="99" t="s">
        <v>4431</v>
      </c>
      <c r="AL432" s="99" t="s">
        <v>3411</v>
      </c>
      <c r="AM432" s="99" t="s">
        <v>177</v>
      </c>
      <c r="AN432" s="99" t="s">
        <v>3411</v>
      </c>
      <c r="AO432" s="99" t="s">
        <v>1482</v>
      </c>
      <c r="AP432" s="99" t="s">
        <v>2382</v>
      </c>
      <c r="AQ432" s="99" t="s">
        <v>88</v>
      </c>
      <c r="AR432" s="99" t="s">
        <v>1010</v>
      </c>
      <c r="AS432" s="99" t="s">
        <v>1719</v>
      </c>
      <c r="AT432" s="99" t="s">
        <v>190</v>
      </c>
      <c r="AU432" s="99" t="s">
        <v>191</v>
      </c>
      <c r="AV432" s="99" t="s">
        <v>3928</v>
      </c>
      <c r="AW432" s="99" t="s">
        <v>519</v>
      </c>
      <c r="AX432" s="99" t="s">
        <v>3420</v>
      </c>
      <c r="AY432" s="99" t="s">
        <v>252</v>
      </c>
      <c r="AZ432" s="99" t="s">
        <v>3416</v>
      </c>
      <c r="BA432" s="99" t="s">
        <v>4347</v>
      </c>
      <c r="BB432" s="99" t="s">
        <v>3369</v>
      </c>
      <c r="BC432" s="125">
        <v>65</v>
      </c>
      <c r="BD432" s="99" t="s">
        <v>3135</v>
      </c>
      <c r="BE432" s="99" t="s">
        <v>3136</v>
      </c>
    </row>
    <row r="433" spans="1:57" ht="12.95" customHeight="1">
      <c r="A433" s="124">
        <v>15</v>
      </c>
      <c r="B433" s="124">
        <v>2293</v>
      </c>
      <c r="C433" s="99" t="s">
        <v>165</v>
      </c>
      <c r="D433" s="99" t="s">
        <v>1477</v>
      </c>
      <c r="E433" s="99" t="s">
        <v>1478</v>
      </c>
      <c r="F433" s="99" t="s">
        <v>74</v>
      </c>
      <c r="G433" s="99" t="s">
        <v>75</v>
      </c>
      <c r="H433" s="99" t="s">
        <v>4314</v>
      </c>
      <c r="I433" s="99" t="s">
        <v>1520</v>
      </c>
      <c r="J433" s="99" t="s">
        <v>1720</v>
      </c>
      <c r="K433" s="99" t="s">
        <v>1173</v>
      </c>
      <c r="L433" s="99" t="s">
        <v>1721</v>
      </c>
      <c r="M433" s="99" t="s">
        <v>1</v>
      </c>
      <c r="N433" s="99" t="s">
        <v>3407</v>
      </c>
      <c r="O433" s="99" t="s">
        <v>114</v>
      </c>
      <c r="P433" s="99" t="s">
        <v>3422</v>
      </c>
      <c r="Q433" s="99" t="s">
        <v>169</v>
      </c>
      <c r="R433" s="99" t="s">
        <v>71</v>
      </c>
      <c r="S433" s="99" t="s">
        <v>2691</v>
      </c>
      <c r="T433" s="99" t="s">
        <v>49</v>
      </c>
      <c r="U433" s="99" t="s">
        <v>1492</v>
      </c>
      <c r="V433" s="99" t="s">
        <v>55</v>
      </c>
      <c r="W433" s="99" t="s">
        <v>4433</v>
      </c>
      <c r="X433" s="99" t="s">
        <v>4433</v>
      </c>
      <c r="Y433" s="99" t="s">
        <v>4434</v>
      </c>
      <c r="Z433" s="99" t="s">
        <v>172</v>
      </c>
      <c r="AA433" s="99" t="s">
        <v>173</v>
      </c>
      <c r="AB433" s="99" t="s">
        <v>174</v>
      </c>
      <c r="AC433" s="99" t="s">
        <v>3411</v>
      </c>
      <c r="AD433" s="99" t="s">
        <v>175</v>
      </c>
      <c r="AE433" s="99" t="s">
        <v>3411</v>
      </c>
      <c r="AF433" s="99" t="s">
        <v>3411</v>
      </c>
      <c r="AG433" s="124">
        <v>551</v>
      </c>
      <c r="AH433" s="99" t="s">
        <v>3413</v>
      </c>
      <c r="AI433" s="125">
        <v>100</v>
      </c>
      <c r="AJ433" s="99" t="s">
        <v>176</v>
      </c>
      <c r="AK433" s="99" t="s">
        <v>3789</v>
      </c>
      <c r="AL433" s="99" t="s">
        <v>3411</v>
      </c>
      <c r="AM433" s="99" t="s">
        <v>177</v>
      </c>
      <c r="AN433" s="99" t="s">
        <v>3411</v>
      </c>
      <c r="AO433" s="99" t="s">
        <v>1482</v>
      </c>
      <c r="AP433" s="99" t="s">
        <v>2606</v>
      </c>
      <c r="AQ433" s="99" t="s">
        <v>89</v>
      </c>
      <c r="AR433" s="99" t="s">
        <v>1010</v>
      </c>
      <c r="AS433" s="99" t="s">
        <v>1722</v>
      </c>
      <c r="AT433" s="99" t="s">
        <v>190</v>
      </c>
      <c r="AU433" s="99" t="s">
        <v>191</v>
      </c>
      <c r="AV433" s="99" t="s">
        <v>3928</v>
      </c>
      <c r="AW433" s="99" t="s">
        <v>519</v>
      </c>
      <c r="AX433" s="99" t="s">
        <v>3420</v>
      </c>
      <c r="AY433" s="99" t="s">
        <v>252</v>
      </c>
      <c r="AZ433" s="99" t="s">
        <v>3416</v>
      </c>
      <c r="BA433" s="99" t="s">
        <v>4293</v>
      </c>
      <c r="BB433" s="99" t="s">
        <v>3315</v>
      </c>
      <c r="BC433" s="125">
        <v>47</v>
      </c>
      <c r="BD433" s="99" t="s">
        <v>3135</v>
      </c>
      <c r="BE433" s="99" t="s">
        <v>3136</v>
      </c>
    </row>
    <row r="434" spans="1:57" ht="12.95" customHeight="1">
      <c r="A434" s="124">
        <v>15</v>
      </c>
      <c r="B434" s="124">
        <v>2081</v>
      </c>
      <c r="C434" s="99" t="s">
        <v>165</v>
      </c>
      <c r="D434" s="99" t="s">
        <v>1477</v>
      </c>
      <c r="E434" s="99" t="s">
        <v>1478</v>
      </c>
      <c r="F434" s="99" t="s">
        <v>74</v>
      </c>
      <c r="G434" s="99" t="s">
        <v>75</v>
      </c>
      <c r="H434" s="99" t="s">
        <v>4314</v>
      </c>
      <c r="I434" s="99" t="s">
        <v>1520</v>
      </c>
      <c r="J434" s="99" t="s">
        <v>1723</v>
      </c>
      <c r="K434" s="99" t="s">
        <v>1724</v>
      </c>
      <c r="L434" s="99" t="s">
        <v>1725</v>
      </c>
      <c r="M434" s="99" t="s">
        <v>1</v>
      </c>
      <c r="N434" s="99" t="s">
        <v>3407</v>
      </c>
      <c r="O434" s="99" t="s">
        <v>114</v>
      </c>
      <c r="P434" s="99" t="s">
        <v>3422</v>
      </c>
      <c r="Q434" s="99" t="s">
        <v>169</v>
      </c>
      <c r="R434" s="99" t="s">
        <v>71</v>
      </c>
      <c r="S434" s="99" t="s">
        <v>2691</v>
      </c>
      <c r="T434" s="99" t="s">
        <v>49</v>
      </c>
      <c r="U434" s="99" t="s">
        <v>1492</v>
      </c>
      <c r="V434" s="99" t="s">
        <v>55</v>
      </c>
      <c r="W434" s="99" t="s">
        <v>4375</v>
      </c>
      <c r="X434" s="99" t="s">
        <v>4375</v>
      </c>
      <c r="Y434" s="99" t="s">
        <v>4435</v>
      </c>
      <c r="Z434" s="99" t="s">
        <v>172</v>
      </c>
      <c r="AA434" s="99" t="s">
        <v>173</v>
      </c>
      <c r="AB434" s="99" t="s">
        <v>174</v>
      </c>
      <c r="AC434" s="99" t="s">
        <v>3411</v>
      </c>
      <c r="AD434" s="99" t="s">
        <v>175</v>
      </c>
      <c r="AE434" s="99" t="s">
        <v>3411</v>
      </c>
      <c r="AF434" s="99" t="s">
        <v>3411</v>
      </c>
      <c r="AG434" s="124">
        <v>479</v>
      </c>
      <c r="AH434" s="99" t="s">
        <v>3413</v>
      </c>
      <c r="AI434" s="125">
        <v>100</v>
      </c>
      <c r="AJ434" s="99" t="s">
        <v>176</v>
      </c>
      <c r="AK434" s="99" t="s">
        <v>4436</v>
      </c>
      <c r="AL434" s="99" t="s">
        <v>3411</v>
      </c>
      <c r="AM434" s="99" t="s">
        <v>177</v>
      </c>
      <c r="AN434" s="99" t="s">
        <v>3411</v>
      </c>
      <c r="AO434" s="99" t="s">
        <v>1482</v>
      </c>
      <c r="AP434" s="99" t="s">
        <v>2605</v>
      </c>
      <c r="AQ434" s="99" t="s">
        <v>87</v>
      </c>
      <c r="AR434" s="99" t="s">
        <v>3411</v>
      </c>
      <c r="AS434" s="99" t="s">
        <v>1726</v>
      </c>
      <c r="AT434" s="99" t="s">
        <v>190</v>
      </c>
      <c r="AU434" s="99" t="s">
        <v>191</v>
      </c>
      <c r="AV434" s="99" t="s">
        <v>3928</v>
      </c>
      <c r="AW434" s="99" t="s">
        <v>519</v>
      </c>
      <c r="AX434" s="99" t="s">
        <v>4437</v>
      </c>
      <c r="AY434" s="99" t="s">
        <v>3411</v>
      </c>
      <c r="AZ434" s="99" t="s">
        <v>3411</v>
      </c>
      <c r="BA434" s="99" t="s">
        <v>4313</v>
      </c>
      <c r="BB434" s="99" t="s">
        <v>3411</v>
      </c>
      <c r="BC434" s="125">
        <v>50</v>
      </c>
      <c r="BD434" s="99" t="s">
        <v>3135</v>
      </c>
      <c r="BE434" s="99" t="s">
        <v>3136</v>
      </c>
    </row>
    <row r="435" spans="1:57" ht="12.95" customHeight="1">
      <c r="A435" s="124">
        <v>15</v>
      </c>
      <c r="B435" s="124">
        <v>2634</v>
      </c>
      <c r="C435" s="99" t="s">
        <v>165</v>
      </c>
      <c r="D435" s="99" t="s">
        <v>1477</v>
      </c>
      <c r="E435" s="99" t="s">
        <v>1478</v>
      </c>
      <c r="F435" s="99" t="s">
        <v>74</v>
      </c>
      <c r="G435" s="99" t="s">
        <v>75</v>
      </c>
      <c r="H435" s="99" t="s">
        <v>4314</v>
      </c>
      <c r="I435" s="99" t="s">
        <v>1520</v>
      </c>
      <c r="J435" s="99" t="s">
        <v>1727</v>
      </c>
      <c r="K435" s="99" t="s">
        <v>275</v>
      </c>
      <c r="L435" s="99" t="s">
        <v>1728</v>
      </c>
      <c r="M435" s="99" t="s">
        <v>5</v>
      </c>
      <c r="N435" s="99" t="s">
        <v>3407</v>
      </c>
      <c r="O435" s="99" t="s">
        <v>114</v>
      </c>
      <c r="P435" s="99" t="s">
        <v>3422</v>
      </c>
      <c r="Q435" s="99" t="s">
        <v>169</v>
      </c>
      <c r="R435" s="99" t="s">
        <v>71</v>
      </c>
      <c r="S435" s="99" t="s">
        <v>2691</v>
      </c>
      <c r="T435" s="99" t="s">
        <v>49</v>
      </c>
      <c r="U435" s="99" t="s">
        <v>1492</v>
      </c>
      <c r="V435" s="99" t="s">
        <v>55</v>
      </c>
      <c r="W435" s="99" t="s">
        <v>4438</v>
      </c>
      <c r="X435" s="99" t="s">
        <v>4438</v>
      </c>
      <c r="Y435" s="99" t="s">
        <v>4439</v>
      </c>
      <c r="Z435" s="99" t="s">
        <v>172</v>
      </c>
      <c r="AA435" s="99" t="s">
        <v>173</v>
      </c>
      <c r="AB435" s="99" t="s">
        <v>174</v>
      </c>
      <c r="AC435" s="99" t="s">
        <v>3411</v>
      </c>
      <c r="AD435" s="99" t="s">
        <v>175</v>
      </c>
      <c r="AE435" s="99" t="s">
        <v>3411</v>
      </c>
      <c r="AF435" s="99" t="s">
        <v>3411</v>
      </c>
      <c r="AG435" s="124">
        <v>2634</v>
      </c>
      <c r="AH435" s="99" t="s">
        <v>3413</v>
      </c>
      <c r="AI435" s="125">
        <v>100</v>
      </c>
      <c r="AJ435" s="99" t="s">
        <v>176</v>
      </c>
      <c r="AK435" s="99" t="s">
        <v>4438</v>
      </c>
      <c r="AL435" s="99" t="s">
        <v>3411</v>
      </c>
      <c r="AM435" s="99" t="s">
        <v>177</v>
      </c>
      <c r="AN435" s="99" t="s">
        <v>3411</v>
      </c>
      <c r="AO435" s="99" t="s">
        <v>1482</v>
      </c>
      <c r="AP435" s="99" t="s">
        <v>2608</v>
      </c>
      <c r="AQ435" s="99" t="s">
        <v>93</v>
      </c>
      <c r="AR435" s="99" t="s">
        <v>1010</v>
      </c>
      <c r="AS435" s="99" t="s">
        <v>1729</v>
      </c>
      <c r="AT435" s="99" t="s">
        <v>190</v>
      </c>
      <c r="AU435" s="99" t="s">
        <v>191</v>
      </c>
      <c r="AV435" s="99" t="s">
        <v>3570</v>
      </c>
      <c r="AW435" s="99" t="s">
        <v>406</v>
      </c>
      <c r="AX435" s="99" t="s">
        <v>3836</v>
      </c>
      <c r="AY435" s="99" t="s">
        <v>252</v>
      </c>
      <c r="AZ435" s="99" t="s">
        <v>4440</v>
      </c>
      <c r="BA435" s="99" t="s">
        <v>4313</v>
      </c>
      <c r="BB435" s="99" t="s">
        <v>3411</v>
      </c>
      <c r="BC435" s="125">
        <v>52</v>
      </c>
      <c r="BD435" s="99" t="s">
        <v>3135</v>
      </c>
      <c r="BE435" s="99" t="s">
        <v>3136</v>
      </c>
    </row>
    <row r="436" spans="1:57" ht="12.95" customHeight="1">
      <c r="A436" s="124">
        <v>15</v>
      </c>
      <c r="B436" s="124">
        <v>2236</v>
      </c>
      <c r="C436" s="99" t="s">
        <v>165</v>
      </c>
      <c r="D436" s="99" t="s">
        <v>1477</v>
      </c>
      <c r="E436" s="99" t="s">
        <v>1478</v>
      </c>
      <c r="F436" s="99" t="s">
        <v>74</v>
      </c>
      <c r="G436" s="99" t="s">
        <v>75</v>
      </c>
      <c r="H436" s="99" t="s">
        <v>4314</v>
      </c>
      <c r="I436" s="99" t="s">
        <v>1520</v>
      </c>
      <c r="J436" s="99" t="s">
        <v>1731</v>
      </c>
      <c r="K436" s="99" t="s">
        <v>304</v>
      </c>
      <c r="L436" s="99" t="s">
        <v>1732</v>
      </c>
      <c r="M436" s="99" t="s">
        <v>5</v>
      </c>
      <c r="N436" s="99" t="s">
        <v>3407</v>
      </c>
      <c r="O436" s="99" t="s">
        <v>114</v>
      </c>
      <c r="P436" s="99" t="s">
        <v>3422</v>
      </c>
      <c r="Q436" s="99" t="s">
        <v>169</v>
      </c>
      <c r="R436" s="99" t="s">
        <v>71</v>
      </c>
      <c r="S436" s="99" t="s">
        <v>2691</v>
      </c>
      <c r="T436" s="99" t="s">
        <v>49</v>
      </c>
      <c r="U436" s="99" t="s">
        <v>1492</v>
      </c>
      <c r="V436" s="99" t="s">
        <v>55</v>
      </c>
      <c r="W436" s="99" t="s">
        <v>3537</v>
      </c>
      <c r="X436" s="99" t="s">
        <v>3537</v>
      </c>
      <c r="Y436" s="99" t="s">
        <v>4441</v>
      </c>
      <c r="Z436" s="99" t="s">
        <v>172</v>
      </c>
      <c r="AA436" s="99" t="s">
        <v>173</v>
      </c>
      <c r="AB436" s="99" t="s">
        <v>174</v>
      </c>
      <c r="AC436" s="99" t="s">
        <v>3411</v>
      </c>
      <c r="AD436" s="99" t="s">
        <v>175</v>
      </c>
      <c r="AE436" s="99" t="s">
        <v>3411</v>
      </c>
      <c r="AF436" s="99" t="s">
        <v>3411</v>
      </c>
      <c r="AG436" s="124">
        <v>532</v>
      </c>
      <c r="AH436" s="99" t="s">
        <v>3413</v>
      </c>
      <c r="AI436" s="125">
        <v>100</v>
      </c>
      <c r="AJ436" s="99" t="s">
        <v>176</v>
      </c>
      <c r="AK436" s="99" t="s">
        <v>3537</v>
      </c>
      <c r="AL436" s="99" t="s">
        <v>3411</v>
      </c>
      <c r="AM436" s="99" t="s">
        <v>177</v>
      </c>
      <c r="AN436" s="99" t="s">
        <v>3411</v>
      </c>
      <c r="AO436" s="99" t="s">
        <v>1482</v>
      </c>
      <c r="AP436" s="99" t="s">
        <v>2599</v>
      </c>
      <c r="AQ436" s="99" t="s">
        <v>82</v>
      </c>
      <c r="AR436" s="99" t="s">
        <v>3411</v>
      </c>
      <c r="AS436" s="99" t="s">
        <v>1733</v>
      </c>
      <c r="AT436" s="99" t="s">
        <v>190</v>
      </c>
      <c r="AU436" s="99" t="s">
        <v>191</v>
      </c>
      <c r="AV436" s="99" t="s">
        <v>3581</v>
      </c>
      <c r="AW436" s="99" t="s">
        <v>529</v>
      </c>
      <c r="AX436" s="99" t="s">
        <v>3420</v>
      </c>
      <c r="AY436" s="99" t="s">
        <v>252</v>
      </c>
      <c r="AZ436" s="99" t="s">
        <v>3416</v>
      </c>
      <c r="BA436" s="99" t="s">
        <v>4317</v>
      </c>
      <c r="BB436" s="99" t="s">
        <v>3316</v>
      </c>
      <c r="BC436" s="125">
        <v>49</v>
      </c>
      <c r="BD436" s="99" t="s">
        <v>3135</v>
      </c>
      <c r="BE436" s="99" t="s">
        <v>3136</v>
      </c>
    </row>
    <row r="437" spans="1:57" ht="12.95" customHeight="1">
      <c r="A437" s="124">
        <v>15</v>
      </c>
      <c r="B437" s="124">
        <v>2071</v>
      </c>
      <c r="C437" s="99" t="s">
        <v>165</v>
      </c>
      <c r="D437" s="99" t="s">
        <v>1477</v>
      </c>
      <c r="E437" s="99" t="s">
        <v>1478</v>
      </c>
      <c r="F437" s="99" t="s">
        <v>74</v>
      </c>
      <c r="G437" s="99" t="s">
        <v>75</v>
      </c>
      <c r="H437" s="99" t="s">
        <v>4314</v>
      </c>
      <c r="I437" s="99" t="s">
        <v>1520</v>
      </c>
      <c r="J437" s="99" t="s">
        <v>1734</v>
      </c>
      <c r="K437" s="99" t="s">
        <v>1735</v>
      </c>
      <c r="L437" s="99" t="s">
        <v>1736</v>
      </c>
      <c r="M437" s="99" t="s">
        <v>1</v>
      </c>
      <c r="N437" s="99" t="s">
        <v>3407</v>
      </c>
      <c r="O437" s="99" t="s">
        <v>114</v>
      </c>
      <c r="P437" s="99" t="s">
        <v>3422</v>
      </c>
      <c r="Q437" s="99" t="s">
        <v>169</v>
      </c>
      <c r="R437" s="99" t="s">
        <v>71</v>
      </c>
      <c r="S437" s="99" t="s">
        <v>2691</v>
      </c>
      <c r="T437" s="99" t="s">
        <v>49</v>
      </c>
      <c r="U437" s="99" t="s">
        <v>1492</v>
      </c>
      <c r="V437" s="99" t="s">
        <v>55</v>
      </c>
      <c r="W437" s="99" t="s">
        <v>4442</v>
      </c>
      <c r="X437" s="99" t="s">
        <v>4442</v>
      </c>
      <c r="Y437" s="99" t="s">
        <v>4443</v>
      </c>
      <c r="Z437" s="99" t="s">
        <v>172</v>
      </c>
      <c r="AA437" s="99" t="s">
        <v>173</v>
      </c>
      <c r="AB437" s="99" t="s">
        <v>174</v>
      </c>
      <c r="AC437" s="99" t="s">
        <v>3411</v>
      </c>
      <c r="AD437" s="99" t="s">
        <v>175</v>
      </c>
      <c r="AE437" s="99" t="s">
        <v>3411</v>
      </c>
      <c r="AF437" s="99" t="s">
        <v>3411</v>
      </c>
      <c r="AG437" s="124">
        <v>468</v>
      </c>
      <c r="AH437" s="99" t="s">
        <v>3413</v>
      </c>
      <c r="AI437" s="125">
        <v>100</v>
      </c>
      <c r="AJ437" s="99" t="s">
        <v>176</v>
      </c>
      <c r="AK437" s="99" t="s">
        <v>4442</v>
      </c>
      <c r="AL437" s="99" t="s">
        <v>3411</v>
      </c>
      <c r="AM437" s="99" t="s">
        <v>177</v>
      </c>
      <c r="AN437" s="99" t="s">
        <v>3411</v>
      </c>
      <c r="AO437" s="99" t="s">
        <v>1482</v>
      </c>
      <c r="AP437" s="99" t="s">
        <v>2382</v>
      </c>
      <c r="AQ437" s="99" t="s">
        <v>88</v>
      </c>
      <c r="AR437" s="99" t="s">
        <v>1010</v>
      </c>
      <c r="AS437" s="99" t="s">
        <v>1737</v>
      </c>
      <c r="AT437" s="99" t="s">
        <v>190</v>
      </c>
      <c r="AU437" s="99" t="s">
        <v>191</v>
      </c>
      <c r="AV437" s="99" t="s">
        <v>3928</v>
      </c>
      <c r="AW437" s="99" t="s">
        <v>519</v>
      </c>
      <c r="AX437" s="99" t="s">
        <v>3420</v>
      </c>
      <c r="AY437" s="99" t="s">
        <v>252</v>
      </c>
      <c r="AZ437" s="99" t="s">
        <v>3416</v>
      </c>
      <c r="BA437" s="99" t="s">
        <v>4347</v>
      </c>
      <c r="BB437" s="99" t="s">
        <v>3369</v>
      </c>
      <c r="BC437" s="125">
        <v>57</v>
      </c>
      <c r="BD437" s="99" t="s">
        <v>3135</v>
      </c>
      <c r="BE437" s="99" t="s">
        <v>3136</v>
      </c>
    </row>
    <row r="438" spans="1:57" ht="12.95" customHeight="1">
      <c r="A438" s="124">
        <v>15</v>
      </c>
      <c r="B438" s="124">
        <v>673</v>
      </c>
      <c r="C438" s="99" t="s">
        <v>165</v>
      </c>
      <c r="D438" s="99" t="s">
        <v>1477</v>
      </c>
      <c r="E438" s="99" t="s">
        <v>1478</v>
      </c>
      <c r="F438" s="99" t="s">
        <v>74</v>
      </c>
      <c r="G438" s="99" t="s">
        <v>75</v>
      </c>
      <c r="H438" s="99" t="s">
        <v>4314</v>
      </c>
      <c r="I438" s="99" t="s">
        <v>1520</v>
      </c>
      <c r="J438" s="99" t="s">
        <v>1738</v>
      </c>
      <c r="K438" s="99" t="s">
        <v>319</v>
      </c>
      <c r="L438" s="99" t="s">
        <v>2723</v>
      </c>
      <c r="M438" s="99" t="s">
        <v>5</v>
      </c>
      <c r="N438" s="99" t="s">
        <v>3407</v>
      </c>
      <c r="O438" s="99" t="s">
        <v>114</v>
      </c>
      <c r="P438" s="99" t="s">
        <v>3422</v>
      </c>
      <c r="Q438" s="99" t="s">
        <v>169</v>
      </c>
      <c r="R438" s="99" t="s">
        <v>71</v>
      </c>
      <c r="S438" s="99" t="s">
        <v>2691</v>
      </c>
      <c r="T438" s="99" t="s">
        <v>49</v>
      </c>
      <c r="U438" s="99" t="s">
        <v>1008</v>
      </c>
      <c r="V438" s="99" t="s">
        <v>53</v>
      </c>
      <c r="W438" s="99" t="s">
        <v>4444</v>
      </c>
      <c r="X438" s="99" t="s">
        <v>4444</v>
      </c>
      <c r="Y438" s="99" t="s">
        <v>4445</v>
      </c>
      <c r="Z438" s="99" t="s">
        <v>172</v>
      </c>
      <c r="AA438" s="99" t="s">
        <v>173</v>
      </c>
      <c r="AB438" s="99" t="s">
        <v>174</v>
      </c>
      <c r="AC438" s="99" t="s">
        <v>3411</v>
      </c>
      <c r="AD438" s="99" t="s">
        <v>175</v>
      </c>
      <c r="AE438" s="99" t="s">
        <v>3411</v>
      </c>
      <c r="AF438" s="99" t="s">
        <v>3411</v>
      </c>
      <c r="AG438" s="124">
        <v>181</v>
      </c>
      <c r="AH438" s="99" t="s">
        <v>3413</v>
      </c>
      <c r="AI438" s="125">
        <v>100</v>
      </c>
      <c r="AJ438" s="99" t="s">
        <v>176</v>
      </c>
      <c r="AK438" s="99" t="s">
        <v>4444</v>
      </c>
      <c r="AL438" s="99" t="s">
        <v>3411</v>
      </c>
      <c r="AM438" s="99" t="s">
        <v>177</v>
      </c>
      <c r="AN438" s="99" t="s">
        <v>3411</v>
      </c>
      <c r="AO438" s="99" t="s">
        <v>1482</v>
      </c>
      <c r="AP438" s="99" t="s">
        <v>2598</v>
      </c>
      <c r="AQ438" s="99" t="s">
        <v>81</v>
      </c>
      <c r="AR438" s="99" t="s">
        <v>207</v>
      </c>
      <c r="AS438" s="99" t="s">
        <v>1739</v>
      </c>
      <c r="AT438" s="99" t="s">
        <v>190</v>
      </c>
      <c r="AU438" s="99" t="s">
        <v>191</v>
      </c>
      <c r="AV438" s="99" t="s">
        <v>3928</v>
      </c>
      <c r="AW438" s="99" t="s">
        <v>519</v>
      </c>
      <c r="AX438" s="99" t="s">
        <v>3420</v>
      </c>
      <c r="AY438" s="99" t="s">
        <v>252</v>
      </c>
      <c r="AZ438" s="99" t="s">
        <v>3416</v>
      </c>
      <c r="BA438" s="99" t="s">
        <v>4313</v>
      </c>
      <c r="BB438" s="99" t="s">
        <v>3411</v>
      </c>
      <c r="BC438" s="125">
        <v>58</v>
      </c>
      <c r="BD438" s="99" t="s">
        <v>3135</v>
      </c>
      <c r="BE438" s="99" t="s">
        <v>3136</v>
      </c>
    </row>
    <row r="439" spans="1:57" ht="12.95" customHeight="1">
      <c r="A439" s="124">
        <v>15</v>
      </c>
      <c r="B439" s="124">
        <v>441</v>
      </c>
      <c r="C439" s="99" t="s">
        <v>165</v>
      </c>
      <c r="D439" s="99" t="s">
        <v>1477</v>
      </c>
      <c r="E439" s="99" t="s">
        <v>1478</v>
      </c>
      <c r="F439" s="99" t="s">
        <v>74</v>
      </c>
      <c r="G439" s="99" t="s">
        <v>75</v>
      </c>
      <c r="H439" s="99" t="s">
        <v>4314</v>
      </c>
      <c r="I439" s="99" t="s">
        <v>1520</v>
      </c>
      <c r="J439" s="99" t="s">
        <v>1740</v>
      </c>
      <c r="K439" s="99" t="s">
        <v>196</v>
      </c>
      <c r="L439" s="99" t="s">
        <v>1741</v>
      </c>
      <c r="M439" s="99" t="s">
        <v>1</v>
      </c>
      <c r="N439" s="99" t="s">
        <v>3407</v>
      </c>
      <c r="O439" s="99" t="s">
        <v>114</v>
      </c>
      <c r="P439" s="99" t="s">
        <v>3422</v>
      </c>
      <c r="Q439" s="99" t="s">
        <v>169</v>
      </c>
      <c r="R439" s="99" t="s">
        <v>71</v>
      </c>
      <c r="S439" s="99" t="s">
        <v>2691</v>
      </c>
      <c r="T439" s="99" t="s">
        <v>49</v>
      </c>
      <c r="U439" s="99" t="s">
        <v>1519</v>
      </c>
      <c r="V439" s="99" t="s">
        <v>56</v>
      </c>
      <c r="W439" s="99" t="s">
        <v>4446</v>
      </c>
      <c r="X439" s="99" t="s">
        <v>4446</v>
      </c>
      <c r="Y439" s="99" t="s">
        <v>4447</v>
      </c>
      <c r="Z439" s="99" t="s">
        <v>172</v>
      </c>
      <c r="AA439" s="99" t="s">
        <v>173</v>
      </c>
      <c r="AB439" s="99" t="s">
        <v>174</v>
      </c>
      <c r="AC439" s="99" t="s">
        <v>3411</v>
      </c>
      <c r="AD439" s="99" t="s">
        <v>175</v>
      </c>
      <c r="AE439" s="99" t="s">
        <v>3411</v>
      </c>
      <c r="AF439" s="99" t="s">
        <v>3411</v>
      </c>
      <c r="AG439" s="124">
        <v>121</v>
      </c>
      <c r="AH439" s="99" t="s">
        <v>3413</v>
      </c>
      <c r="AI439" s="125">
        <v>100</v>
      </c>
      <c r="AJ439" s="99" t="s">
        <v>176</v>
      </c>
      <c r="AK439" s="99" t="s">
        <v>4446</v>
      </c>
      <c r="AL439" s="99" t="s">
        <v>3411</v>
      </c>
      <c r="AM439" s="99" t="s">
        <v>177</v>
      </c>
      <c r="AN439" s="99" t="s">
        <v>3411</v>
      </c>
      <c r="AO439" s="99" t="s">
        <v>1482</v>
      </c>
      <c r="AP439" s="99" t="s">
        <v>2424</v>
      </c>
      <c r="AQ439" s="99" t="s">
        <v>90</v>
      </c>
      <c r="AR439" s="99" t="s">
        <v>207</v>
      </c>
      <c r="AS439" s="99" t="s">
        <v>1742</v>
      </c>
      <c r="AT439" s="99" t="s">
        <v>190</v>
      </c>
      <c r="AU439" s="99" t="s">
        <v>191</v>
      </c>
      <c r="AV439" s="99" t="s">
        <v>3928</v>
      </c>
      <c r="AW439" s="99" t="s">
        <v>519</v>
      </c>
      <c r="AX439" s="99" t="s">
        <v>3420</v>
      </c>
      <c r="AY439" s="99" t="s">
        <v>252</v>
      </c>
      <c r="AZ439" s="99" t="s">
        <v>3416</v>
      </c>
      <c r="BA439" s="99" t="s">
        <v>4313</v>
      </c>
      <c r="BB439" s="99" t="s">
        <v>3411</v>
      </c>
      <c r="BC439" s="125">
        <v>61</v>
      </c>
      <c r="BD439" s="99" t="s">
        <v>3135</v>
      </c>
      <c r="BE439" s="99" t="s">
        <v>3136</v>
      </c>
    </row>
    <row r="440" spans="1:57" ht="12.95" customHeight="1">
      <c r="A440" s="124">
        <v>15</v>
      </c>
      <c r="B440" s="124">
        <v>649</v>
      </c>
      <c r="C440" s="99" t="s">
        <v>165</v>
      </c>
      <c r="D440" s="99" t="s">
        <v>1477</v>
      </c>
      <c r="E440" s="99" t="s">
        <v>1478</v>
      </c>
      <c r="F440" s="99" t="s">
        <v>74</v>
      </c>
      <c r="G440" s="99" t="s">
        <v>75</v>
      </c>
      <c r="H440" s="99" t="s">
        <v>4314</v>
      </c>
      <c r="I440" s="99" t="s">
        <v>1520</v>
      </c>
      <c r="J440" s="99" t="s">
        <v>1743</v>
      </c>
      <c r="K440" s="99" t="s">
        <v>527</v>
      </c>
      <c r="L440" s="99" t="s">
        <v>1744</v>
      </c>
      <c r="M440" s="99" t="s">
        <v>5</v>
      </c>
      <c r="N440" s="99" t="s">
        <v>3407</v>
      </c>
      <c r="O440" s="99" t="s">
        <v>114</v>
      </c>
      <c r="P440" s="99" t="s">
        <v>3422</v>
      </c>
      <c r="Q440" s="99" t="s">
        <v>169</v>
      </c>
      <c r="R440" s="99" t="s">
        <v>71</v>
      </c>
      <c r="S440" s="99" t="s">
        <v>2691</v>
      </c>
      <c r="T440" s="99" t="s">
        <v>49</v>
      </c>
      <c r="U440" s="99" t="s">
        <v>1008</v>
      </c>
      <c r="V440" s="99" t="s">
        <v>53</v>
      </c>
      <c r="W440" s="99" t="s">
        <v>4448</v>
      </c>
      <c r="X440" s="99" t="s">
        <v>4448</v>
      </c>
      <c r="Y440" s="99" t="s">
        <v>4449</v>
      </c>
      <c r="Z440" s="99" t="s">
        <v>172</v>
      </c>
      <c r="AA440" s="99" t="s">
        <v>173</v>
      </c>
      <c r="AB440" s="99" t="s">
        <v>174</v>
      </c>
      <c r="AC440" s="99" t="s">
        <v>3411</v>
      </c>
      <c r="AD440" s="99" t="s">
        <v>175</v>
      </c>
      <c r="AE440" s="99" t="s">
        <v>3411</v>
      </c>
      <c r="AF440" s="99" t="s">
        <v>3411</v>
      </c>
      <c r="AG440" s="124">
        <v>177</v>
      </c>
      <c r="AH440" s="99" t="s">
        <v>3413</v>
      </c>
      <c r="AI440" s="125">
        <v>100</v>
      </c>
      <c r="AJ440" s="99" t="s">
        <v>176</v>
      </c>
      <c r="AK440" s="99" t="s">
        <v>4448</v>
      </c>
      <c r="AL440" s="99" t="s">
        <v>3411</v>
      </c>
      <c r="AM440" s="99" t="s">
        <v>177</v>
      </c>
      <c r="AN440" s="99" t="s">
        <v>3411</v>
      </c>
      <c r="AO440" s="99" t="s">
        <v>1482</v>
      </c>
      <c r="AP440" s="99" t="s">
        <v>2598</v>
      </c>
      <c r="AQ440" s="99" t="s">
        <v>81</v>
      </c>
      <c r="AR440" s="99" t="s">
        <v>1010</v>
      </c>
      <c r="AS440" s="99" t="s">
        <v>1745</v>
      </c>
      <c r="AT440" s="99" t="s">
        <v>190</v>
      </c>
      <c r="AU440" s="99" t="s">
        <v>191</v>
      </c>
      <c r="AV440" s="99" t="s">
        <v>3928</v>
      </c>
      <c r="AW440" s="99" t="s">
        <v>519</v>
      </c>
      <c r="AX440" s="99" t="s">
        <v>3420</v>
      </c>
      <c r="AY440" s="99" t="s">
        <v>252</v>
      </c>
      <c r="AZ440" s="99" t="s">
        <v>3416</v>
      </c>
      <c r="BA440" s="99" t="s">
        <v>4313</v>
      </c>
      <c r="BB440" s="99" t="s">
        <v>3411</v>
      </c>
      <c r="BC440" s="125">
        <v>57</v>
      </c>
      <c r="BD440" s="99" t="s">
        <v>3135</v>
      </c>
      <c r="BE440" s="99" t="s">
        <v>3136</v>
      </c>
    </row>
    <row r="441" spans="1:57" ht="12.95" customHeight="1">
      <c r="A441" s="124">
        <v>15</v>
      </c>
      <c r="B441" s="124">
        <v>2242</v>
      </c>
      <c r="C441" s="99" t="s">
        <v>165</v>
      </c>
      <c r="D441" s="99" t="s">
        <v>1477</v>
      </c>
      <c r="E441" s="99" t="s">
        <v>1478</v>
      </c>
      <c r="F441" s="99" t="s">
        <v>74</v>
      </c>
      <c r="G441" s="99" t="s">
        <v>75</v>
      </c>
      <c r="H441" s="99" t="s">
        <v>4314</v>
      </c>
      <c r="I441" s="99" t="s">
        <v>1520</v>
      </c>
      <c r="J441" s="99" t="s">
        <v>1746</v>
      </c>
      <c r="K441" s="99" t="s">
        <v>776</v>
      </c>
      <c r="L441" s="99" t="s">
        <v>1747</v>
      </c>
      <c r="M441" s="99" t="s">
        <v>1</v>
      </c>
      <c r="N441" s="99" t="s">
        <v>3407</v>
      </c>
      <c r="O441" s="99" t="s">
        <v>114</v>
      </c>
      <c r="P441" s="99" t="s">
        <v>3422</v>
      </c>
      <c r="Q441" s="99" t="s">
        <v>169</v>
      </c>
      <c r="R441" s="99" t="s">
        <v>71</v>
      </c>
      <c r="S441" s="99" t="s">
        <v>2691</v>
      </c>
      <c r="T441" s="99" t="s">
        <v>49</v>
      </c>
      <c r="U441" s="99" t="s">
        <v>1492</v>
      </c>
      <c r="V441" s="99" t="s">
        <v>55</v>
      </c>
      <c r="W441" s="99" t="s">
        <v>4405</v>
      </c>
      <c r="X441" s="99" t="s">
        <v>4405</v>
      </c>
      <c r="Y441" s="99" t="s">
        <v>4450</v>
      </c>
      <c r="Z441" s="99" t="s">
        <v>172</v>
      </c>
      <c r="AA441" s="99" t="s">
        <v>173</v>
      </c>
      <c r="AB441" s="99" t="s">
        <v>174</v>
      </c>
      <c r="AC441" s="99" t="s">
        <v>3411</v>
      </c>
      <c r="AD441" s="99" t="s">
        <v>175</v>
      </c>
      <c r="AE441" s="99" t="s">
        <v>3411</v>
      </c>
      <c r="AF441" s="99" t="s">
        <v>3411</v>
      </c>
      <c r="AG441" s="124">
        <v>536</v>
      </c>
      <c r="AH441" s="99" t="s">
        <v>3413</v>
      </c>
      <c r="AI441" s="125">
        <v>100</v>
      </c>
      <c r="AJ441" s="99" t="s">
        <v>176</v>
      </c>
      <c r="AK441" s="99" t="s">
        <v>4405</v>
      </c>
      <c r="AL441" s="99" t="s">
        <v>3411</v>
      </c>
      <c r="AM441" s="99" t="s">
        <v>177</v>
      </c>
      <c r="AN441" s="99" t="s">
        <v>3411</v>
      </c>
      <c r="AO441" s="99" t="s">
        <v>1482</v>
      </c>
      <c r="AP441" s="99" t="s">
        <v>2604</v>
      </c>
      <c r="AQ441" s="99" t="s">
        <v>86</v>
      </c>
      <c r="AR441" s="99" t="s">
        <v>1010</v>
      </c>
      <c r="AS441" s="99" t="s">
        <v>1748</v>
      </c>
      <c r="AT441" s="99" t="s">
        <v>190</v>
      </c>
      <c r="AU441" s="99" t="s">
        <v>191</v>
      </c>
      <c r="AV441" s="99" t="s">
        <v>3581</v>
      </c>
      <c r="AW441" s="99" t="s">
        <v>529</v>
      </c>
      <c r="AX441" s="99" t="s">
        <v>3420</v>
      </c>
      <c r="AY441" s="99" t="s">
        <v>252</v>
      </c>
      <c r="AZ441" s="99" t="s">
        <v>3416</v>
      </c>
      <c r="BA441" s="99" t="s">
        <v>4293</v>
      </c>
      <c r="BB441" s="99" t="s">
        <v>3315</v>
      </c>
      <c r="BC441" s="125">
        <v>48</v>
      </c>
      <c r="BD441" s="99" t="s">
        <v>3135</v>
      </c>
      <c r="BE441" s="99" t="s">
        <v>3136</v>
      </c>
    </row>
    <row r="442" spans="1:57" ht="12.95" customHeight="1">
      <c r="A442" s="124">
        <v>15</v>
      </c>
      <c r="B442" s="124">
        <v>1883</v>
      </c>
      <c r="C442" s="99" t="s">
        <v>165</v>
      </c>
      <c r="D442" s="99" t="s">
        <v>1477</v>
      </c>
      <c r="E442" s="99" t="s">
        <v>1478</v>
      </c>
      <c r="F442" s="99" t="s">
        <v>74</v>
      </c>
      <c r="G442" s="99" t="s">
        <v>75</v>
      </c>
      <c r="H442" s="99" t="s">
        <v>4314</v>
      </c>
      <c r="I442" s="99" t="s">
        <v>1520</v>
      </c>
      <c r="J442" s="99" t="s">
        <v>1749</v>
      </c>
      <c r="K442" s="99" t="s">
        <v>1750</v>
      </c>
      <c r="L442" s="99" t="s">
        <v>1751</v>
      </c>
      <c r="M442" s="99" t="s">
        <v>1</v>
      </c>
      <c r="N442" s="99" t="s">
        <v>3407</v>
      </c>
      <c r="O442" s="99" t="s">
        <v>114</v>
      </c>
      <c r="P442" s="99" t="s">
        <v>3422</v>
      </c>
      <c r="Q442" s="99" t="s">
        <v>169</v>
      </c>
      <c r="R442" s="99" t="s">
        <v>71</v>
      </c>
      <c r="S442" s="99" t="s">
        <v>2691</v>
      </c>
      <c r="T442" s="99" t="s">
        <v>49</v>
      </c>
      <c r="U442" s="99" t="s">
        <v>1492</v>
      </c>
      <c r="V442" s="99" t="s">
        <v>55</v>
      </c>
      <c r="W442" s="99" t="s">
        <v>4337</v>
      </c>
      <c r="X442" s="99" t="s">
        <v>4337</v>
      </c>
      <c r="Y442" s="99" t="s">
        <v>4451</v>
      </c>
      <c r="Z442" s="99" t="s">
        <v>172</v>
      </c>
      <c r="AA442" s="99" t="s">
        <v>173</v>
      </c>
      <c r="AB442" s="99" t="s">
        <v>174</v>
      </c>
      <c r="AC442" s="99" t="s">
        <v>3411</v>
      </c>
      <c r="AD442" s="99" t="s">
        <v>175</v>
      </c>
      <c r="AE442" s="99" t="s">
        <v>3411</v>
      </c>
      <c r="AF442" s="99" t="s">
        <v>3411</v>
      </c>
      <c r="AG442" s="124">
        <v>364</v>
      </c>
      <c r="AH442" s="99" t="s">
        <v>3413</v>
      </c>
      <c r="AI442" s="125">
        <v>100</v>
      </c>
      <c r="AJ442" s="99" t="s">
        <v>176</v>
      </c>
      <c r="AK442" s="99" t="s">
        <v>4452</v>
      </c>
      <c r="AL442" s="99" t="s">
        <v>3411</v>
      </c>
      <c r="AM442" s="99" t="s">
        <v>177</v>
      </c>
      <c r="AN442" s="99" t="s">
        <v>3411</v>
      </c>
      <c r="AO442" s="99" t="s">
        <v>1482</v>
      </c>
      <c r="AP442" s="99" t="s">
        <v>2599</v>
      </c>
      <c r="AQ442" s="99" t="s">
        <v>82</v>
      </c>
      <c r="AR442" s="99" t="s">
        <v>3411</v>
      </c>
      <c r="AS442" s="99" t="s">
        <v>1752</v>
      </c>
      <c r="AT442" s="99" t="s">
        <v>190</v>
      </c>
      <c r="AU442" s="99" t="s">
        <v>191</v>
      </c>
      <c r="AV442" s="99" t="s">
        <v>3928</v>
      </c>
      <c r="AW442" s="99" t="s">
        <v>519</v>
      </c>
      <c r="AX442" s="99" t="s">
        <v>3420</v>
      </c>
      <c r="AY442" s="99" t="s">
        <v>252</v>
      </c>
      <c r="AZ442" s="99" t="s">
        <v>3416</v>
      </c>
      <c r="BA442" s="99" t="s">
        <v>4317</v>
      </c>
      <c r="BB442" s="99" t="s">
        <v>3316</v>
      </c>
      <c r="BC442" s="125">
        <v>63</v>
      </c>
      <c r="BD442" s="99" t="s">
        <v>3135</v>
      </c>
      <c r="BE442" s="99" t="s">
        <v>3136</v>
      </c>
    </row>
    <row r="443" spans="1:57" ht="12.95" customHeight="1">
      <c r="A443" s="124">
        <v>15</v>
      </c>
      <c r="B443" s="124">
        <v>465</v>
      </c>
      <c r="C443" s="99" t="s">
        <v>165</v>
      </c>
      <c r="D443" s="99" t="s">
        <v>1477</v>
      </c>
      <c r="E443" s="99" t="s">
        <v>1478</v>
      </c>
      <c r="F443" s="99" t="s">
        <v>74</v>
      </c>
      <c r="G443" s="99" t="s">
        <v>75</v>
      </c>
      <c r="H443" s="99" t="s">
        <v>4314</v>
      </c>
      <c r="I443" s="99" t="s">
        <v>1520</v>
      </c>
      <c r="J443" s="99" t="s">
        <v>1753</v>
      </c>
      <c r="K443" s="99" t="s">
        <v>1754</v>
      </c>
      <c r="L443" s="99" t="s">
        <v>1755</v>
      </c>
      <c r="M443" s="99" t="s">
        <v>5</v>
      </c>
      <c r="N443" s="99" t="s">
        <v>3407</v>
      </c>
      <c r="O443" s="99" t="s">
        <v>114</v>
      </c>
      <c r="P443" s="99" t="s">
        <v>3422</v>
      </c>
      <c r="Q443" s="99" t="s">
        <v>169</v>
      </c>
      <c r="R443" s="99" t="s">
        <v>71</v>
      </c>
      <c r="S443" s="99" t="s">
        <v>2691</v>
      </c>
      <c r="T443" s="99" t="s">
        <v>49</v>
      </c>
      <c r="U443" s="99" t="s">
        <v>1519</v>
      </c>
      <c r="V443" s="99" t="s">
        <v>56</v>
      </c>
      <c r="W443" s="99" t="s">
        <v>4453</v>
      </c>
      <c r="X443" s="99" t="s">
        <v>4453</v>
      </c>
      <c r="Y443" s="99" t="s">
        <v>4454</v>
      </c>
      <c r="Z443" s="99" t="s">
        <v>172</v>
      </c>
      <c r="AA443" s="99" t="s">
        <v>173</v>
      </c>
      <c r="AB443" s="99" t="s">
        <v>174</v>
      </c>
      <c r="AC443" s="99" t="s">
        <v>3411</v>
      </c>
      <c r="AD443" s="99" t="s">
        <v>175</v>
      </c>
      <c r="AE443" s="99" t="s">
        <v>3411</v>
      </c>
      <c r="AF443" s="99" t="s">
        <v>3411</v>
      </c>
      <c r="AG443" s="124">
        <v>134</v>
      </c>
      <c r="AH443" s="99" t="s">
        <v>3413</v>
      </c>
      <c r="AI443" s="125">
        <v>100</v>
      </c>
      <c r="AJ443" s="99" t="s">
        <v>176</v>
      </c>
      <c r="AK443" s="99" t="s">
        <v>4453</v>
      </c>
      <c r="AL443" s="99" t="s">
        <v>3411</v>
      </c>
      <c r="AM443" s="99" t="s">
        <v>177</v>
      </c>
      <c r="AN443" s="99" t="s">
        <v>3411</v>
      </c>
      <c r="AO443" s="99" t="s">
        <v>1482</v>
      </c>
      <c r="AP443" s="99" t="s">
        <v>2606</v>
      </c>
      <c r="AQ443" s="99" t="s">
        <v>89</v>
      </c>
      <c r="AR443" s="99" t="s">
        <v>1010</v>
      </c>
      <c r="AS443" s="99" t="s">
        <v>1756</v>
      </c>
      <c r="AT443" s="99" t="s">
        <v>190</v>
      </c>
      <c r="AU443" s="99" t="s">
        <v>191</v>
      </c>
      <c r="AV443" s="99" t="s">
        <v>3928</v>
      </c>
      <c r="AW443" s="99" t="s">
        <v>519</v>
      </c>
      <c r="AX443" s="99" t="s">
        <v>3420</v>
      </c>
      <c r="AY443" s="99" t="s">
        <v>252</v>
      </c>
      <c r="AZ443" s="99" t="s">
        <v>3416</v>
      </c>
      <c r="BA443" s="99" t="s">
        <v>4313</v>
      </c>
      <c r="BB443" s="99" t="s">
        <v>3411</v>
      </c>
      <c r="BC443" s="125">
        <v>62</v>
      </c>
      <c r="BD443" s="99" t="s">
        <v>3135</v>
      </c>
      <c r="BE443" s="99" t="s">
        <v>3136</v>
      </c>
    </row>
    <row r="444" spans="1:57" ht="12.95" customHeight="1">
      <c r="A444" s="124">
        <v>15</v>
      </c>
      <c r="B444" s="124">
        <v>823</v>
      </c>
      <c r="C444" s="99" t="s">
        <v>165</v>
      </c>
      <c r="D444" s="99" t="s">
        <v>1477</v>
      </c>
      <c r="E444" s="99" t="s">
        <v>1478</v>
      </c>
      <c r="F444" s="99" t="s">
        <v>74</v>
      </c>
      <c r="G444" s="99" t="s">
        <v>75</v>
      </c>
      <c r="H444" s="99" t="s">
        <v>4314</v>
      </c>
      <c r="I444" s="99" t="s">
        <v>1520</v>
      </c>
      <c r="J444" s="99" t="s">
        <v>1757</v>
      </c>
      <c r="K444" s="99" t="s">
        <v>820</v>
      </c>
      <c r="L444" s="99" t="s">
        <v>1758</v>
      </c>
      <c r="M444" s="99" t="s">
        <v>5</v>
      </c>
      <c r="N444" s="99" t="s">
        <v>3407</v>
      </c>
      <c r="O444" s="99" t="s">
        <v>114</v>
      </c>
      <c r="P444" s="99" t="s">
        <v>3422</v>
      </c>
      <c r="Q444" s="99" t="s">
        <v>169</v>
      </c>
      <c r="R444" s="99" t="s">
        <v>71</v>
      </c>
      <c r="S444" s="99" t="s">
        <v>2691</v>
      </c>
      <c r="T444" s="99" t="s">
        <v>49</v>
      </c>
      <c r="U444" s="99" t="s">
        <v>1551</v>
      </c>
      <c r="V444" s="99" t="s">
        <v>51</v>
      </c>
      <c r="W444" s="99" t="s">
        <v>3587</v>
      </c>
      <c r="X444" s="99" t="s">
        <v>4455</v>
      </c>
      <c r="Y444" s="99" t="s">
        <v>4456</v>
      </c>
      <c r="Z444" s="99" t="s">
        <v>172</v>
      </c>
      <c r="AA444" s="99" t="s">
        <v>173</v>
      </c>
      <c r="AB444" s="99" t="s">
        <v>174</v>
      </c>
      <c r="AC444" s="99" t="s">
        <v>3411</v>
      </c>
      <c r="AD444" s="99" t="s">
        <v>175</v>
      </c>
      <c r="AE444" s="99" t="s">
        <v>3411</v>
      </c>
      <c r="AF444" s="99" t="s">
        <v>3411</v>
      </c>
      <c r="AG444" s="124">
        <v>200</v>
      </c>
      <c r="AH444" s="99" t="s">
        <v>3413</v>
      </c>
      <c r="AI444" s="125">
        <v>100</v>
      </c>
      <c r="AJ444" s="99" t="s">
        <v>176</v>
      </c>
      <c r="AK444" s="99" t="s">
        <v>3587</v>
      </c>
      <c r="AL444" s="99" t="s">
        <v>3411</v>
      </c>
      <c r="AM444" s="99" t="s">
        <v>177</v>
      </c>
      <c r="AN444" s="99" t="s">
        <v>3411</v>
      </c>
      <c r="AO444" s="99" t="s">
        <v>1482</v>
      </c>
      <c r="AP444" s="99" t="s">
        <v>2598</v>
      </c>
      <c r="AQ444" s="99" t="s">
        <v>81</v>
      </c>
      <c r="AR444" s="99" t="s">
        <v>3411</v>
      </c>
      <c r="AS444" s="99" t="s">
        <v>1759</v>
      </c>
      <c r="AT444" s="99" t="s">
        <v>190</v>
      </c>
      <c r="AU444" s="99" t="s">
        <v>191</v>
      </c>
      <c r="AV444" s="99" t="s">
        <v>3928</v>
      </c>
      <c r="AW444" s="99" t="s">
        <v>519</v>
      </c>
      <c r="AX444" s="99" t="s">
        <v>3420</v>
      </c>
      <c r="AY444" s="99" t="s">
        <v>252</v>
      </c>
      <c r="AZ444" s="99" t="s">
        <v>3416</v>
      </c>
      <c r="BA444" s="99" t="s">
        <v>4313</v>
      </c>
      <c r="BB444" s="99" t="s">
        <v>3411</v>
      </c>
      <c r="BC444" s="125">
        <v>59</v>
      </c>
      <c r="BD444" s="99" t="s">
        <v>3135</v>
      </c>
      <c r="BE444" s="99" t="s">
        <v>3136</v>
      </c>
    </row>
    <row r="445" spans="1:57" ht="12.95" customHeight="1">
      <c r="A445" s="124">
        <v>15</v>
      </c>
      <c r="B445" s="124">
        <v>997</v>
      </c>
      <c r="C445" s="99" t="s">
        <v>165</v>
      </c>
      <c r="D445" s="99" t="s">
        <v>1477</v>
      </c>
      <c r="E445" s="99" t="s">
        <v>1478</v>
      </c>
      <c r="F445" s="99" t="s">
        <v>74</v>
      </c>
      <c r="G445" s="99" t="s">
        <v>75</v>
      </c>
      <c r="H445" s="99" t="s">
        <v>4314</v>
      </c>
      <c r="I445" s="99" t="s">
        <v>1520</v>
      </c>
      <c r="J445" s="99" t="s">
        <v>1760</v>
      </c>
      <c r="K445" s="99" t="s">
        <v>1761</v>
      </c>
      <c r="L445" s="99" t="s">
        <v>1762</v>
      </c>
      <c r="M445" s="99" t="s">
        <v>5</v>
      </c>
      <c r="N445" s="99" t="s">
        <v>3407</v>
      </c>
      <c r="O445" s="99" t="s">
        <v>114</v>
      </c>
      <c r="P445" s="99" t="s">
        <v>3422</v>
      </c>
      <c r="Q445" s="99" t="s">
        <v>169</v>
      </c>
      <c r="R445" s="99" t="s">
        <v>71</v>
      </c>
      <c r="S445" s="99" t="s">
        <v>2691</v>
      </c>
      <c r="T445" s="99" t="s">
        <v>49</v>
      </c>
      <c r="U445" s="99" t="s">
        <v>1551</v>
      </c>
      <c r="V445" s="99" t="s">
        <v>51</v>
      </c>
      <c r="W445" s="99" t="s">
        <v>3584</v>
      </c>
      <c r="X445" s="99" t="s">
        <v>3584</v>
      </c>
      <c r="Y445" s="99" t="s">
        <v>4457</v>
      </c>
      <c r="Z445" s="99" t="s">
        <v>172</v>
      </c>
      <c r="AA445" s="99" t="s">
        <v>173</v>
      </c>
      <c r="AB445" s="99" t="s">
        <v>174</v>
      </c>
      <c r="AC445" s="99" t="s">
        <v>3411</v>
      </c>
      <c r="AD445" s="99" t="s">
        <v>175</v>
      </c>
      <c r="AE445" s="99" t="s">
        <v>3411</v>
      </c>
      <c r="AF445" s="99" t="s">
        <v>3411</v>
      </c>
      <c r="AG445" s="124">
        <v>225</v>
      </c>
      <c r="AH445" s="99" t="s">
        <v>3413</v>
      </c>
      <c r="AI445" s="125">
        <v>100</v>
      </c>
      <c r="AJ445" s="99" t="s">
        <v>176</v>
      </c>
      <c r="AK445" s="99" t="s">
        <v>3584</v>
      </c>
      <c r="AL445" s="99" t="s">
        <v>3411</v>
      </c>
      <c r="AM445" s="99" t="s">
        <v>177</v>
      </c>
      <c r="AN445" s="99" t="s">
        <v>3411</v>
      </c>
      <c r="AO445" s="99" t="s">
        <v>1482</v>
      </c>
      <c r="AP445" s="99" t="s">
        <v>2606</v>
      </c>
      <c r="AQ445" s="99" t="s">
        <v>89</v>
      </c>
      <c r="AR445" s="99" t="s">
        <v>1010</v>
      </c>
      <c r="AS445" s="99" t="s">
        <v>1763</v>
      </c>
      <c r="AT445" s="99" t="s">
        <v>190</v>
      </c>
      <c r="AU445" s="99" t="s">
        <v>191</v>
      </c>
      <c r="AV445" s="99" t="s">
        <v>3581</v>
      </c>
      <c r="AW445" s="99" t="s">
        <v>529</v>
      </c>
      <c r="AX445" s="99" t="s">
        <v>3411</v>
      </c>
      <c r="AY445" s="99" t="s">
        <v>3411</v>
      </c>
      <c r="AZ445" s="99" t="s">
        <v>3411</v>
      </c>
      <c r="BA445" s="99" t="s">
        <v>4313</v>
      </c>
      <c r="BB445" s="99" t="s">
        <v>3411</v>
      </c>
      <c r="BC445" s="125">
        <v>58</v>
      </c>
      <c r="BD445" s="99" t="s">
        <v>3135</v>
      </c>
      <c r="BE445" s="99" t="s">
        <v>3136</v>
      </c>
    </row>
    <row r="446" spans="1:57" ht="12.95" customHeight="1">
      <c r="A446" s="124">
        <v>15</v>
      </c>
      <c r="B446" s="124">
        <v>616</v>
      </c>
      <c r="C446" s="99" t="s">
        <v>165</v>
      </c>
      <c r="D446" s="99" t="s">
        <v>1477</v>
      </c>
      <c r="E446" s="99" t="s">
        <v>1478</v>
      </c>
      <c r="F446" s="99" t="s">
        <v>74</v>
      </c>
      <c r="G446" s="99" t="s">
        <v>75</v>
      </c>
      <c r="H446" s="99" t="s">
        <v>4314</v>
      </c>
      <c r="I446" s="99" t="s">
        <v>1520</v>
      </c>
      <c r="J446" s="99" t="s">
        <v>1764</v>
      </c>
      <c r="K446" s="99" t="s">
        <v>872</v>
      </c>
      <c r="L446" s="99" t="s">
        <v>1765</v>
      </c>
      <c r="M446" s="99" t="s">
        <v>5</v>
      </c>
      <c r="N446" s="99" t="s">
        <v>3407</v>
      </c>
      <c r="O446" s="99" t="s">
        <v>114</v>
      </c>
      <c r="P446" s="99" t="s">
        <v>3422</v>
      </c>
      <c r="Q446" s="99" t="s">
        <v>169</v>
      </c>
      <c r="R446" s="99" t="s">
        <v>71</v>
      </c>
      <c r="S446" s="99" t="s">
        <v>2691</v>
      </c>
      <c r="T446" s="99" t="s">
        <v>49</v>
      </c>
      <c r="U446" s="99" t="s">
        <v>1008</v>
      </c>
      <c r="V446" s="99" t="s">
        <v>53</v>
      </c>
      <c r="W446" s="99" t="s">
        <v>4458</v>
      </c>
      <c r="X446" s="99" t="s">
        <v>4458</v>
      </c>
      <c r="Y446" s="99" t="s">
        <v>4459</v>
      </c>
      <c r="Z446" s="99" t="s">
        <v>172</v>
      </c>
      <c r="AA446" s="99" t="s">
        <v>173</v>
      </c>
      <c r="AB446" s="99" t="s">
        <v>174</v>
      </c>
      <c r="AC446" s="99" t="s">
        <v>3411</v>
      </c>
      <c r="AD446" s="99" t="s">
        <v>175</v>
      </c>
      <c r="AE446" s="99" t="s">
        <v>3411</v>
      </c>
      <c r="AF446" s="99" t="s">
        <v>3411</v>
      </c>
      <c r="AG446" s="124">
        <v>174</v>
      </c>
      <c r="AH446" s="99" t="s">
        <v>3413</v>
      </c>
      <c r="AI446" s="125">
        <v>100</v>
      </c>
      <c r="AJ446" s="99" t="s">
        <v>176</v>
      </c>
      <c r="AK446" s="99" t="s">
        <v>4458</v>
      </c>
      <c r="AL446" s="99" t="s">
        <v>3411</v>
      </c>
      <c r="AM446" s="99" t="s">
        <v>177</v>
      </c>
      <c r="AN446" s="99" t="s">
        <v>3411</v>
      </c>
      <c r="AO446" s="99" t="s">
        <v>1482</v>
      </c>
      <c r="AP446" s="99" t="s">
        <v>2382</v>
      </c>
      <c r="AQ446" s="99" t="s">
        <v>88</v>
      </c>
      <c r="AR446" s="99" t="s">
        <v>1010</v>
      </c>
      <c r="AS446" s="99" t="s">
        <v>1766</v>
      </c>
      <c r="AT446" s="99" t="s">
        <v>190</v>
      </c>
      <c r="AU446" s="99" t="s">
        <v>191</v>
      </c>
      <c r="AV446" s="99" t="s">
        <v>3928</v>
      </c>
      <c r="AW446" s="99" t="s">
        <v>519</v>
      </c>
      <c r="AX446" s="99" t="s">
        <v>3420</v>
      </c>
      <c r="AY446" s="99" t="s">
        <v>252</v>
      </c>
      <c r="AZ446" s="99" t="s">
        <v>3416</v>
      </c>
      <c r="BA446" s="99" t="s">
        <v>4347</v>
      </c>
      <c r="BB446" s="99" t="s">
        <v>3369</v>
      </c>
      <c r="BC446" s="125">
        <v>60</v>
      </c>
      <c r="BD446" s="99" t="s">
        <v>3135</v>
      </c>
      <c r="BE446" s="99" t="s">
        <v>3136</v>
      </c>
    </row>
    <row r="447" spans="1:57" ht="12.95" customHeight="1">
      <c r="A447" s="124">
        <v>15</v>
      </c>
      <c r="B447" s="124">
        <v>1514</v>
      </c>
      <c r="C447" s="99" t="s">
        <v>165</v>
      </c>
      <c r="D447" s="99" t="s">
        <v>1477</v>
      </c>
      <c r="E447" s="99" t="s">
        <v>1478</v>
      </c>
      <c r="F447" s="99" t="s">
        <v>74</v>
      </c>
      <c r="G447" s="99" t="s">
        <v>75</v>
      </c>
      <c r="H447" s="99" t="s">
        <v>4314</v>
      </c>
      <c r="I447" s="99" t="s">
        <v>1520</v>
      </c>
      <c r="J447" s="99" t="s">
        <v>1767</v>
      </c>
      <c r="K447" s="99" t="s">
        <v>1768</v>
      </c>
      <c r="L447" s="99" t="s">
        <v>1769</v>
      </c>
      <c r="M447" s="99" t="s">
        <v>5</v>
      </c>
      <c r="N447" s="99" t="s">
        <v>3407</v>
      </c>
      <c r="O447" s="99" t="s">
        <v>114</v>
      </c>
      <c r="P447" s="99" t="s">
        <v>3422</v>
      </c>
      <c r="Q447" s="99" t="s">
        <v>169</v>
      </c>
      <c r="R447" s="99" t="s">
        <v>71</v>
      </c>
      <c r="S447" s="99" t="s">
        <v>2691</v>
      </c>
      <c r="T447" s="99" t="s">
        <v>49</v>
      </c>
      <c r="U447" s="99" t="s">
        <v>1492</v>
      </c>
      <c r="V447" s="99" t="s">
        <v>55</v>
      </c>
      <c r="W447" s="99" t="s">
        <v>4255</v>
      </c>
      <c r="X447" s="99" t="s">
        <v>4255</v>
      </c>
      <c r="Y447" s="99" t="s">
        <v>4460</v>
      </c>
      <c r="Z447" s="99" t="s">
        <v>172</v>
      </c>
      <c r="AA447" s="99" t="s">
        <v>173</v>
      </c>
      <c r="AB447" s="99" t="s">
        <v>174</v>
      </c>
      <c r="AC447" s="99" t="s">
        <v>3411</v>
      </c>
      <c r="AD447" s="99" t="s">
        <v>175</v>
      </c>
      <c r="AE447" s="99" t="s">
        <v>3411</v>
      </c>
      <c r="AF447" s="99" t="s">
        <v>3411</v>
      </c>
      <c r="AG447" s="124">
        <v>312</v>
      </c>
      <c r="AH447" s="99" t="s">
        <v>3413</v>
      </c>
      <c r="AI447" s="125">
        <v>100</v>
      </c>
      <c r="AJ447" s="99" t="s">
        <v>176</v>
      </c>
      <c r="AK447" s="99" t="s">
        <v>4255</v>
      </c>
      <c r="AL447" s="99" t="s">
        <v>3411</v>
      </c>
      <c r="AM447" s="99" t="s">
        <v>177</v>
      </c>
      <c r="AN447" s="99" t="s">
        <v>3411</v>
      </c>
      <c r="AO447" s="99" t="s">
        <v>1482</v>
      </c>
      <c r="AP447" s="99" t="s">
        <v>2271</v>
      </c>
      <c r="AQ447" s="99" t="s">
        <v>85</v>
      </c>
      <c r="AR447" s="99" t="s">
        <v>3411</v>
      </c>
      <c r="AS447" s="99" t="s">
        <v>1770</v>
      </c>
      <c r="AT447" s="99" t="s">
        <v>190</v>
      </c>
      <c r="AU447" s="99" t="s">
        <v>191</v>
      </c>
      <c r="AV447" s="99" t="s">
        <v>3581</v>
      </c>
      <c r="AW447" s="99" t="s">
        <v>529</v>
      </c>
      <c r="AX447" s="99" t="s">
        <v>3420</v>
      </c>
      <c r="AY447" s="99" t="s">
        <v>252</v>
      </c>
      <c r="AZ447" s="99" t="s">
        <v>3416</v>
      </c>
      <c r="BA447" s="99" t="s">
        <v>4293</v>
      </c>
      <c r="BB447" s="99" t="s">
        <v>3315</v>
      </c>
      <c r="BC447" s="125">
        <v>66</v>
      </c>
      <c r="BD447" s="99" t="s">
        <v>3135</v>
      </c>
      <c r="BE447" s="99" t="s">
        <v>3136</v>
      </c>
    </row>
    <row r="448" spans="1:57" ht="12.95" customHeight="1">
      <c r="A448" s="124">
        <v>15</v>
      </c>
      <c r="B448" s="124">
        <v>398</v>
      </c>
      <c r="C448" s="99" t="s">
        <v>165</v>
      </c>
      <c r="D448" s="99" t="s">
        <v>1477</v>
      </c>
      <c r="E448" s="99" t="s">
        <v>1478</v>
      </c>
      <c r="F448" s="99" t="s">
        <v>74</v>
      </c>
      <c r="G448" s="99" t="s">
        <v>75</v>
      </c>
      <c r="H448" s="99" t="s">
        <v>4314</v>
      </c>
      <c r="I448" s="99" t="s">
        <v>1520</v>
      </c>
      <c r="J448" s="99" t="s">
        <v>1771</v>
      </c>
      <c r="K448" s="99" t="s">
        <v>783</v>
      </c>
      <c r="L448" s="99" t="s">
        <v>1772</v>
      </c>
      <c r="M448" s="99" t="s">
        <v>1</v>
      </c>
      <c r="N448" s="99" t="s">
        <v>3407</v>
      </c>
      <c r="O448" s="99" t="s">
        <v>114</v>
      </c>
      <c r="P448" s="99" t="s">
        <v>3422</v>
      </c>
      <c r="Q448" s="99" t="s">
        <v>169</v>
      </c>
      <c r="R448" s="99" t="s">
        <v>71</v>
      </c>
      <c r="S448" s="99" t="s">
        <v>2691</v>
      </c>
      <c r="T448" s="99" t="s">
        <v>49</v>
      </c>
      <c r="U448" s="99" t="s">
        <v>1008</v>
      </c>
      <c r="V448" s="99" t="s">
        <v>53</v>
      </c>
      <c r="W448" s="99" t="s">
        <v>4461</v>
      </c>
      <c r="X448" s="99" t="s">
        <v>4461</v>
      </c>
      <c r="Y448" s="99" t="s">
        <v>4462</v>
      </c>
      <c r="Z448" s="99" t="s">
        <v>172</v>
      </c>
      <c r="AA448" s="99" t="s">
        <v>173</v>
      </c>
      <c r="AB448" s="99" t="s">
        <v>174</v>
      </c>
      <c r="AC448" s="99" t="s">
        <v>3411</v>
      </c>
      <c r="AD448" s="99" t="s">
        <v>175</v>
      </c>
      <c r="AE448" s="99" t="s">
        <v>3411</v>
      </c>
      <c r="AF448" s="99" t="s">
        <v>3411</v>
      </c>
      <c r="AG448" s="124">
        <v>109</v>
      </c>
      <c r="AH448" s="99" t="s">
        <v>3413</v>
      </c>
      <c r="AI448" s="125">
        <v>100</v>
      </c>
      <c r="AJ448" s="99" t="s">
        <v>176</v>
      </c>
      <c r="AK448" s="99" t="s">
        <v>4461</v>
      </c>
      <c r="AL448" s="99" t="s">
        <v>3411</v>
      </c>
      <c r="AM448" s="99" t="s">
        <v>177</v>
      </c>
      <c r="AN448" s="99" t="s">
        <v>3411</v>
      </c>
      <c r="AO448" s="99" t="s">
        <v>1482</v>
      </c>
      <c r="AP448" s="99" t="s">
        <v>2605</v>
      </c>
      <c r="AQ448" s="99" t="s">
        <v>87</v>
      </c>
      <c r="AR448" s="99" t="s">
        <v>1010</v>
      </c>
      <c r="AS448" s="99" t="s">
        <v>1773</v>
      </c>
      <c r="AT448" s="99" t="s">
        <v>190</v>
      </c>
      <c r="AU448" s="99" t="s">
        <v>191</v>
      </c>
      <c r="AV448" s="99" t="s">
        <v>3570</v>
      </c>
      <c r="AW448" s="99" t="s">
        <v>406</v>
      </c>
      <c r="AX448" s="99" t="s">
        <v>3411</v>
      </c>
      <c r="AY448" s="99" t="s">
        <v>3411</v>
      </c>
      <c r="AZ448" s="99" t="s">
        <v>3411</v>
      </c>
      <c r="BA448" s="99" t="s">
        <v>4313</v>
      </c>
      <c r="BB448" s="99" t="s">
        <v>3411</v>
      </c>
      <c r="BC448" s="125">
        <v>66</v>
      </c>
      <c r="BD448" s="99" t="s">
        <v>3135</v>
      </c>
      <c r="BE448" s="99" t="s">
        <v>3136</v>
      </c>
    </row>
    <row r="449" spans="1:57" ht="12.95" customHeight="1">
      <c r="A449" s="124">
        <v>15</v>
      </c>
      <c r="B449" s="124">
        <v>2060</v>
      </c>
      <c r="C449" s="99" t="s">
        <v>165</v>
      </c>
      <c r="D449" s="99" t="s">
        <v>1477</v>
      </c>
      <c r="E449" s="99" t="s">
        <v>1478</v>
      </c>
      <c r="F449" s="99" t="s">
        <v>74</v>
      </c>
      <c r="G449" s="99" t="s">
        <v>75</v>
      </c>
      <c r="H449" s="99" t="s">
        <v>4314</v>
      </c>
      <c r="I449" s="99" t="s">
        <v>1520</v>
      </c>
      <c r="J449" s="99" t="s">
        <v>1774</v>
      </c>
      <c r="K449" s="99" t="s">
        <v>1775</v>
      </c>
      <c r="L449" s="99" t="s">
        <v>1776</v>
      </c>
      <c r="M449" s="99" t="s">
        <v>5</v>
      </c>
      <c r="N449" s="99" t="s">
        <v>3407</v>
      </c>
      <c r="O449" s="99" t="s">
        <v>114</v>
      </c>
      <c r="P449" s="99" t="s">
        <v>3422</v>
      </c>
      <c r="Q449" s="99" t="s">
        <v>169</v>
      </c>
      <c r="R449" s="99" t="s">
        <v>71</v>
      </c>
      <c r="S449" s="99" t="s">
        <v>2691</v>
      </c>
      <c r="T449" s="99" t="s">
        <v>49</v>
      </c>
      <c r="U449" s="99" t="s">
        <v>1551</v>
      </c>
      <c r="V449" s="99" t="s">
        <v>51</v>
      </c>
      <c r="W449" s="99" t="s">
        <v>4331</v>
      </c>
      <c r="X449" s="99" t="s">
        <v>4331</v>
      </c>
      <c r="Y449" s="99" t="s">
        <v>4463</v>
      </c>
      <c r="Z449" s="99" t="s">
        <v>172</v>
      </c>
      <c r="AA449" s="99" t="s">
        <v>173</v>
      </c>
      <c r="AB449" s="99" t="s">
        <v>174</v>
      </c>
      <c r="AC449" s="99" t="s">
        <v>3411</v>
      </c>
      <c r="AD449" s="99" t="s">
        <v>175</v>
      </c>
      <c r="AE449" s="99" t="s">
        <v>3411</v>
      </c>
      <c r="AF449" s="99" t="s">
        <v>3411</v>
      </c>
      <c r="AG449" s="124">
        <v>458</v>
      </c>
      <c r="AH449" s="99" t="s">
        <v>3413</v>
      </c>
      <c r="AI449" s="125">
        <v>100</v>
      </c>
      <c r="AJ449" s="99" t="s">
        <v>176</v>
      </c>
      <c r="AK449" s="99" t="s">
        <v>4331</v>
      </c>
      <c r="AL449" s="99" t="s">
        <v>3411</v>
      </c>
      <c r="AM449" s="99" t="s">
        <v>177</v>
      </c>
      <c r="AN449" s="99" t="s">
        <v>3411</v>
      </c>
      <c r="AO449" s="99" t="s">
        <v>1482</v>
      </c>
      <c r="AP449" s="99" t="s">
        <v>2605</v>
      </c>
      <c r="AQ449" s="99" t="s">
        <v>87</v>
      </c>
      <c r="AR449" s="99" t="s">
        <v>1010</v>
      </c>
      <c r="AS449" s="99" t="s">
        <v>1777</v>
      </c>
      <c r="AT449" s="99" t="s">
        <v>190</v>
      </c>
      <c r="AU449" s="99" t="s">
        <v>191</v>
      </c>
      <c r="AV449" s="99" t="s">
        <v>3928</v>
      </c>
      <c r="AW449" s="99" t="s">
        <v>519</v>
      </c>
      <c r="AX449" s="99" t="s">
        <v>3411</v>
      </c>
      <c r="AY449" s="99" t="s">
        <v>3411</v>
      </c>
      <c r="AZ449" s="99" t="s">
        <v>3411</v>
      </c>
      <c r="BA449" s="99" t="s">
        <v>4313</v>
      </c>
      <c r="BB449" s="99" t="s">
        <v>3411</v>
      </c>
      <c r="BC449" s="125">
        <v>60</v>
      </c>
      <c r="BD449" s="99" t="s">
        <v>3135</v>
      </c>
      <c r="BE449" s="99" t="s">
        <v>3136</v>
      </c>
    </row>
    <row r="450" spans="1:57" ht="12.95" customHeight="1">
      <c r="A450" s="124">
        <v>15</v>
      </c>
      <c r="B450" s="124">
        <v>1998</v>
      </c>
      <c r="C450" s="99" t="s">
        <v>165</v>
      </c>
      <c r="D450" s="99" t="s">
        <v>1477</v>
      </c>
      <c r="E450" s="99" t="s">
        <v>1478</v>
      </c>
      <c r="F450" s="99" t="s">
        <v>74</v>
      </c>
      <c r="G450" s="99" t="s">
        <v>75</v>
      </c>
      <c r="H450" s="99" t="s">
        <v>4314</v>
      </c>
      <c r="I450" s="99" t="s">
        <v>1520</v>
      </c>
      <c r="J450" s="99" t="s">
        <v>2118</v>
      </c>
      <c r="K450" s="99" t="s">
        <v>2119</v>
      </c>
      <c r="L450" s="99" t="s">
        <v>2120</v>
      </c>
      <c r="M450" s="99" t="s">
        <v>1</v>
      </c>
      <c r="N450" s="99" t="s">
        <v>3407</v>
      </c>
      <c r="O450" s="99" t="s">
        <v>114</v>
      </c>
      <c r="P450" s="99" t="s">
        <v>3422</v>
      </c>
      <c r="Q450" s="99" t="s">
        <v>169</v>
      </c>
      <c r="R450" s="99" t="s">
        <v>71</v>
      </c>
      <c r="S450" s="99" t="s">
        <v>2691</v>
      </c>
      <c r="T450" s="99" t="s">
        <v>49</v>
      </c>
      <c r="U450" s="99" t="s">
        <v>1492</v>
      </c>
      <c r="V450" s="99" t="s">
        <v>55</v>
      </c>
      <c r="W450" s="99" t="s">
        <v>4464</v>
      </c>
      <c r="X450" s="99" t="s">
        <v>4464</v>
      </c>
      <c r="Y450" s="99" t="s">
        <v>4063</v>
      </c>
      <c r="Z450" s="99" t="s">
        <v>172</v>
      </c>
      <c r="AA450" s="99" t="s">
        <v>173</v>
      </c>
      <c r="AB450" s="99" t="s">
        <v>174</v>
      </c>
      <c r="AC450" s="99" t="s">
        <v>3411</v>
      </c>
      <c r="AD450" s="99" t="s">
        <v>175</v>
      </c>
      <c r="AE450" s="99" t="s">
        <v>3411</v>
      </c>
      <c r="AF450" s="99" t="s">
        <v>3411</v>
      </c>
      <c r="AG450" s="124">
        <v>424</v>
      </c>
      <c r="AH450" s="99" t="s">
        <v>3413</v>
      </c>
      <c r="AI450" s="125">
        <v>100</v>
      </c>
      <c r="AJ450" s="99" t="s">
        <v>176</v>
      </c>
      <c r="AK450" s="99" t="s">
        <v>4464</v>
      </c>
      <c r="AL450" s="99" t="s">
        <v>3411</v>
      </c>
      <c r="AM450" s="99" t="s">
        <v>177</v>
      </c>
      <c r="AN450" s="99" t="s">
        <v>3411</v>
      </c>
      <c r="AO450" s="99" t="s">
        <v>1481</v>
      </c>
      <c r="AP450" s="99" t="s">
        <v>2598</v>
      </c>
      <c r="AQ450" s="99" t="s">
        <v>81</v>
      </c>
      <c r="AR450" s="99" t="s">
        <v>3411</v>
      </c>
      <c r="AS450" s="99" t="s">
        <v>2121</v>
      </c>
      <c r="AT450" s="99" t="s">
        <v>190</v>
      </c>
      <c r="AU450" s="99" t="s">
        <v>191</v>
      </c>
      <c r="AV450" s="99" t="s">
        <v>3414</v>
      </c>
      <c r="AW450" s="99" t="s">
        <v>180</v>
      </c>
      <c r="AX450" s="99" t="s">
        <v>3420</v>
      </c>
      <c r="AY450" s="99" t="s">
        <v>252</v>
      </c>
      <c r="AZ450" s="99" t="s">
        <v>3416</v>
      </c>
      <c r="BA450" s="99" t="s">
        <v>4313</v>
      </c>
      <c r="BB450" s="99" t="s">
        <v>3411</v>
      </c>
      <c r="BC450" s="125">
        <v>48</v>
      </c>
      <c r="BD450" s="99" t="s">
        <v>3135</v>
      </c>
      <c r="BE450" s="99" t="s">
        <v>3136</v>
      </c>
    </row>
    <row r="451" spans="1:57" ht="12.95" customHeight="1">
      <c r="A451" s="124">
        <v>15</v>
      </c>
      <c r="B451" s="124">
        <v>1668</v>
      </c>
      <c r="C451" s="99" t="s">
        <v>165</v>
      </c>
      <c r="D451" s="99" t="s">
        <v>1477</v>
      </c>
      <c r="E451" s="99" t="s">
        <v>1478</v>
      </c>
      <c r="F451" s="99" t="s">
        <v>74</v>
      </c>
      <c r="G451" s="99" t="s">
        <v>75</v>
      </c>
      <c r="H451" s="99" t="s">
        <v>4314</v>
      </c>
      <c r="I451" s="99" t="s">
        <v>1520</v>
      </c>
      <c r="J451" s="99" t="s">
        <v>1778</v>
      </c>
      <c r="K451" s="99" t="s">
        <v>1735</v>
      </c>
      <c r="L451" s="99" t="s">
        <v>1779</v>
      </c>
      <c r="M451" s="99" t="s">
        <v>1</v>
      </c>
      <c r="N451" s="99" t="s">
        <v>3407</v>
      </c>
      <c r="O451" s="99" t="s">
        <v>114</v>
      </c>
      <c r="P451" s="99" t="s">
        <v>3422</v>
      </c>
      <c r="Q451" s="99" t="s">
        <v>169</v>
      </c>
      <c r="R451" s="99" t="s">
        <v>71</v>
      </c>
      <c r="S451" s="99" t="s">
        <v>2691</v>
      </c>
      <c r="T451" s="99" t="s">
        <v>49</v>
      </c>
      <c r="U451" s="99" t="s">
        <v>1492</v>
      </c>
      <c r="V451" s="99" t="s">
        <v>55</v>
      </c>
      <c r="W451" s="99" t="s">
        <v>3661</v>
      </c>
      <c r="X451" s="99" t="s">
        <v>3661</v>
      </c>
      <c r="Y451" s="99" t="s">
        <v>4465</v>
      </c>
      <c r="Z451" s="99" t="s">
        <v>172</v>
      </c>
      <c r="AA451" s="99" t="s">
        <v>173</v>
      </c>
      <c r="AB451" s="99" t="s">
        <v>174</v>
      </c>
      <c r="AC451" s="99" t="s">
        <v>3411</v>
      </c>
      <c r="AD451" s="99" t="s">
        <v>175</v>
      </c>
      <c r="AE451" s="99" t="s">
        <v>3411</v>
      </c>
      <c r="AF451" s="99" t="s">
        <v>3411</v>
      </c>
      <c r="AG451" s="124">
        <v>323</v>
      </c>
      <c r="AH451" s="99" t="s">
        <v>3413</v>
      </c>
      <c r="AI451" s="125">
        <v>100</v>
      </c>
      <c r="AJ451" s="99" t="s">
        <v>176</v>
      </c>
      <c r="AK451" s="99" t="s">
        <v>3661</v>
      </c>
      <c r="AL451" s="99" t="s">
        <v>3411</v>
      </c>
      <c r="AM451" s="99" t="s">
        <v>177</v>
      </c>
      <c r="AN451" s="99" t="s">
        <v>3411</v>
      </c>
      <c r="AO451" s="99" t="s">
        <v>1482</v>
      </c>
      <c r="AP451" s="99" t="s">
        <v>2401</v>
      </c>
      <c r="AQ451" s="99" t="s">
        <v>91</v>
      </c>
      <c r="AR451" s="99" t="s">
        <v>1010</v>
      </c>
      <c r="AS451" s="99" t="s">
        <v>1780</v>
      </c>
      <c r="AT451" s="99" t="s">
        <v>190</v>
      </c>
      <c r="AU451" s="99" t="s">
        <v>191</v>
      </c>
      <c r="AV451" s="99" t="s">
        <v>3928</v>
      </c>
      <c r="AW451" s="99" t="s">
        <v>519</v>
      </c>
      <c r="AX451" s="99" t="s">
        <v>3420</v>
      </c>
      <c r="AY451" s="99" t="s">
        <v>252</v>
      </c>
      <c r="AZ451" s="99" t="s">
        <v>3416</v>
      </c>
      <c r="BA451" s="99" t="s">
        <v>4313</v>
      </c>
      <c r="BB451" s="99" t="s">
        <v>3411</v>
      </c>
      <c r="BC451" s="125">
        <v>56</v>
      </c>
      <c r="BD451" s="99" t="s">
        <v>3135</v>
      </c>
      <c r="BE451" s="99" t="s">
        <v>3136</v>
      </c>
    </row>
    <row r="452" spans="1:57" ht="12.95" customHeight="1">
      <c r="A452" s="124">
        <v>15</v>
      </c>
      <c r="B452" s="124">
        <v>2180</v>
      </c>
      <c r="C452" s="99" t="s">
        <v>165</v>
      </c>
      <c r="D452" s="99" t="s">
        <v>1477</v>
      </c>
      <c r="E452" s="99" t="s">
        <v>1478</v>
      </c>
      <c r="F452" s="99" t="s">
        <v>74</v>
      </c>
      <c r="G452" s="99" t="s">
        <v>75</v>
      </c>
      <c r="H452" s="99" t="s">
        <v>4314</v>
      </c>
      <c r="I452" s="99" t="s">
        <v>1520</v>
      </c>
      <c r="J452" s="99" t="s">
        <v>1781</v>
      </c>
      <c r="K452" s="99" t="s">
        <v>367</v>
      </c>
      <c r="L452" s="99" t="s">
        <v>1782</v>
      </c>
      <c r="M452" s="99" t="s">
        <v>5</v>
      </c>
      <c r="N452" s="99" t="s">
        <v>3407</v>
      </c>
      <c r="O452" s="99" t="s">
        <v>114</v>
      </c>
      <c r="P452" s="99" t="s">
        <v>3422</v>
      </c>
      <c r="Q452" s="99" t="s">
        <v>169</v>
      </c>
      <c r="R452" s="99" t="s">
        <v>71</v>
      </c>
      <c r="S452" s="99" t="s">
        <v>2691</v>
      </c>
      <c r="T452" s="99" t="s">
        <v>49</v>
      </c>
      <c r="U452" s="99" t="s">
        <v>1008</v>
      </c>
      <c r="V452" s="99" t="s">
        <v>53</v>
      </c>
      <c r="W452" s="99" t="s">
        <v>4413</v>
      </c>
      <c r="X452" s="99" t="s">
        <v>4413</v>
      </c>
      <c r="Y452" s="99" t="s">
        <v>4466</v>
      </c>
      <c r="Z452" s="99" t="s">
        <v>172</v>
      </c>
      <c r="AA452" s="99" t="s">
        <v>173</v>
      </c>
      <c r="AB452" s="99" t="s">
        <v>174</v>
      </c>
      <c r="AC452" s="99" t="s">
        <v>3411</v>
      </c>
      <c r="AD452" s="99" t="s">
        <v>175</v>
      </c>
      <c r="AE452" s="99" t="s">
        <v>3411</v>
      </c>
      <c r="AF452" s="99" t="s">
        <v>3411</v>
      </c>
      <c r="AG452" s="124">
        <v>514</v>
      </c>
      <c r="AH452" s="99" t="s">
        <v>3413</v>
      </c>
      <c r="AI452" s="125">
        <v>100</v>
      </c>
      <c r="AJ452" s="99" t="s">
        <v>176</v>
      </c>
      <c r="AK452" s="99" t="s">
        <v>4413</v>
      </c>
      <c r="AL452" s="99" t="s">
        <v>3411</v>
      </c>
      <c r="AM452" s="99" t="s">
        <v>177</v>
      </c>
      <c r="AN452" s="99" t="s">
        <v>3411</v>
      </c>
      <c r="AO452" s="99" t="s">
        <v>1482</v>
      </c>
      <c r="AP452" s="99" t="s">
        <v>2424</v>
      </c>
      <c r="AQ452" s="99" t="s">
        <v>90</v>
      </c>
      <c r="AR452" s="99" t="s">
        <v>1010</v>
      </c>
      <c r="AS452" s="99" t="s">
        <v>1783</v>
      </c>
      <c r="AT452" s="99" t="s">
        <v>190</v>
      </c>
      <c r="AU452" s="99" t="s">
        <v>191</v>
      </c>
      <c r="AV452" s="99" t="s">
        <v>3928</v>
      </c>
      <c r="AW452" s="99" t="s">
        <v>519</v>
      </c>
      <c r="AX452" s="99" t="s">
        <v>3420</v>
      </c>
      <c r="AY452" s="99" t="s">
        <v>252</v>
      </c>
      <c r="AZ452" s="99" t="s">
        <v>3416</v>
      </c>
      <c r="BA452" s="99" t="s">
        <v>4313</v>
      </c>
      <c r="BB452" s="99" t="s">
        <v>3411</v>
      </c>
      <c r="BC452" s="125">
        <v>55</v>
      </c>
      <c r="BD452" s="99" t="s">
        <v>3135</v>
      </c>
      <c r="BE452" s="99" t="s">
        <v>3136</v>
      </c>
    </row>
    <row r="453" spans="1:57" ht="12.95" customHeight="1">
      <c r="A453" s="124">
        <v>15</v>
      </c>
      <c r="B453" s="124">
        <v>1867</v>
      </c>
      <c r="C453" s="99" t="s">
        <v>165</v>
      </c>
      <c r="D453" s="99" t="s">
        <v>1477</v>
      </c>
      <c r="E453" s="99" t="s">
        <v>1478</v>
      </c>
      <c r="F453" s="99" t="s">
        <v>74</v>
      </c>
      <c r="G453" s="99" t="s">
        <v>75</v>
      </c>
      <c r="H453" s="99" t="s">
        <v>4314</v>
      </c>
      <c r="I453" s="99" t="s">
        <v>1520</v>
      </c>
      <c r="J453" s="99" t="s">
        <v>1784</v>
      </c>
      <c r="K453" s="99" t="s">
        <v>1785</v>
      </c>
      <c r="L453" s="99" t="s">
        <v>1786</v>
      </c>
      <c r="M453" s="99" t="s">
        <v>1</v>
      </c>
      <c r="N453" s="99" t="s">
        <v>3407</v>
      </c>
      <c r="O453" s="99" t="s">
        <v>114</v>
      </c>
      <c r="P453" s="99" t="s">
        <v>3422</v>
      </c>
      <c r="Q453" s="99" t="s">
        <v>169</v>
      </c>
      <c r="R453" s="99" t="s">
        <v>71</v>
      </c>
      <c r="S453" s="99" t="s">
        <v>2691</v>
      </c>
      <c r="T453" s="99" t="s">
        <v>49</v>
      </c>
      <c r="U453" s="99" t="s">
        <v>1511</v>
      </c>
      <c r="V453" s="99" t="s">
        <v>54</v>
      </c>
      <c r="W453" s="99" t="s">
        <v>4260</v>
      </c>
      <c r="X453" s="99" t="s">
        <v>4260</v>
      </c>
      <c r="Y453" s="99" t="s">
        <v>4467</v>
      </c>
      <c r="Z453" s="99" t="s">
        <v>172</v>
      </c>
      <c r="AA453" s="99" t="s">
        <v>173</v>
      </c>
      <c r="AB453" s="99" t="s">
        <v>174</v>
      </c>
      <c r="AC453" s="99" t="s">
        <v>3411</v>
      </c>
      <c r="AD453" s="99" t="s">
        <v>175</v>
      </c>
      <c r="AE453" s="99" t="s">
        <v>3411</v>
      </c>
      <c r="AF453" s="99" t="s">
        <v>3411</v>
      </c>
      <c r="AG453" s="124">
        <v>361</v>
      </c>
      <c r="AH453" s="99" t="s">
        <v>3413</v>
      </c>
      <c r="AI453" s="125">
        <v>100</v>
      </c>
      <c r="AJ453" s="99" t="s">
        <v>176</v>
      </c>
      <c r="AK453" s="99" t="s">
        <v>4468</v>
      </c>
      <c r="AL453" s="99" t="s">
        <v>3411</v>
      </c>
      <c r="AM453" s="99" t="s">
        <v>3480</v>
      </c>
      <c r="AN453" s="99" t="s">
        <v>233</v>
      </c>
      <c r="AO453" s="99" t="s">
        <v>1482</v>
      </c>
      <c r="AP453" s="99" t="s">
        <v>2401</v>
      </c>
      <c r="AQ453" s="99" t="s">
        <v>91</v>
      </c>
      <c r="AR453" s="99" t="s">
        <v>1010</v>
      </c>
      <c r="AS453" s="99" t="s">
        <v>1787</v>
      </c>
      <c r="AT453" s="99" t="s">
        <v>190</v>
      </c>
      <c r="AU453" s="99" t="s">
        <v>191</v>
      </c>
      <c r="AV453" s="99" t="s">
        <v>3581</v>
      </c>
      <c r="AW453" s="99" t="s">
        <v>529</v>
      </c>
      <c r="AX453" s="99" t="s">
        <v>3420</v>
      </c>
      <c r="AY453" s="99" t="s">
        <v>252</v>
      </c>
      <c r="AZ453" s="99" t="s">
        <v>3416</v>
      </c>
      <c r="BA453" s="99" t="s">
        <v>4313</v>
      </c>
      <c r="BB453" s="99" t="s">
        <v>3411</v>
      </c>
      <c r="BC453" s="125">
        <v>62</v>
      </c>
      <c r="BD453" s="99" t="s">
        <v>3135</v>
      </c>
      <c r="BE453" s="99" t="s">
        <v>3136</v>
      </c>
    </row>
    <row r="454" spans="1:57" ht="12.95" customHeight="1">
      <c r="A454" s="124">
        <v>15</v>
      </c>
      <c r="B454" s="124">
        <v>1969</v>
      </c>
      <c r="C454" s="99" t="s">
        <v>165</v>
      </c>
      <c r="D454" s="99" t="s">
        <v>1477</v>
      </c>
      <c r="E454" s="99" t="s">
        <v>1478</v>
      </c>
      <c r="F454" s="99" t="s">
        <v>74</v>
      </c>
      <c r="G454" s="99" t="s">
        <v>75</v>
      </c>
      <c r="H454" s="99" t="s">
        <v>4314</v>
      </c>
      <c r="I454" s="99" t="s">
        <v>1520</v>
      </c>
      <c r="J454" s="99" t="s">
        <v>1788</v>
      </c>
      <c r="K454" s="99" t="s">
        <v>472</v>
      </c>
      <c r="L454" s="99" t="s">
        <v>1789</v>
      </c>
      <c r="M454" s="99" t="s">
        <v>5</v>
      </c>
      <c r="N454" s="99" t="s">
        <v>3407</v>
      </c>
      <c r="O454" s="99" t="s">
        <v>114</v>
      </c>
      <c r="P454" s="99" t="s">
        <v>3422</v>
      </c>
      <c r="Q454" s="99" t="s">
        <v>169</v>
      </c>
      <c r="R454" s="99" t="s">
        <v>71</v>
      </c>
      <c r="S454" s="99" t="s">
        <v>2691</v>
      </c>
      <c r="T454" s="99" t="s">
        <v>49</v>
      </c>
      <c r="U454" s="99" t="s">
        <v>1492</v>
      </c>
      <c r="V454" s="99" t="s">
        <v>55</v>
      </c>
      <c r="W454" s="99" t="s">
        <v>3666</v>
      </c>
      <c r="X454" s="99" t="s">
        <v>3666</v>
      </c>
      <c r="Y454" s="99" t="s">
        <v>4469</v>
      </c>
      <c r="Z454" s="99" t="s">
        <v>172</v>
      </c>
      <c r="AA454" s="99" t="s">
        <v>173</v>
      </c>
      <c r="AB454" s="99" t="s">
        <v>174</v>
      </c>
      <c r="AC454" s="99" t="s">
        <v>3411</v>
      </c>
      <c r="AD454" s="99" t="s">
        <v>175</v>
      </c>
      <c r="AE454" s="99" t="s">
        <v>3411</v>
      </c>
      <c r="AF454" s="99" t="s">
        <v>3411</v>
      </c>
      <c r="AG454" s="124">
        <v>405</v>
      </c>
      <c r="AH454" s="99" t="s">
        <v>3413</v>
      </c>
      <c r="AI454" s="125">
        <v>100</v>
      </c>
      <c r="AJ454" s="99" t="s">
        <v>176</v>
      </c>
      <c r="AK454" s="99" t="s">
        <v>3666</v>
      </c>
      <c r="AL454" s="99" t="s">
        <v>3411</v>
      </c>
      <c r="AM454" s="99" t="s">
        <v>177</v>
      </c>
      <c r="AN454" s="99" t="s">
        <v>3411</v>
      </c>
      <c r="AO454" s="99" t="s">
        <v>1482</v>
      </c>
      <c r="AP454" s="99" t="s">
        <v>2382</v>
      </c>
      <c r="AQ454" s="99" t="s">
        <v>88</v>
      </c>
      <c r="AR454" s="99" t="s">
        <v>3411</v>
      </c>
      <c r="AS454" s="99" t="s">
        <v>1790</v>
      </c>
      <c r="AT454" s="99" t="s">
        <v>190</v>
      </c>
      <c r="AU454" s="99" t="s">
        <v>191</v>
      </c>
      <c r="AV454" s="99" t="s">
        <v>3414</v>
      </c>
      <c r="AW454" s="99" t="s">
        <v>180</v>
      </c>
      <c r="AX454" s="99" t="s">
        <v>3420</v>
      </c>
      <c r="AY454" s="99" t="s">
        <v>252</v>
      </c>
      <c r="AZ454" s="99" t="s">
        <v>3416</v>
      </c>
      <c r="BA454" s="99" t="s">
        <v>4347</v>
      </c>
      <c r="BB454" s="99" t="s">
        <v>3369</v>
      </c>
      <c r="BC454" s="125">
        <v>62</v>
      </c>
      <c r="BD454" s="99" t="s">
        <v>3135</v>
      </c>
      <c r="BE454" s="99" t="s">
        <v>3136</v>
      </c>
    </row>
    <row r="455" spans="1:57" ht="12.95" customHeight="1">
      <c r="A455" s="124">
        <v>15</v>
      </c>
      <c r="B455" s="124">
        <v>2240</v>
      </c>
      <c r="C455" s="99" t="s">
        <v>165</v>
      </c>
      <c r="D455" s="99" t="s">
        <v>1477</v>
      </c>
      <c r="E455" s="99" t="s">
        <v>1478</v>
      </c>
      <c r="F455" s="99" t="s">
        <v>74</v>
      </c>
      <c r="G455" s="99" t="s">
        <v>75</v>
      </c>
      <c r="H455" s="99" t="s">
        <v>4314</v>
      </c>
      <c r="I455" s="99" t="s">
        <v>1520</v>
      </c>
      <c r="J455" s="99" t="s">
        <v>1791</v>
      </c>
      <c r="K455" s="99" t="s">
        <v>304</v>
      </c>
      <c r="L455" s="99" t="s">
        <v>1792</v>
      </c>
      <c r="M455" s="99" t="s">
        <v>5</v>
      </c>
      <c r="N455" s="99" t="s">
        <v>3407</v>
      </c>
      <c r="O455" s="99" t="s">
        <v>114</v>
      </c>
      <c r="P455" s="99" t="s">
        <v>3422</v>
      </c>
      <c r="Q455" s="99" t="s">
        <v>169</v>
      </c>
      <c r="R455" s="99" t="s">
        <v>71</v>
      </c>
      <c r="S455" s="99" t="s">
        <v>2691</v>
      </c>
      <c r="T455" s="99" t="s">
        <v>49</v>
      </c>
      <c r="U455" s="99" t="s">
        <v>1492</v>
      </c>
      <c r="V455" s="99" t="s">
        <v>55</v>
      </c>
      <c r="W455" s="99" t="s">
        <v>4405</v>
      </c>
      <c r="X455" s="99" t="s">
        <v>4405</v>
      </c>
      <c r="Y455" s="99" t="s">
        <v>4470</v>
      </c>
      <c r="Z455" s="99" t="s">
        <v>172</v>
      </c>
      <c r="AA455" s="99" t="s">
        <v>173</v>
      </c>
      <c r="AB455" s="99" t="s">
        <v>174</v>
      </c>
      <c r="AC455" s="99" t="s">
        <v>3411</v>
      </c>
      <c r="AD455" s="99" t="s">
        <v>175</v>
      </c>
      <c r="AE455" s="99" t="s">
        <v>3411</v>
      </c>
      <c r="AF455" s="99" t="s">
        <v>3411</v>
      </c>
      <c r="AG455" s="124">
        <v>534</v>
      </c>
      <c r="AH455" s="99" t="s">
        <v>3413</v>
      </c>
      <c r="AI455" s="125">
        <v>100</v>
      </c>
      <c r="AJ455" s="99" t="s">
        <v>176</v>
      </c>
      <c r="AK455" s="99" t="s">
        <v>4405</v>
      </c>
      <c r="AL455" s="99" t="s">
        <v>3411</v>
      </c>
      <c r="AM455" s="99" t="s">
        <v>177</v>
      </c>
      <c r="AN455" s="99" t="s">
        <v>3411</v>
      </c>
      <c r="AO455" s="99" t="s">
        <v>1482</v>
      </c>
      <c r="AP455" s="99" t="s">
        <v>2382</v>
      </c>
      <c r="AQ455" s="99" t="s">
        <v>88</v>
      </c>
      <c r="AR455" s="99" t="s">
        <v>3411</v>
      </c>
      <c r="AS455" s="99" t="s">
        <v>1793</v>
      </c>
      <c r="AT455" s="99" t="s">
        <v>190</v>
      </c>
      <c r="AU455" s="99" t="s">
        <v>191</v>
      </c>
      <c r="AV455" s="99" t="s">
        <v>3581</v>
      </c>
      <c r="AW455" s="99" t="s">
        <v>529</v>
      </c>
      <c r="AX455" s="99" t="s">
        <v>3420</v>
      </c>
      <c r="AY455" s="99" t="s">
        <v>252</v>
      </c>
      <c r="AZ455" s="99" t="s">
        <v>3416</v>
      </c>
      <c r="BA455" s="99" t="s">
        <v>4347</v>
      </c>
      <c r="BB455" s="99" t="s">
        <v>3369</v>
      </c>
      <c r="BC455" s="125">
        <v>54</v>
      </c>
      <c r="BD455" s="99" t="s">
        <v>3135</v>
      </c>
      <c r="BE455" s="99" t="s">
        <v>3136</v>
      </c>
    </row>
    <row r="456" spans="1:57" ht="12.95" customHeight="1">
      <c r="A456" s="124">
        <v>15</v>
      </c>
      <c r="B456" s="124">
        <v>2920</v>
      </c>
      <c r="C456" s="99" t="s">
        <v>165</v>
      </c>
      <c r="D456" s="99" t="s">
        <v>1477</v>
      </c>
      <c r="E456" s="99" t="s">
        <v>1478</v>
      </c>
      <c r="F456" s="99" t="s">
        <v>74</v>
      </c>
      <c r="G456" s="99" t="s">
        <v>75</v>
      </c>
      <c r="H456" s="99" t="s">
        <v>4314</v>
      </c>
      <c r="I456" s="99" t="s">
        <v>1520</v>
      </c>
      <c r="J456" s="99" t="s">
        <v>1794</v>
      </c>
      <c r="K456" s="99" t="s">
        <v>817</v>
      </c>
      <c r="L456" s="99" t="s">
        <v>1795</v>
      </c>
      <c r="M456" s="99" t="s">
        <v>1</v>
      </c>
      <c r="N456" s="99" t="s">
        <v>3407</v>
      </c>
      <c r="O456" s="99" t="s">
        <v>114</v>
      </c>
      <c r="P456" s="99" t="s">
        <v>3422</v>
      </c>
      <c r="Q456" s="99" t="s">
        <v>169</v>
      </c>
      <c r="R456" s="99" t="s">
        <v>71</v>
      </c>
      <c r="S456" s="99" t="s">
        <v>2691</v>
      </c>
      <c r="T456" s="99" t="s">
        <v>49</v>
      </c>
      <c r="U456" s="99" t="s">
        <v>1492</v>
      </c>
      <c r="V456" s="99" t="s">
        <v>55</v>
      </c>
      <c r="W456" s="99" t="s">
        <v>4471</v>
      </c>
      <c r="X456" s="99" t="s">
        <v>4472</v>
      </c>
      <c r="Y456" s="99" t="s">
        <v>4473</v>
      </c>
      <c r="Z456" s="99" t="s">
        <v>172</v>
      </c>
      <c r="AA456" s="99" t="s">
        <v>173</v>
      </c>
      <c r="AB456" s="99" t="s">
        <v>174</v>
      </c>
      <c r="AC456" s="99" t="s">
        <v>3411</v>
      </c>
      <c r="AD456" s="99" t="s">
        <v>175</v>
      </c>
      <c r="AE456" s="99" t="s">
        <v>3411</v>
      </c>
      <c r="AF456" s="99" t="s">
        <v>3411</v>
      </c>
      <c r="AG456" s="124">
        <v>2920</v>
      </c>
      <c r="AH456" s="99" t="s">
        <v>3413</v>
      </c>
      <c r="AI456" s="125">
        <v>100</v>
      </c>
      <c r="AJ456" s="99" t="s">
        <v>176</v>
      </c>
      <c r="AK456" s="99" t="s">
        <v>4471</v>
      </c>
      <c r="AL456" s="99" t="s">
        <v>3411</v>
      </c>
      <c r="AM456" s="99" t="s">
        <v>177</v>
      </c>
      <c r="AN456" s="99" t="s">
        <v>3411</v>
      </c>
      <c r="AO456" s="99" t="s">
        <v>1481</v>
      </c>
      <c r="AP456" s="99" t="s">
        <v>2401</v>
      </c>
      <c r="AQ456" s="99" t="s">
        <v>91</v>
      </c>
      <c r="AR456" s="99" t="s">
        <v>3411</v>
      </c>
      <c r="AS456" s="99" t="s">
        <v>1796</v>
      </c>
      <c r="AT456" s="99" t="s">
        <v>190</v>
      </c>
      <c r="AU456" s="99" t="s">
        <v>191</v>
      </c>
      <c r="AV456" s="99" t="s">
        <v>3928</v>
      </c>
      <c r="AW456" s="99" t="s">
        <v>519</v>
      </c>
      <c r="AX456" s="99" t="s">
        <v>3420</v>
      </c>
      <c r="AY456" s="99" t="s">
        <v>252</v>
      </c>
      <c r="AZ456" s="99" t="s">
        <v>3416</v>
      </c>
      <c r="BA456" s="99" t="s">
        <v>4313</v>
      </c>
      <c r="BB456" s="99" t="s">
        <v>3411</v>
      </c>
      <c r="BC456" s="125">
        <v>60</v>
      </c>
      <c r="BD456" s="99" t="s">
        <v>3135</v>
      </c>
      <c r="BE456" s="99" t="s">
        <v>3136</v>
      </c>
    </row>
    <row r="457" spans="1:57" ht="12.95" customHeight="1">
      <c r="A457" s="124">
        <v>15</v>
      </c>
      <c r="B457" s="124">
        <v>1512</v>
      </c>
      <c r="C457" s="99" t="s">
        <v>165</v>
      </c>
      <c r="D457" s="99" t="s">
        <v>1477</v>
      </c>
      <c r="E457" s="99" t="s">
        <v>1478</v>
      </c>
      <c r="F457" s="99" t="s">
        <v>74</v>
      </c>
      <c r="G457" s="99" t="s">
        <v>75</v>
      </c>
      <c r="H457" s="99" t="s">
        <v>4314</v>
      </c>
      <c r="I457" s="99" t="s">
        <v>1520</v>
      </c>
      <c r="J457" s="99" t="s">
        <v>1797</v>
      </c>
      <c r="K457" s="99" t="s">
        <v>1798</v>
      </c>
      <c r="L457" s="99" t="s">
        <v>1799</v>
      </c>
      <c r="M457" s="99" t="s">
        <v>1</v>
      </c>
      <c r="N457" s="99" t="s">
        <v>3407</v>
      </c>
      <c r="O457" s="99" t="s">
        <v>114</v>
      </c>
      <c r="P457" s="99" t="s">
        <v>3422</v>
      </c>
      <c r="Q457" s="99" t="s">
        <v>169</v>
      </c>
      <c r="R457" s="99" t="s">
        <v>71</v>
      </c>
      <c r="S457" s="99" t="s">
        <v>2691</v>
      </c>
      <c r="T457" s="99" t="s">
        <v>49</v>
      </c>
      <c r="U457" s="99" t="s">
        <v>1511</v>
      </c>
      <c r="V457" s="99" t="s">
        <v>54</v>
      </c>
      <c r="W457" s="99" t="s">
        <v>4255</v>
      </c>
      <c r="X457" s="99" t="s">
        <v>4255</v>
      </c>
      <c r="Y457" s="99" t="s">
        <v>4474</v>
      </c>
      <c r="Z457" s="99" t="s">
        <v>172</v>
      </c>
      <c r="AA457" s="99" t="s">
        <v>173</v>
      </c>
      <c r="AB457" s="99" t="s">
        <v>174</v>
      </c>
      <c r="AC457" s="99" t="s">
        <v>3411</v>
      </c>
      <c r="AD457" s="99" t="s">
        <v>175</v>
      </c>
      <c r="AE457" s="99" t="s">
        <v>3411</v>
      </c>
      <c r="AF457" s="99" t="s">
        <v>3411</v>
      </c>
      <c r="AG457" s="124">
        <v>310</v>
      </c>
      <c r="AH457" s="99" t="s">
        <v>3413</v>
      </c>
      <c r="AI457" s="125">
        <v>100</v>
      </c>
      <c r="AJ457" s="99" t="s">
        <v>176</v>
      </c>
      <c r="AK457" s="99" t="s">
        <v>4475</v>
      </c>
      <c r="AL457" s="99" t="s">
        <v>3411</v>
      </c>
      <c r="AM457" s="99" t="s">
        <v>177</v>
      </c>
      <c r="AN457" s="99" t="s">
        <v>3411</v>
      </c>
      <c r="AO457" s="99" t="s">
        <v>1482</v>
      </c>
      <c r="AP457" s="99" t="s">
        <v>2601</v>
      </c>
      <c r="AQ457" s="99" t="s">
        <v>84</v>
      </c>
      <c r="AR457" s="99" t="s">
        <v>1010</v>
      </c>
      <c r="AS457" s="99" t="s">
        <v>1800</v>
      </c>
      <c r="AT457" s="99" t="s">
        <v>190</v>
      </c>
      <c r="AU457" s="99" t="s">
        <v>191</v>
      </c>
      <c r="AV457" s="99" t="s">
        <v>3581</v>
      </c>
      <c r="AW457" s="99" t="s">
        <v>529</v>
      </c>
      <c r="AX457" s="99" t="s">
        <v>3420</v>
      </c>
      <c r="AY457" s="99" t="s">
        <v>252</v>
      </c>
      <c r="AZ457" s="99" t="s">
        <v>3416</v>
      </c>
      <c r="BA457" s="99" t="s">
        <v>4313</v>
      </c>
      <c r="BB457" s="99" t="s">
        <v>3411</v>
      </c>
      <c r="BC457" s="125">
        <v>49</v>
      </c>
      <c r="BD457" s="99" t="s">
        <v>3135</v>
      </c>
      <c r="BE457" s="99" t="s">
        <v>3136</v>
      </c>
    </row>
    <row r="458" spans="1:57" ht="12.95" customHeight="1">
      <c r="A458" s="124">
        <v>15</v>
      </c>
      <c r="B458" s="124">
        <v>1780</v>
      </c>
      <c r="C458" s="99" t="s">
        <v>165</v>
      </c>
      <c r="D458" s="99" t="s">
        <v>1477</v>
      </c>
      <c r="E458" s="99" t="s">
        <v>1478</v>
      </c>
      <c r="F458" s="99" t="s">
        <v>74</v>
      </c>
      <c r="G458" s="99" t="s">
        <v>75</v>
      </c>
      <c r="H458" s="99" t="s">
        <v>4314</v>
      </c>
      <c r="I458" s="99" t="s">
        <v>1520</v>
      </c>
      <c r="J458" s="99" t="s">
        <v>1801</v>
      </c>
      <c r="K458" s="99" t="s">
        <v>409</v>
      </c>
      <c r="L458" s="99" t="s">
        <v>1802</v>
      </c>
      <c r="M458" s="99" t="s">
        <v>5</v>
      </c>
      <c r="N458" s="99" t="s">
        <v>3407</v>
      </c>
      <c r="O458" s="99" t="s">
        <v>114</v>
      </c>
      <c r="P458" s="99" t="s">
        <v>3422</v>
      </c>
      <c r="Q458" s="99" t="s">
        <v>169</v>
      </c>
      <c r="R458" s="99" t="s">
        <v>71</v>
      </c>
      <c r="S458" s="99" t="s">
        <v>2691</v>
      </c>
      <c r="T458" s="99" t="s">
        <v>49</v>
      </c>
      <c r="U458" s="99" t="s">
        <v>1551</v>
      </c>
      <c r="V458" s="99" t="s">
        <v>51</v>
      </c>
      <c r="W458" s="99" t="s">
        <v>4476</v>
      </c>
      <c r="X458" s="99" t="s">
        <v>4476</v>
      </c>
      <c r="Y458" s="99" t="s">
        <v>4477</v>
      </c>
      <c r="Z458" s="99" t="s">
        <v>172</v>
      </c>
      <c r="AA458" s="99" t="s">
        <v>173</v>
      </c>
      <c r="AB458" s="99" t="s">
        <v>174</v>
      </c>
      <c r="AC458" s="99" t="s">
        <v>3411</v>
      </c>
      <c r="AD458" s="99" t="s">
        <v>175</v>
      </c>
      <c r="AE458" s="99" t="s">
        <v>3411</v>
      </c>
      <c r="AF458" s="99" t="s">
        <v>3411</v>
      </c>
      <c r="AG458" s="124">
        <v>350</v>
      </c>
      <c r="AH458" s="99" t="s">
        <v>3413</v>
      </c>
      <c r="AI458" s="125">
        <v>100</v>
      </c>
      <c r="AJ458" s="99" t="s">
        <v>176</v>
      </c>
      <c r="AK458" s="99" t="s">
        <v>4476</v>
      </c>
      <c r="AL458" s="99" t="s">
        <v>3411</v>
      </c>
      <c r="AM458" s="99" t="s">
        <v>177</v>
      </c>
      <c r="AN458" s="99" t="s">
        <v>3411</v>
      </c>
      <c r="AO458" s="99" t="s">
        <v>1482</v>
      </c>
      <c r="AP458" s="99" t="s">
        <v>2601</v>
      </c>
      <c r="AQ458" s="99" t="s">
        <v>84</v>
      </c>
      <c r="AR458" s="99" t="s">
        <v>1010</v>
      </c>
      <c r="AS458" s="99" t="s">
        <v>1803</v>
      </c>
      <c r="AT458" s="99" t="s">
        <v>190</v>
      </c>
      <c r="AU458" s="99" t="s">
        <v>191</v>
      </c>
      <c r="AV458" s="99" t="s">
        <v>3928</v>
      </c>
      <c r="AW458" s="99" t="s">
        <v>519</v>
      </c>
      <c r="AX458" s="99" t="s">
        <v>3420</v>
      </c>
      <c r="AY458" s="99" t="s">
        <v>252</v>
      </c>
      <c r="AZ458" s="99" t="s">
        <v>3416</v>
      </c>
      <c r="BA458" s="99" t="s">
        <v>4313</v>
      </c>
      <c r="BB458" s="99" t="s">
        <v>3411</v>
      </c>
      <c r="BC458" s="125">
        <v>55</v>
      </c>
      <c r="BD458" s="99" t="s">
        <v>3135</v>
      </c>
      <c r="BE458" s="99" t="s">
        <v>3136</v>
      </c>
    </row>
    <row r="459" spans="1:57" ht="12.95" customHeight="1">
      <c r="A459" s="124">
        <v>15</v>
      </c>
      <c r="B459" s="124">
        <v>1631</v>
      </c>
      <c r="C459" s="99" t="s">
        <v>165</v>
      </c>
      <c r="D459" s="99" t="s">
        <v>1477</v>
      </c>
      <c r="E459" s="99" t="s">
        <v>1478</v>
      </c>
      <c r="F459" s="99" t="s">
        <v>74</v>
      </c>
      <c r="G459" s="99" t="s">
        <v>75</v>
      </c>
      <c r="H459" s="99" t="s">
        <v>4314</v>
      </c>
      <c r="I459" s="99" t="s">
        <v>1520</v>
      </c>
      <c r="J459" s="99" t="s">
        <v>1804</v>
      </c>
      <c r="K459" s="99" t="s">
        <v>796</v>
      </c>
      <c r="L459" s="99" t="s">
        <v>1805</v>
      </c>
      <c r="M459" s="99" t="s">
        <v>5</v>
      </c>
      <c r="N459" s="99" t="s">
        <v>3407</v>
      </c>
      <c r="O459" s="99" t="s">
        <v>114</v>
      </c>
      <c r="P459" s="99" t="s">
        <v>3422</v>
      </c>
      <c r="Q459" s="99" t="s">
        <v>169</v>
      </c>
      <c r="R459" s="99" t="s">
        <v>71</v>
      </c>
      <c r="S459" s="99" t="s">
        <v>2691</v>
      </c>
      <c r="T459" s="99" t="s">
        <v>49</v>
      </c>
      <c r="U459" s="99" t="s">
        <v>1511</v>
      </c>
      <c r="V459" s="99" t="s">
        <v>54</v>
      </c>
      <c r="W459" s="99" t="s">
        <v>4478</v>
      </c>
      <c r="X459" s="99" t="s">
        <v>4478</v>
      </c>
      <c r="Y459" s="99" t="s">
        <v>4479</v>
      </c>
      <c r="Z459" s="99" t="s">
        <v>172</v>
      </c>
      <c r="AA459" s="99" t="s">
        <v>173</v>
      </c>
      <c r="AB459" s="99" t="s">
        <v>174</v>
      </c>
      <c r="AC459" s="99" t="s">
        <v>3411</v>
      </c>
      <c r="AD459" s="99" t="s">
        <v>175</v>
      </c>
      <c r="AE459" s="99" t="s">
        <v>3411</v>
      </c>
      <c r="AF459" s="99" t="s">
        <v>3411</v>
      </c>
      <c r="AG459" s="124">
        <v>322</v>
      </c>
      <c r="AH459" s="99" t="s">
        <v>3413</v>
      </c>
      <c r="AI459" s="125">
        <v>100</v>
      </c>
      <c r="AJ459" s="99" t="s">
        <v>176</v>
      </c>
      <c r="AK459" s="99" t="s">
        <v>4478</v>
      </c>
      <c r="AL459" s="99" t="s">
        <v>3411</v>
      </c>
      <c r="AM459" s="99" t="s">
        <v>177</v>
      </c>
      <c r="AN459" s="99" t="s">
        <v>3411</v>
      </c>
      <c r="AO459" s="99" t="s">
        <v>1482</v>
      </c>
      <c r="AP459" s="99" t="s">
        <v>2609</v>
      </c>
      <c r="AQ459" s="99" t="s">
        <v>95</v>
      </c>
      <c r="AR459" s="99" t="s">
        <v>1010</v>
      </c>
      <c r="AS459" s="99" t="s">
        <v>1806</v>
      </c>
      <c r="AT459" s="99" t="s">
        <v>190</v>
      </c>
      <c r="AU459" s="99" t="s">
        <v>191</v>
      </c>
      <c r="AV459" s="99" t="s">
        <v>3581</v>
      </c>
      <c r="AW459" s="99" t="s">
        <v>529</v>
      </c>
      <c r="AX459" s="99" t="s">
        <v>3420</v>
      </c>
      <c r="AY459" s="99" t="s">
        <v>252</v>
      </c>
      <c r="AZ459" s="99" t="s">
        <v>3416</v>
      </c>
      <c r="BA459" s="99" t="s">
        <v>4313</v>
      </c>
      <c r="BB459" s="99" t="s">
        <v>3411</v>
      </c>
      <c r="BC459" s="125">
        <v>52</v>
      </c>
      <c r="BD459" s="99" t="s">
        <v>3135</v>
      </c>
      <c r="BE459" s="99" t="s">
        <v>3136</v>
      </c>
    </row>
    <row r="460" spans="1:57" ht="12.95" customHeight="1">
      <c r="A460" s="124">
        <v>15</v>
      </c>
      <c r="B460" s="124">
        <v>3044</v>
      </c>
      <c r="C460" s="99" t="s">
        <v>165</v>
      </c>
      <c r="D460" s="99" t="s">
        <v>1477</v>
      </c>
      <c r="E460" s="99" t="s">
        <v>1478</v>
      </c>
      <c r="F460" s="99" t="s">
        <v>74</v>
      </c>
      <c r="G460" s="99" t="s">
        <v>75</v>
      </c>
      <c r="H460" s="99" t="s">
        <v>4314</v>
      </c>
      <c r="I460" s="99" t="s">
        <v>1520</v>
      </c>
      <c r="J460" s="99" t="s">
        <v>2724</v>
      </c>
      <c r="K460" s="99" t="s">
        <v>2725</v>
      </c>
      <c r="L460" s="99" t="s">
        <v>2726</v>
      </c>
      <c r="M460" s="99" t="s">
        <v>5</v>
      </c>
      <c r="N460" s="99" t="s">
        <v>3407</v>
      </c>
      <c r="O460" s="99" t="s">
        <v>114</v>
      </c>
      <c r="P460" s="99" t="s">
        <v>4480</v>
      </c>
      <c r="Q460" s="99" t="s">
        <v>169</v>
      </c>
      <c r="R460" s="99" t="s">
        <v>71</v>
      </c>
      <c r="S460" s="99" t="s">
        <v>2691</v>
      </c>
      <c r="T460" s="99" t="s">
        <v>49</v>
      </c>
      <c r="U460" s="99" t="s">
        <v>1492</v>
      </c>
      <c r="V460" s="99" t="s">
        <v>55</v>
      </c>
      <c r="W460" s="99" t="s">
        <v>4480</v>
      </c>
      <c r="X460" s="99" t="s">
        <v>4480</v>
      </c>
      <c r="Y460" s="99" t="s">
        <v>4481</v>
      </c>
      <c r="Z460" s="99" t="s">
        <v>172</v>
      </c>
      <c r="AA460" s="99" t="s">
        <v>173</v>
      </c>
      <c r="AB460" s="99" t="s">
        <v>174</v>
      </c>
      <c r="AC460" s="99" t="s">
        <v>3411</v>
      </c>
      <c r="AD460" s="99" t="s">
        <v>175</v>
      </c>
      <c r="AE460" s="99" t="s">
        <v>3411</v>
      </c>
      <c r="AF460" s="99" t="s">
        <v>3411</v>
      </c>
      <c r="AG460" s="124">
        <v>3044</v>
      </c>
      <c r="AH460" s="99" t="s">
        <v>3413</v>
      </c>
      <c r="AI460" s="125">
        <v>100</v>
      </c>
      <c r="AJ460" s="99" t="s">
        <v>176</v>
      </c>
      <c r="AK460" s="99" t="s">
        <v>4480</v>
      </c>
      <c r="AL460" s="99" t="s">
        <v>3411</v>
      </c>
      <c r="AM460" s="99" t="s">
        <v>177</v>
      </c>
      <c r="AN460" s="99" t="s">
        <v>3411</v>
      </c>
      <c r="AO460" s="99" t="s">
        <v>1481</v>
      </c>
      <c r="AP460" s="99" t="s">
        <v>2599</v>
      </c>
      <c r="AQ460" s="99" t="s">
        <v>82</v>
      </c>
      <c r="AR460" s="99" t="s">
        <v>3411</v>
      </c>
      <c r="AS460" s="99" t="s">
        <v>2727</v>
      </c>
      <c r="AT460" s="99" t="s">
        <v>190</v>
      </c>
      <c r="AU460" s="99" t="s">
        <v>191</v>
      </c>
      <c r="AV460" s="99" t="s">
        <v>3570</v>
      </c>
      <c r="AW460" s="99" t="s">
        <v>406</v>
      </c>
      <c r="AX460" s="99" t="s">
        <v>3420</v>
      </c>
      <c r="AY460" s="99" t="s">
        <v>252</v>
      </c>
      <c r="AZ460" s="99" t="s">
        <v>3416</v>
      </c>
      <c r="BA460" s="99" t="s">
        <v>4317</v>
      </c>
      <c r="BB460" s="99" t="s">
        <v>3316</v>
      </c>
      <c r="BC460" s="125">
        <v>45</v>
      </c>
      <c r="BD460" s="99" t="s">
        <v>3135</v>
      </c>
      <c r="BE460" s="99" t="s">
        <v>3136</v>
      </c>
    </row>
    <row r="461" spans="1:57" ht="12.95" customHeight="1">
      <c r="A461" s="124">
        <v>15</v>
      </c>
      <c r="B461" s="124">
        <v>597</v>
      </c>
      <c r="C461" s="99" t="s">
        <v>165</v>
      </c>
      <c r="D461" s="99" t="s">
        <v>1477</v>
      </c>
      <c r="E461" s="99" t="s">
        <v>1478</v>
      </c>
      <c r="F461" s="99" t="s">
        <v>74</v>
      </c>
      <c r="G461" s="99" t="s">
        <v>75</v>
      </c>
      <c r="H461" s="99" t="s">
        <v>4314</v>
      </c>
      <c r="I461" s="99" t="s">
        <v>1520</v>
      </c>
      <c r="J461" s="99" t="s">
        <v>1807</v>
      </c>
      <c r="K461" s="99" t="s">
        <v>300</v>
      </c>
      <c r="L461" s="99" t="s">
        <v>1808</v>
      </c>
      <c r="M461" s="99" t="s">
        <v>5</v>
      </c>
      <c r="N461" s="99" t="s">
        <v>3407</v>
      </c>
      <c r="O461" s="99" t="s">
        <v>114</v>
      </c>
      <c r="P461" s="99" t="s">
        <v>3422</v>
      </c>
      <c r="Q461" s="99" t="s">
        <v>169</v>
      </c>
      <c r="R461" s="99" t="s">
        <v>71</v>
      </c>
      <c r="S461" s="99" t="s">
        <v>2691</v>
      </c>
      <c r="T461" s="99" t="s">
        <v>49</v>
      </c>
      <c r="U461" s="99" t="s">
        <v>1492</v>
      </c>
      <c r="V461" s="99" t="s">
        <v>55</v>
      </c>
      <c r="W461" s="99" t="s">
        <v>4482</v>
      </c>
      <c r="X461" s="99" t="s">
        <v>4482</v>
      </c>
      <c r="Y461" s="99" t="s">
        <v>4483</v>
      </c>
      <c r="Z461" s="99" t="s">
        <v>172</v>
      </c>
      <c r="AA461" s="99" t="s">
        <v>173</v>
      </c>
      <c r="AB461" s="99" t="s">
        <v>174</v>
      </c>
      <c r="AC461" s="99" t="s">
        <v>3411</v>
      </c>
      <c r="AD461" s="99" t="s">
        <v>175</v>
      </c>
      <c r="AE461" s="99" t="s">
        <v>3411</v>
      </c>
      <c r="AF461" s="99" t="s">
        <v>3411</v>
      </c>
      <c r="AG461" s="124">
        <v>170</v>
      </c>
      <c r="AH461" s="99" t="s">
        <v>3413</v>
      </c>
      <c r="AI461" s="125">
        <v>100</v>
      </c>
      <c r="AJ461" s="99" t="s">
        <v>176</v>
      </c>
      <c r="AK461" s="99" t="s">
        <v>4482</v>
      </c>
      <c r="AL461" s="99" t="s">
        <v>3411</v>
      </c>
      <c r="AM461" s="99" t="s">
        <v>177</v>
      </c>
      <c r="AN461" s="99" t="s">
        <v>3411</v>
      </c>
      <c r="AO461" s="99" t="s">
        <v>1482</v>
      </c>
      <c r="AP461" s="99" t="s">
        <v>2424</v>
      </c>
      <c r="AQ461" s="99" t="s">
        <v>90</v>
      </c>
      <c r="AR461" s="99" t="s">
        <v>3411</v>
      </c>
      <c r="AS461" s="99" t="s">
        <v>1809</v>
      </c>
      <c r="AT461" s="99" t="s">
        <v>190</v>
      </c>
      <c r="AU461" s="99" t="s">
        <v>191</v>
      </c>
      <c r="AV461" s="99" t="s">
        <v>3928</v>
      </c>
      <c r="AW461" s="99" t="s">
        <v>519</v>
      </c>
      <c r="AX461" s="99" t="s">
        <v>3420</v>
      </c>
      <c r="AY461" s="99" t="s">
        <v>252</v>
      </c>
      <c r="AZ461" s="99" t="s">
        <v>3416</v>
      </c>
      <c r="BA461" s="99" t="s">
        <v>4313</v>
      </c>
      <c r="BB461" s="99" t="s">
        <v>3411</v>
      </c>
      <c r="BC461" s="125">
        <v>61</v>
      </c>
      <c r="BD461" s="99" t="s">
        <v>3135</v>
      </c>
      <c r="BE461" s="99" t="s">
        <v>3136</v>
      </c>
    </row>
    <row r="462" spans="1:57" ht="12.95" customHeight="1">
      <c r="A462" s="124">
        <v>15</v>
      </c>
      <c r="B462" s="124">
        <v>853</v>
      </c>
      <c r="C462" s="99" t="s">
        <v>165</v>
      </c>
      <c r="D462" s="99" t="s">
        <v>1477</v>
      </c>
      <c r="E462" s="99" t="s">
        <v>1478</v>
      </c>
      <c r="F462" s="99" t="s">
        <v>74</v>
      </c>
      <c r="G462" s="99" t="s">
        <v>75</v>
      </c>
      <c r="H462" s="99" t="s">
        <v>4314</v>
      </c>
      <c r="I462" s="99" t="s">
        <v>1520</v>
      </c>
      <c r="J462" s="99" t="s">
        <v>1810</v>
      </c>
      <c r="K462" s="99" t="s">
        <v>1060</v>
      </c>
      <c r="L462" s="99" t="s">
        <v>1811</v>
      </c>
      <c r="M462" s="99" t="s">
        <v>5</v>
      </c>
      <c r="N462" s="99" t="s">
        <v>3407</v>
      </c>
      <c r="O462" s="99" t="s">
        <v>114</v>
      </c>
      <c r="P462" s="99" t="s">
        <v>3422</v>
      </c>
      <c r="Q462" s="99" t="s">
        <v>169</v>
      </c>
      <c r="R462" s="99" t="s">
        <v>71</v>
      </c>
      <c r="S462" s="99" t="s">
        <v>2691</v>
      </c>
      <c r="T462" s="99" t="s">
        <v>49</v>
      </c>
      <c r="U462" s="99" t="s">
        <v>1551</v>
      </c>
      <c r="V462" s="99" t="s">
        <v>51</v>
      </c>
      <c r="W462" s="99" t="s">
        <v>4484</v>
      </c>
      <c r="X462" s="99" t="s">
        <v>4484</v>
      </c>
      <c r="Y462" s="99" t="s">
        <v>4485</v>
      </c>
      <c r="Z462" s="99" t="s">
        <v>172</v>
      </c>
      <c r="AA462" s="99" t="s">
        <v>173</v>
      </c>
      <c r="AB462" s="99" t="s">
        <v>174</v>
      </c>
      <c r="AC462" s="99" t="s">
        <v>3411</v>
      </c>
      <c r="AD462" s="99" t="s">
        <v>175</v>
      </c>
      <c r="AE462" s="99" t="s">
        <v>3411</v>
      </c>
      <c r="AF462" s="99" t="s">
        <v>3411</v>
      </c>
      <c r="AG462" s="124">
        <v>469</v>
      </c>
      <c r="AH462" s="99" t="s">
        <v>3413</v>
      </c>
      <c r="AI462" s="125">
        <v>100</v>
      </c>
      <c r="AJ462" s="99" t="s">
        <v>176</v>
      </c>
      <c r="AK462" s="99" t="s">
        <v>4484</v>
      </c>
      <c r="AL462" s="99" t="s">
        <v>3411</v>
      </c>
      <c r="AM462" s="99" t="s">
        <v>177</v>
      </c>
      <c r="AN462" s="99" t="s">
        <v>3411</v>
      </c>
      <c r="AO462" s="99" t="s">
        <v>1482</v>
      </c>
      <c r="AP462" s="99" t="s">
        <v>2401</v>
      </c>
      <c r="AQ462" s="99" t="s">
        <v>91</v>
      </c>
      <c r="AR462" s="99" t="s">
        <v>2719</v>
      </c>
      <c r="AS462" s="99" t="s">
        <v>1812</v>
      </c>
      <c r="AT462" s="99" t="s">
        <v>190</v>
      </c>
      <c r="AU462" s="99" t="s">
        <v>191</v>
      </c>
      <c r="AV462" s="99" t="s">
        <v>3928</v>
      </c>
      <c r="AW462" s="99" t="s">
        <v>519</v>
      </c>
      <c r="AX462" s="99" t="s">
        <v>3420</v>
      </c>
      <c r="AY462" s="99" t="s">
        <v>252</v>
      </c>
      <c r="AZ462" s="99" t="s">
        <v>3416</v>
      </c>
      <c r="BA462" s="99" t="s">
        <v>4313</v>
      </c>
      <c r="BB462" s="99" t="s">
        <v>3411</v>
      </c>
      <c r="BC462" s="125">
        <v>58</v>
      </c>
      <c r="BD462" s="99" t="s">
        <v>3135</v>
      </c>
      <c r="BE462" s="99" t="s">
        <v>3136</v>
      </c>
    </row>
    <row r="463" spans="1:57" ht="12.95" customHeight="1">
      <c r="A463" s="124">
        <v>15</v>
      </c>
      <c r="B463" s="124">
        <v>1001</v>
      </c>
      <c r="C463" s="99" t="s">
        <v>165</v>
      </c>
      <c r="D463" s="99" t="s">
        <v>1477</v>
      </c>
      <c r="E463" s="99" t="s">
        <v>1478</v>
      </c>
      <c r="F463" s="99" t="s">
        <v>74</v>
      </c>
      <c r="G463" s="99" t="s">
        <v>75</v>
      </c>
      <c r="H463" s="99" t="s">
        <v>4314</v>
      </c>
      <c r="I463" s="99" t="s">
        <v>1520</v>
      </c>
      <c r="J463" s="99" t="s">
        <v>1813</v>
      </c>
      <c r="K463" s="99" t="s">
        <v>275</v>
      </c>
      <c r="L463" s="99" t="s">
        <v>1814</v>
      </c>
      <c r="M463" s="99" t="s">
        <v>5</v>
      </c>
      <c r="N463" s="99" t="s">
        <v>3407</v>
      </c>
      <c r="O463" s="99" t="s">
        <v>114</v>
      </c>
      <c r="P463" s="99" t="s">
        <v>3422</v>
      </c>
      <c r="Q463" s="99" t="s">
        <v>169</v>
      </c>
      <c r="R463" s="99" t="s">
        <v>71</v>
      </c>
      <c r="S463" s="99" t="s">
        <v>2691</v>
      </c>
      <c r="T463" s="99" t="s">
        <v>49</v>
      </c>
      <c r="U463" s="99" t="s">
        <v>1008</v>
      </c>
      <c r="V463" s="99" t="s">
        <v>53</v>
      </c>
      <c r="W463" s="99" t="s">
        <v>3584</v>
      </c>
      <c r="X463" s="99" t="s">
        <v>3584</v>
      </c>
      <c r="Y463" s="99" t="s">
        <v>4486</v>
      </c>
      <c r="Z463" s="99" t="s">
        <v>172</v>
      </c>
      <c r="AA463" s="99" t="s">
        <v>173</v>
      </c>
      <c r="AB463" s="99" t="s">
        <v>174</v>
      </c>
      <c r="AC463" s="99" t="s">
        <v>3411</v>
      </c>
      <c r="AD463" s="99" t="s">
        <v>175</v>
      </c>
      <c r="AE463" s="99" t="s">
        <v>3411</v>
      </c>
      <c r="AF463" s="99" t="s">
        <v>3411</v>
      </c>
      <c r="AG463" s="124">
        <v>228</v>
      </c>
      <c r="AH463" s="99" t="s">
        <v>3413</v>
      </c>
      <c r="AI463" s="125">
        <v>100</v>
      </c>
      <c r="AJ463" s="99" t="s">
        <v>176</v>
      </c>
      <c r="AK463" s="99" t="s">
        <v>3584</v>
      </c>
      <c r="AL463" s="99" t="s">
        <v>3411</v>
      </c>
      <c r="AM463" s="99" t="s">
        <v>177</v>
      </c>
      <c r="AN463" s="99" t="s">
        <v>3411</v>
      </c>
      <c r="AO463" s="99" t="s">
        <v>1482</v>
      </c>
      <c r="AP463" s="99" t="s">
        <v>2597</v>
      </c>
      <c r="AQ463" s="99" t="s">
        <v>96</v>
      </c>
      <c r="AR463" s="99" t="s">
        <v>1010</v>
      </c>
      <c r="AS463" s="99" t="s">
        <v>1815</v>
      </c>
      <c r="AT463" s="99" t="s">
        <v>190</v>
      </c>
      <c r="AU463" s="99" t="s">
        <v>191</v>
      </c>
      <c r="AV463" s="99" t="s">
        <v>3928</v>
      </c>
      <c r="AW463" s="99" t="s">
        <v>519</v>
      </c>
      <c r="AX463" s="99" t="s">
        <v>3411</v>
      </c>
      <c r="AY463" s="99" t="s">
        <v>3411</v>
      </c>
      <c r="AZ463" s="99" t="s">
        <v>3411</v>
      </c>
      <c r="BA463" s="99" t="s">
        <v>4313</v>
      </c>
      <c r="BB463" s="99" t="s">
        <v>3411</v>
      </c>
      <c r="BC463" s="125">
        <v>64</v>
      </c>
      <c r="BD463" s="99" t="s">
        <v>3135</v>
      </c>
      <c r="BE463" s="99" t="s">
        <v>3136</v>
      </c>
    </row>
    <row r="464" spans="1:57" ht="12.95" customHeight="1">
      <c r="A464" s="124">
        <v>15</v>
      </c>
      <c r="B464" s="124">
        <v>1909</v>
      </c>
      <c r="C464" s="99" t="s">
        <v>165</v>
      </c>
      <c r="D464" s="99" t="s">
        <v>1477</v>
      </c>
      <c r="E464" s="99" t="s">
        <v>1478</v>
      </c>
      <c r="F464" s="99" t="s">
        <v>74</v>
      </c>
      <c r="G464" s="99" t="s">
        <v>75</v>
      </c>
      <c r="H464" s="99" t="s">
        <v>4314</v>
      </c>
      <c r="I464" s="99" t="s">
        <v>1520</v>
      </c>
      <c r="J464" s="99" t="s">
        <v>1816</v>
      </c>
      <c r="K464" s="99" t="s">
        <v>255</v>
      </c>
      <c r="L464" s="99" t="s">
        <v>1817</v>
      </c>
      <c r="M464" s="99" t="s">
        <v>5</v>
      </c>
      <c r="N464" s="99" t="s">
        <v>3407</v>
      </c>
      <c r="O464" s="99" t="s">
        <v>114</v>
      </c>
      <c r="P464" s="99" t="s">
        <v>3422</v>
      </c>
      <c r="Q464" s="99" t="s">
        <v>169</v>
      </c>
      <c r="R464" s="99" t="s">
        <v>71</v>
      </c>
      <c r="S464" s="99" t="s">
        <v>2691</v>
      </c>
      <c r="T464" s="99" t="s">
        <v>49</v>
      </c>
      <c r="U464" s="99" t="s">
        <v>1511</v>
      </c>
      <c r="V464" s="99" t="s">
        <v>54</v>
      </c>
      <c r="W464" s="99" t="s">
        <v>4487</v>
      </c>
      <c r="X464" s="99" t="s">
        <v>4487</v>
      </c>
      <c r="Y464" s="99" t="s">
        <v>4488</v>
      </c>
      <c r="Z464" s="99" t="s">
        <v>172</v>
      </c>
      <c r="AA464" s="99" t="s">
        <v>173</v>
      </c>
      <c r="AB464" s="99" t="s">
        <v>400</v>
      </c>
      <c r="AC464" s="99" t="s">
        <v>3411</v>
      </c>
      <c r="AD464" s="99" t="s">
        <v>175</v>
      </c>
      <c r="AE464" s="99" t="s">
        <v>3411</v>
      </c>
      <c r="AF464" s="99" t="s">
        <v>3411</v>
      </c>
      <c r="AG464" s="124">
        <v>372</v>
      </c>
      <c r="AH464" s="99" t="s">
        <v>3413</v>
      </c>
      <c r="AI464" s="125">
        <v>100</v>
      </c>
      <c r="AJ464" s="99" t="s">
        <v>176</v>
      </c>
      <c r="AK464" s="99" t="s">
        <v>4487</v>
      </c>
      <c r="AL464" s="99" t="s">
        <v>3411</v>
      </c>
      <c r="AM464" s="99" t="s">
        <v>177</v>
      </c>
      <c r="AN464" s="99" t="s">
        <v>3411</v>
      </c>
      <c r="AO464" s="99" t="s">
        <v>1482</v>
      </c>
      <c r="AP464" s="99" t="s">
        <v>2424</v>
      </c>
      <c r="AQ464" s="99" t="s">
        <v>90</v>
      </c>
      <c r="AR464" s="99" t="s">
        <v>3411</v>
      </c>
      <c r="AS464" s="99" t="s">
        <v>1818</v>
      </c>
      <c r="AT464" s="99" t="s">
        <v>190</v>
      </c>
      <c r="AU464" s="99" t="s">
        <v>191</v>
      </c>
      <c r="AV464" s="99" t="s">
        <v>3581</v>
      </c>
      <c r="AW464" s="99" t="s">
        <v>529</v>
      </c>
      <c r="AX464" s="99" t="s">
        <v>3420</v>
      </c>
      <c r="AY464" s="99" t="s">
        <v>252</v>
      </c>
      <c r="AZ464" s="99" t="s">
        <v>3416</v>
      </c>
      <c r="BA464" s="99" t="s">
        <v>4313</v>
      </c>
      <c r="BB464" s="99" t="s">
        <v>3411</v>
      </c>
      <c r="BC464" s="125">
        <v>54</v>
      </c>
      <c r="BD464" s="99" t="s">
        <v>3135</v>
      </c>
      <c r="BE464" s="99" t="s">
        <v>3136</v>
      </c>
    </row>
    <row r="465" spans="1:57" ht="12.95" customHeight="1">
      <c r="A465" s="124">
        <v>15</v>
      </c>
      <c r="B465" s="124">
        <v>1263</v>
      </c>
      <c r="C465" s="99" t="s">
        <v>165</v>
      </c>
      <c r="D465" s="99" t="s">
        <v>1477</v>
      </c>
      <c r="E465" s="99" t="s">
        <v>1478</v>
      </c>
      <c r="F465" s="99" t="s">
        <v>74</v>
      </c>
      <c r="G465" s="99" t="s">
        <v>75</v>
      </c>
      <c r="H465" s="99" t="s">
        <v>4489</v>
      </c>
      <c r="I465" s="99" t="s">
        <v>1819</v>
      </c>
      <c r="J465" s="99" t="s">
        <v>1820</v>
      </c>
      <c r="K465" s="99" t="s">
        <v>1307</v>
      </c>
      <c r="L465" s="99" t="s">
        <v>1821</v>
      </c>
      <c r="M465" s="99" t="s">
        <v>1</v>
      </c>
      <c r="N465" s="99" t="s">
        <v>3407</v>
      </c>
      <c r="O465" s="99" t="s">
        <v>114</v>
      </c>
      <c r="P465" s="99" t="s">
        <v>3422</v>
      </c>
      <c r="Q465" s="99" t="s">
        <v>169</v>
      </c>
      <c r="R465" s="99" t="s">
        <v>71</v>
      </c>
      <c r="S465" s="99" t="s">
        <v>2691</v>
      </c>
      <c r="T465" s="99" t="s">
        <v>49</v>
      </c>
      <c r="U465" s="99" t="s">
        <v>1008</v>
      </c>
      <c r="V465" s="99" t="s">
        <v>53</v>
      </c>
      <c r="W465" s="99" t="s">
        <v>4490</v>
      </c>
      <c r="X465" s="99" t="s">
        <v>4490</v>
      </c>
      <c r="Y465" s="99" t="s">
        <v>4491</v>
      </c>
      <c r="Z465" s="99" t="s">
        <v>172</v>
      </c>
      <c r="AA465" s="99" t="s">
        <v>173</v>
      </c>
      <c r="AB465" s="99" t="s">
        <v>174</v>
      </c>
      <c r="AC465" s="99" t="s">
        <v>3411</v>
      </c>
      <c r="AD465" s="99" t="s">
        <v>175</v>
      </c>
      <c r="AE465" s="99" t="s">
        <v>3411</v>
      </c>
      <c r="AF465" s="99" t="s">
        <v>3411</v>
      </c>
      <c r="AG465" s="124">
        <v>266</v>
      </c>
      <c r="AH465" s="99" t="s">
        <v>3413</v>
      </c>
      <c r="AI465" s="125">
        <v>100</v>
      </c>
      <c r="AJ465" s="99" t="s">
        <v>176</v>
      </c>
      <c r="AK465" s="99" t="s">
        <v>4492</v>
      </c>
      <c r="AL465" s="99" t="s">
        <v>3411</v>
      </c>
      <c r="AM465" s="99" t="s">
        <v>177</v>
      </c>
      <c r="AN465" s="99" t="s">
        <v>3411</v>
      </c>
      <c r="AO465" s="99" t="s">
        <v>1482</v>
      </c>
      <c r="AP465" s="99" t="s">
        <v>2610</v>
      </c>
      <c r="AQ465" s="99" t="s">
        <v>97</v>
      </c>
      <c r="AR465" s="99" t="s">
        <v>1010</v>
      </c>
      <c r="AS465" s="99" t="s">
        <v>1822</v>
      </c>
      <c r="AT465" s="99" t="s">
        <v>190</v>
      </c>
      <c r="AU465" s="99" t="s">
        <v>191</v>
      </c>
      <c r="AV465" s="99" t="s">
        <v>3928</v>
      </c>
      <c r="AW465" s="99" t="s">
        <v>519</v>
      </c>
      <c r="AX465" s="99" t="s">
        <v>3420</v>
      </c>
      <c r="AY465" s="99" t="s">
        <v>252</v>
      </c>
      <c r="AZ465" s="99" t="s">
        <v>3416</v>
      </c>
      <c r="BA465" s="99" t="s">
        <v>4313</v>
      </c>
      <c r="BB465" s="99" t="s">
        <v>3411</v>
      </c>
      <c r="BC465" s="125">
        <v>53</v>
      </c>
      <c r="BD465" s="99" t="s">
        <v>3135</v>
      </c>
      <c r="BE465" s="99" t="s">
        <v>3136</v>
      </c>
    </row>
    <row r="466" spans="1:57" ht="12.95" customHeight="1">
      <c r="A466" s="124">
        <v>15</v>
      </c>
      <c r="B466" s="124">
        <v>1976</v>
      </c>
      <c r="C466" s="99" t="s">
        <v>165</v>
      </c>
      <c r="D466" s="99" t="s">
        <v>1477</v>
      </c>
      <c r="E466" s="99" t="s">
        <v>1478</v>
      </c>
      <c r="F466" s="99" t="s">
        <v>74</v>
      </c>
      <c r="G466" s="99" t="s">
        <v>75</v>
      </c>
      <c r="H466" s="99" t="s">
        <v>4489</v>
      </c>
      <c r="I466" s="99" t="s">
        <v>1819</v>
      </c>
      <c r="J466" s="99" t="s">
        <v>1823</v>
      </c>
      <c r="K466" s="99" t="s">
        <v>1824</v>
      </c>
      <c r="L466" s="99" t="s">
        <v>1825</v>
      </c>
      <c r="M466" s="99" t="s">
        <v>5</v>
      </c>
      <c r="N466" s="99" t="s">
        <v>3407</v>
      </c>
      <c r="O466" s="99" t="s">
        <v>114</v>
      </c>
      <c r="P466" s="99" t="s">
        <v>3422</v>
      </c>
      <c r="Q466" s="99" t="s">
        <v>169</v>
      </c>
      <c r="R466" s="99" t="s">
        <v>71</v>
      </c>
      <c r="S466" s="99" t="s">
        <v>2691</v>
      </c>
      <c r="T466" s="99" t="s">
        <v>49</v>
      </c>
      <c r="U466" s="99" t="s">
        <v>1492</v>
      </c>
      <c r="V466" s="99" t="s">
        <v>55</v>
      </c>
      <c r="W466" s="99" t="s">
        <v>4377</v>
      </c>
      <c r="X466" s="99" t="s">
        <v>4377</v>
      </c>
      <c r="Y466" s="99" t="s">
        <v>4493</v>
      </c>
      <c r="Z466" s="99" t="s">
        <v>172</v>
      </c>
      <c r="AA466" s="99" t="s">
        <v>173</v>
      </c>
      <c r="AB466" s="99" t="s">
        <v>174</v>
      </c>
      <c r="AC466" s="99" t="s">
        <v>3411</v>
      </c>
      <c r="AD466" s="99" t="s">
        <v>175</v>
      </c>
      <c r="AE466" s="99" t="s">
        <v>3411</v>
      </c>
      <c r="AF466" s="99" t="s">
        <v>3411</v>
      </c>
      <c r="AG466" s="124">
        <v>408</v>
      </c>
      <c r="AH466" s="99" t="s">
        <v>3413</v>
      </c>
      <c r="AI466" s="125">
        <v>100</v>
      </c>
      <c r="AJ466" s="99" t="s">
        <v>176</v>
      </c>
      <c r="AK466" s="99" t="s">
        <v>4377</v>
      </c>
      <c r="AL466" s="99" t="s">
        <v>3411</v>
      </c>
      <c r="AM466" s="99" t="s">
        <v>177</v>
      </c>
      <c r="AN466" s="99" t="s">
        <v>3411</v>
      </c>
      <c r="AO466" s="99" t="s">
        <v>1482</v>
      </c>
      <c r="AP466" s="99" t="s">
        <v>2610</v>
      </c>
      <c r="AQ466" s="99" t="s">
        <v>97</v>
      </c>
      <c r="AR466" s="99" t="s">
        <v>1010</v>
      </c>
      <c r="AS466" s="99" t="s">
        <v>1826</v>
      </c>
      <c r="AT466" s="99" t="s">
        <v>190</v>
      </c>
      <c r="AU466" s="99" t="s">
        <v>191</v>
      </c>
      <c r="AV466" s="99" t="s">
        <v>3928</v>
      </c>
      <c r="AW466" s="99" t="s">
        <v>519</v>
      </c>
      <c r="AX466" s="99" t="s">
        <v>3420</v>
      </c>
      <c r="AY466" s="99" t="s">
        <v>252</v>
      </c>
      <c r="AZ466" s="99" t="s">
        <v>3416</v>
      </c>
      <c r="BA466" s="99" t="s">
        <v>4313</v>
      </c>
      <c r="BB466" s="99" t="s">
        <v>3411</v>
      </c>
      <c r="BC466" s="125">
        <v>55</v>
      </c>
      <c r="BD466" s="99" t="s">
        <v>3135</v>
      </c>
      <c r="BE466" s="99" t="s">
        <v>3136</v>
      </c>
    </row>
    <row r="467" spans="1:57" ht="12.95" customHeight="1">
      <c r="A467" s="124">
        <v>15</v>
      </c>
      <c r="B467" s="124">
        <v>2085</v>
      </c>
      <c r="C467" s="99" t="s">
        <v>165</v>
      </c>
      <c r="D467" s="99" t="s">
        <v>1477</v>
      </c>
      <c r="E467" s="99" t="s">
        <v>1478</v>
      </c>
      <c r="F467" s="99" t="s">
        <v>74</v>
      </c>
      <c r="G467" s="99" t="s">
        <v>75</v>
      </c>
      <c r="H467" s="99" t="s">
        <v>4494</v>
      </c>
      <c r="I467" s="99" t="s">
        <v>1827</v>
      </c>
      <c r="J467" s="99" t="s">
        <v>1828</v>
      </c>
      <c r="K467" s="99" t="s">
        <v>1829</v>
      </c>
      <c r="L467" s="99" t="s">
        <v>1830</v>
      </c>
      <c r="M467" s="99" t="s">
        <v>5</v>
      </c>
      <c r="N467" s="99" t="s">
        <v>3454</v>
      </c>
      <c r="O467" s="99" t="s">
        <v>70</v>
      </c>
      <c r="P467" s="99" t="s">
        <v>3455</v>
      </c>
      <c r="Q467" s="99" t="s">
        <v>247</v>
      </c>
      <c r="R467" s="99" t="s">
        <v>71</v>
      </c>
      <c r="S467" s="99" t="s">
        <v>2691</v>
      </c>
      <c r="T467" s="99" t="s">
        <v>49</v>
      </c>
      <c r="U467" s="99" t="s">
        <v>1511</v>
      </c>
      <c r="V467" s="99" t="s">
        <v>54</v>
      </c>
      <c r="W467" s="99" t="s">
        <v>4495</v>
      </c>
      <c r="X467" s="99" t="s">
        <v>4495</v>
      </c>
      <c r="Y467" s="99" t="s">
        <v>4496</v>
      </c>
      <c r="Z467" s="99" t="s">
        <v>172</v>
      </c>
      <c r="AA467" s="99" t="s">
        <v>173</v>
      </c>
      <c r="AB467" s="99" t="s">
        <v>174</v>
      </c>
      <c r="AC467" s="99" t="s">
        <v>3411</v>
      </c>
      <c r="AD467" s="99" t="s">
        <v>175</v>
      </c>
      <c r="AE467" s="99" t="s">
        <v>3411</v>
      </c>
      <c r="AF467" s="99" t="s">
        <v>3411</v>
      </c>
      <c r="AG467" s="124">
        <v>482</v>
      </c>
      <c r="AH467" s="99" t="s">
        <v>3413</v>
      </c>
      <c r="AI467" s="125">
        <v>100</v>
      </c>
      <c r="AJ467" s="99" t="s">
        <v>176</v>
      </c>
      <c r="AK467" s="99" t="s">
        <v>4495</v>
      </c>
      <c r="AL467" s="99" t="s">
        <v>3411</v>
      </c>
      <c r="AM467" s="99" t="s">
        <v>177</v>
      </c>
      <c r="AN467" s="99" t="s">
        <v>3411</v>
      </c>
      <c r="AO467" s="99" t="s">
        <v>1482</v>
      </c>
      <c r="AP467" s="99" t="s">
        <v>2600</v>
      </c>
      <c r="AQ467" s="99" t="s">
        <v>83</v>
      </c>
      <c r="AR467" s="99" t="s">
        <v>1010</v>
      </c>
      <c r="AS467" s="99" t="s">
        <v>1831</v>
      </c>
      <c r="AT467" s="99" t="s">
        <v>190</v>
      </c>
      <c r="AU467" s="99" t="s">
        <v>191</v>
      </c>
      <c r="AV467" s="99" t="s">
        <v>3928</v>
      </c>
      <c r="AW467" s="99" t="s">
        <v>519</v>
      </c>
      <c r="AX467" s="99" t="s">
        <v>3420</v>
      </c>
      <c r="AY467" s="99" t="s">
        <v>252</v>
      </c>
      <c r="AZ467" s="99" t="s">
        <v>3416</v>
      </c>
      <c r="BA467" s="99" t="s">
        <v>4325</v>
      </c>
      <c r="BB467" s="99" t="s">
        <v>3249</v>
      </c>
      <c r="BC467" s="125">
        <v>51</v>
      </c>
      <c r="BD467" s="99" t="s">
        <v>3135</v>
      </c>
      <c r="BE467" s="99" t="s">
        <v>3136</v>
      </c>
    </row>
    <row r="468" spans="1:57" ht="12.95" customHeight="1">
      <c r="A468" s="124">
        <v>15</v>
      </c>
      <c r="B468" s="124">
        <v>3045</v>
      </c>
      <c r="C468" s="99" t="s">
        <v>165</v>
      </c>
      <c r="D468" s="99" t="s">
        <v>1477</v>
      </c>
      <c r="E468" s="99" t="s">
        <v>1478</v>
      </c>
      <c r="F468" s="99" t="s">
        <v>74</v>
      </c>
      <c r="G468" s="99" t="s">
        <v>75</v>
      </c>
      <c r="H468" s="99" t="s">
        <v>4494</v>
      </c>
      <c r="I468" s="99" t="s">
        <v>1827</v>
      </c>
      <c r="J468" s="99" t="s">
        <v>1037</v>
      </c>
      <c r="K468" s="99" t="s">
        <v>1244</v>
      </c>
      <c r="L468" s="99" t="s">
        <v>2728</v>
      </c>
      <c r="M468" s="99" t="s">
        <v>1</v>
      </c>
      <c r="N468" s="99" t="s">
        <v>3407</v>
      </c>
      <c r="O468" s="99" t="s">
        <v>114</v>
      </c>
      <c r="P468" s="99" t="s">
        <v>4480</v>
      </c>
      <c r="Q468" s="99" t="s">
        <v>169</v>
      </c>
      <c r="R468" s="99" t="s">
        <v>71</v>
      </c>
      <c r="S468" s="99" t="s">
        <v>2691</v>
      </c>
      <c r="T468" s="99" t="s">
        <v>49</v>
      </c>
      <c r="U468" s="99" t="s">
        <v>2968</v>
      </c>
      <c r="V468" s="99" t="s">
        <v>2969</v>
      </c>
      <c r="W468" s="99" t="s">
        <v>4480</v>
      </c>
      <c r="X468" s="99" t="s">
        <v>4480</v>
      </c>
      <c r="Y468" s="99" t="s">
        <v>4497</v>
      </c>
      <c r="Z468" s="99" t="s">
        <v>172</v>
      </c>
      <c r="AA468" s="99" t="s">
        <v>173</v>
      </c>
      <c r="AB468" s="99" t="s">
        <v>174</v>
      </c>
      <c r="AC468" s="99" t="s">
        <v>3411</v>
      </c>
      <c r="AD468" s="99" t="s">
        <v>175</v>
      </c>
      <c r="AE468" s="99" t="s">
        <v>3411</v>
      </c>
      <c r="AF468" s="99" t="s">
        <v>3411</v>
      </c>
      <c r="AG468" s="124">
        <v>3045</v>
      </c>
      <c r="AH468" s="99" t="s">
        <v>3413</v>
      </c>
      <c r="AI468" s="125">
        <v>100</v>
      </c>
      <c r="AJ468" s="99" t="s">
        <v>176</v>
      </c>
      <c r="AK468" s="99" t="s">
        <v>4480</v>
      </c>
      <c r="AL468" s="99" t="s">
        <v>3411</v>
      </c>
      <c r="AM468" s="99" t="s">
        <v>177</v>
      </c>
      <c r="AN468" s="99" t="s">
        <v>3411</v>
      </c>
      <c r="AO468" s="99" t="s">
        <v>1481</v>
      </c>
      <c r="AP468" s="99" t="s">
        <v>2382</v>
      </c>
      <c r="AQ468" s="99" t="s">
        <v>88</v>
      </c>
      <c r="AR468" s="99" t="s">
        <v>1010</v>
      </c>
      <c r="AS468" s="99" t="s">
        <v>2729</v>
      </c>
      <c r="AT468" s="99" t="s">
        <v>190</v>
      </c>
      <c r="AU468" s="99" t="s">
        <v>191</v>
      </c>
      <c r="AV468" s="99" t="s">
        <v>3570</v>
      </c>
      <c r="AW468" s="99" t="s">
        <v>406</v>
      </c>
      <c r="AX468" s="99" t="s">
        <v>3420</v>
      </c>
      <c r="AY468" s="99" t="s">
        <v>252</v>
      </c>
      <c r="AZ468" s="99" t="s">
        <v>3416</v>
      </c>
      <c r="BA468" s="99" t="s">
        <v>4313</v>
      </c>
      <c r="BB468" s="99" t="s">
        <v>3411</v>
      </c>
      <c r="BC468" s="125">
        <v>27</v>
      </c>
      <c r="BD468" s="99" t="s">
        <v>3135</v>
      </c>
      <c r="BE468" s="99" t="s">
        <v>3136</v>
      </c>
    </row>
    <row r="469" spans="1:57" ht="12.95" customHeight="1">
      <c r="A469" s="124">
        <v>15</v>
      </c>
      <c r="B469" s="124">
        <v>3069</v>
      </c>
      <c r="C469" s="99" t="s">
        <v>165</v>
      </c>
      <c r="D469" s="99" t="s">
        <v>1477</v>
      </c>
      <c r="E469" s="99" t="s">
        <v>1478</v>
      </c>
      <c r="F469" s="99" t="s">
        <v>74</v>
      </c>
      <c r="G469" s="99" t="s">
        <v>75</v>
      </c>
      <c r="H469" s="99" t="s">
        <v>4494</v>
      </c>
      <c r="I469" s="99" t="s">
        <v>1827</v>
      </c>
      <c r="J469" s="99" t="s">
        <v>1876</v>
      </c>
      <c r="K469" s="99" t="s">
        <v>2876</v>
      </c>
      <c r="L469" s="99" t="s">
        <v>2877</v>
      </c>
      <c r="M469" s="99" t="s">
        <v>1</v>
      </c>
      <c r="N469" s="99" t="s">
        <v>3407</v>
      </c>
      <c r="O469" s="99" t="s">
        <v>114</v>
      </c>
      <c r="P469" s="99" t="s">
        <v>4498</v>
      </c>
      <c r="Q469" s="99" t="s">
        <v>169</v>
      </c>
      <c r="R469" s="99" t="s">
        <v>71</v>
      </c>
      <c r="S469" s="99" t="s">
        <v>2691</v>
      </c>
      <c r="T469" s="99" t="s">
        <v>49</v>
      </c>
      <c r="U469" s="99" t="s">
        <v>1492</v>
      </c>
      <c r="V469" s="99" t="s">
        <v>55</v>
      </c>
      <c r="W469" s="99" t="s">
        <v>4498</v>
      </c>
      <c r="X469" s="99" t="s">
        <v>4498</v>
      </c>
      <c r="Y469" s="99" t="s">
        <v>4499</v>
      </c>
      <c r="Z469" s="99" t="s">
        <v>172</v>
      </c>
      <c r="AA469" s="99" t="s">
        <v>173</v>
      </c>
      <c r="AB469" s="99" t="s">
        <v>174</v>
      </c>
      <c r="AC469" s="99" t="s">
        <v>3411</v>
      </c>
      <c r="AD469" s="99" t="s">
        <v>175</v>
      </c>
      <c r="AE469" s="99" t="s">
        <v>3411</v>
      </c>
      <c r="AF469" s="99" t="s">
        <v>3411</v>
      </c>
      <c r="AG469" s="124">
        <v>3069</v>
      </c>
      <c r="AH469" s="99" t="s">
        <v>3413</v>
      </c>
      <c r="AI469" s="125">
        <v>100</v>
      </c>
      <c r="AJ469" s="99" t="s">
        <v>176</v>
      </c>
      <c r="AK469" s="99" t="s">
        <v>4498</v>
      </c>
      <c r="AL469" s="99" t="s">
        <v>3411</v>
      </c>
      <c r="AM469" s="99" t="s">
        <v>177</v>
      </c>
      <c r="AN469" s="99" t="s">
        <v>3411</v>
      </c>
      <c r="AO469" s="99" t="s">
        <v>1481</v>
      </c>
      <c r="AP469" s="99" t="s">
        <v>2600</v>
      </c>
      <c r="AQ469" s="99" t="s">
        <v>83</v>
      </c>
      <c r="AR469" s="99" t="s">
        <v>3411</v>
      </c>
      <c r="AS469" s="99" t="s">
        <v>2878</v>
      </c>
      <c r="AT469" s="99" t="s">
        <v>190</v>
      </c>
      <c r="AU469" s="99" t="s">
        <v>191</v>
      </c>
      <c r="AV469" s="99" t="s">
        <v>3570</v>
      </c>
      <c r="AW469" s="99" t="s">
        <v>406</v>
      </c>
      <c r="AX469" s="99" t="s">
        <v>3420</v>
      </c>
      <c r="AY469" s="99" t="s">
        <v>252</v>
      </c>
      <c r="AZ469" s="99" t="s">
        <v>3416</v>
      </c>
      <c r="BA469" s="99" t="s">
        <v>4347</v>
      </c>
      <c r="BB469" s="99" t="s">
        <v>3369</v>
      </c>
      <c r="BC469" s="125">
        <v>36</v>
      </c>
      <c r="BD469" s="99" t="s">
        <v>3135</v>
      </c>
      <c r="BE469" s="99" t="s">
        <v>3136</v>
      </c>
    </row>
    <row r="470" spans="1:57" ht="12.95" customHeight="1">
      <c r="A470" s="124">
        <v>15</v>
      </c>
      <c r="B470" s="124">
        <v>2141</v>
      </c>
      <c r="C470" s="99" t="s">
        <v>165</v>
      </c>
      <c r="D470" s="99" t="s">
        <v>1477</v>
      </c>
      <c r="E470" s="99" t="s">
        <v>1478</v>
      </c>
      <c r="F470" s="99" t="s">
        <v>74</v>
      </c>
      <c r="G470" s="99" t="s">
        <v>75</v>
      </c>
      <c r="H470" s="99" t="s">
        <v>4494</v>
      </c>
      <c r="I470" s="99" t="s">
        <v>1827</v>
      </c>
      <c r="J470" s="99" t="s">
        <v>1834</v>
      </c>
      <c r="K470" s="99" t="s">
        <v>1835</v>
      </c>
      <c r="L470" s="99" t="s">
        <v>1836</v>
      </c>
      <c r="M470" s="99" t="s">
        <v>5</v>
      </c>
      <c r="N470" s="99" t="s">
        <v>3407</v>
      </c>
      <c r="O470" s="99" t="s">
        <v>114</v>
      </c>
      <c r="P470" s="99" t="s">
        <v>3422</v>
      </c>
      <c r="Q470" s="99" t="s">
        <v>169</v>
      </c>
      <c r="R470" s="99" t="s">
        <v>71</v>
      </c>
      <c r="S470" s="99" t="s">
        <v>2691</v>
      </c>
      <c r="T470" s="99" t="s">
        <v>49</v>
      </c>
      <c r="U470" s="99" t="s">
        <v>1008</v>
      </c>
      <c r="V470" s="99" t="s">
        <v>53</v>
      </c>
      <c r="W470" s="99" t="s">
        <v>4429</v>
      </c>
      <c r="X470" s="99" t="s">
        <v>4429</v>
      </c>
      <c r="Y470" s="99" t="s">
        <v>4500</v>
      </c>
      <c r="Z470" s="99" t="s">
        <v>172</v>
      </c>
      <c r="AA470" s="99" t="s">
        <v>173</v>
      </c>
      <c r="AB470" s="99" t="s">
        <v>174</v>
      </c>
      <c r="AC470" s="99" t="s">
        <v>3411</v>
      </c>
      <c r="AD470" s="99" t="s">
        <v>175</v>
      </c>
      <c r="AE470" s="99" t="s">
        <v>3411</v>
      </c>
      <c r="AF470" s="99" t="s">
        <v>3411</v>
      </c>
      <c r="AG470" s="124">
        <v>497</v>
      </c>
      <c r="AH470" s="99" t="s">
        <v>3413</v>
      </c>
      <c r="AI470" s="125">
        <v>100</v>
      </c>
      <c r="AJ470" s="99" t="s">
        <v>176</v>
      </c>
      <c r="AK470" s="99" t="s">
        <v>4429</v>
      </c>
      <c r="AL470" s="99" t="s">
        <v>3411</v>
      </c>
      <c r="AM470" s="99" t="s">
        <v>177</v>
      </c>
      <c r="AN470" s="99" t="s">
        <v>3411</v>
      </c>
      <c r="AO470" s="99" t="s">
        <v>1482</v>
      </c>
      <c r="AP470" s="99" t="s">
        <v>2600</v>
      </c>
      <c r="AQ470" s="99" t="s">
        <v>83</v>
      </c>
      <c r="AR470" s="99" t="s">
        <v>3411</v>
      </c>
      <c r="AS470" s="99" t="s">
        <v>1837</v>
      </c>
      <c r="AT470" s="99" t="s">
        <v>190</v>
      </c>
      <c r="AU470" s="99" t="s">
        <v>191</v>
      </c>
      <c r="AV470" s="99" t="s">
        <v>3928</v>
      </c>
      <c r="AW470" s="99" t="s">
        <v>519</v>
      </c>
      <c r="AX470" s="99" t="s">
        <v>3420</v>
      </c>
      <c r="AY470" s="99" t="s">
        <v>252</v>
      </c>
      <c r="AZ470" s="99" t="s">
        <v>3416</v>
      </c>
      <c r="BA470" s="99" t="s">
        <v>4313</v>
      </c>
      <c r="BB470" s="99" t="s">
        <v>3411</v>
      </c>
      <c r="BC470" s="125">
        <v>48</v>
      </c>
      <c r="BD470" s="99" t="s">
        <v>3135</v>
      </c>
      <c r="BE470" s="99" t="s">
        <v>3136</v>
      </c>
    </row>
    <row r="471" spans="1:57" ht="12.95" customHeight="1">
      <c r="A471" s="124">
        <v>15</v>
      </c>
      <c r="B471" s="124">
        <v>2021</v>
      </c>
      <c r="C471" s="99" t="s">
        <v>165</v>
      </c>
      <c r="D471" s="99" t="s">
        <v>1477</v>
      </c>
      <c r="E471" s="99" t="s">
        <v>1478</v>
      </c>
      <c r="F471" s="99" t="s">
        <v>74</v>
      </c>
      <c r="G471" s="99" t="s">
        <v>75</v>
      </c>
      <c r="H471" s="99" t="s">
        <v>4494</v>
      </c>
      <c r="I471" s="99" t="s">
        <v>1827</v>
      </c>
      <c r="J471" s="99" t="s">
        <v>1650</v>
      </c>
      <c r="K471" s="99" t="s">
        <v>695</v>
      </c>
      <c r="L471" s="99" t="s">
        <v>1651</v>
      </c>
      <c r="M471" s="99" t="s">
        <v>1</v>
      </c>
      <c r="N471" s="99" t="s">
        <v>3407</v>
      </c>
      <c r="O471" s="99" t="s">
        <v>114</v>
      </c>
      <c r="P471" s="99" t="s">
        <v>3422</v>
      </c>
      <c r="Q471" s="99" t="s">
        <v>169</v>
      </c>
      <c r="R471" s="99" t="s">
        <v>71</v>
      </c>
      <c r="S471" s="99" t="s">
        <v>2691</v>
      </c>
      <c r="T471" s="99" t="s">
        <v>49</v>
      </c>
      <c r="U471" s="99" t="s">
        <v>1551</v>
      </c>
      <c r="V471" s="99" t="s">
        <v>51</v>
      </c>
      <c r="W471" s="99" t="s">
        <v>4279</v>
      </c>
      <c r="X471" s="99" t="s">
        <v>4279</v>
      </c>
      <c r="Y471" s="99" t="s">
        <v>4501</v>
      </c>
      <c r="Z471" s="99" t="s">
        <v>172</v>
      </c>
      <c r="AA471" s="99" t="s">
        <v>173</v>
      </c>
      <c r="AB471" s="99" t="s">
        <v>174</v>
      </c>
      <c r="AC471" s="99" t="s">
        <v>3411</v>
      </c>
      <c r="AD471" s="99" t="s">
        <v>175</v>
      </c>
      <c r="AE471" s="99" t="s">
        <v>3411</v>
      </c>
      <c r="AF471" s="99" t="s">
        <v>3411</v>
      </c>
      <c r="AG471" s="124">
        <v>442</v>
      </c>
      <c r="AH471" s="99" t="s">
        <v>3413</v>
      </c>
      <c r="AI471" s="125">
        <v>100</v>
      </c>
      <c r="AJ471" s="99" t="s">
        <v>176</v>
      </c>
      <c r="AK471" s="99" t="s">
        <v>4437</v>
      </c>
      <c r="AL471" s="99" t="s">
        <v>3411</v>
      </c>
      <c r="AM471" s="99" t="s">
        <v>177</v>
      </c>
      <c r="AN471" s="99" t="s">
        <v>3411</v>
      </c>
      <c r="AO471" s="99" t="s">
        <v>1482</v>
      </c>
      <c r="AP471" s="99" t="s">
        <v>2599</v>
      </c>
      <c r="AQ471" s="99" t="s">
        <v>82</v>
      </c>
      <c r="AR471" s="99" t="s">
        <v>2719</v>
      </c>
      <c r="AS471" s="99" t="s">
        <v>1652</v>
      </c>
      <c r="AT471" s="99" t="s">
        <v>190</v>
      </c>
      <c r="AU471" s="99" t="s">
        <v>191</v>
      </c>
      <c r="AV471" s="99" t="s">
        <v>3928</v>
      </c>
      <c r="AW471" s="99" t="s">
        <v>519</v>
      </c>
      <c r="AX471" s="99" t="s">
        <v>3420</v>
      </c>
      <c r="AY471" s="99" t="s">
        <v>252</v>
      </c>
      <c r="AZ471" s="99" t="s">
        <v>3416</v>
      </c>
      <c r="BA471" s="99" t="s">
        <v>4313</v>
      </c>
      <c r="BB471" s="99" t="s">
        <v>3411</v>
      </c>
      <c r="BC471" s="125">
        <v>57</v>
      </c>
      <c r="BD471" s="99" t="s">
        <v>3135</v>
      </c>
      <c r="BE471" s="99" t="s">
        <v>3136</v>
      </c>
    </row>
    <row r="472" spans="1:57" ht="12.95" customHeight="1">
      <c r="A472" s="124">
        <v>15</v>
      </c>
      <c r="B472" s="124">
        <v>2594</v>
      </c>
      <c r="C472" s="99" t="s">
        <v>165</v>
      </c>
      <c r="D472" s="99" t="s">
        <v>1477</v>
      </c>
      <c r="E472" s="99" t="s">
        <v>1478</v>
      </c>
      <c r="F472" s="99" t="s">
        <v>74</v>
      </c>
      <c r="G472" s="99" t="s">
        <v>75</v>
      </c>
      <c r="H472" s="99" t="s">
        <v>4494</v>
      </c>
      <c r="I472" s="99" t="s">
        <v>1827</v>
      </c>
      <c r="J472" s="99" t="s">
        <v>1839</v>
      </c>
      <c r="K472" s="99" t="s">
        <v>1257</v>
      </c>
      <c r="L472" s="99" t="s">
        <v>1840</v>
      </c>
      <c r="M472" s="99" t="s">
        <v>1</v>
      </c>
      <c r="N472" s="99" t="s">
        <v>3407</v>
      </c>
      <c r="O472" s="99" t="s">
        <v>114</v>
      </c>
      <c r="P472" s="99" t="s">
        <v>3422</v>
      </c>
      <c r="Q472" s="99" t="s">
        <v>169</v>
      </c>
      <c r="R472" s="99" t="s">
        <v>71</v>
      </c>
      <c r="S472" s="99" t="s">
        <v>2691</v>
      </c>
      <c r="T472" s="99" t="s">
        <v>49</v>
      </c>
      <c r="U472" s="99" t="s">
        <v>1511</v>
      </c>
      <c r="V472" s="99" t="s">
        <v>54</v>
      </c>
      <c r="W472" s="99" t="s">
        <v>4502</v>
      </c>
      <c r="X472" s="99" t="s">
        <v>4502</v>
      </c>
      <c r="Y472" s="99" t="s">
        <v>4503</v>
      </c>
      <c r="Z472" s="99" t="s">
        <v>172</v>
      </c>
      <c r="AA472" s="99" t="s">
        <v>173</v>
      </c>
      <c r="AB472" s="99" t="s">
        <v>400</v>
      </c>
      <c r="AC472" s="99" t="s">
        <v>3411</v>
      </c>
      <c r="AD472" s="99" t="s">
        <v>175</v>
      </c>
      <c r="AE472" s="99" t="s">
        <v>3411</v>
      </c>
      <c r="AF472" s="99" t="s">
        <v>3411</v>
      </c>
      <c r="AG472" s="124">
        <v>2594</v>
      </c>
      <c r="AH472" s="99" t="s">
        <v>3413</v>
      </c>
      <c r="AI472" s="125">
        <v>100</v>
      </c>
      <c r="AJ472" s="99" t="s">
        <v>176</v>
      </c>
      <c r="AK472" s="99" t="s">
        <v>4502</v>
      </c>
      <c r="AL472" s="99" t="s">
        <v>3411</v>
      </c>
      <c r="AM472" s="99" t="s">
        <v>177</v>
      </c>
      <c r="AN472" s="99" t="s">
        <v>3411</v>
      </c>
      <c r="AO472" s="99" t="s">
        <v>1482</v>
      </c>
      <c r="AP472" s="99" t="s">
        <v>2600</v>
      </c>
      <c r="AQ472" s="99" t="s">
        <v>83</v>
      </c>
      <c r="AR472" s="99" t="s">
        <v>1010</v>
      </c>
      <c r="AS472" s="99" t="s">
        <v>1841</v>
      </c>
      <c r="AT472" s="99" t="s">
        <v>190</v>
      </c>
      <c r="AU472" s="99" t="s">
        <v>191</v>
      </c>
      <c r="AV472" s="99" t="s">
        <v>3581</v>
      </c>
      <c r="AW472" s="99" t="s">
        <v>529</v>
      </c>
      <c r="AX472" s="99" t="s">
        <v>3420</v>
      </c>
      <c r="AY472" s="99" t="s">
        <v>252</v>
      </c>
      <c r="AZ472" s="99" t="s">
        <v>3416</v>
      </c>
      <c r="BA472" s="99" t="s">
        <v>520</v>
      </c>
      <c r="BB472" s="99" t="s">
        <v>3411</v>
      </c>
      <c r="BC472" s="125">
        <v>43</v>
      </c>
      <c r="BD472" s="99" t="s">
        <v>3135</v>
      </c>
      <c r="BE472" s="99" t="s">
        <v>3136</v>
      </c>
    </row>
    <row r="473" spans="1:57" ht="12.95" customHeight="1">
      <c r="A473" s="124">
        <v>15</v>
      </c>
      <c r="B473" s="124">
        <v>1962</v>
      </c>
      <c r="C473" s="99" t="s">
        <v>165</v>
      </c>
      <c r="D473" s="99" t="s">
        <v>1477</v>
      </c>
      <c r="E473" s="99" t="s">
        <v>1478</v>
      </c>
      <c r="F473" s="99" t="s">
        <v>74</v>
      </c>
      <c r="G473" s="99" t="s">
        <v>75</v>
      </c>
      <c r="H473" s="99" t="s">
        <v>4494</v>
      </c>
      <c r="I473" s="99" t="s">
        <v>1827</v>
      </c>
      <c r="J473" s="99" t="s">
        <v>1842</v>
      </c>
      <c r="K473" s="99" t="s">
        <v>323</v>
      </c>
      <c r="L473" s="99" t="s">
        <v>1843</v>
      </c>
      <c r="M473" s="99" t="s">
        <v>5</v>
      </c>
      <c r="N473" s="99" t="s">
        <v>3454</v>
      </c>
      <c r="O473" s="99" t="s">
        <v>70</v>
      </c>
      <c r="P473" s="99" t="s">
        <v>4504</v>
      </c>
      <c r="Q473" s="99" t="s">
        <v>247</v>
      </c>
      <c r="R473" s="99" t="s">
        <v>71</v>
      </c>
      <c r="S473" s="99" t="s">
        <v>2691</v>
      </c>
      <c r="T473" s="99" t="s">
        <v>49</v>
      </c>
      <c r="U473" s="99" t="s">
        <v>1511</v>
      </c>
      <c r="V473" s="99" t="s">
        <v>54</v>
      </c>
      <c r="W473" s="99" t="s">
        <v>3926</v>
      </c>
      <c r="X473" s="99" t="s">
        <v>3926</v>
      </c>
      <c r="Y473" s="99" t="s">
        <v>4505</v>
      </c>
      <c r="Z473" s="99" t="s">
        <v>172</v>
      </c>
      <c r="AA473" s="99" t="s">
        <v>173</v>
      </c>
      <c r="AB473" s="99" t="s">
        <v>174</v>
      </c>
      <c r="AC473" s="99" t="s">
        <v>3411</v>
      </c>
      <c r="AD473" s="99" t="s">
        <v>175</v>
      </c>
      <c r="AE473" s="99" t="s">
        <v>3411</v>
      </c>
      <c r="AF473" s="99" t="s">
        <v>3411</v>
      </c>
      <c r="AG473" s="124">
        <v>404</v>
      </c>
      <c r="AH473" s="99" t="s">
        <v>3413</v>
      </c>
      <c r="AI473" s="125">
        <v>100</v>
      </c>
      <c r="AJ473" s="99" t="s">
        <v>176</v>
      </c>
      <c r="AK473" s="99" t="s">
        <v>3926</v>
      </c>
      <c r="AL473" s="99" t="s">
        <v>3411</v>
      </c>
      <c r="AM473" s="99" t="s">
        <v>177</v>
      </c>
      <c r="AN473" s="99" t="s">
        <v>3411</v>
      </c>
      <c r="AO473" s="99" t="s">
        <v>1482</v>
      </c>
      <c r="AP473" s="99" t="s">
        <v>2600</v>
      </c>
      <c r="AQ473" s="99" t="s">
        <v>83</v>
      </c>
      <c r="AR473" s="99" t="s">
        <v>1010</v>
      </c>
      <c r="AS473" s="99" t="s">
        <v>1844</v>
      </c>
      <c r="AT473" s="99" t="s">
        <v>190</v>
      </c>
      <c r="AU473" s="99" t="s">
        <v>191</v>
      </c>
      <c r="AV473" s="99" t="s">
        <v>3414</v>
      </c>
      <c r="AW473" s="99" t="s">
        <v>180</v>
      </c>
      <c r="AX473" s="99" t="s">
        <v>4506</v>
      </c>
      <c r="AY473" s="99" t="s">
        <v>252</v>
      </c>
      <c r="AZ473" s="99" t="s">
        <v>3708</v>
      </c>
      <c r="BA473" s="99" t="s">
        <v>4325</v>
      </c>
      <c r="BB473" s="99" t="s">
        <v>3249</v>
      </c>
      <c r="BC473" s="125">
        <v>62</v>
      </c>
      <c r="BD473" s="99" t="s">
        <v>3135</v>
      </c>
      <c r="BE473" s="99" t="s">
        <v>3136</v>
      </c>
    </row>
    <row r="474" spans="1:57" ht="12.95" customHeight="1">
      <c r="A474" s="124">
        <v>15</v>
      </c>
      <c r="B474" s="124">
        <v>2272</v>
      </c>
      <c r="C474" s="99" t="s">
        <v>165</v>
      </c>
      <c r="D474" s="99" t="s">
        <v>1477</v>
      </c>
      <c r="E474" s="99" t="s">
        <v>1478</v>
      </c>
      <c r="F474" s="99" t="s">
        <v>74</v>
      </c>
      <c r="G474" s="99" t="s">
        <v>75</v>
      </c>
      <c r="H474" s="99" t="s">
        <v>4494</v>
      </c>
      <c r="I474" s="99" t="s">
        <v>1827</v>
      </c>
      <c r="J474" s="99" t="s">
        <v>1849</v>
      </c>
      <c r="K474" s="99" t="s">
        <v>327</v>
      </c>
      <c r="L474" s="99" t="s">
        <v>1850</v>
      </c>
      <c r="M474" s="99" t="s">
        <v>1</v>
      </c>
      <c r="N474" s="99" t="s">
        <v>3407</v>
      </c>
      <c r="O474" s="99" t="s">
        <v>114</v>
      </c>
      <c r="P474" s="99" t="s">
        <v>3422</v>
      </c>
      <c r="Q474" s="99" t="s">
        <v>169</v>
      </c>
      <c r="R474" s="99" t="s">
        <v>71</v>
      </c>
      <c r="S474" s="99" t="s">
        <v>2691</v>
      </c>
      <c r="T474" s="99" t="s">
        <v>49</v>
      </c>
      <c r="U474" s="99" t="s">
        <v>1492</v>
      </c>
      <c r="V474" s="99" t="s">
        <v>55</v>
      </c>
      <c r="W474" s="99" t="s">
        <v>4507</v>
      </c>
      <c r="X474" s="99" t="s">
        <v>4507</v>
      </c>
      <c r="Y474" s="99" t="s">
        <v>4508</v>
      </c>
      <c r="Z474" s="99" t="s">
        <v>172</v>
      </c>
      <c r="AA474" s="99" t="s">
        <v>173</v>
      </c>
      <c r="AB474" s="99" t="s">
        <v>174</v>
      </c>
      <c r="AC474" s="99" t="s">
        <v>3411</v>
      </c>
      <c r="AD474" s="99" t="s">
        <v>175</v>
      </c>
      <c r="AE474" s="99" t="s">
        <v>3411</v>
      </c>
      <c r="AF474" s="99" t="s">
        <v>3411</v>
      </c>
      <c r="AG474" s="124">
        <v>544</v>
      </c>
      <c r="AH474" s="99" t="s">
        <v>3413</v>
      </c>
      <c r="AI474" s="125">
        <v>100</v>
      </c>
      <c r="AJ474" s="99" t="s">
        <v>176</v>
      </c>
      <c r="AK474" s="99" t="s">
        <v>4475</v>
      </c>
      <c r="AL474" s="99" t="s">
        <v>3411</v>
      </c>
      <c r="AM474" s="99" t="s">
        <v>177</v>
      </c>
      <c r="AN474" s="99" t="s">
        <v>3411</v>
      </c>
      <c r="AO474" s="99" t="s">
        <v>1482</v>
      </c>
      <c r="AP474" s="99" t="s">
        <v>2600</v>
      </c>
      <c r="AQ474" s="99" t="s">
        <v>83</v>
      </c>
      <c r="AR474" s="99" t="s">
        <v>1010</v>
      </c>
      <c r="AS474" s="99" t="s">
        <v>1851</v>
      </c>
      <c r="AT474" s="99" t="s">
        <v>190</v>
      </c>
      <c r="AU474" s="99" t="s">
        <v>191</v>
      </c>
      <c r="AV474" s="99" t="s">
        <v>3928</v>
      </c>
      <c r="AW474" s="99" t="s">
        <v>519</v>
      </c>
      <c r="AX474" s="99" t="s">
        <v>3420</v>
      </c>
      <c r="AY474" s="99" t="s">
        <v>252</v>
      </c>
      <c r="AZ474" s="99" t="s">
        <v>3416</v>
      </c>
      <c r="BA474" s="99" t="s">
        <v>4313</v>
      </c>
      <c r="BB474" s="99" t="s">
        <v>3411</v>
      </c>
      <c r="BC474" s="125">
        <v>48</v>
      </c>
      <c r="BD474" s="99" t="s">
        <v>3135</v>
      </c>
      <c r="BE474" s="99" t="s">
        <v>3136</v>
      </c>
    </row>
    <row r="475" spans="1:57" ht="12.95" customHeight="1">
      <c r="A475" s="124">
        <v>15</v>
      </c>
      <c r="B475" s="124">
        <v>1008</v>
      </c>
      <c r="C475" s="99" t="s">
        <v>165</v>
      </c>
      <c r="D475" s="99" t="s">
        <v>1477</v>
      </c>
      <c r="E475" s="99" t="s">
        <v>1478</v>
      </c>
      <c r="F475" s="99" t="s">
        <v>74</v>
      </c>
      <c r="G475" s="99" t="s">
        <v>75</v>
      </c>
      <c r="H475" s="99" t="s">
        <v>4494</v>
      </c>
      <c r="I475" s="99" t="s">
        <v>1827</v>
      </c>
      <c r="J475" s="99" t="s">
        <v>1852</v>
      </c>
      <c r="K475" s="99" t="s">
        <v>1853</v>
      </c>
      <c r="L475" s="99" t="s">
        <v>1854</v>
      </c>
      <c r="M475" s="99" t="s">
        <v>1</v>
      </c>
      <c r="N475" s="99" t="s">
        <v>3454</v>
      </c>
      <c r="O475" s="99" t="s">
        <v>70</v>
      </c>
      <c r="P475" s="99" t="s">
        <v>3904</v>
      </c>
      <c r="Q475" s="99" t="s">
        <v>247</v>
      </c>
      <c r="R475" s="99" t="s">
        <v>71</v>
      </c>
      <c r="S475" s="99" t="s">
        <v>2691</v>
      </c>
      <c r="T475" s="99" t="s">
        <v>49</v>
      </c>
      <c r="U475" s="99" t="s">
        <v>1492</v>
      </c>
      <c r="V475" s="99" t="s">
        <v>55</v>
      </c>
      <c r="W475" s="99" t="s">
        <v>4509</v>
      </c>
      <c r="X475" s="99" t="s">
        <v>4509</v>
      </c>
      <c r="Y475" s="99" t="s">
        <v>4510</v>
      </c>
      <c r="Z475" s="99" t="s">
        <v>172</v>
      </c>
      <c r="AA475" s="99" t="s">
        <v>173</v>
      </c>
      <c r="AB475" s="99" t="s">
        <v>174</v>
      </c>
      <c r="AC475" s="99" t="s">
        <v>3411</v>
      </c>
      <c r="AD475" s="99" t="s">
        <v>175</v>
      </c>
      <c r="AE475" s="99" t="s">
        <v>3411</v>
      </c>
      <c r="AF475" s="99" t="s">
        <v>3411</v>
      </c>
      <c r="AG475" s="124">
        <v>229</v>
      </c>
      <c r="AH475" s="99" t="s">
        <v>3413</v>
      </c>
      <c r="AI475" s="125">
        <v>100</v>
      </c>
      <c r="AJ475" s="99" t="s">
        <v>176</v>
      </c>
      <c r="AK475" s="99" t="s">
        <v>3789</v>
      </c>
      <c r="AL475" s="99" t="s">
        <v>3411</v>
      </c>
      <c r="AM475" s="99" t="s">
        <v>177</v>
      </c>
      <c r="AN475" s="99" t="s">
        <v>3411</v>
      </c>
      <c r="AO475" s="99" t="s">
        <v>1482</v>
      </c>
      <c r="AP475" s="99" t="s">
        <v>2600</v>
      </c>
      <c r="AQ475" s="99" t="s">
        <v>83</v>
      </c>
      <c r="AR475" s="99" t="s">
        <v>1010</v>
      </c>
      <c r="AS475" s="99" t="s">
        <v>1855</v>
      </c>
      <c r="AT475" s="99" t="s">
        <v>190</v>
      </c>
      <c r="AU475" s="99" t="s">
        <v>191</v>
      </c>
      <c r="AV475" s="99" t="s">
        <v>3581</v>
      </c>
      <c r="AW475" s="99" t="s">
        <v>529</v>
      </c>
      <c r="AX475" s="99" t="s">
        <v>3420</v>
      </c>
      <c r="AY475" s="99" t="s">
        <v>252</v>
      </c>
      <c r="AZ475" s="99" t="s">
        <v>3416</v>
      </c>
      <c r="BA475" s="99" t="s">
        <v>4325</v>
      </c>
      <c r="BB475" s="99" t="s">
        <v>3249</v>
      </c>
      <c r="BC475" s="125">
        <v>59</v>
      </c>
      <c r="BD475" s="99" t="s">
        <v>3135</v>
      </c>
      <c r="BE475" s="99" t="s">
        <v>3136</v>
      </c>
    </row>
    <row r="476" spans="1:57" ht="12.95" customHeight="1">
      <c r="A476" s="124">
        <v>15</v>
      </c>
      <c r="B476" s="124">
        <v>2069</v>
      </c>
      <c r="C476" s="99" t="s">
        <v>165</v>
      </c>
      <c r="D476" s="99" t="s">
        <v>1477</v>
      </c>
      <c r="E476" s="99" t="s">
        <v>1478</v>
      </c>
      <c r="F476" s="99" t="s">
        <v>74</v>
      </c>
      <c r="G476" s="99" t="s">
        <v>75</v>
      </c>
      <c r="H476" s="99" t="s">
        <v>4494</v>
      </c>
      <c r="I476" s="99" t="s">
        <v>1827</v>
      </c>
      <c r="J476" s="99" t="s">
        <v>1856</v>
      </c>
      <c r="K476" s="99" t="s">
        <v>1857</v>
      </c>
      <c r="L476" s="99" t="s">
        <v>1858</v>
      </c>
      <c r="M476" s="99" t="s">
        <v>1</v>
      </c>
      <c r="N476" s="99" t="s">
        <v>3407</v>
      </c>
      <c r="O476" s="99" t="s">
        <v>114</v>
      </c>
      <c r="P476" s="99" t="s">
        <v>3422</v>
      </c>
      <c r="Q476" s="99" t="s">
        <v>169</v>
      </c>
      <c r="R476" s="99" t="s">
        <v>71</v>
      </c>
      <c r="S476" s="99" t="s">
        <v>2691</v>
      </c>
      <c r="T476" s="99" t="s">
        <v>49</v>
      </c>
      <c r="U476" s="99" t="s">
        <v>1492</v>
      </c>
      <c r="V476" s="99" t="s">
        <v>55</v>
      </c>
      <c r="W476" s="99" t="s">
        <v>4326</v>
      </c>
      <c r="X476" s="99" t="s">
        <v>4326</v>
      </c>
      <c r="Y476" s="99" t="s">
        <v>4511</v>
      </c>
      <c r="Z476" s="99" t="s">
        <v>172</v>
      </c>
      <c r="AA476" s="99" t="s">
        <v>173</v>
      </c>
      <c r="AB476" s="99" t="s">
        <v>400</v>
      </c>
      <c r="AC476" s="99" t="s">
        <v>3411</v>
      </c>
      <c r="AD476" s="99" t="s">
        <v>175</v>
      </c>
      <c r="AE476" s="99" t="s">
        <v>3411</v>
      </c>
      <c r="AF476" s="99" t="s">
        <v>3411</v>
      </c>
      <c r="AG476" s="124">
        <v>466</v>
      </c>
      <c r="AH476" s="99" t="s">
        <v>3413</v>
      </c>
      <c r="AI476" s="125">
        <v>100</v>
      </c>
      <c r="AJ476" s="99" t="s">
        <v>176</v>
      </c>
      <c r="AK476" s="99" t="s">
        <v>3422</v>
      </c>
      <c r="AL476" s="99" t="s">
        <v>3411</v>
      </c>
      <c r="AM476" s="99" t="s">
        <v>177</v>
      </c>
      <c r="AN476" s="99" t="s">
        <v>3411</v>
      </c>
      <c r="AO476" s="99" t="s">
        <v>1482</v>
      </c>
      <c r="AP476" s="99" t="s">
        <v>2600</v>
      </c>
      <c r="AQ476" s="99" t="s">
        <v>83</v>
      </c>
      <c r="AR476" s="99" t="s">
        <v>1010</v>
      </c>
      <c r="AS476" s="99" t="s">
        <v>1859</v>
      </c>
      <c r="AT476" s="99" t="s">
        <v>190</v>
      </c>
      <c r="AU476" s="99" t="s">
        <v>191</v>
      </c>
      <c r="AV476" s="99" t="s">
        <v>3928</v>
      </c>
      <c r="AW476" s="99" t="s">
        <v>519</v>
      </c>
      <c r="AX476" s="99" t="s">
        <v>3420</v>
      </c>
      <c r="AY476" s="99" t="s">
        <v>252</v>
      </c>
      <c r="AZ476" s="99" t="s">
        <v>3416</v>
      </c>
      <c r="BA476" s="99" t="s">
        <v>4313</v>
      </c>
      <c r="BB476" s="99" t="s">
        <v>3411</v>
      </c>
      <c r="BC476" s="125">
        <v>50</v>
      </c>
      <c r="BD476" s="99" t="s">
        <v>3135</v>
      </c>
      <c r="BE476" s="99" t="s">
        <v>3136</v>
      </c>
    </row>
    <row r="477" spans="1:57" ht="12.95" customHeight="1">
      <c r="A477" s="124">
        <v>15</v>
      </c>
      <c r="B477" s="124">
        <v>3061</v>
      </c>
      <c r="C477" s="99" t="s">
        <v>165</v>
      </c>
      <c r="D477" s="99" t="s">
        <v>1477</v>
      </c>
      <c r="E477" s="99" t="s">
        <v>1478</v>
      </c>
      <c r="F477" s="99" t="s">
        <v>74</v>
      </c>
      <c r="G477" s="99" t="s">
        <v>75</v>
      </c>
      <c r="H477" s="99" t="s">
        <v>4494</v>
      </c>
      <c r="I477" s="99" t="s">
        <v>1827</v>
      </c>
      <c r="J477" s="99" t="s">
        <v>2783</v>
      </c>
      <c r="K477" s="99" t="s">
        <v>2784</v>
      </c>
      <c r="L477" s="99" t="s">
        <v>2785</v>
      </c>
      <c r="M477" s="99" t="s">
        <v>1</v>
      </c>
      <c r="N477" s="99" t="s">
        <v>3407</v>
      </c>
      <c r="O477" s="99" t="s">
        <v>114</v>
      </c>
      <c r="P477" s="99" t="s">
        <v>4512</v>
      </c>
      <c r="Q477" s="99" t="s">
        <v>169</v>
      </c>
      <c r="R477" s="99" t="s">
        <v>71</v>
      </c>
      <c r="S477" s="99" t="s">
        <v>2691</v>
      </c>
      <c r="T477" s="99" t="s">
        <v>49</v>
      </c>
      <c r="U477" s="99" t="s">
        <v>1511</v>
      </c>
      <c r="V477" s="99" t="s">
        <v>54</v>
      </c>
      <c r="W477" s="99" t="s">
        <v>4512</v>
      </c>
      <c r="X477" s="99" t="s">
        <v>4512</v>
      </c>
      <c r="Y477" s="99" t="s">
        <v>4513</v>
      </c>
      <c r="Z477" s="99" t="s">
        <v>3327</v>
      </c>
      <c r="AA477" s="99" t="s">
        <v>3328</v>
      </c>
      <c r="AB477" s="99" t="s">
        <v>174</v>
      </c>
      <c r="AC477" s="99" t="s">
        <v>3411</v>
      </c>
      <c r="AD477" s="99" t="s">
        <v>175</v>
      </c>
      <c r="AE477" s="99" t="s">
        <v>3411</v>
      </c>
      <c r="AF477" s="99" t="s">
        <v>3411</v>
      </c>
      <c r="AG477" s="124">
        <v>3061</v>
      </c>
      <c r="AH477" s="99" t="s">
        <v>3413</v>
      </c>
      <c r="AI477" s="125">
        <v>100</v>
      </c>
      <c r="AJ477" s="99" t="s">
        <v>176</v>
      </c>
      <c r="AK477" s="99" t="s">
        <v>4512</v>
      </c>
      <c r="AL477" s="99" t="s">
        <v>3411</v>
      </c>
      <c r="AM477" s="99" t="s">
        <v>177</v>
      </c>
      <c r="AN477" s="99" t="s">
        <v>3411</v>
      </c>
      <c r="AO477" s="99" t="s">
        <v>1481</v>
      </c>
      <c r="AP477" s="99" t="s">
        <v>2600</v>
      </c>
      <c r="AQ477" s="99" t="s">
        <v>83</v>
      </c>
      <c r="AR477" s="99" t="s">
        <v>2719</v>
      </c>
      <c r="AS477" s="99" t="s">
        <v>2786</v>
      </c>
      <c r="AT477" s="99" t="s">
        <v>190</v>
      </c>
      <c r="AU477" s="99" t="s">
        <v>191</v>
      </c>
      <c r="AV477" s="99" t="s">
        <v>3570</v>
      </c>
      <c r="AW477" s="99" t="s">
        <v>406</v>
      </c>
      <c r="AX477" s="99" t="s">
        <v>3420</v>
      </c>
      <c r="AY477" s="99" t="s">
        <v>252</v>
      </c>
      <c r="AZ477" s="99" t="s">
        <v>3416</v>
      </c>
      <c r="BA477" s="99" t="s">
        <v>4313</v>
      </c>
      <c r="BB477" s="99" t="s">
        <v>3411</v>
      </c>
      <c r="BC477" s="125">
        <v>37</v>
      </c>
      <c r="BD477" s="99" t="s">
        <v>3135</v>
      </c>
      <c r="BE477" s="99" t="s">
        <v>3136</v>
      </c>
    </row>
    <row r="478" spans="1:57" ht="12.95" customHeight="1">
      <c r="A478" s="124">
        <v>15</v>
      </c>
      <c r="B478" s="124">
        <v>1748</v>
      </c>
      <c r="C478" s="99" t="s">
        <v>165</v>
      </c>
      <c r="D478" s="99" t="s">
        <v>1477</v>
      </c>
      <c r="E478" s="99" t="s">
        <v>1478</v>
      </c>
      <c r="F478" s="99" t="s">
        <v>74</v>
      </c>
      <c r="G478" s="99" t="s">
        <v>75</v>
      </c>
      <c r="H478" s="99" t="s">
        <v>4494</v>
      </c>
      <c r="I478" s="99" t="s">
        <v>1827</v>
      </c>
      <c r="J478" s="99" t="s">
        <v>1860</v>
      </c>
      <c r="K478" s="99" t="s">
        <v>1683</v>
      </c>
      <c r="L478" s="99" t="s">
        <v>1861</v>
      </c>
      <c r="M478" s="99" t="s">
        <v>1</v>
      </c>
      <c r="N478" s="99" t="s">
        <v>3407</v>
      </c>
      <c r="O478" s="99" t="s">
        <v>114</v>
      </c>
      <c r="P478" s="99" t="s">
        <v>3422</v>
      </c>
      <c r="Q478" s="99" t="s">
        <v>169</v>
      </c>
      <c r="R478" s="99" t="s">
        <v>71</v>
      </c>
      <c r="S478" s="99" t="s">
        <v>2691</v>
      </c>
      <c r="T478" s="99" t="s">
        <v>49</v>
      </c>
      <c r="U478" s="99" t="s">
        <v>1511</v>
      </c>
      <c r="V478" s="99" t="s">
        <v>54</v>
      </c>
      <c r="W478" s="99" t="s">
        <v>3668</v>
      </c>
      <c r="X478" s="99" t="s">
        <v>3668</v>
      </c>
      <c r="Y478" s="99" t="s">
        <v>4514</v>
      </c>
      <c r="Z478" s="99" t="s">
        <v>172</v>
      </c>
      <c r="AA478" s="99" t="s">
        <v>173</v>
      </c>
      <c r="AB478" s="99" t="s">
        <v>174</v>
      </c>
      <c r="AC478" s="99" t="s">
        <v>3411</v>
      </c>
      <c r="AD478" s="99" t="s">
        <v>175</v>
      </c>
      <c r="AE478" s="99" t="s">
        <v>3411</v>
      </c>
      <c r="AF478" s="99" t="s">
        <v>3411</v>
      </c>
      <c r="AG478" s="124">
        <v>344</v>
      </c>
      <c r="AH478" s="99" t="s">
        <v>3413</v>
      </c>
      <c r="AI478" s="125">
        <v>100</v>
      </c>
      <c r="AJ478" s="99" t="s">
        <v>176</v>
      </c>
      <c r="AK478" s="99" t="s">
        <v>3668</v>
      </c>
      <c r="AL478" s="99" t="s">
        <v>3411</v>
      </c>
      <c r="AM478" s="99" t="s">
        <v>177</v>
      </c>
      <c r="AN478" s="99" t="s">
        <v>3411</v>
      </c>
      <c r="AO478" s="99" t="s">
        <v>1482</v>
      </c>
      <c r="AP478" s="99" t="s">
        <v>2600</v>
      </c>
      <c r="AQ478" s="99" t="s">
        <v>83</v>
      </c>
      <c r="AR478" s="99" t="s">
        <v>3411</v>
      </c>
      <c r="AS478" s="99" t="s">
        <v>1862</v>
      </c>
      <c r="AT478" s="99" t="s">
        <v>190</v>
      </c>
      <c r="AU478" s="99" t="s">
        <v>191</v>
      </c>
      <c r="AV478" s="99" t="s">
        <v>3928</v>
      </c>
      <c r="AW478" s="99" t="s">
        <v>519</v>
      </c>
      <c r="AX478" s="99" t="s">
        <v>3420</v>
      </c>
      <c r="AY478" s="99" t="s">
        <v>252</v>
      </c>
      <c r="AZ478" s="99" t="s">
        <v>3416</v>
      </c>
      <c r="BA478" s="99" t="s">
        <v>4313</v>
      </c>
      <c r="BB478" s="99" t="s">
        <v>3411</v>
      </c>
      <c r="BC478" s="125">
        <v>53</v>
      </c>
      <c r="BD478" s="99" t="s">
        <v>3135</v>
      </c>
      <c r="BE478" s="99" t="s">
        <v>3136</v>
      </c>
    </row>
    <row r="479" spans="1:57" ht="12.95" customHeight="1">
      <c r="A479" s="124">
        <v>15</v>
      </c>
      <c r="B479" s="124">
        <v>2196</v>
      </c>
      <c r="C479" s="99" t="s">
        <v>165</v>
      </c>
      <c r="D479" s="99" t="s">
        <v>1477</v>
      </c>
      <c r="E479" s="99" t="s">
        <v>1478</v>
      </c>
      <c r="F479" s="99" t="s">
        <v>74</v>
      </c>
      <c r="G479" s="99" t="s">
        <v>75</v>
      </c>
      <c r="H479" s="99" t="s">
        <v>4516</v>
      </c>
      <c r="I479" s="99" t="s">
        <v>1863</v>
      </c>
      <c r="J479" s="99" t="s">
        <v>1864</v>
      </c>
      <c r="K479" s="99" t="s">
        <v>879</v>
      </c>
      <c r="L479" s="99" t="s">
        <v>1865</v>
      </c>
      <c r="M479" s="99" t="s">
        <v>1</v>
      </c>
      <c r="N479" s="99" t="s">
        <v>3454</v>
      </c>
      <c r="O479" s="99" t="s">
        <v>70</v>
      </c>
      <c r="P479" s="99" t="s">
        <v>3914</v>
      </c>
      <c r="Q479" s="99" t="s">
        <v>247</v>
      </c>
      <c r="R479" s="99" t="s">
        <v>71</v>
      </c>
      <c r="S479" s="99" t="s">
        <v>2691</v>
      </c>
      <c r="T479" s="99" t="s">
        <v>49</v>
      </c>
      <c r="U479" s="99" t="s">
        <v>1492</v>
      </c>
      <c r="V479" s="99" t="s">
        <v>55</v>
      </c>
      <c r="W479" s="99" t="s">
        <v>4517</v>
      </c>
      <c r="X479" s="99" t="s">
        <v>4517</v>
      </c>
      <c r="Y479" s="99" t="s">
        <v>4518</v>
      </c>
      <c r="Z479" s="99" t="s">
        <v>172</v>
      </c>
      <c r="AA479" s="99" t="s">
        <v>173</v>
      </c>
      <c r="AB479" s="99" t="s">
        <v>174</v>
      </c>
      <c r="AC479" s="99" t="s">
        <v>3411</v>
      </c>
      <c r="AD479" s="99" t="s">
        <v>175</v>
      </c>
      <c r="AE479" s="99" t="s">
        <v>3411</v>
      </c>
      <c r="AF479" s="99" t="s">
        <v>3411</v>
      </c>
      <c r="AG479" s="124">
        <v>519</v>
      </c>
      <c r="AH479" s="99" t="s">
        <v>3413</v>
      </c>
      <c r="AI479" s="125">
        <v>100</v>
      </c>
      <c r="AJ479" s="99" t="s">
        <v>176</v>
      </c>
      <c r="AK479" s="99" t="s">
        <v>4517</v>
      </c>
      <c r="AL479" s="99" t="s">
        <v>3411</v>
      </c>
      <c r="AM479" s="99" t="s">
        <v>177</v>
      </c>
      <c r="AN479" s="99" t="s">
        <v>3411</v>
      </c>
      <c r="AO479" s="99" t="s">
        <v>1482</v>
      </c>
      <c r="AP479" s="99" t="s">
        <v>2603</v>
      </c>
      <c r="AQ479" s="99" t="s">
        <v>98</v>
      </c>
      <c r="AR479" s="99" t="s">
        <v>3411</v>
      </c>
      <c r="AS479" s="99" t="s">
        <v>1866</v>
      </c>
      <c r="AT479" s="99" t="s">
        <v>190</v>
      </c>
      <c r="AU479" s="99" t="s">
        <v>191</v>
      </c>
      <c r="AV479" s="99" t="s">
        <v>3928</v>
      </c>
      <c r="AW479" s="99" t="s">
        <v>519</v>
      </c>
      <c r="AX479" s="99" t="s">
        <v>3420</v>
      </c>
      <c r="AY479" s="99" t="s">
        <v>252</v>
      </c>
      <c r="AZ479" s="99" t="s">
        <v>3416</v>
      </c>
      <c r="BA479" s="99" t="s">
        <v>4325</v>
      </c>
      <c r="BB479" s="99" t="s">
        <v>3249</v>
      </c>
      <c r="BC479" s="125">
        <v>47</v>
      </c>
      <c r="BD479" s="99" t="s">
        <v>3135</v>
      </c>
      <c r="BE479" s="99" t="s">
        <v>3136</v>
      </c>
    </row>
    <row r="480" spans="1:57" ht="12.95" customHeight="1">
      <c r="A480" s="124">
        <v>15</v>
      </c>
      <c r="B480" s="124">
        <v>754</v>
      </c>
      <c r="C480" s="99" t="s">
        <v>165</v>
      </c>
      <c r="D480" s="99" t="s">
        <v>1477</v>
      </c>
      <c r="E480" s="99" t="s">
        <v>1478</v>
      </c>
      <c r="F480" s="99" t="s">
        <v>74</v>
      </c>
      <c r="G480" s="99" t="s">
        <v>75</v>
      </c>
      <c r="H480" s="99" t="s">
        <v>4516</v>
      </c>
      <c r="I480" s="99" t="s">
        <v>1863</v>
      </c>
      <c r="J480" s="99" t="s">
        <v>1867</v>
      </c>
      <c r="K480" s="99" t="s">
        <v>476</v>
      </c>
      <c r="L480" s="99" t="s">
        <v>1868</v>
      </c>
      <c r="M480" s="99" t="s">
        <v>5</v>
      </c>
      <c r="N480" s="99" t="s">
        <v>3454</v>
      </c>
      <c r="O480" s="99" t="s">
        <v>70</v>
      </c>
      <c r="P480" s="99" t="s">
        <v>3455</v>
      </c>
      <c r="Q480" s="99" t="s">
        <v>247</v>
      </c>
      <c r="R480" s="99" t="s">
        <v>71</v>
      </c>
      <c r="S480" s="99" t="s">
        <v>2691</v>
      </c>
      <c r="T480" s="99" t="s">
        <v>49</v>
      </c>
      <c r="U480" s="99" t="s">
        <v>1551</v>
      </c>
      <c r="V480" s="99" t="s">
        <v>51</v>
      </c>
      <c r="W480" s="99" t="s">
        <v>4519</v>
      </c>
      <c r="X480" s="99" t="s">
        <v>4519</v>
      </c>
      <c r="Y480" s="99" t="s">
        <v>4520</v>
      </c>
      <c r="Z480" s="99" t="s">
        <v>172</v>
      </c>
      <c r="AA480" s="99" t="s">
        <v>173</v>
      </c>
      <c r="AB480" s="99" t="s">
        <v>174</v>
      </c>
      <c r="AC480" s="99" t="s">
        <v>3411</v>
      </c>
      <c r="AD480" s="99" t="s">
        <v>175</v>
      </c>
      <c r="AE480" s="99" t="s">
        <v>3411</v>
      </c>
      <c r="AF480" s="99" t="s">
        <v>3411</v>
      </c>
      <c r="AG480" s="124">
        <v>190</v>
      </c>
      <c r="AH480" s="99" t="s">
        <v>3413</v>
      </c>
      <c r="AI480" s="125">
        <v>100</v>
      </c>
      <c r="AJ480" s="99" t="s">
        <v>176</v>
      </c>
      <c r="AK480" s="99" t="s">
        <v>4519</v>
      </c>
      <c r="AL480" s="99" t="s">
        <v>3411</v>
      </c>
      <c r="AM480" s="99" t="s">
        <v>177</v>
      </c>
      <c r="AN480" s="99" t="s">
        <v>3411</v>
      </c>
      <c r="AO480" s="99" t="s">
        <v>1482</v>
      </c>
      <c r="AP480" s="99" t="s">
        <v>2603</v>
      </c>
      <c r="AQ480" s="99" t="s">
        <v>98</v>
      </c>
      <c r="AR480" s="99" t="s">
        <v>1010</v>
      </c>
      <c r="AS480" s="99" t="s">
        <v>1869</v>
      </c>
      <c r="AT480" s="99" t="s">
        <v>190</v>
      </c>
      <c r="AU480" s="99" t="s">
        <v>191</v>
      </c>
      <c r="AV480" s="99" t="s">
        <v>3928</v>
      </c>
      <c r="AW480" s="99" t="s">
        <v>519</v>
      </c>
      <c r="AX480" s="99" t="s">
        <v>3420</v>
      </c>
      <c r="AY480" s="99" t="s">
        <v>252</v>
      </c>
      <c r="AZ480" s="99" t="s">
        <v>3416</v>
      </c>
      <c r="BA480" s="99" t="s">
        <v>4521</v>
      </c>
      <c r="BB480" s="99" t="s">
        <v>3411</v>
      </c>
      <c r="BC480" s="125">
        <v>61</v>
      </c>
      <c r="BD480" s="99" t="s">
        <v>3135</v>
      </c>
      <c r="BE480" s="99" t="s">
        <v>3136</v>
      </c>
    </row>
    <row r="481" spans="1:57" ht="12.95" customHeight="1">
      <c r="A481" s="124">
        <v>15</v>
      </c>
      <c r="B481" s="124">
        <v>2282</v>
      </c>
      <c r="C481" s="99" t="s">
        <v>165</v>
      </c>
      <c r="D481" s="99" t="s">
        <v>1477</v>
      </c>
      <c r="E481" s="99" t="s">
        <v>1478</v>
      </c>
      <c r="F481" s="99" t="s">
        <v>74</v>
      </c>
      <c r="G481" s="99" t="s">
        <v>75</v>
      </c>
      <c r="H481" s="99" t="s">
        <v>4516</v>
      </c>
      <c r="I481" s="99" t="s">
        <v>1863</v>
      </c>
      <c r="J481" s="99" t="s">
        <v>1870</v>
      </c>
      <c r="K481" s="99" t="s">
        <v>370</v>
      </c>
      <c r="L481" s="99" t="s">
        <v>1871</v>
      </c>
      <c r="M481" s="99" t="s">
        <v>5</v>
      </c>
      <c r="N481" s="99" t="s">
        <v>3454</v>
      </c>
      <c r="O481" s="99" t="s">
        <v>70</v>
      </c>
      <c r="P481" s="99" t="s">
        <v>4522</v>
      </c>
      <c r="Q481" s="99" t="s">
        <v>247</v>
      </c>
      <c r="R481" s="99" t="s">
        <v>71</v>
      </c>
      <c r="S481" s="99" t="s">
        <v>2691</v>
      </c>
      <c r="T481" s="99" t="s">
        <v>49</v>
      </c>
      <c r="U481" s="99" t="s">
        <v>1492</v>
      </c>
      <c r="V481" s="99" t="s">
        <v>55</v>
      </c>
      <c r="W481" s="99" t="s">
        <v>4201</v>
      </c>
      <c r="X481" s="99" t="s">
        <v>4201</v>
      </c>
      <c r="Y481" s="99" t="s">
        <v>4523</v>
      </c>
      <c r="Z481" s="99" t="s">
        <v>172</v>
      </c>
      <c r="AA481" s="99" t="s">
        <v>173</v>
      </c>
      <c r="AB481" s="99" t="s">
        <v>174</v>
      </c>
      <c r="AC481" s="99" t="s">
        <v>3411</v>
      </c>
      <c r="AD481" s="99" t="s">
        <v>175</v>
      </c>
      <c r="AE481" s="99" t="s">
        <v>3411</v>
      </c>
      <c r="AF481" s="99" t="s">
        <v>3411</v>
      </c>
      <c r="AG481" s="124">
        <v>549</v>
      </c>
      <c r="AH481" s="99" t="s">
        <v>3413</v>
      </c>
      <c r="AI481" s="125">
        <v>100</v>
      </c>
      <c r="AJ481" s="99" t="s">
        <v>176</v>
      </c>
      <c r="AK481" s="99" t="s">
        <v>4201</v>
      </c>
      <c r="AL481" s="99" t="s">
        <v>3411</v>
      </c>
      <c r="AM481" s="99" t="s">
        <v>177</v>
      </c>
      <c r="AN481" s="99" t="s">
        <v>3411</v>
      </c>
      <c r="AO481" s="99" t="s">
        <v>1482</v>
      </c>
      <c r="AP481" s="99" t="s">
        <v>2603</v>
      </c>
      <c r="AQ481" s="99" t="s">
        <v>98</v>
      </c>
      <c r="AR481" s="99" t="s">
        <v>1010</v>
      </c>
      <c r="AS481" s="99" t="s">
        <v>1872</v>
      </c>
      <c r="AT481" s="99" t="s">
        <v>190</v>
      </c>
      <c r="AU481" s="99" t="s">
        <v>191</v>
      </c>
      <c r="AV481" s="99" t="s">
        <v>3581</v>
      </c>
      <c r="AW481" s="99" t="s">
        <v>529</v>
      </c>
      <c r="AX481" s="99" t="s">
        <v>3420</v>
      </c>
      <c r="AY481" s="99" t="s">
        <v>252</v>
      </c>
      <c r="AZ481" s="99" t="s">
        <v>3416</v>
      </c>
      <c r="BA481" s="99" t="s">
        <v>4325</v>
      </c>
      <c r="BB481" s="99" t="s">
        <v>3249</v>
      </c>
      <c r="BC481" s="125">
        <v>47</v>
      </c>
      <c r="BD481" s="99" t="s">
        <v>3135</v>
      </c>
      <c r="BE481" s="99" t="s">
        <v>3136</v>
      </c>
    </row>
    <row r="482" spans="1:57" ht="12.95" customHeight="1">
      <c r="A482" s="124">
        <v>15</v>
      </c>
      <c r="B482" s="124">
        <v>2928</v>
      </c>
      <c r="C482" s="99" t="s">
        <v>165</v>
      </c>
      <c r="D482" s="99" t="s">
        <v>1477</v>
      </c>
      <c r="E482" s="99" t="s">
        <v>1478</v>
      </c>
      <c r="F482" s="99" t="s">
        <v>74</v>
      </c>
      <c r="G482" s="99" t="s">
        <v>75</v>
      </c>
      <c r="H482" s="99" t="s">
        <v>4516</v>
      </c>
      <c r="I482" s="99" t="s">
        <v>1863</v>
      </c>
      <c r="J482" s="99" t="s">
        <v>1873</v>
      </c>
      <c r="K482" s="99" t="s">
        <v>564</v>
      </c>
      <c r="L482" s="99" t="s">
        <v>1874</v>
      </c>
      <c r="M482" s="99" t="s">
        <v>5</v>
      </c>
      <c r="N482" s="99" t="s">
        <v>3454</v>
      </c>
      <c r="O482" s="99" t="s">
        <v>70</v>
      </c>
      <c r="P482" s="99" t="s">
        <v>4524</v>
      </c>
      <c r="Q482" s="99" t="s">
        <v>247</v>
      </c>
      <c r="R482" s="99" t="s">
        <v>71</v>
      </c>
      <c r="S482" s="99" t="s">
        <v>2691</v>
      </c>
      <c r="T482" s="99" t="s">
        <v>49</v>
      </c>
      <c r="U482" s="99" t="s">
        <v>1492</v>
      </c>
      <c r="V482" s="99" t="s">
        <v>55</v>
      </c>
      <c r="W482" s="99" t="s">
        <v>4524</v>
      </c>
      <c r="X482" s="99" t="s">
        <v>4524</v>
      </c>
      <c r="Y482" s="99" t="s">
        <v>4525</v>
      </c>
      <c r="Z482" s="99" t="s">
        <v>172</v>
      </c>
      <c r="AA482" s="99" t="s">
        <v>173</v>
      </c>
      <c r="AB482" s="99" t="s">
        <v>174</v>
      </c>
      <c r="AC482" s="99" t="s">
        <v>3411</v>
      </c>
      <c r="AD482" s="99" t="s">
        <v>175</v>
      </c>
      <c r="AE482" s="99" t="s">
        <v>3411</v>
      </c>
      <c r="AF482" s="99" t="s">
        <v>3411</v>
      </c>
      <c r="AG482" s="124">
        <v>2928</v>
      </c>
      <c r="AH482" s="99" t="s">
        <v>3413</v>
      </c>
      <c r="AI482" s="125">
        <v>100</v>
      </c>
      <c r="AJ482" s="99" t="s">
        <v>176</v>
      </c>
      <c r="AK482" s="99" t="s">
        <v>4524</v>
      </c>
      <c r="AL482" s="99" t="s">
        <v>3411</v>
      </c>
      <c r="AM482" s="99" t="s">
        <v>177</v>
      </c>
      <c r="AN482" s="99" t="s">
        <v>3411</v>
      </c>
      <c r="AO482" s="99" t="s">
        <v>1481</v>
      </c>
      <c r="AP482" s="99" t="s">
        <v>2603</v>
      </c>
      <c r="AQ482" s="99" t="s">
        <v>98</v>
      </c>
      <c r="AR482" s="99" t="s">
        <v>3411</v>
      </c>
      <c r="AS482" s="99" t="s">
        <v>1875</v>
      </c>
      <c r="AT482" s="99" t="s">
        <v>190</v>
      </c>
      <c r="AU482" s="99" t="s">
        <v>191</v>
      </c>
      <c r="AV482" s="99" t="s">
        <v>3928</v>
      </c>
      <c r="AW482" s="99" t="s">
        <v>519</v>
      </c>
      <c r="AX482" s="99" t="s">
        <v>3420</v>
      </c>
      <c r="AY482" s="99" t="s">
        <v>252</v>
      </c>
      <c r="AZ482" s="99" t="s">
        <v>3416</v>
      </c>
      <c r="BA482" s="99" t="s">
        <v>4325</v>
      </c>
      <c r="BB482" s="99" t="s">
        <v>3249</v>
      </c>
      <c r="BC482" s="125">
        <v>47</v>
      </c>
      <c r="BD482" s="99" t="s">
        <v>3135</v>
      </c>
      <c r="BE482" s="99" t="s">
        <v>3136</v>
      </c>
    </row>
    <row r="483" spans="1:57" ht="12.95" customHeight="1">
      <c r="A483" s="124">
        <v>15</v>
      </c>
      <c r="B483" s="124">
        <v>2178</v>
      </c>
      <c r="C483" s="99" t="s">
        <v>165</v>
      </c>
      <c r="D483" s="99" t="s">
        <v>1477</v>
      </c>
      <c r="E483" s="99" t="s">
        <v>1478</v>
      </c>
      <c r="F483" s="99" t="s">
        <v>74</v>
      </c>
      <c r="G483" s="99" t="s">
        <v>75</v>
      </c>
      <c r="H483" s="99" t="s">
        <v>4516</v>
      </c>
      <c r="I483" s="99" t="s">
        <v>1863</v>
      </c>
      <c r="J483" s="99" t="s">
        <v>1876</v>
      </c>
      <c r="K483" s="99" t="s">
        <v>1360</v>
      </c>
      <c r="L483" s="99" t="s">
        <v>1877</v>
      </c>
      <c r="M483" s="99" t="s">
        <v>5</v>
      </c>
      <c r="N483" s="99" t="s">
        <v>3454</v>
      </c>
      <c r="O483" s="99" t="s">
        <v>70</v>
      </c>
      <c r="P483" s="99" t="s">
        <v>3455</v>
      </c>
      <c r="Q483" s="99" t="s">
        <v>247</v>
      </c>
      <c r="R483" s="99" t="s">
        <v>71</v>
      </c>
      <c r="S483" s="99" t="s">
        <v>2691</v>
      </c>
      <c r="T483" s="99" t="s">
        <v>49</v>
      </c>
      <c r="U483" s="99" t="s">
        <v>1620</v>
      </c>
      <c r="V483" s="99" t="s">
        <v>59</v>
      </c>
      <c r="W483" s="99" t="s">
        <v>4413</v>
      </c>
      <c r="X483" s="99" t="s">
        <v>4413</v>
      </c>
      <c r="Y483" s="99" t="s">
        <v>4526</v>
      </c>
      <c r="Z483" s="99" t="s">
        <v>521</v>
      </c>
      <c r="AA483" s="99" t="s">
        <v>522</v>
      </c>
      <c r="AB483" s="99" t="s">
        <v>174</v>
      </c>
      <c r="AC483" s="99" t="s">
        <v>4527</v>
      </c>
      <c r="AD483" s="99" t="s">
        <v>175</v>
      </c>
      <c r="AE483" s="99" t="s">
        <v>3411</v>
      </c>
      <c r="AF483" s="99" t="s">
        <v>3411</v>
      </c>
      <c r="AG483" s="124">
        <v>512</v>
      </c>
      <c r="AH483" s="99" t="s">
        <v>3413</v>
      </c>
      <c r="AI483" s="125">
        <v>100</v>
      </c>
      <c r="AJ483" s="99" t="s">
        <v>176</v>
      </c>
      <c r="AK483" s="99" t="s">
        <v>4413</v>
      </c>
      <c r="AL483" s="99" t="s">
        <v>3411</v>
      </c>
      <c r="AM483" s="99" t="s">
        <v>177</v>
      </c>
      <c r="AN483" s="99" t="s">
        <v>3411</v>
      </c>
      <c r="AO483" s="99" t="s">
        <v>1482</v>
      </c>
      <c r="AP483" s="99" t="s">
        <v>2603</v>
      </c>
      <c r="AQ483" s="99" t="s">
        <v>98</v>
      </c>
      <c r="AR483" s="99" t="s">
        <v>3411</v>
      </c>
      <c r="AS483" s="99" t="s">
        <v>1878</v>
      </c>
      <c r="AT483" s="99" t="s">
        <v>190</v>
      </c>
      <c r="AU483" s="99" t="s">
        <v>191</v>
      </c>
      <c r="AV483" s="99" t="s">
        <v>3928</v>
      </c>
      <c r="AW483" s="99" t="s">
        <v>519</v>
      </c>
      <c r="AX483" s="99" t="s">
        <v>4328</v>
      </c>
      <c r="AY483" s="99" t="s">
        <v>3411</v>
      </c>
      <c r="AZ483" s="99" t="s">
        <v>3411</v>
      </c>
      <c r="BA483" s="99" t="s">
        <v>4325</v>
      </c>
      <c r="BB483" s="99" t="s">
        <v>3249</v>
      </c>
      <c r="BC483" s="125">
        <v>62</v>
      </c>
      <c r="BD483" s="99" t="s">
        <v>3135</v>
      </c>
      <c r="BE483" s="99" t="s">
        <v>3136</v>
      </c>
    </row>
    <row r="484" spans="1:57" ht="12.95" customHeight="1">
      <c r="A484" s="124">
        <v>15</v>
      </c>
      <c r="B484" s="124">
        <v>2563</v>
      </c>
      <c r="C484" s="99" t="s">
        <v>165</v>
      </c>
      <c r="D484" s="99" t="s">
        <v>1477</v>
      </c>
      <c r="E484" s="99" t="s">
        <v>1478</v>
      </c>
      <c r="F484" s="99" t="s">
        <v>74</v>
      </c>
      <c r="G484" s="99" t="s">
        <v>75</v>
      </c>
      <c r="H484" s="99" t="s">
        <v>4516</v>
      </c>
      <c r="I484" s="99" t="s">
        <v>1863</v>
      </c>
      <c r="J484" s="99" t="s">
        <v>1882</v>
      </c>
      <c r="K484" s="99" t="s">
        <v>1883</v>
      </c>
      <c r="L484" s="99" t="s">
        <v>1884</v>
      </c>
      <c r="M484" s="99" t="s">
        <v>1</v>
      </c>
      <c r="N484" s="99" t="s">
        <v>3454</v>
      </c>
      <c r="O484" s="99" t="s">
        <v>70</v>
      </c>
      <c r="P484" s="99" t="s">
        <v>4357</v>
      </c>
      <c r="Q484" s="99" t="s">
        <v>247</v>
      </c>
      <c r="R484" s="99" t="s">
        <v>71</v>
      </c>
      <c r="S484" s="99" t="s">
        <v>2691</v>
      </c>
      <c r="T484" s="99" t="s">
        <v>49</v>
      </c>
      <c r="U484" s="99" t="s">
        <v>1008</v>
      </c>
      <c r="V484" s="99" t="s">
        <v>53</v>
      </c>
      <c r="W484" s="99" t="s">
        <v>4357</v>
      </c>
      <c r="X484" s="99" t="s">
        <v>4357</v>
      </c>
      <c r="Y484" s="99" t="s">
        <v>4528</v>
      </c>
      <c r="Z484" s="99" t="s">
        <v>172</v>
      </c>
      <c r="AA484" s="99" t="s">
        <v>173</v>
      </c>
      <c r="AB484" s="99" t="s">
        <v>174</v>
      </c>
      <c r="AC484" s="99" t="s">
        <v>3411</v>
      </c>
      <c r="AD484" s="99" t="s">
        <v>175</v>
      </c>
      <c r="AE484" s="99" t="s">
        <v>3411</v>
      </c>
      <c r="AF484" s="99" t="s">
        <v>3411</v>
      </c>
      <c r="AG484" s="124">
        <v>2563</v>
      </c>
      <c r="AH484" s="99" t="s">
        <v>3413</v>
      </c>
      <c r="AI484" s="125">
        <v>100</v>
      </c>
      <c r="AJ484" s="99" t="s">
        <v>176</v>
      </c>
      <c r="AK484" s="99" t="s">
        <v>4357</v>
      </c>
      <c r="AL484" s="99" t="s">
        <v>3411</v>
      </c>
      <c r="AM484" s="99" t="s">
        <v>177</v>
      </c>
      <c r="AN484" s="99" t="s">
        <v>3411</v>
      </c>
      <c r="AO484" s="99" t="s">
        <v>1482</v>
      </c>
      <c r="AP484" s="99" t="s">
        <v>2603</v>
      </c>
      <c r="AQ484" s="99" t="s">
        <v>98</v>
      </c>
      <c r="AR484" s="99" t="s">
        <v>1010</v>
      </c>
      <c r="AS484" s="99" t="s">
        <v>1885</v>
      </c>
      <c r="AT484" s="99" t="s">
        <v>190</v>
      </c>
      <c r="AU484" s="99" t="s">
        <v>191</v>
      </c>
      <c r="AV484" s="99" t="s">
        <v>3581</v>
      </c>
      <c r="AW484" s="99" t="s">
        <v>529</v>
      </c>
      <c r="AX484" s="99" t="s">
        <v>3420</v>
      </c>
      <c r="AY484" s="99" t="s">
        <v>252</v>
      </c>
      <c r="AZ484" s="99" t="s">
        <v>3416</v>
      </c>
      <c r="BA484" s="99" t="s">
        <v>4325</v>
      </c>
      <c r="BB484" s="99" t="s">
        <v>3249</v>
      </c>
      <c r="BC484" s="125">
        <v>48</v>
      </c>
      <c r="BD484" s="99" t="s">
        <v>3135</v>
      </c>
      <c r="BE484" s="99" t="s">
        <v>3136</v>
      </c>
    </row>
    <row r="485" spans="1:57" ht="12.95" customHeight="1">
      <c r="A485" s="124">
        <v>15</v>
      </c>
      <c r="B485" s="124">
        <v>1985</v>
      </c>
      <c r="C485" s="99" t="s">
        <v>165</v>
      </c>
      <c r="D485" s="99" t="s">
        <v>1477</v>
      </c>
      <c r="E485" s="99" t="s">
        <v>1478</v>
      </c>
      <c r="F485" s="99" t="s">
        <v>74</v>
      </c>
      <c r="G485" s="99" t="s">
        <v>75</v>
      </c>
      <c r="H485" s="99" t="s">
        <v>4516</v>
      </c>
      <c r="I485" s="99" t="s">
        <v>1863</v>
      </c>
      <c r="J485" s="99" t="s">
        <v>1886</v>
      </c>
      <c r="K485" s="99" t="s">
        <v>300</v>
      </c>
      <c r="L485" s="99" t="s">
        <v>1887</v>
      </c>
      <c r="M485" s="99" t="s">
        <v>5</v>
      </c>
      <c r="N485" s="99" t="s">
        <v>3454</v>
      </c>
      <c r="O485" s="99" t="s">
        <v>70</v>
      </c>
      <c r="P485" s="99" t="s">
        <v>3455</v>
      </c>
      <c r="Q485" s="99" t="s">
        <v>247</v>
      </c>
      <c r="R485" s="99" t="s">
        <v>71</v>
      </c>
      <c r="S485" s="99" t="s">
        <v>2691</v>
      </c>
      <c r="T485" s="99" t="s">
        <v>49</v>
      </c>
      <c r="U485" s="99" t="s">
        <v>1511</v>
      </c>
      <c r="V485" s="99" t="s">
        <v>54</v>
      </c>
      <c r="W485" s="99" t="s">
        <v>4529</v>
      </c>
      <c r="X485" s="99" t="s">
        <v>4529</v>
      </c>
      <c r="Y485" s="99" t="s">
        <v>4530</v>
      </c>
      <c r="Z485" s="99" t="s">
        <v>172</v>
      </c>
      <c r="AA485" s="99" t="s">
        <v>173</v>
      </c>
      <c r="AB485" s="99" t="s">
        <v>174</v>
      </c>
      <c r="AC485" s="99" t="s">
        <v>3411</v>
      </c>
      <c r="AD485" s="99" t="s">
        <v>175</v>
      </c>
      <c r="AE485" s="99" t="s">
        <v>3411</v>
      </c>
      <c r="AF485" s="99" t="s">
        <v>3411</v>
      </c>
      <c r="AG485" s="124">
        <v>417</v>
      </c>
      <c r="AH485" s="99" t="s">
        <v>3413</v>
      </c>
      <c r="AI485" s="125">
        <v>100</v>
      </c>
      <c r="AJ485" s="99" t="s">
        <v>176</v>
      </c>
      <c r="AK485" s="99" t="s">
        <v>4529</v>
      </c>
      <c r="AL485" s="99" t="s">
        <v>3411</v>
      </c>
      <c r="AM485" s="99" t="s">
        <v>177</v>
      </c>
      <c r="AN485" s="99" t="s">
        <v>3411</v>
      </c>
      <c r="AO485" s="99" t="s">
        <v>1482</v>
      </c>
      <c r="AP485" s="99" t="s">
        <v>2603</v>
      </c>
      <c r="AQ485" s="99" t="s">
        <v>98</v>
      </c>
      <c r="AR485" s="99" t="s">
        <v>207</v>
      </c>
      <c r="AS485" s="99" t="s">
        <v>1888</v>
      </c>
      <c r="AT485" s="99" t="s">
        <v>190</v>
      </c>
      <c r="AU485" s="99" t="s">
        <v>191</v>
      </c>
      <c r="AV485" s="99" t="s">
        <v>3928</v>
      </c>
      <c r="AW485" s="99" t="s">
        <v>519</v>
      </c>
      <c r="AX485" s="99" t="s">
        <v>3420</v>
      </c>
      <c r="AY485" s="99" t="s">
        <v>252</v>
      </c>
      <c r="AZ485" s="99" t="s">
        <v>3416</v>
      </c>
      <c r="BA485" s="99" t="s">
        <v>4325</v>
      </c>
      <c r="BB485" s="99" t="s">
        <v>3249</v>
      </c>
      <c r="BC485" s="125">
        <v>51</v>
      </c>
      <c r="BD485" s="99" t="s">
        <v>3135</v>
      </c>
      <c r="BE485" s="99" t="s">
        <v>3136</v>
      </c>
    </row>
    <row r="486" spans="1:57" ht="12.95" customHeight="1">
      <c r="A486" s="124">
        <v>15</v>
      </c>
      <c r="B486" s="124">
        <v>1675</v>
      </c>
      <c r="C486" s="99" t="s">
        <v>165</v>
      </c>
      <c r="D486" s="99" t="s">
        <v>1477</v>
      </c>
      <c r="E486" s="99" t="s">
        <v>1478</v>
      </c>
      <c r="F486" s="99" t="s">
        <v>74</v>
      </c>
      <c r="G486" s="99" t="s">
        <v>75</v>
      </c>
      <c r="H486" s="99" t="s">
        <v>4516</v>
      </c>
      <c r="I486" s="99" t="s">
        <v>1863</v>
      </c>
      <c r="J486" s="99" t="s">
        <v>1889</v>
      </c>
      <c r="K486" s="99" t="s">
        <v>1890</v>
      </c>
      <c r="L486" s="99" t="s">
        <v>1891</v>
      </c>
      <c r="M486" s="99" t="s">
        <v>5</v>
      </c>
      <c r="N486" s="99" t="s">
        <v>3454</v>
      </c>
      <c r="O486" s="99" t="s">
        <v>70</v>
      </c>
      <c r="P486" s="99" t="s">
        <v>3455</v>
      </c>
      <c r="Q486" s="99" t="s">
        <v>247</v>
      </c>
      <c r="R486" s="99" t="s">
        <v>71</v>
      </c>
      <c r="S486" s="99" t="s">
        <v>2691</v>
      </c>
      <c r="T486" s="99" t="s">
        <v>49</v>
      </c>
      <c r="U486" s="99" t="s">
        <v>1511</v>
      </c>
      <c r="V486" s="99" t="s">
        <v>54</v>
      </c>
      <c r="W486" s="99" t="s">
        <v>4531</v>
      </c>
      <c r="X486" s="99" t="s">
        <v>4531</v>
      </c>
      <c r="Y486" s="99" t="s">
        <v>4532</v>
      </c>
      <c r="Z486" s="99" t="s">
        <v>172</v>
      </c>
      <c r="AA486" s="99" t="s">
        <v>173</v>
      </c>
      <c r="AB486" s="99" t="s">
        <v>174</v>
      </c>
      <c r="AC486" s="99" t="s">
        <v>3411</v>
      </c>
      <c r="AD486" s="99" t="s">
        <v>175</v>
      </c>
      <c r="AE486" s="99" t="s">
        <v>3411</v>
      </c>
      <c r="AF486" s="99" t="s">
        <v>3411</v>
      </c>
      <c r="AG486" s="124">
        <v>324</v>
      </c>
      <c r="AH486" s="99" t="s">
        <v>3413</v>
      </c>
      <c r="AI486" s="125">
        <v>100</v>
      </c>
      <c r="AJ486" s="99" t="s">
        <v>176</v>
      </c>
      <c r="AK486" s="99" t="s">
        <v>4531</v>
      </c>
      <c r="AL486" s="99" t="s">
        <v>3411</v>
      </c>
      <c r="AM486" s="99" t="s">
        <v>177</v>
      </c>
      <c r="AN486" s="99" t="s">
        <v>3411</v>
      </c>
      <c r="AO486" s="99" t="s">
        <v>1482</v>
      </c>
      <c r="AP486" s="99" t="s">
        <v>2603</v>
      </c>
      <c r="AQ486" s="99" t="s">
        <v>98</v>
      </c>
      <c r="AR486" s="99" t="s">
        <v>3411</v>
      </c>
      <c r="AS486" s="99" t="s">
        <v>1892</v>
      </c>
      <c r="AT486" s="99" t="s">
        <v>190</v>
      </c>
      <c r="AU486" s="99" t="s">
        <v>191</v>
      </c>
      <c r="AV486" s="99" t="s">
        <v>3928</v>
      </c>
      <c r="AW486" s="99" t="s">
        <v>519</v>
      </c>
      <c r="AX486" s="99" t="s">
        <v>3411</v>
      </c>
      <c r="AY486" s="99" t="s">
        <v>3411</v>
      </c>
      <c r="AZ486" s="99" t="s">
        <v>3411</v>
      </c>
      <c r="BA486" s="99" t="s">
        <v>4325</v>
      </c>
      <c r="BB486" s="99" t="s">
        <v>3249</v>
      </c>
      <c r="BC486" s="125">
        <v>50</v>
      </c>
      <c r="BD486" s="99" t="s">
        <v>3135</v>
      </c>
      <c r="BE486" s="99" t="s">
        <v>3136</v>
      </c>
    </row>
    <row r="487" spans="1:57" ht="12.95" customHeight="1">
      <c r="A487" s="124">
        <v>15</v>
      </c>
      <c r="B487" s="124">
        <v>2226</v>
      </c>
      <c r="C487" s="99" t="s">
        <v>165</v>
      </c>
      <c r="D487" s="99" t="s">
        <v>1477</v>
      </c>
      <c r="E487" s="99" t="s">
        <v>1478</v>
      </c>
      <c r="F487" s="99" t="s">
        <v>74</v>
      </c>
      <c r="G487" s="99" t="s">
        <v>75</v>
      </c>
      <c r="H487" s="99" t="s">
        <v>4516</v>
      </c>
      <c r="I487" s="99" t="s">
        <v>1863</v>
      </c>
      <c r="J487" s="99" t="s">
        <v>700</v>
      </c>
      <c r="K487" s="99" t="s">
        <v>370</v>
      </c>
      <c r="L487" s="99" t="s">
        <v>1893</v>
      </c>
      <c r="M487" s="99" t="s">
        <v>5</v>
      </c>
      <c r="N487" s="99" t="s">
        <v>3454</v>
      </c>
      <c r="O487" s="99" t="s">
        <v>70</v>
      </c>
      <c r="P487" s="99" t="s">
        <v>3455</v>
      </c>
      <c r="Q487" s="99" t="s">
        <v>247</v>
      </c>
      <c r="R487" s="99" t="s">
        <v>71</v>
      </c>
      <c r="S487" s="99" t="s">
        <v>2691</v>
      </c>
      <c r="T487" s="99" t="s">
        <v>49</v>
      </c>
      <c r="U487" s="99" t="s">
        <v>1492</v>
      </c>
      <c r="V487" s="99" t="s">
        <v>55</v>
      </c>
      <c r="W487" s="99" t="s">
        <v>4533</v>
      </c>
      <c r="X487" s="99" t="s">
        <v>4533</v>
      </c>
      <c r="Y487" s="99" t="s">
        <v>4534</v>
      </c>
      <c r="Z487" s="99" t="s">
        <v>172</v>
      </c>
      <c r="AA487" s="99" t="s">
        <v>173</v>
      </c>
      <c r="AB487" s="99" t="s">
        <v>174</v>
      </c>
      <c r="AC487" s="99" t="s">
        <v>3411</v>
      </c>
      <c r="AD487" s="99" t="s">
        <v>175</v>
      </c>
      <c r="AE487" s="99" t="s">
        <v>3411</v>
      </c>
      <c r="AF487" s="99" t="s">
        <v>3411</v>
      </c>
      <c r="AG487" s="124">
        <v>526</v>
      </c>
      <c r="AH487" s="99" t="s">
        <v>3413</v>
      </c>
      <c r="AI487" s="125">
        <v>100</v>
      </c>
      <c r="AJ487" s="99" t="s">
        <v>176</v>
      </c>
      <c r="AK487" s="99" t="s">
        <v>4533</v>
      </c>
      <c r="AL487" s="99" t="s">
        <v>3411</v>
      </c>
      <c r="AM487" s="99" t="s">
        <v>177</v>
      </c>
      <c r="AN487" s="99" t="s">
        <v>3411</v>
      </c>
      <c r="AO487" s="99" t="s">
        <v>1482</v>
      </c>
      <c r="AP487" s="99" t="s">
        <v>2603</v>
      </c>
      <c r="AQ487" s="99" t="s">
        <v>98</v>
      </c>
      <c r="AR487" s="99" t="s">
        <v>3411</v>
      </c>
      <c r="AS487" s="99" t="s">
        <v>1894</v>
      </c>
      <c r="AT487" s="99" t="s">
        <v>190</v>
      </c>
      <c r="AU487" s="99" t="s">
        <v>191</v>
      </c>
      <c r="AV487" s="99" t="s">
        <v>3581</v>
      </c>
      <c r="AW487" s="99" t="s">
        <v>529</v>
      </c>
      <c r="AX487" s="99" t="s">
        <v>3420</v>
      </c>
      <c r="AY487" s="99" t="s">
        <v>252</v>
      </c>
      <c r="AZ487" s="99" t="s">
        <v>3416</v>
      </c>
      <c r="BA487" s="99" t="s">
        <v>4325</v>
      </c>
      <c r="BB487" s="99" t="s">
        <v>3249</v>
      </c>
      <c r="BC487" s="125">
        <v>54</v>
      </c>
      <c r="BD487" s="99" t="s">
        <v>3135</v>
      </c>
      <c r="BE487" s="99" t="s">
        <v>3136</v>
      </c>
    </row>
    <row r="488" spans="1:57" ht="12.95" customHeight="1">
      <c r="A488" s="124">
        <v>15</v>
      </c>
      <c r="B488" s="124">
        <v>1739</v>
      </c>
      <c r="C488" s="99" t="s">
        <v>165</v>
      </c>
      <c r="D488" s="99" t="s">
        <v>1477</v>
      </c>
      <c r="E488" s="99" t="s">
        <v>1478</v>
      </c>
      <c r="F488" s="99" t="s">
        <v>74</v>
      </c>
      <c r="G488" s="99" t="s">
        <v>75</v>
      </c>
      <c r="H488" s="99" t="s">
        <v>4516</v>
      </c>
      <c r="I488" s="99" t="s">
        <v>1863</v>
      </c>
      <c r="J488" s="99" t="s">
        <v>1845</v>
      </c>
      <c r="K488" s="99" t="s">
        <v>1846</v>
      </c>
      <c r="L488" s="99" t="s">
        <v>1847</v>
      </c>
      <c r="M488" s="99" t="s">
        <v>1</v>
      </c>
      <c r="N488" s="99" t="s">
        <v>3454</v>
      </c>
      <c r="O488" s="99" t="s">
        <v>70</v>
      </c>
      <c r="P488" s="99" t="s">
        <v>3904</v>
      </c>
      <c r="Q488" s="99" t="s">
        <v>247</v>
      </c>
      <c r="R488" s="99" t="s">
        <v>71</v>
      </c>
      <c r="S488" s="99" t="s">
        <v>2691</v>
      </c>
      <c r="T488" s="99" t="s">
        <v>49</v>
      </c>
      <c r="U488" s="99" t="s">
        <v>1492</v>
      </c>
      <c r="V488" s="99" t="s">
        <v>55</v>
      </c>
      <c r="W488" s="99" t="s">
        <v>4535</v>
      </c>
      <c r="X488" s="99" t="s">
        <v>4535</v>
      </c>
      <c r="Y488" s="99" t="s">
        <v>4536</v>
      </c>
      <c r="Z488" s="99" t="s">
        <v>172</v>
      </c>
      <c r="AA488" s="99" t="s">
        <v>173</v>
      </c>
      <c r="AB488" s="99" t="s">
        <v>174</v>
      </c>
      <c r="AC488" s="99" t="s">
        <v>3411</v>
      </c>
      <c r="AD488" s="99" t="s">
        <v>175</v>
      </c>
      <c r="AE488" s="99" t="s">
        <v>3411</v>
      </c>
      <c r="AF488" s="99" t="s">
        <v>3411</v>
      </c>
      <c r="AG488" s="124">
        <v>337</v>
      </c>
      <c r="AH488" s="99" t="s">
        <v>3413</v>
      </c>
      <c r="AI488" s="125">
        <v>100</v>
      </c>
      <c r="AJ488" s="99" t="s">
        <v>176</v>
      </c>
      <c r="AK488" s="99" t="s">
        <v>4535</v>
      </c>
      <c r="AL488" s="99" t="s">
        <v>3411</v>
      </c>
      <c r="AM488" s="99" t="s">
        <v>177</v>
      </c>
      <c r="AN488" s="99" t="s">
        <v>3411</v>
      </c>
      <c r="AO488" s="99" t="s">
        <v>1482</v>
      </c>
      <c r="AP488" s="99" t="s">
        <v>2570</v>
      </c>
      <c r="AQ488" s="99" t="s">
        <v>3411</v>
      </c>
      <c r="AR488" s="99" t="s">
        <v>1010</v>
      </c>
      <c r="AS488" s="99" t="s">
        <v>1848</v>
      </c>
      <c r="AT488" s="99" t="s">
        <v>190</v>
      </c>
      <c r="AU488" s="99" t="s">
        <v>191</v>
      </c>
      <c r="AV488" s="99" t="s">
        <v>3581</v>
      </c>
      <c r="AW488" s="99" t="s">
        <v>529</v>
      </c>
      <c r="AX488" s="99" t="s">
        <v>3420</v>
      </c>
      <c r="AY488" s="99" t="s">
        <v>252</v>
      </c>
      <c r="AZ488" s="99" t="s">
        <v>3416</v>
      </c>
      <c r="BA488" s="99" t="s">
        <v>4325</v>
      </c>
      <c r="BB488" s="99" t="s">
        <v>3249</v>
      </c>
      <c r="BC488" s="125">
        <v>56</v>
      </c>
      <c r="BD488" s="99" t="s">
        <v>3135</v>
      </c>
      <c r="BE488" s="99" t="s">
        <v>3136</v>
      </c>
    </row>
    <row r="489" spans="1:57" ht="12.95" customHeight="1">
      <c r="A489" s="124">
        <v>15</v>
      </c>
      <c r="B489" s="124">
        <v>2225</v>
      </c>
      <c r="C489" s="99" t="s">
        <v>165</v>
      </c>
      <c r="D489" s="99" t="s">
        <v>1477</v>
      </c>
      <c r="E489" s="99" t="s">
        <v>1478</v>
      </c>
      <c r="F489" s="99" t="s">
        <v>74</v>
      </c>
      <c r="G489" s="99" t="s">
        <v>75</v>
      </c>
      <c r="H489" s="99" t="s">
        <v>4516</v>
      </c>
      <c r="I489" s="99" t="s">
        <v>1863</v>
      </c>
      <c r="J489" s="99" t="s">
        <v>1895</v>
      </c>
      <c r="K489" s="99" t="s">
        <v>370</v>
      </c>
      <c r="L489" s="99" t="s">
        <v>1896</v>
      </c>
      <c r="M489" s="99" t="s">
        <v>5</v>
      </c>
      <c r="N489" s="99" t="s">
        <v>3454</v>
      </c>
      <c r="O489" s="99" t="s">
        <v>70</v>
      </c>
      <c r="P489" s="99" t="s">
        <v>3455</v>
      </c>
      <c r="Q489" s="99" t="s">
        <v>247</v>
      </c>
      <c r="R489" s="99" t="s">
        <v>71</v>
      </c>
      <c r="S489" s="99" t="s">
        <v>2691</v>
      </c>
      <c r="T489" s="99" t="s">
        <v>49</v>
      </c>
      <c r="U489" s="99" t="s">
        <v>1492</v>
      </c>
      <c r="V489" s="99" t="s">
        <v>55</v>
      </c>
      <c r="W489" s="99" t="s">
        <v>4537</v>
      </c>
      <c r="X489" s="99" t="s">
        <v>4537</v>
      </c>
      <c r="Y489" s="99" t="s">
        <v>4538</v>
      </c>
      <c r="Z489" s="99" t="s">
        <v>172</v>
      </c>
      <c r="AA489" s="99" t="s">
        <v>173</v>
      </c>
      <c r="AB489" s="99" t="s">
        <v>174</v>
      </c>
      <c r="AC489" s="99" t="s">
        <v>3411</v>
      </c>
      <c r="AD489" s="99" t="s">
        <v>175</v>
      </c>
      <c r="AE489" s="99" t="s">
        <v>3411</v>
      </c>
      <c r="AF489" s="99" t="s">
        <v>3411</v>
      </c>
      <c r="AG489" s="124">
        <v>525</v>
      </c>
      <c r="AH489" s="99" t="s">
        <v>3413</v>
      </c>
      <c r="AI489" s="125">
        <v>100</v>
      </c>
      <c r="AJ489" s="99" t="s">
        <v>176</v>
      </c>
      <c r="AK489" s="99" t="s">
        <v>4537</v>
      </c>
      <c r="AL489" s="99" t="s">
        <v>3411</v>
      </c>
      <c r="AM489" s="99" t="s">
        <v>177</v>
      </c>
      <c r="AN489" s="99" t="s">
        <v>3411</v>
      </c>
      <c r="AO489" s="99" t="s">
        <v>1482</v>
      </c>
      <c r="AP489" s="99" t="s">
        <v>2603</v>
      </c>
      <c r="AQ489" s="99" t="s">
        <v>98</v>
      </c>
      <c r="AR489" s="99" t="s">
        <v>3411</v>
      </c>
      <c r="AS489" s="99" t="s">
        <v>1897</v>
      </c>
      <c r="AT489" s="99" t="s">
        <v>190</v>
      </c>
      <c r="AU489" s="99" t="s">
        <v>191</v>
      </c>
      <c r="AV489" s="99" t="s">
        <v>3581</v>
      </c>
      <c r="AW489" s="99" t="s">
        <v>529</v>
      </c>
      <c r="AX489" s="99" t="s">
        <v>3420</v>
      </c>
      <c r="AY489" s="99" t="s">
        <v>252</v>
      </c>
      <c r="AZ489" s="99" t="s">
        <v>3416</v>
      </c>
      <c r="BA489" s="99" t="s">
        <v>4325</v>
      </c>
      <c r="BB489" s="99" t="s">
        <v>3249</v>
      </c>
      <c r="BC489" s="125">
        <v>48</v>
      </c>
      <c r="BD489" s="99" t="s">
        <v>3135</v>
      </c>
      <c r="BE489" s="99" t="s">
        <v>3136</v>
      </c>
    </row>
    <row r="490" spans="1:57" ht="12.95" customHeight="1">
      <c r="A490" s="124">
        <v>15</v>
      </c>
      <c r="B490" s="124">
        <v>483</v>
      </c>
      <c r="C490" s="99" t="s">
        <v>165</v>
      </c>
      <c r="D490" s="99" t="s">
        <v>1477</v>
      </c>
      <c r="E490" s="99" t="s">
        <v>1478</v>
      </c>
      <c r="F490" s="99" t="s">
        <v>74</v>
      </c>
      <c r="G490" s="99" t="s">
        <v>75</v>
      </c>
      <c r="H490" s="99" t="s">
        <v>4516</v>
      </c>
      <c r="I490" s="99" t="s">
        <v>1863</v>
      </c>
      <c r="J490" s="99" t="s">
        <v>1898</v>
      </c>
      <c r="K490" s="99" t="s">
        <v>1024</v>
      </c>
      <c r="L490" s="99" t="s">
        <v>1899</v>
      </c>
      <c r="M490" s="99" t="s">
        <v>5</v>
      </c>
      <c r="N490" s="99" t="s">
        <v>3454</v>
      </c>
      <c r="O490" s="99" t="s">
        <v>70</v>
      </c>
      <c r="P490" s="99" t="s">
        <v>3455</v>
      </c>
      <c r="Q490" s="99" t="s">
        <v>247</v>
      </c>
      <c r="R490" s="99" t="s">
        <v>71</v>
      </c>
      <c r="S490" s="99" t="s">
        <v>2691</v>
      </c>
      <c r="T490" s="99" t="s">
        <v>49</v>
      </c>
      <c r="U490" s="99" t="s">
        <v>1551</v>
      </c>
      <c r="V490" s="99" t="s">
        <v>51</v>
      </c>
      <c r="W490" s="99" t="s">
        <v>4539</v>
      </c>
      <c r="X490" s="99" t="s">
        <v>3664</v>
      </c>
      <c r="Y490" s="99" t="s">
        <v>4540</v>
      </c>
      <c r="Z490" s="99" t="s">
        <v>172</v>
      </c>
      <c r="AA490" s="99" t="s">
        <v>173</v>
      </c>
      <c r="AB490" s="99" t="s">
        <v>174</v>
      </c>
      <c r="AC490" s="99" t="s">
        <v>3411</v>
      </c>
      <c r="AD490" s="99" t="s">
        <v>175</v>
      </c>
      <c r="AE490" s="99" t="s">
        <v>3411</v>
      </c>
      <c r="AF490" s="99" t="s">
        <v>3411</v>
      </c>
      <c r="AG490" s="124">
        <v>140</v>
      </c>
      <c r="AH490" s="99" t="s">
        <v>3413</v>
      </c>
      <c r="AI490" s="125">
        <v>100</v>
      </c>
      <c r="AJ490" s="99" t="s">
        <v>176</v>
      </c>
      <c r="AK490" s="99" t="s">
        <v>4539</v>
      </c>
      <c r="AL490" s="99" t="s">
        <v>3411</v>
      </c>
      <c r="AM490" s="99" t="s">
        <v>177</v>
      </c>
      <c r="AN490" s="99" t="s">
        <v>3411</v>
      </c>
      <c r="AO490" s="99" t="s">
        <v>1482</v>
      </c>
      <c r="AP490" s="99" t="s">
        <v>2603</v>
      </c>
      <c r="AQ490" s="99" t="s">
        <v>98</v>
      </c>
      <c r="AR490" s="99" t="s">
        <v>1010</v>
      </c>
      <c r="AS490" s="99" t="s">
        <v>1900</v>
      </c>
      <c r="AT490" s="99" t="s">
        <v>190</v>
      </c>
      <c r="AU490" s="99" t="s">
        <v>191</v>
      </c>
      <c r="AV490" s="99" t="s">
        <v>3928</v>
      </c>
      <c r="AW490" s="99" t="s">
        <v>519</v>
      </c>
      <c r="AX490" s="99" t="s">
        <v>3411</v>
      </c>
      <c r="AY490" s="99" t="s">
        <v>3411</v>
      </c>
      <c r="AZ490" s="99" t="s">
        <v>3411</v>
      </c>
      <c r="BA490" s="99" t="s">
        <v>4325</v>
      </c>
      <c r="BB490" s="99" t="s">
        <v>3249</v>
      </c>
      <c r="BC490" s="125">
        <v>64</v>
      </c>
      <c r="BD490" s="99" t="s">
        <v>3135</v>
      </c>
      <c r="BE490" s="99" t="s">
        <v>3136</v>
      </c>
    </row>
    <row r="491" spans="1:57" ht="12.95" customHeight="1">
      <c r="A491" s="124">
        <v>15</v>
      </c>
      <c r="B491" s="124">
        <v>1341</v>
      </c>
      <c r="C491" s="99" t="s">
        <v>165</v>
      </c>
      <c r="D491" s="99" t="s">
        <v>1477</v>
      </c>
      <c r="E491" s="99" t="s">
        <v>1478</v>
      </c>
      <c r="F491" s="99" t="s">
        <v>74</v>
      </c>
      <c r="G491" s="99" t="s">
        <v>75</v>
      </c>
      <c r="H491" s="99" t="s">
        <v>4516</v>
      </c>
      <c r="I491" s="99" t="s">
        <v>1863</v>
      </c>
      <c r="J491" s="99" t="s">
        <v>1901</v>
      </c>
      <c r="K491" s="99" t="s">
        <v>275</v>
      </c>
      <c r="L491" s="99" t="s">
        <v>1902</v>
      </c>
      <c r="M491" s="99" t="s">
        <v>5</v>
      </c>
      <c r="N491" s="99" t="s">
        <v>3454</v>
      </c>
      <c r="O491" s="99" t="s">
        <v>70</v>
      </c>
      <c r="P491" s="99" t="s">
        <v>3455</v>
      </c>
      <c r="Q491" s="99" t="s">
        <v>247</v>
      </c>
      <c r="R491" s="99" t="s">
        <v>71</v>
      </c>
      <c r="S491" s="99" t="s">
        <v>2691</v>
      </c>
      <c r="T491" s="99" t="s">
        <v>49</v>
      </c>
      <c r="U491" s="99" t="s">
        <v>1551</v>
      </c>
      <c r="V491" s="99" t="s">
        <v>51</v>
      </c>
      <c r="W491" s="99" t="s">
        <v>4541</v>
      </c>
      <c r="X491" s="99" t="s">
        <v>4541</v>
      </c>
      <c r="Y491" s="99" t="s">
        <v>3561</v>
      </c>
      <c r="Z491" s="99" t="s">
        <v>172</v>
      </c>
      <c r="AA491" s="99" t="s">
        <v>173</v>
      </c>
      <c r="AB491" s="99" t="s">
        <v>174</v>
      </c>
      <c r="AC491" s="99" t="s">
        <v>3411</v>
      </c>
      <c r="AD491" s="99" t="s">
        <v>175</v>
      </c>
      <c r="AE491" s="99" t="s">
        <v>3411</v>
      </c>
      <c r="AF491" s="99" t="s">
        <v>3411</v>
      </c>
      <c r="AG491" s="124">
        <v>276</v>
      </c>
      <c r="AH491" s="99" t="s">
        <v>3413</v>
      </c>
      <c r="AI491" s="125">
        <v>100</v>
      </c>
      <c r="AJ491" s="99" t="s">
        <v>176</v>
      </c>
      <c r="AK491" s="99" t="s">
        <v>4541</v>
      </c>
      <c r="AL491" s="99" t="s">
        <v>3411</v>
      </c>
      <c r="AM491" s="99" t="s">
        <v>177</v>
      </c>
      <c r="AN491" s="99" t="s">
        <v>3411</v>
      </c>
      <c r="AO491" s="99" t="s">
        <v>1482</v>
      </c>
      <c r="AP491" s="99" t="s">
        <v>2603</v>
      </c>
      <c r="AQ491" s="99" t="s">
        <v>98</v>
      </c>
      <c r="AR491" s="99" t="s">
        <v>3411</v>
      </c>
      <c r="AS491" s="99" t="s">
        <v>1903</v>
      </c>
      <c r="AT491" s="99" t="s">
        <v>190</v>
      </c>
      <c r="AU491" s="99" t="s">
        <v>191</v>
      </c>
      <c r="AV491" s="99" t="s">
        <v>3928</v>
      </c>
      <c r="AW491" s="99" t="s">
        <v>519</v>
      </c>
      <c r="AX491" s="99" t="s">
        <v>3411</v>
      </c>
      <c r="AY491" s="99" t="s">
        <v>3411</v>
      </c>
      <c r="AZ491" s="99" t="s">
        <v>3411</v>
      </c>
      <c r="BA491" s="99" t="s">
        <v>4325</v>
      </c>
      <c r="BB491" s="99" t="s">
        <v>3249</v>
      </c>
      <c r="BC491" s="125">
        <v>62</v>
      </c>
      <c r="BD491" s="99" t="s">
        <v>3135</v>
      </c>
      <c r="BE491" s="99" t="s">
        <v>3136</v>
      </c>
    </row>
    <row r="492" spans="1:57" ht="12.95" customHeight="1">
      <c r="A492" s="124">
        <v>15</v>
      </c>
      <c r="B492" s="124">
        <v>3167</v>
      </c>
      <c r="C492" s="99" t="s">
        <v>165</v>
      </c>
      <c r="D492" s="99" t="s">
        <v>1477</v>
      </c>
      <c r="E492" s="99" t="s">
        <v>1478</v>
      </c>
      <c r="F492" s="99" t="s">
        <v>74</v>
      </c>
      <c r="G492" s="99" t="s">
        <v>75</v>
      </c>
      <c r="H492" s="99" t="s">
        <v>4516</v>
      </c>
      <c r="I492" s="99" t="s">
        <v>1863</v>
      </c>
      <c r="J492" s="99" t="s">
        <v>5048</v>
      </c>
      <c r="K492" s="99" t="s">
        <v>291</v>
      </c>
      <c r="L492" s="99" t="s">
        <v>5049</v>
      </c>
      <c r="M492" s="99" t="s">
        <v>5</v>
      </c>
      <c r="N492" s="99" t="s">
        <v>3454</v>
      </c>
      <c r="O492" s="99" t="s">
        <v>70</v>
      </c>
      <c r="P492" s="99" t="s">
        <v>5042</v>
      </c>
      <c r="Q492" s="99" t="s">
        <v>247</v>
      </c>
      <c r="R492" s="99" t="s">
        <v>71</v>
      </c>
      <c r="S492" s="99" t="s">
        <v>2691</v>
      </c>
      <c r="T492" s="99" t="s">
        <v>5050</v>
      </c>
      <c r="U492" s="99" t="s">
        <v>5051</v>
      </c>
      <c r="V492" s="99" t="s">
        <v>5052</v>
      </c>
      <c r="W492" s="99" t="s">
        <v>5042</v>
      </c>
      <c r="X492" s="99" t="s">
        <v>5042</v>
      </c>
      <c r="Y492" s="99" t="s">
        <v>5053</v>
      </c>
      <c r="Z492" s="99" t="s">
        <v>172</v>
      </c>
      <c r="AA492" s="99" t="s">
        <v>173</v>
      </c>
      <c r="AB492" s="99" t="s">
        <v>174</v>
      </c>
      <c r="AC492" s="99" t="s">
        <v>3411</v>
      </c>
      <c r="AD492" s="99" t="s">
        <v>175</v>
      </c>
      <c r="AE492" s="99" t="s">
        <v>3411</v>
      </c>
      <c r="AF492" s="99" t="s">
        <v>3411</v>
      </c>
      <c r="AG492" s="124">
        <v>3167</v>
      </c>
      <c r="AH492" s="99" t="s">
        <v>3413</v>
      </c>
      <c r="AI492" s="125">
        <v>100</v>
      </c>
      <c r="AJ492" s="99" t="s">
        <v>176</v>
      </c>
      <c r="AK492" s="99" t="s">
        <v>5042</v>
      </c>
      <c r="AL492" s="99" t="s">
        <v>3411</v>
      </c>
      <c r="AM492" s="99" t="s">
        <v>177</v>
      </c>
      <c r="AN492" s="99" t="s">
        <v>3411</v>
      </c>
      <c r="AO492" s="99" t="s">
        <v>1481</v>
      </c>
      <c r="AP492" s="99" t="s">
        <v>2603</v>
      </c>
      <c r="AQ492" s="99" t="s">
        <v>98</v>
      </c>
      <c r="AR492" s="99" t="s">
        <v>3411</v>
      </c>
      <c r="AS492" s="99" t="s">
        <v>5054</v>
      </c>
      <c r="AT492" s="99" t="s">
        <v>190</v>
      </c>
      <c r="AU492" s="99" t="s">
        <v>191</v>
      </c>
      <c r="AV492" s="99" t="s">
        <v>3570</v>
      </c>
      <c r="AW492" s="99" t="s">
        <v>406</v>
      </c>
      <c r="AX492" s="99" t="s">
        <v>3411</v>
      </c>
      <c r="AY492" s="99" t="s">
        <v>3411</v>
      </c>
      <c r="AZ492" s="99" t="s">
        <v>3411</v>
      </c>
      <c r="BA492" s="99" t="s">
        <v>5055</v>
      </c>
      <c r="BB492" s="99" t="s">
        <v>5056</v>
      </c>
      <c r="BC492" s="125">
        <v>23</v>
      </c>
      <c r="BD492" s="99" t="s">
        <v>3135</v>
      </c>
      <c r="BE492" s="99" t="s">
        <v>3136</v>
      </c>
    </row>
    <row r="493" spans="1:57" ht="12.95" customHeight="1">
      <c r="A493" s="124">
        <v>15</v>
      </c>
      <c r="B493" s="124">
        <v>842</v>
      </c>
      <c r="C493" s="99" t="s">
        <v>165</v>
      </c>
      <c r="D493" s="99" t="s">
        <v>1477</v>
      </c>
      <c r="E493" s="99" t="s">
        <v>1478</v>
      </c>
      <c r="F493" s="99" t="s">
        <v>74</v>
      </c>
      <c r="G493" s="99" t="s">
        <v>75</v>
      </c>
      <c r="H493" s="99" t="s">
        <v>4516</v>
      </c>
      <c r="I493" s="99" t="s">
        <v>1863</v>
      </c>
      <c r="J493" s="99" t="s">
        <v>1904</v>
      </c>
      <c r="K493" s="99" t="s">
        <v>681</v>
      </c>
      <c r="L493" s="99" t="s">
        <v>1905</v>
      </c>
      <c r="M493" s="99" t="s">
        <v>1</v>
      </c>
      <c r="N493" s="99" t="s">
        <v>3454</v>
      </c>
      <c r="O493" s="99" t="s">
        <v>70</v>
      </c>
      <c r="P493" s="99" t="s">
        <v>3455</v>
      </c>
      <c r="Q493" s="99" t="s">
        <v>247</v>
      </c>
      <c r="R493" s="99" t="s">
        <v>71</v>
      </c>
      <c r="S493" s="99" t="s">
        <v>2691</v>
      </c>
      <c r="T493" s="99" t="s">
        <v>49</v>
      </c>
      <c r="U493" s="99" t="s">
        <v>1008</v>
      </c>
      <c r="V493" s="99" t="s">
        <v>53</v>
      </c>
      <c r="W493" s="99" t="s">
        <v>4542</v>
      </c>
      <c r="X493" s="99" t="s">
        <v>4542</v>
      </c>
      <c r="Y493" s="99" t="s">
        <v>4543</v>
      </c>
      <c r="Z493" s="99" t="s">
        <v>172</v>
      </c>
      <c r="AA493" s="99" t="s">
        <v>173</v>
      </c>
      <c r="AB493" s="99" t="s">
        <v>174</v>
      </c>
      <c r="AC493" s="99" t="s">
        <v>3411</v>
      </c>
      <c r="AD493" s="99" t="s">
        <v>175</v>
      </c>
      <c r="AE493" s="99" t="s">
        <v>3411</v>
      </c>
      <c r="AF493" s="99" t="s">
        <v>3411</v>
      </c>
      <c r="AG493" s="124">
        <v>203</v>
      </c>
      <c r="AH493" s="99" t="s">
        <v>3413</v>
      </c>
      <c r="AI493" s="125">
        <v>100</v>
      </c>
      <c r="AJ493" s="99" t="s">
        <v>176</v>
      </c>
      <c r="AK493" s="99" t="s">
        <v>4542</v>
      </c>
      <c r="AL493" s="99" t="s">
        <v>3411</v>
      </c>
      <c r="AM493" s="99" t="s">
        <v>177</v>
      </c>
      <c r="AN493" s="99" t="s">
        <v>3411</v>
      </c>
      <c r="AO493" s="99" t="s">
        <v>1482</v>
      </c>
      <c r="AP493" s="99" t="s">
        <v>2603</v>
      </c>
      <c r="AQ493" s="99" t="s">
        <v>98</v>
      </c>
      <c r="AR493" s="99" t="s">
        <v>1010</v>
      </c>
      <c r="AS493" s="99" t="s">
        <v>1906</v>
      </c>
      <c r="AT493" s="99" t="s">
        <v>190</v>
      </c>
      <c r="AU493" s="99" t="s">
        <v>191</v>
      </c>
      <c r="AV493" s="99" t="s">
        <v>3928</v>
      </c>
      <c r="AW493" s="99" t="s">
        <v>519</v>
      </c>
      <c r="AX493" s="99" t="s">
        <v>3411</v>
      </c>
      <c r="AY493" s="99" t="s">
        <v>3411</v>
      </c>
      <c r="AZ493" s="99" t="s">
        <v>3411</v>
      </c>
      <c r="BA493" s="99" t="s">
        <v>4325</v>
      </c>
      <c r="BB493" s="99" t="s">
        <v>3249</v>
      </c>
      <c r="BC493" s="125">
        <v>60</v>
      </c>
      <c r="BD493" s="99" t="s">
        <v>3135</v>
      </c>
      <c r="BE493" s="99" t="s">
        <v>3136</v>
      </c>
    </row>
    <row r="494" spans="1:57" ht="12.95" customHeight="1">
      <c r="A494" s="124">
        <v>15</v>
      </c>
      <c r="B494" s="124">
        <v>2377</v>
      </c>
      <c r="C494" s="99" t="s">
        <v>165</v>
      </c>
      <c r="D494" s="99" t="s">
        <v>1477</v>
      </c>
      <c r="E494" s="99" t="s">
        <v>1478</v>
      </c>
      <c r="F494" s="99" t="s">
        <v>74</v>
      </c>
      <c r="G494" s="99" t="s">
        <v>75</v>
      </c>
      <c r="H494" s="99" t="s">
        <v>4516</v>
      </c>
      <c r="I494" s="99" t="s">
        <v>1863</v>
      </c>
      <c r="J494" s="99" t="s">
        <v>1907</v>
      </c>
      <c r="K494" s="99" t="s">
        <v>872</v>
      </c>
      <c r="L494" s="99" t="s">
        <v>1908</v>
      </c>
      <c r="M494" s="99" t="s">
        <v>5</v>
      </c>
      <c r="N494" s="99" t="s">
        <v>3454</v>
      </c>
      <c r="O494" s="99" t="s">
        <v>70</v>
      </c>
      <c r="P494" s="99" t="s">
        <v>4544</v>
      </c>
      <c r="Q494" s="99" t="s">
        <v>247</v>
      </c>
      <c r="R494" s="99" t="s">
        <v>71</v>
      </c>
      <c r="S494" s="99" t="s">
        <v>2691</v>
      </c>
      <c r="T494" s="99" t="s">
        <v>49</v>
      </c>
      <c r="U494" s="99" t="s">
        <v>1511</v>
      </c>
      <c r="V494" s="99" t="s">
        <v>54</v>
      </c>
      <c r="W494" s="99" t="s">
        <v>4545</v>
      </c>
      <c r="X494" s="99" t="s">
        <v>4545</v>
      </c>
      <c r="Y494" s="99" t="s">
        <v>4546</v>
      </c>
      <c r="Z494" s="99" t="s">
        <v>172</v>
      </c>
      <c r="AA494" s="99" t="s">
        <v>173</v>
      </c>
      <c r="AB494" s="99" t="s">
        <v>174</v>
      </c>
      <c r="AC494" s="99" t="s">
        <v>3411</v>
      </c>
      <c r="AD494" s="99" t="s">
        <v>175</v>
      </c>
      <c r="AE494" s="99" t="s">
        <v>3411</v>
      </c>
      <c r="AF494" s="99" t="s">
        <v>3411</v>
      </c>
      <c r="AG494" s="124">
        <v>585</v>
      </c>
      <c r="AH494" s="99" t="s">
        <v>3413</v>
      </c>
      <c r="AI494" s="125">
        <v>100</v>
      </c>
      <c r="AJ494" s="99" t="s">
        <v>176</v>
      </c>
      <c r="AK494" s="99" t="s">
        <v>4545</v>
      </c>
      <c r="AL494" s="99" t="s">
        <v>3411</v>
      </c>
      <c r="AM494" s="99" t="s">
        <v>177</v>
      </c>
      <c r="AN494" s="99" t="s">
        <v>3411</v>
      </c>
      <c r="AO494" s="99" t="s">
        <v>1482</v>
      </c>
      <c r="AP494" s="99" t="s">
        <v>2603</v>
      </c>
      <c r="AQ494" s="99" t="s">
        <v>98</v>
      </c>
      <c r="AR494" s="99" t="s">
        <v>3411</v>
      </c>
      <c r="AS494" s="99" t="s">
        <v>1909</v>
      </c>
      <c r="AT494" s="99" t="s">
        <v>190</v>
      </c>
      <c r="AU494" s="99" t="s">
        <v>191</v>
      </c>
      <c r="AV494" s="99" t="s">
        <v>3581</v>
      </c>
      <c r="AW494" s="99" t="s">
        <v>529</v>
      </c>
      <c r="AX494" s="99" t="s">
        <v>3420</v>
      </c>
      <c r="AY494" s="99" t="s">
        <v>252</v>
      </c>
      <c r="AZ494" s="99" t="s">
        <v>3416</v>
      </c>
      <c r="BA494" s="99" t="s">
        <v>4347</v>
      </c>
      <c r="BB494" s="99" t="s">
        <v>3369</v>
      </c>
      <c r="BC494" s="125">
        <v>48</v>
      </c>
      <c r="BD494" s="99" t="s">
        <v>3135</v>
      </c>
      <c r="BE494" s="99" t="s">
        <v>3136</v>
      </c>
    </row>
    <row r="495" spans="1:57" ht="12.95" customHeight="1">
      <c r="A495" s="124">
        <v>15</v>
      </c>
      <c r="B495" s="124">
        <v>1459</v>
      </c>
      <c r="C495" s="99" t="s">
        <v>165</v>
      </c>
      <c r="D495" s="99" t="s">
        <v>1477</v>
      </c>
      <c r="E495" s="99" t="s">
        <v>1478</v>
      </c>
      <c r="F495" s="99" t="s">
        <v>74</v>
      </c>
      <c r="G495" s="99" t="s">
        <v>75</v>
      </c>
      <c r="H495" s="99" t="s">
        <v>4516</v>
      </c>
      <c r="I495" s="99" t="s">
        <v>1863</v>
      </c>
      <c r="J495" s="99" t="s">
        <v>1910</v>
      </c>
      <c r="K495" s="99" t="s">
        <v>1911</v>
      </c>
      <c r="L495" s="99" t="s">
        <v>1912</v>
      </c>
      <c r="M495" s="99" t="s">
        <v>1</v>
      </c>
      <c r="N495" s="99" t="s">
        <v>3454</v>
      </c>
      <c r="O495" s="99" t="s">
        <v>70</v>
      </c>
      <c r="P495" s="99" t="s">
        <v>3455</v>
      </c>
      <c r="Q495" s="99" t="s">
        <v>247</v>
      </c>
      <c r="R495" s="99" t="s">
        <v>71</v>
      </c>
      <c r="S495" s="99" t="s">
        <v>2691</v>
      </c>
      <c r="T495" s="99" t="s">
        <v>49</v>
      </c>
      <c r="U495" s="99" t="s">
        <v>1008</v>
      </c>
      <c r="V495" s="99" t="s">
        <v>53</v>
      </c>
      <c r="W495" s="99" t="s">
        <v>4547</v>
      </c>
      <c r="X495" s="99" t="s">
        <v>4547</v>
      </c>
      <c r="Y495" s="99" t="s">
        <v>4548</v>
      </c>
      <c r="Z495" s="99" t="s">
        <v>172</v>
      </c>
      <c r="AA495" s="99" t="s">
        <v>173</v>
      </c>
      <c r="AB495" s="99" t="s">
        <v>174</v>
      </c>
      <c r="AC495" s="99" t="s">
        <v>3411</v>
      </c>
      <c r="AD495" s="99" t="s">
        <v>175</v>
      </c>
      <c r="AE495" s="99" t="s">
        <v>3411</v>
      </c>
      <c r="AF495" s="99" t="s">
        <v>3411</v>
      </c>
      <c r="AG495" s="124">
        <v>300</v>
      </c>
      <c r="AH495" s="99" t="s">
        <v>3413</v>
      </c>
      <c r="AI495" s="125">
        <v>100</v>
      </c>
      <c r="AJ495" s="99" t="s">
        <v>176</v>
      </c>
      <c r="AK495" s="99" t="s">
        <v>4547</v>
      </c>
      <c r="AL495" s="99" t="s">
        <v>3411</v>
      </c>
      <c r="AM495" s="99" t="s">
        <v>177</v>
      </c>
      <c r="AN495" s="99" t="s">
        <v>3411</v>
      </c>
      <c r="AO495" s="99" t="s">
        <v>1482</v>
      </c>
      <c r="AP495" s="99" t="s">
        <v>2603</v>
      </c>
      <c r="AQ495" s="99" t="s">
        <v>98</v>
      </c>
      <c r="AR495" s="99" t="s">
        <v>3411</v>
      </c>
      <c r="AS495" s="99" t="s">
        <v>1913</v>
      </c>
      <c r="AT495" s="99" t="s">
        <v>190</v>
      </c>
      <c r="AU495" s="99" t="s">
        <v>191</v>
      </c>
      <c r="AV495" s="99" t="s">
        <v>3928</v>
      </c>
      <c r="AW495" s="99" t="s">
        <v>519</v>
      </c>
      <c r="AX495" s="99" t="s">
        <v>3411</v>
      </c>
      <c r="AY495" s="99" t="s">
        <v>3411</v>
      </c>
      <c r="AZ495" s="99" t="s">
        <v>3411</v>
      </c>
      <c r="BA495" s="99" t="s">
        <v>4325</v>
      </c>
      <c r="BB495" s="99" t="s">
        <v>3249</v>
      </c>
      <c r="BC495" s="125">
        <v>56</v>
      </c>
      <c r="BD495" s="99" t="s">
        <v>3135</v>
      </c>
      <c r="BE495" s="99" t="s">
        <v>3136</v>
      </c>
    </row>
    <row r="496" spans="1:57" ht="12.95" customHeight="1">
      <c r="A496" s="124">
        <v>15</v>
      </c>
      <c r="B496" s="124">
        <v>1942</v>
      </c>
      <c r="C496" s="99" t="s">
        <v>165</v>
      </c>
      <c r="D496" s="99" t="s">
        <v>1477</v>
      </c>
      <c r="E496" s="99" t="s">
        <v>1478</v>
      </c>
      <c r="F496" s="99" t="s">
        <v>74</v>
      </c>
      <c r="G496" s="99" t="s">
        <v>75</v>
      </c>
      <c r="H496" s="99" t="s">
        <v>4516</v>
      </c>
      <c r="I496" s="99" t="s">
        <v>1863</v>
      </c>
      <c r="J496" s="99" t="s">
        <v>1915</v>
      </c>
      <c r="K496" s="99" t="s">
        <v>414</v>
      </c>
      <c r="L496" s="99" t="s">
        <v>1916</v>
      </c>
      <c r="M496" s="99" t="s">
        <v>1</v>
      </c>
      <c r="N496" s="99" t="s">
        <v>3454</v>
      </c>
      <c r="O496" s="99" t="s">
        <v>70</v>
      </c>
      <c r="P496" s="99" t="s">
        <v>3904</v>
      </c>
      <c r="Q496" s="99" t="s">
        <v>247</v>
      </c>
      <c r="R496" s="99" t="s">
        <v>71</v>
      </c>
      <c r="S496" s="99" t="s">
        <v>2691</v>
      </c>
      <c r="T496" s="99" t="s">
        <v>49</v>
      </c>
      <c r="U496" s="99" t="s">
        <v>1511</v>
      </c>
      <c r="V496" s="99" t="s">
        <v>54</v>
      </c>
      <c r="W496" s="99" t="s">
        <v>4549</v>
      </c>
      <c r="X496" s="99" t="s">
        <v>4549</v>
      </c>
      <c r="Y496" s="99" t="s">
        <v>4550</v>
      </c>
      <c r="Z496" s="99" t="s">
        <v>172</v>
      </c>
      <c r="AA496" s="99" t="s">
        <v>173</v>
      </c>
      <c r="AB496" s="99" t="s">
        <v>174</v>
      </c>
      <c r="AC496" s="99" t="s">
        <v>3411</v>
      </c>
      <c r="AD496" s="99" t="s">
        <v>175</v>
      </c>
      <c r="AE496" s="99" t="s">
        <v>3411</v>
      </c>
      <c r="AF496" s="99" t="s">
        <v>3411</v>
      </c>
      <c r="AG496" s="124">
        <v>389</v>
      </c>
      <c r="AH496" s="99" t="s">
        <v>3413</v>
      </c>
      <c r="AI496" s="125">
        <v>100</v>
      </c>
      <c r="AJ496" s="99" t="s">
        <v>176</v>
      </c>
      <c r="AK496" s="99" t="s">
        <v>4549</v>
      </c>
      <c r="AL496" s="99" t="s">
        <v>3411</v>
      </c>
      <c r="AM496" s="99" t="s">
        <v>177</v>
      </c>
      <c r="AN496" s="99" t="s">
        <v>3411</v>
      </c>
      <c r="AO496" s="99" t="s">
        <v>1482</v>
      </c>
      <c r="AP496" s="99" t="s">
        <v>2603</v>
      </c>
      <c r="AQ496" s="99" t="s">
        <v>98</v>
      </c>
      <c r="AR496" s="99" t="s">
        <v>1010</v>
      </c>
      <c r="AS496" s="99" t="s">
        <v>1917</v>
      </c>
      <c r="AT496" s="99" t="s">
        <v>190</v>
      </c>
      <c r="AU496" s="99" t="s">
        <v>191</v>
      </c>
      <c r="AV496" s="99" t="s">
        <v>3581</v>
      </c>
      <c r="AW496" s="99" t="s">
        <v>529</v>
      </c>
      <c r="AX496" s="99" t="s">
        <v>3411</v>
      </c>
      <c r="AY496" s="99" t="s">
        <v>3411</v>
      </c>
      <c r="AZ496" s="99" t="s">
        <v>3411</v>
      </c>
      <c r="BA496" s="99" t="s">
        <v>4325</v>
      </c>
      <c r="BB496" s="99" t="s">
        <v>3249</v>
      </c>
      <c r="BC496" s="125">
        <v>48</v>
      </c>
      <c r="BD496" s="99" t="s">
        <v>3135</v>
      </c>
      <c r="BE496" s="99" t="s">
        <v>3136</v>
      </c>
    </row>
    <row r="497" spans="1:57" ht="12.95" customHeight="1">
      <c r="A497" s="124">
        <v>15</v>
      </c>
      <c r="B497" s="124">
        <v>928</v>
      </c>
      <c r="C497" s="99" t="s">
        <v>165</v>
      </c>
      <c r="D497" s="99" t="s">
        <v>1477</v>
      </c>
      <c r="E497" s="99" t="s">
        <v>1478</v>
      </c>
      <c r="F497" s="99" t="s">
        <v>74</v>
      </c>
      <c r="G497" s="99" t="s">
        <v>75</v>
      </c>
      <c r="H497" s="99" t="s">
        <v>4516</v>
      </c>
      <c r="I497" s="99" t="s">
        <v>1863</v>
      </c>
      <c r="J497" s="99" t="s">
        <v>1918</v>
      </c>
      <c r="K497" s="99" t="s">
        <v>257</v>
      </c>
      <c r="L497" s="99" t="s">
        <v>1919</v>
      </c>
      <c r="M497" s="99" t="s">
        <v>5</v>
      </c>
      <c r="N497" s="99" t="s">
        <v>3454</v>
      </c>
      <c r="O497" s="99" t="s">
        <v>70</v>
      </c>
      <c r="P497" s="99" t="s">
        <v>3455</v>
      </c>
      <c r="Q497" s="99" t="s">
        <v>247</v>
      </c>
      <c r="R497" s="99" t="s">
        <v>71</v>
      </c>
      <c r="S497" s="99" t="s">
        <v>2691</v>
      </c>
      <c r="T497" s="99" t="s">
        <v>49</v>
      </c>
      <c r="U497" s="99" t="s">
        <v>1620</v>
      </c>
      <c r="V497" s="99" t="s">
        <v>59</v>
      </c>
      <c r="W497" s="99" t="s">
        <v>4323</v>
      </c>
      <c r="X497" s="99" t="s">
        <v>4323</v>
      </c>
      <c r="Y497" s="99" t="s">
        <v>4551</v>
      </c>
      <c r="Z497" s="99" t="s">
        <v>172</v>
      </c>
      <c r="AA497" s="99" t="s">
        <v>173</v>
      </c>
      <c r="AB497" s="99" t="s">
        <v>174</v>
      </c>
      <c r="AC497" s="99" t="s">
        <v>3411</v>
      </c>
      <c r="AD497" s="99" t="s">
        <v>175</v>
      </c>
      <c r="AE497" s="99" t="s">
        <v>3411</v>
      </c>
      <c r="AF497" s="99" t="s">
        <v>3411</v>
      </c>
      <c r="AG497" s="124">
        <v>217</v>
      </c>
      <c r="AH497" s="99" t="s">
        <v>3413</v>
      </c>
      <c r="AI497" s="125">
        <v>100</v>
      </c>
      <c r="AJ497" s="99" t="s">
        <v>176</v>
      </c>
      <c r="AK497" s="99" t="s">
        <v>4323</v>
      </c>
      <c r="AL497" s="99" t="s">
        <v>3411</v>
      </c>
      <c r="AM497" s="99" t="s">
        <v>177</v>
      </c>
      <c r="AN497" s="99" t="s">
        <v>3411</v>
      </c>
      <c r="AO497" s="99" t="s">
        <v>1482</v>
      </c>
      <c r="AP497" s="99" t="s">
        <v>2603</v>
      </c>
      <c r="AQ497" s="99" t="s">
        <v>98</v>
      </c>
      <c r="AR497" s="99" t="s">
        <v>1010</v>
      </c>
      <c r="AS497" s="99" t="s">
        <v>1920</v>
      </c>
      <c r="AT497" s="99" t="s">
        <v>190</v>
      </c>
      <c r="AU497" s="99" t="s">
        <v>191</v>
      </c>
      <c r="AV497" s="99" t="s">
        <v>3928</v>
      </c>
      <c r="AW497" s="99" t="s">
        <v>519</v>
      </c>
      <c r="AX497" s="99" t="s">
        <v>3420</v>
      </c>
      <c r="AY497" s="99" t="s">
        <v>252</v>
      </c>
      <c r="AZ497" s="99" t="s">
        <v>3416</v>
      </c>
      <c r="BA497" s="99" t="s">
        <v>4325</v>
      </c>
      <c r="BB497" s="99" t="s">
        <v>3249</v>
      </c>
      <c r="BC497" s="125">
        <v>58</v>
      </c>
      <c r="BD497" s="99" t="s">
        <v>3135</v>
      </c>
      <c r="BE497" s="99" t="s">
        <v>3136</v>
      </c>
    </row>
    <row r="498" spans="1:57" ht="12.95" customHeight="1">
      <c r="A498" s="124">
        <v>15</v>
      </c>
      <c r="B498" s="124">
        <v>1591</v>
      </c>
      <c r="C498" s="99" t="s">
        <v>165</v>
      </c>
      <c r="D498" s="99" t="s">
        <v>1477</v>
      </c>
      <c r="E498" s="99" t="s">
        <v>1478</v>
      </c>
      <c r="F498" s="99" t="s">
        <v>74</v>
      </c>
      <c r="G498" s="99" t="s">
        <v>75</v>
      </c>
      <c r="H498" s="99" t="s">
        <v>4516</v>
      </c>
      <c r="I498" s="99" t="s">
        <v>1863</v>
      </c>
      <c r="J498" s="99" t="s">
        <v>1921</v>
      </c>
      <c r="K498" s="99" t="s">
        <v>267</v>
      </c>
      <c r="L498" s="99" t="s">
        <v>1922</v>
      </c>
      <c r="M498" s="99" t="s">
        <v>1</v>
      </c>
      <c r="N498" s="99" t="s">
        <v>3454</v>
      </c>
      <c r="O498" s="99" t="s">
        <v>70</v>
      </c>
      <c r="P498" s="99" t="s">
        <v>3455</v>
      </c>
      <c r="Q498" s="99" t="s">
        <v>247</v>
      </c>
      <c r="R498" s="99" t="s">
        <v>71</v>
      </c>
      <c r="S498" s="99" t="s">
        <v>2691</v>
      </c>
      <c r="T498" s="99" t="s">
        <v>49</v>
      </c>
      <c r="U498" s="99" t="s">
        <v>1008</v>
      </c>
      <c r="V498" s="99" t="s">
        <v>53</v>
      </c>
      <c r="W498" s="99" t="s">
        <v>4001</v>
      </c>
      <c r="X498" s="99" t="s">
        <v>4001</v>
      </c>
      <c r="Y498" s="99" t="s">
        <v>4552</v>
      </c>
      <c r="Z498" s="99" t="s">
        <v>172</v>
      </c>
      <c r="AA498" s="99" t="s">
        <v>173</v>
      </c>
      <c r="AB498" s="99" t="s">
        <v>174</v>
      </c>
      <c r="AC498" s="99" t="s">
        <v>3411</v>
      </c>
      <c r="AD498" s="99" t="s">
        <v>175</v>
      </c>
      <c r="AE498" s="99" t="s">
        <v>3411</v>
      </c>
      <c r="AF498" s="99" t="s">
        <v>3411</v>
      </c>
      <c r="AG498" s="124">
        <v>316</v>
      </c>
      <c r="AH498" s="99" t="s">
        <v>3413</v>
      </c>
      <c r="AI498" s="125">
        <v>100</v>
      </c>
      <c r="AJ498" s="99" t="s">
        <v>176</v>
      </c>
      <c r="AK498" s="99" t="s">
        <v>4001</v>
      </c>
      <c r="AL498" s="99" t="s">
        <v>3411</v>
      </c>
      <c r="AM498" s="99" t="s">
        <v>177</v>
      </c>
      <c r="AN498" s="99" t="s">
        <v>3411</v>
      </c>
      <c r="AO498" s="99" t="s">
        <v>1482</v>
      </c>
      <c r="AP498" s="99" t="s">
        <v>2603</v>
      </c>
      <c r="AQ498" s="99" t="s">
        <v>98</v>
      </c>
      <c r="AR498" s="99" t="s">
        <v>2719</v>
      </c>
      <c r="AS498" s="99" t="s">
        <v>1923</v>
      </c>
      <c r="AT498" s="99" t="s">
        <v>190</v>
      </c>
      <c r="AU498" s="99" t="s">
        <v>191</v>
      </c>
      <c r="AV498" s="99" t="s">
        <v>3928</v>
      </c>
      <c r="AW498" s="99" t="s">
        <v>519</v>
      </c>
      <c r="AX498" s="99" t="s">
        <v>3420</v>
      </c>
      <c r="AY498" s="99" t="s">
        <v>252</v>
      </c>
      <c r="AZ498" s="99" t="s">
        <v>3416</v>
      </c>
      <c r="BA498" s="99" t="s">
        <v>4325</v>
      </c>
      <c r="BB498" s="99" t="s">
        <v>3249</v>
      </c>
      <c r="BC498" s="125">
        <v>57</v>
      </c>
      <c r="BD498" s="99" t="s">
        <v>3135</v>
      </c>
      <c r="BE498" s="99" t="s">
        <v>3136</v>
      </c>
    </row>
    <row r="499" spans="1:57" ht="12.95" customHeight="1">
      <c r="A499" s="124">
        <v>15</v>
      </c>
      <c r="B499" s="124">
        <v>1936</v>
      </c>
      <c r="C499" s="99" t="s">
        <v>165</v>
      </c>
      <c r="D499" s="99" t="s">
        <v>1477</v>
      </c>
      <c r="E499" s="99" t="s">
        <v>1478</v>
      </c>
      <c r="F499" s="99" t="s">
        <v>74</v>
      </c>
      <c r="G499" s="99" t="s">
        <v>75</v>
      </c>
      <c r="H499" s="99" t="s">
        <v>4516</v>
      </c>
      <c r="I499" s="99" t="s">
        <v>1863</v>
      </c>
      <c r="J499" s="99" t="s">
        <v>1924</v>
      </c>
      <c r="K499" s="99" t="s">
        <v>1925</v>
      </c>
      <c r="L499" s="99" t="s">
        <v>1926</v>
      </c>
      <c r="M499" s="99" t="s">
        <v>1</v>
      </c>
      <c r="N499" s="99" t="s">
        <v>3454</v>
      </c>
      <c r="O499" s="99" t="s">
        <v>70</v>
      </c>
      <c r="P499" s="99" t="s">
        <v>3455</v>
      </c>
      <c r="Q499" s="99" t="s">
        <v>247</v>
      </c>
      <c r="R499" s="99" t="s">
        <v>71</v>
      </c>
      <c r="S499" s="99" t="s">
        <v>2691</v>
      </c>
      <c r="T499" s="99" t="s">
        <v>49</v>
      </c>
      <c r="U499" s="99" t="s">
        <v>1008</v>
      </c>
      <c r="V499" s="99" t="s">
        <v>53</v>
      </c>
      <c r="W499" s="99" t="s">
        <v>4553</v>
      </c>
      <c r="X499" s="99" t="s">
        <v>4553</v>
      </c>
      <c r="Y499" s="99" t="s">
        <v>4554</v>
      </c>
      <c r="Z499" s="99" t="s">
        <v>172</v>
      </c>
      <c r="AA499" s="99" t="s">
        <v>173</v>
      </c>
      <c r="AB499" s="99" t="s">
        <v>174</v>
      </c>
      <c r="AC499" s="99" t="s">
        <v>3411</v>
      </c>
      <c r="AD499" s="99" t="s">
        <v>175</v>
      </c>
      <c r="AE499" s="99" t="s">
        <v>3411</v>
      </c>
      <c r="AF499" s="99" t="s">
        <v>3411</v>
      </c>
      <c r="AG499" s="124">
        <v>384</v>
      </c>
      <c r="AH499" s="99" t="s">
        <v>3413</v>
      </c>
      <c r="AI499" s="125">
        <v>100</v>
      </c>
      <c r="AJ499" s="99" t="s">
        <v>176</v>
      </c>
      <c r="AK499" s="99" t="s">
        <v>4553</v>
      </c>
      <c r="AL499" s="99" t="s">
        <v>3411</v>
      </c>
      <c r="AM499" s="99" t="s">
        <v>177</v>
      </c>
      <c r="AN499" s="99" t="s">
        <v>3411</v>
      </c>
      <c r="AO499" s="99" t="s">
        <v>1482</v>
      </c>
      <c r="AP499" s="99" t="s">
        <v>2603</v>
      </c>
      <c r="AQ499" s="99" t="s">
        <v>98</v>
      </c>
      <c r="AR499" s="99" t="s">
        <v>3411</v>
      </c>
      <c r="AS499" s="99" t="s">
        <v>1927</v>
      </c>
      <c r="AT499" s="99" t="s">
        <v>190</v>
      </c>
      <c r="AU499" s="99" t="s">
        <v>191</v>
      </c>
      <c r="AV499" s="99" t="s">
        <v>3928</v>
      </c>
      <c r="AW499" s="99" t="s">
        <v>519</v>
      </c>
      <c r="AX499" s="99" t="s">
        <v>3420</v>
      </c>
      <c r="AY499" s="99" t="s">
        <v>252</v>
      </c>
      <c r="AZ499" s="99" t="s">
        <v>3416</v>
      </c>
      <c r="BA499" s="99" t="s">
        <v>4325</v>
      </c>
      <c r="BB499" s="99" t="s">
        <v>3249</v>
      </c>
      <c r="BC499" s="125">
        <v>53</v>
      </c>
      <c r="BD499" s="99" t="s">
        <v>3135</v>
      </c>
      <c r="BE499" s="99" t="s">
        <v>3136</v>
      </c>
    </row>
    <row r="500" spans="1:57" ht="12.95" customHeight="1">
      <c r="A500" s="124">
        <v>15</v>
      </c>
      <c r="B500" s="124">
        <v>2066</v>
      </c>
      <c r="C500" s="99" t="s">
        <v>165</v>
      </c>
      <c r="D500" s="99" t="s">
        <v>1477</v>
      </c>
      <c r="E500" s="99" t="s">
        <v>1478</v>
      </c>
      <c r="F500" s="99" t="s">
        <v>74</v>
      </c>
      <c r="G500" s="99" t="s">
        <v>75</v>
      </c>
      <c r="H500" s="99" t="s">
        <v>4516</v>
      </c>
      <c r="I500" s="99" t="s">
        <v>1863</v>
      </c>
      <c r="J500" s="99" t="s">
        <v>1928</v>
      </c>
      <c r="K500" s="99" t="s">
        <v>1020</v>
      </c>
      <c r="L500" s="99" t="s">
        <v>1929</v>
      </c>
      <c r="M500" s="99" t="s">
        <v>5</v>
      </c>
      <c r="N500" s="99" t="s">
        <v>3454</v>
      </c>
      <c r="O500" s="99" t="s">
        <v>70</v>
      </c>
      <c r="P500" s="99" t="s">
        <v>3445</v>
      </c>
      <c r="Q500" s="99" t="s">
        <v>247</v>
      </c>
      <c r="R500" s="99" t="s">
        <v>71</v>
      </c>
      <c r="S500" s="99" t="s">
        <v>2691</v>
      </c>
      <c r="T500" s="99" t="s">
        <v>49</v>
      </c>
      <c r="U500" s="99" t="s">
        <v>1511</v>
      </c>
      <c r="V500" s="99" t="s">
        <v>54</v>
      </c>
      <c r="W500" s="99" t="s">
        <v>4329</v>
      </c>
      <c r="X500" s="99" t="s">
        <v>4329</v>
      </c>
      <c r="Y500" s="99" t="s">
        <v>4555</v>
      </c>
      <c r="Z500" s="99" t="s">
        <v>172</v>
      </c>
      <c r="AA500" s="99" t="s">
        <v>173</v>
      </c>
      <c r="AB500" s="99" t="s">
        <v>174</v>
      </c>
      <c r="AC500" s="99" t="s">
        <v>3411</v>
      </c>
      <c r="AD500" s="99" t="s">
        <v>175</v>
      </c>
      <c r="AE500" s="99" t="s">
        <v>3411</v>
      </c>
      <c r="AF500" s="99" t="s">
        <v>3411</v>
      </c>
      <c r="AG500" s="124">
        <v>463</v>
      </c>
      <c r="AH500" s="99" t="s">
        <v>3413</v>
      </c>
      <c r="AI500" s="125">
        <v>100</v>
      </c>
      <c r="AJ500" s="99" t="s">
        <v>176</v>
      </c>
      <c r="AK500" s="99" t="s">
        <v>4329</v>
      </c>
      <c r="AL500" s="99" t="s">
        <v>3411</v>
      </c>
      <c r="AM500" s="99" t="s">
        <v>177</v>
      </c>
      <c r="AN500" s="99" t="s">
        <v>3411</v>
      </c>
      <c r="AO500" s="99" t="s">
        <v>1482</v>
      </c>
      <c r="AP500" s="99" t="s">
        <v>2603</v>
      </c>
      <c r="AQ500" s="99" t="s">
        <v>98</v>
      </c>
      <c r="AR500" s="99" t="s">
        <v>3411</v>
      </c>
      <c r="AS500" s="99" t="s">
        <v>1930</v>
      </c>
      <c r="AT500" s="99" t="s">
        <v>190</v>
      </c>
      <c r="AU500" s="99" t="s">
        <v>191</v>
      </c>
      <c r="AV500" s="99" t="s">
        <v>3928</v>
      </c>
      <c r="AW500" s="99" t="s">
        <v>519</v>
      </c>
      <c r="AX500" s="99" t="s">
        <v>3420</v>
      </c>
      <c r="AY500" s="99" t="s">
        <v>252</v>
      </c>
      <c r="AZ500" s="99" t="s">
        <v>3416</v>
      </c>
      <c r="BA500" s="99" t="s">
        <v>4325</v>
      </c>
      <c r="BB500" s="99" t="s">
        <v>3249</v>
      </c>
      <c r="BC500" s="125">
        <v>50</v>
      </c>
      <c r="BD500" s="99" t="s">
        <v>3135</v>
      </c>
      <c r="BE500" s="99" t="s">
        <v>3136</v>
      </c>
    </row>
    <row r="501" spans="1:57" ht="12.95" customHeight="1">
      <c r="A501" s="124">
        <v>15</v>
      </c>
      <c r="B501" s="124">
        <v>2562</v>
      </c>
      <c r="C501" s="99" t="s">
        <v>165</v>
      </c>
      <c r="D501" s="99" t="s">
        <v>1477</v>
      </c>
      <c r="E501" s="99" t="s">
        <v>1478</v>
      </c>
      <c r="F501" s="99" t="s">
        <v>74</v>
      </c>
      <c r="G501" s="99" t="s">
        <v>75</v>
      </c>
      <c r="H501" s="99" t="s">
        <v>4516</v>
      </c>
      <c r="I501" s="99" t="s">
        <v>1863</v>
      </c>
      <c r="J501" s="99" t="s">
        <v>1931</v>
      </c>
      <c r="K501" s="99" t="s">
        <v>186</v>
      </c>
      <c r="L501" s="99" t="s">
        <v>1932</v>
      </c>
      <c r="M501" s="99" t="s">
        <v>5</v>
      </c>
      <c r="N501" s="99" t="s">
        <v>3454</v>
      </c>
      <c r="O501" s="99" t="s">
        <v>70</v>
      </c>
      <c r="P501" s="99" t="s">
        <v>4357</v>
      </c>
      <c r="Q501" s="99" t="s">
        <v>247</v>
      </c>
      <c r="R501" s="99" t="s">
        <v>71</v>
      </c>
      <c r="S501" s="99" t="s">
        <v>2691</v>
      </c>
      <c r="T501" s="99" t="s">
        <v>49</v>
      </c>
      <c r="U501" s="99" t="s">
        <v>1511</v>
      </c>
      <c r="V501" s="99" t="s">
        <v>54</v>
      </c>
      <c r="W501" s="99" t="s">
        <v>4357</v>
      </c>
      <c r="X501" s="99" t="s">
        <v>4357</v>
      </c>
      <c r="Y501" s="99" t="s">
        <v>4556</v>
      </c>
      <c r="Z501" s="99" t="s">
        <v>172</v>
      </c>
      <c r="AA501" s="99" t="s">
        <v>173</v>
      </c>
      <c r="AB501" s="99" t="s">
        <v>174</v>
      </c>
      <c r="AC501" s="99" t="s">
        <v>3411</v>
      </c>
      <c r="AD501" s="99" t="s">
        <v>175</v>
      </c>
      <c r="AE501" s="99" t="s">
        <v>3411</v>
      </c>
      <c r="AF501" s="99" t="s">
        <v>3411</v>
      </c>
      <c r="AG501" s="124">
        <v>2562</v>
      </c>
      <c r="AH501" s="99" t="s">
        <v>3413</v>
      </c>
      <c r="AI501" s="125">
        <v>100</v>
      </c>
      <c r="AJ501" s="99" t="s">
        <v>176</v>
      </c>
      <c r="AK501" s="99" t="s">
        <v>4357</v>
      </c>
      <c r="AL501" s="99" t="s">
        <v>3411</v>
      </c>
      <c r="AM501" s="99" t="s">
        <v>177</v>
      </c>
      <c r="AN501" s="99" t="s">
        <v>3411</v>
      </c>
      <c r="AO501" s="99" t="s">
        <v>1482</v>
      </c>
      <c r="AP501" s="99" t="s">
        <v>2603</v>
      </c>
      <c r="AQ501" s="99" t="s">
        <v>98</v>
      </c>
      <c r="AR501" s="99" t="s">
        <v>3411</v>
      </c>
      <c r="AS501" s="99" t="s">
        <v>1933</v>
      </c>
      <c r="AT501" s="99" t="s">
        <v>190</v>
      </c>
      <c r="AU501" s="99" t="s">
        <v>191</v>
      </c>
      <c r="AV501" s="99" t="s">
        <v>3581</v>
      </c>
      <c r="AW501" s="99" t="s">
        <v>529</v>
      </c>
      <c r="AX501" s="99" t="s">
        <v>3420</v>
      </c>
      <c r="AY501" s="99" t="s">
        <v>252</v>
      </c>
      <c r="AZ501" s="99" t="s">
        <v>3416</v>
      </c>
      <c r="BA501" s="99" t="s">
        <v>4325</v>
      </c>
      <c r="BB501" s="99" t="s">
        <v>3249</v>
      </c>
      <c r="BC501" s="125">
        <v>49</v>
      </c>
      <c r="BD501" s="99" t="s">
        <v>3135</v>
      </c>
      <c r="BE501" s="99" t="s">
        <v>3136</v>
      </c>
    </row>
    <row r="502" spans="1:57" ht="12.95" customHeight="1">
      <c r="A502" s="124">
        <v>15</v>
      </c>
      <c r="B502" s="124">
        <v>1481</v>
      </c>
      <c r="C502" s="99" t="s">
        <v>165</v>
      </c>
      <c r="D502" s="99" t="s">
        <v>1477</v>
      </c>
      <c r="E502" s="99" t="s">
        <v>1478</v>
      </c>
      <c r="F502" s="99" t="s">
        <v>74</v>
      </c>
      <c r="G502" s="99" t="s">
        <v>75</v>
      </c>
      <c r="H502" s="99" t="s">
        <v>4557</v>
      </c>
      <c r="I502" s="99" t="s">
        <v>1934</v>
      </c>
      <c r="J502" s="99" t="s">
        <v>1935</v>
      </c>
      <c r="K502" s="99" t="s">
        <v>393</v>
      </c>
      <c r="L502" s="99" t="s">
        <v>1936</v>
      </c>
      <c r="M502" s="99" t="s">
        <v>1</v>
      </c>
      <c r="N502" s="99" t="s">
        <v>3407</v>
      </c>
      <c r="O502" s="99" t="s">
        <v>114</v>
      </c>
      <c r="P502" s="99" t="s">
        <v>3422</v>
      </c>
      <c r="Q502" s="99" t="s">
        <v>169</v>
      </c>
      <c r="R502" s="99" t="s">
        <v>71</v>
      </c>
      <c r="S502" s="99" t="s">
        <v>2691</v>
      </c>
      <c r="T502" s="99" t="s">
        <v>49</v>
      </c>
      <c r="U502" s="99" t="s">
        <v>1511</v>
      </c>
      <c r="V502" s="99" t="s">
        <v>54</v>
      </c>
      <c r="W502" s="99" t="s">
        <v>4558</v>
      </c>
      <c r="X502" s="99" t="s">
        <v>4558</v>
      </c>
      <c r="Y502" s="99" t="s">
        <v>4559</v>
      </c>
      <c r="Z502" s="99" t="s">
        <v>172</v>
      </c>
      <c r="AA502" s="99" t="s">
        <v>173</v>
      </c>
      <c r="AB502" s="99" t="s">
        <v>174</v>
      </c>
      <c r="AC502" s="99" t="s">
        <v>3411</v>
      </c>
      <c r="AD502" s="99" t="s">
        <v>175</v>
      </c>
      <c r="AE502" s="99" t="s">
        <v>3411</v>
      </c>
      <c r="AF502" s="99" t="s">
        <v>3411</v>
      </c>
      <c r="AG502" s="124">
        <v>304</v>
      </c>
      <c r="AH502" s="99" t="s">
        <v>3413</v>
      </c>
      <c r="AI502" s="125">
        <v>100</v>
      </c>
      <c r="AJ502" s="99" t="s">
        <v>176</v>
      </c>
      <c r="AK502" s="99" t="s">
        <v>4348</v>
      </c>
      <c r="AL502" s="99" t="s">
        <v>3411</v>
      </c>
      <c r="AM502" s="99" t="s">
        <v>177</v>
      </c>
      <c r="AN502" s="99" t="s">
        <v>3411</v>
      </c>
      <c r="AO502" s="99" t="s">
        <v>1482</v>
      </c>
      <c r="AP502" s="99" t="s">
        <v>2611</v>
      </c>
      <c r="AQ502" s="99" t="s">
        <v>99</v>
      </c>
      <c r="AR502" s="99" t="s">
        <v>3411</v>
      </c>
      <c r="AS502" s="99" t="s">
        <v>1937</v>
      </c>
      <c r="AT502" s="99" t="s">
        <v>190</v>
      </c>
      <c r="AU502" s="99" t="s">
        <v>191</v>
      </c>
      <c r="AV502" s="99" t="s">
        <v>3928</v>
      </c>
      <c r="AW502" s="99" t="s">
        <v>519</v>
      </c>
      <c r="AX502" s="99" t="s">
        <v>3420</v>
      </c>
      <c r="AY502" s="99" t="s">
        <v>252</v>
      </c>
      <c r="AZ502" s="99" t="s">
        <v>3416</v>
      </c>
      <c r="BA502" s="99" t="s">
        <v>4313</v>
      </c>
      <c r="BB502" s="99" t="s">
        <v>3411</v>
      </c>
      <c r="BC502" s="125">
        <v>51</v>
      </c>
      <c r="BD502" s="99" t="s">
        <v>3135</v>
      </c>
      <c r="BE502" s="99" t="s">
        <v>3136</v>
      </c>
    </row>
    <row r="503" spans="1:57" ht="12.95" customHeight="1">
      <c r="A503" s="124">
        <v>15</v>
      </c>
      <c r="B503" s="124">
        <v>1999</v>
      </c>
      <c r="C503" s="99" t="s">
        <v>165</v>
      </c>
      <c r="D503" s="99" t="s">
        <v>1477</v>
      </c>
      <c r="E503" s="99" t="s">
        <v>1478</v>
      </c>
      <c r="F503" s="99" t="s">
        <v>74</v>
      </c>
      <c r="G503" s="99" t="s">
        <v>75</v>
      </c>
      <c r="H503" s="99" t="s">
        <v>4557</v>
      </c>
      <c r="I503" s="99" t="s">
        <v>1934</v>
      </c>
      <c r="J503" s="99" t="s">
        <v>1938</v>
      </c>
      <c r="K503" s="99" t="s">
        <v>530</v>
      </c>
      <c r="L503" s="99" t="s">
        <v>1939</v>
      </c>
      <c r="M503" s="99" t="s">
        <v>5</v>
      </c>
      <c r="N503" s="99" t="s">
        <v>3454</v>
      </c>
      <c r="O503" s="99" t="s">
        <v>70</v>
      </c>
      <c r="P503" s="99" t="s">
        <v>3904</v>
      </c>
      <c r="Q503" s="99" t="s">
        <v>247</v>
      </c>
      <c r="R503" s="99" t="s">
        <v>71</v>
      </c>
      <c r="S503" s="99" t="s">
        <v>2691</v>
      </c>
      <c r="T503" s="99" t="s">
        <v>49</v>
      </c>
      <c r="U503" s="99" t="s">
        <v>1492</v>
      </c>
      <c r="V503" s="99" t="s">
        <v>55</v>
      </c>
      <c r="W503" s="99" t="s">
        <v>4560</v>
      </c>
      <c r="X503" s="99" t="s">
        <v>4560</v>
      </c>
      <c r="Y503" s="99" t="s">
        <v>4561</v>
      </c>
      <c r="Z503" s="99" t="s">
        <v>172</v>
      </c>
      <c r="AA503" s="99" t="s">
        <v>173</v>
      </c>
      <c r="AB503" s="99" t="s">
        <v>174</v>
      </c>
      <c r="AC503" s="99" t="s">
        <v>3411</v>
      </c>
      <c r="AD503" s="99" t="s">
        <v>175</v>
      </c>
      <c r="AE503" s="99" t="s">
        <v>3411</v>
      </c>
      <c r="AF503" s="99" t="s">
        <v>3411</v>
      </c>
      <c r="AG503" s="124">
        <v>425</v>
      </c>
      <c r="AH503" s="99" t="s">
        <v>3413</v>
      </c>
      <c r="AI503" s="125">
        <v>100</v>
      </c>
      <c r="AJ503" s="99" t="s">
        <v>176</v>
      </c>
      <c r="AK503" s="99" t="s">
        <v>4560</v>
      </c>
      <c r="AL503" s="99" t="s">
        <v>3411</v>
      </c>
      <c r="AM503" s="99" t="s">
        <v>177</v>
      </c>
      <c r="AN503" s="99" t="s">
        <v>3411</v>
      </c>
      <c r="AO503" s="99" t="s">
        <v>1482</v>
      </c>
      <c r="AP503" s="99" t="s">
        <v>2611</v>
      </c>
      <c r="AQ503" s="99" t="s">
        <v>99</v>
      </c>
      <c r="AR503" s="99" t="s">
        <v>1010</v>
      </c>
      <c r="AS503" s="99" t="s">
        <v>1940</v>
      </c>
      <c r="AT503" s="99" t="s">
        <v>190</v>
      </c>
      <c r="AU503" s="99" t="s">
        <v>191</v>
      </c>
      <c r="AV503" s="99" t="s">
        <v>3928</v>
      </c>
      <c r="AW503" s="99" t="s">
        <v>519</v>
      </c>
      <c r="AX503" s="99" t="s">
        <v>3420</v>
      </c>
      <c r="AY503" s="99" t="s">
        <v>252</v>
      </c>
      <c r="AZ503" s="99" t="s">
        <v>3416</v>
      </c>
      <c r="BA503" s="99" t="s">
        <v>4325</v>
      </c>
      <c r="BB503" s="99" t="s">
        <v>3249</v>
      </c>
      <c r="BC503" s="125">
        <v>53</v>
      </c>
      <c r="BD503" s="99" t="s">
        <v>3135</v>
      </c>
      <c r="BE503" s="99" t="s">
        <v>3136</v>
      </c>
    </row>
    <row r="504" spans="1:57" ht="12.95" customHeight="1">
      <c r="A504" s="124">
        <v>15</v>
      </c>
      <c r="B504" s="124">
        <v>1920</v>
      </c>
      <c r="C504" s="99" t="s">
        <v>165</v>
      </c>
      <c r="D504" s="99" t="s">
        <v>1477</v>
      </c>
      <c r="E504" s="99" t="s">
        <v>1478</v>
      </c>
      <c r="F504" s="99" t="s">
        <v>74</v>
      </c>
      <c r="G504" s="99" t="s">
        <v>75</v>
      </c>
      <c r="H504" s="99" t="s">
        <v>4557</v>
      </c>
      <c r="I504" s="99" t="s">
        <v>1934</v>
      </c>
      <c r="J504" s="99" t="s">
        <v>1941</v>
      </c>
      <c r="K504" s="99" t="s">
        <v>402</v>
      </c>
      <c r="L504" s="99" t="s">
        <v>1942</v>
      </c>
      <c r="M504" s="99" t="s">
        <v>1</v>
      </c>
      <c r="N504" s="99" t="s">
        <v>3407</v>
      </c>
      <c r="O504" s="99" t="s">
        <v>114</v>
      </c>
      <c r="P504" s="99" t="s">
        <v>3422</v>
      </c>
      <c r="Q504" s="99" t="s">
        <v>169</v>
      </c>
      <c r="R504" s="99" t="s">
        <v>71</v>
      </c>
      <c r="S504" s="99" t="s">
        <v>2691</v>
      </c>
      <c r="T504" s="99" t="s">
        <v>49</v>
      </c>
      <c r="U504" s="99" t="s">
        <v>1511</v>
      </c>
      <c r="V504" s="99" t="s">
        <v>54</v>
      </c>
      <c r="W504" s="99" t="s">
        <v>4562</v>
      </c>
      <c r="X504" s="99" t="s">
        <v>4562</v>
      </c>
      <c r="Y504" s="99" t="s">
        <v>4563</v>
      </c>
      <c r="Z504" s="99" t="s">
        <v>172</v>
      </c>
      <c r="AA504" s="99" t="s">
        <v>173</v>
      </c>
      <c r="AB504" s="99" t="s">
        <v>174</v>
      </c>
      <c r="AC504" s="99" t="s">
        <v>3411</v>
      </c>
      <c r="AD504" s="99" t="s">
        <v>175</v>
      </c>
      <c r="AE504" s="99" t="s">
        <v>3411</v>
      </c>
      <c r="AF504" s="99" t="s">
        <v>3411</v>
      </c>
      <c r="AG504" s="124">
        <v>380</v>
      </c>
      <c r="AH504" s="99" t="s">
        <v>3413</v>
      </c>
      <c r="AI504" s="125">
        <v>100</v>
      </c>
      <c r="AJ504" s="99" t="s">
        <v>176</v>
      </c>
      <c r="AK504" s="99" t="s">
        <v>4564</v>
      </c>
      <c r="AL504" s="99" t="s">
        <v>3411</v>
      </c>
      <c r="AM504" s="99" t="s">
        <v>177</v>
      </c>
      <c r="AN504" s="99" t="s">
        <v>3411</v>
      </c>
      <c r="AO504" s="99" t="s">
        <v>1482</v>
      </c>
      <c r="AP504" s="99" t="s">
        <v>2611</v>
      </c>
      <c r="AQ504" s="99" t="s">
        <v>99</v>
      </c>
      <c r="AR504" s="99" t="s">
        <v>1010</v>
      </c>
      <c r="AS504" s="99" t="s">
        <v>1943</v>
      </c>
      <c r="AT504" s="99" t="s">
        <v>190</v>
      </c>
      <c r="AU504" s="99" t="s">
        <v>191</v>
      </c>
      <c r="AV504" s="99" t="s">
        <v>3581</v>
      </c>
      <c r="AW504" s="99" t="s">
        <v>529</v>
      </c>
      <c r="AX504" s="99" t="s">
        <v>3420</v>
      </c>
      <c r="AY504" s="99" t="s">
        <v>252</v>
      </c>
      <c r="AZ504" s="99" t="s">
        <v>3416</v>
      </c>
      <c r="BA504" s="99" t="s">
        <v>4313</v>
      </c>
      <c r="BB504" s="99" t="s">
        <v>3411</v>
      </c>
      <c r="BC504" s="125">
        <v>58</v>
      </c>
      <c r="BD504" s="99" t="s">
        <v>3135</v>
      </c>
      <c r="BE504" s="99" t="s">
        <v>3136</v>
      </c>
    </row>
    <row r="505" spans="1:57" ht="12.95" customHeight="1">
      <c r="A505" s="124">
        <v>15</v>
      </c>
      <c r="B505" s="124">
        <v>1630</v>
      </c>
      <c r="C505" s="99" t="s">
        <v>165</v>
      </c>
      <c r="D505" s="99" t="s">
        <v>1477</v>
      </c>
      <c r="E505" s="99" t="s">
        <v>1478</v>
      </c>
      <c r="F505" s="99" t="s">
        <v>74</v>
      </c>
      <c r="G505" s="99" t="s">
        <v>75</v>
      </c>
      <c r="H505" s="99" t="s">
        <v>4557</v>
      </c>
      <c r="I505" s="99" t="s">
        <v>1934</v>
      </c>
      <c r="J505" s="99" t="s">
        <v>1565</v>
      </c>
      <c r="K505" s="99" t="s">
        <v>1566</v>
      </c>
      <c r="L505" s="99" t="s">
        <v>1567</v>
      </c>
      <c r="M505" s="99" t="s">
        <v>5</v>
      </c>
      <c r="N505" s="99" t="s">
        <v>3407</v>
      </c>
      <c r="O505" s="99" t="s">
        <v>114</v>
      </c>
      <c r="P505" s="99" t="s">
        <v>3422</v>
      </c>
      <c r="Q505" s="99" t="s">
        <v>169</v>
      </c>
      <c r="R505" s="99" t="s">
        <v>71</v>
      </c>
      <c r="S505" s="99" t="s">
        <v>2691</v>
      </c>
      <c r="T505" s="99" t="s">
        <v>49</v>
      </c>
      <c r="U505" s="99" t="s">
        <v>1511</v>
      </c>
      <c r="V505" s="99" t="s">
        <v>54</v>
      </c>
      <c r="W505" s="99" t="s">
        <v>4478</v>
      </c>
      <c r="X505" s="99" t="s">
        <v>4478</v>
      </c>
      <c r="Y505" s="99" t="s">
        <v>4565</v>
      </c>
      <c r="Z505" s="99" t="s">
        <v>172</v>
      </c>
      <c r="AA505" s="99" t="s">
        <v>173</v>
      </c>
      <c r="AB505" s="99" t="s">
        <v>174</v>
      </c>
      <c r="AC505" s="99" t="s">
        <v>3411</v>
      </c>
      <c r="AD505" s="99" t="s">
        <v>175</v>
      </c>
      <c r="AE505" s="99" t="s">
        <v>3411</v>
      </c>
      <c r="AF505" s="99" t="s">
        <v>3411</v>
      </c>
      <c r="AG505" s="124">
        <v>321</v>
      </c>
      <c r="AH505" s="99" t="s">
        <v>3413</v>
      </c>
      <c r="AI505" s="125">
        <v>100</v>
      </c>
      <c r="AJ505" s="99" t="s">
        <v>176</v>
      </c>
      <c r="AK505" s="99" t="s">
        <v>3496</v>
      </c>
      <c r="AL505" s="99" t="s">
        <v>3411</v>
      </c>
      <c r="AM505" s="99" t="s">
        <v>177</v>
      </c>
      <c r="AN505" s="99" t="s">
        <v>3411</v>
      </c>
      <c r="AO505" s="99" t="s">
        <v>1482</v>
      </c>
      <c r="AP505" s="99" t="s">
        <v>2611</v>
      </c>
      <c r="AQ505" s="99" t="s">
        <v>99</v>
      </c>
      <c r="AR505" s="99" t="s">
        <v>207</v>
      </c>
      <c r="AS505" s="99" t="s">
        <v>1568</v>
      </c>
      <c r="AT505" s="99" t="s">
        <v>190</v>
      </c>
      <c r="AU505" s="99" t="s">
        <v>191</v>
      </c>
      <c r="AV505" s="99" t="s">
        <v>3928</v>
      </c>
      <c r="AW505" s="99" t="s">
        <v>519</v>
      </c>
      <c r="AX505" s="99" t="s">
        <v>3420</v>
      </c>
      <c r="AY505" s="99" t="s">
        <v>252</v>
      </c>
      <c r="AZ505" s="99" t="s">
        <v>3416</v>
      </c>
      <c r="BA505" s="99" t="s">
        <v>4313</v>
      </c>
      <c r="BB505" s="99" t="s">
        <v>3411</v>
      </c>
      <c r="BC505" s="125">
        <v>61</v>
      </c>
      <c r="BD505" s="99" t="s">
        <v>3135</v>
      </c>
      <c r="BE505" s="99" t="s">
        <v>3136</v>
      </c>
    </row>
    <row r="506" spans="1:57" ht="12.95" customHeight="1">
      <c r="A506" s="124">
        <v>15</v>
      </c>
      <c r="B506" s="124">
        <v>1513</v>
      </c>
      <c r="C506" s="99" t="s">
        <v>165</v>
      </c>
      <c r="D506" s="99" t="s">
        <v>1477</v>
      </c>
      <c r="E506" s="99" t="s">
        <v>1478</v>
      </c>
      <c r="F506" s="99" t="s">
        <v>74</v>
      </c>
      <c r="G506" s="99" t="s">
        <v>75</v>
      </c>
      <c r="H506" s="99" t="s">
        <v>4557</v>
      </c>
      <c r="I506" s="99" t="s">
        <v>1934</v>
      </c>
      <c r="J506" s="99" t="s">
        <v>1944</v>
      </c>
      <c r="K506" s="99" t="s">
        <v>1945</v>
      </c>
      <c r="L506" s="99" t="s">
        <v>1946</v>
      </c>
      <c r="M506" s="99" t="s">
        <v>5</v>
      </c>
      <c r="N506" s="99" t="s">
        <v>3407</v>
      </c>
      <c r="O506" s="99" t="s">
        <v>114</v>
      </c>
      <c r="P506" s="99" t="s">
        <v>3422</v>
      </c>
      <c r="Q506" s="99" t="s">
        <v>169</v>
      </c>
      <c r="R506" s="99" t="s">
        <v>71</v>
      </c>
      <c r="S506" s="99" t="s">
        <v>2691</v>
      </c>
      <c r="T506" s="99" t="s">
        <v>49</v>
      </c>
      <c r="U506" s="99" t="s">
        <v>1008</v>
      </c>
      <c r="V506" s="99" t="s">
        <v>53</v>
      </c>
      <c r="W506" s="99" t="s">
        <v>4255</v>
      </c>
      <c r="X506" s="99" t="s">
        <v>4255</v>
      </c>
      <c r="Y506" s="99" t="s">
        <v>3446</v>
      </c>
      <c r="Z506" s="99" t="s">
        <v>172</v>
      </c>
      <c r="AA506" s="99" t="s">
        <v>173</v>
      </c>
      <c r="AB506" s="99" t="s">
        <v>174</v>
      </c>
      <c r="AC506" s="99" t="s">
        <v>3411</v>
      </c>
      <c r="AD506" s="99" t="s">
        <v>175</v>
      </c>
      <c r="AE506" s="99" t="s">
        <v>3411</v>
      </c>
      <c r="AF506" s="99" t="s">
        <v>3411</v>
      </c>
      <c r="AG506" s="124">
        <v>311</v>
      </c>
      <c r="AH506" s="99" t="s">
        <v>3413</v>
      </c>
      <c r="AI506" s="125">
        <v>100</v>
      </c>
      <c r="AJ506" s="99" t="s">
        <v>176</v>
      </c>
      <c r="AK506" s="99" t="s">
        <v>4255</v>
      </c>
      <c r="AL506" s="99" t="s">
        <v>3411</v>
      </c>
      <c r="AM506" s="99" t="s">
        <v>177</v>
      </c>
      <c r="AN506" s="99" t="s">
        <v>3411</v>
      </c>
      <c r="AO506" s="99" t="s">
        <v>1482</v>
      </c>
      <c r="AP506" s="99" t="s">
        <v>2611</v>
      </c>
      <c r="AQ506" s="99" t="s">
        <v>99</v>
      </c>
      <c r="AR506" s="99" t="s">
        <v>1010</v>
      </c>
      <c r="AS506" s="99" t="s">
        <v>1947</v>
      </c>
      <c r="AT506" s="99" t="s">
        <v>190</v>
      </c>
      <c r="AU506" s="99" t="s">
        <v>191</v>
      </c>
      <c r="AV506" s="99" t="s">
        <v>3581</v>
      </c>
      <c r="AW506" s="99" t="s">
        <v>529</v>
      </c>
      <c r="AX506" s="99" t="s">
        <v>3420</v>
      </c>
      <c r="AY506" s="99" t="s">
        <v>252</v>
      </c>
      <c r="AZ506" s="99" t="s">
        <v>3416</v>
      </c>
      <c r="BA506" s="99" t="s">
        <v>4313</v>
      </c>
      <c r="BB506" s="99" t="s">
        <v>3411</v>
      </c>
      <c r="BC506" s="125">
        <v>60</v>
      </c>
      <c r="BD506" s="99" t="s">
        <v>3135</v>
      </c>
      <c r="BE506" s="99" t="s">
        <v>3136</v>
      </c>
    </row>
    <row r="507" spans="1:57" ht="12.95" customHeight="1">
      <c r="A507" s="124">
        <v>15</v>
      </c>
      <c r="B507" s="124">
        <v>1405</v>
      </c>
      <c r="C507" s="99" t="s">
        <v>165</v>
      </c>
      <c r="D507" s="99" t="s">
        <v>1477</v>
      </c>
      <c r="E507" s="99" t="s">
        <v>1478</v>
      </c>
      <c r="F507" s="99" t="s">
        <v>74</v>
      </c>
      <c r="G507" s="99" t="s">
        <v>75</v>
      </c>
      <c r="H507" s="99" t="s">
        <v>4557</v>
      </c>
      <c r="I507" s="99" t="s">
        <v>1934</v>
      </c>
      <c r="J507" s="99" t="s">
        <v>1948</v>
      </c>
      <c r="K507" s="99" t="s">
        <v>679</v>
      </c>
      <c r="L507" s="99" t="s">
        <v>1949</v>
      </c>
      <c r="M507" s="99" t="s">
        <v>1</v>
      </c>
      <c r="N507" s="99" t="s">
        <v>3454</v>
      </c>
      <c r="O507" s="99" t="s">
        <v>70</v>
      </c>
      <c r="P507" s="99" t="s">
        <v>3455</v>
      </c>
      <c r="Q507" s="99" t="s">
        <v>247</v>
      </c>
      <c r="R507" s="99" t="s">
        <v>71</v>
      </c>
      <c r="S507" s="99" t="s">
        <v>2691</v>
      </c>
      <c r="T507" s="99" t="s">
        <v>49</v>
      </c>
      <c r="U507" s="99" t="s">
        <v>1551</v>
      </c>
      <c r="V507" s="99" t="s">
        <v>51</v>
      </c>
      <c r="W507" s="99" t="s">
        <v>4566</v>
      </c>
      <c r="X507" s="99" t="s">
        <v>4566</v>
      </c>
      <c r="Y507" s="99" t="s">
        <v>4567</v>
      </c>
      <c r="Z507" s="99" t="s">
        <v>172</v>
      </c>
      <c r="AA507" s="99" t="s">
        <v>173</v>
      </c>
      <c r="AB507" s="99" t="s">
        <v>174</v>
      </c>
      <c r="AC507" s="99" t="s">
        <v>3411</v>
      </c>
      <c r="AD507" s="99" t="s">
        <v>175</v>
      </c>
      <c r="AE507" s="99" t="s">
        <v>3411</v>
      </c>
      <c r="AF507" s="99" t="s">
        <v>3411</v>
      </c>
      <c r="AG507" s="124">
        <v>285</v>
      </c>
      <c r="AH507" s="99" t="s">
        <v>3413</v>
      </c>
      <c r="AI507" s="125">
        <v>100</v>
      </c>
      <c r="AJ507" s="99" t="s">
        <v>176</v>
      </c>
      <c r="AK507" s="99" t="s">
        <v>4566</v>
      </c>
      <c r="AL507" s="99" t="s">
        <v>3411</v>
      </c>
      <c r="AM507" s="99" t="s">
        <v>177</v>
      </c>
      <c r="AN507" s="99" t="s">
        <v>3411</v>
      </c>
      <c r="AO507" s="99" t="s">
        <v>1482</v>
      </c>
      <c r="AP507" s="99" t="s">
        <v>2611</v>
      </c>
      <c r="AQ507" s="99" t="s">
        <v>99</v>
      </c>
      <c r="AR507" s="99" t="s">
        <v>3411</v>
      </c>
      <c r="AS507" s="99" t="s">
        <v>1950</v>
      </c>
      <c r="AT507" s="99" t="s">
        <v>190</v>
      </c>
      <c r="AU507" s="99" t="s">
        <v>191</v>
      </c>
      <c r="AV507" s="99" t="s">
        <v>3570</v>
      </c>
      <c r="AW507" s="99" t="s">
        <v>406</v>
      </c>
      <c r="AX507" s="99" t="s">
        <v>3411</v>
      </c>
      <c r="AY507" s="99" t="s">
        <v>3411</v>
      </c>
      <c r="AZ507" s="99" t="s">
        <v>3411</v>
      </c>
      <c r="BA507" s="99" t="s">
        <v>4325</v>
      </c>
      <c r="BB507" s="99" t="s">
        <v>3249</v>
      </c>
      <c r="BC507" s="125">
        <v>66</v>
      </c>
      <c r="BD507" s="99" t="s">
        <v>3135</v>
      </c>
      <c r="BE507" s="99" t="s">
        <v>3136</v>
      </c>
    </row>
    <row r="508" spans="1:57" ht="12.95" customHeight="1">
      <c r="A508" s="124">
        <v>15</v>
      </c>
      <c r="B508" s="124">
        <v>3168</v>
      </c>
      <c r="C508" s="99" t="s">
        <v>165</v>
      </c>
      <c r="D508" s="99" t="s">
        <v>1477</v>
      </c>
      <c r="E508" s="99" t="s">
        <v>1478</v>
      </c>
      <c r="F508" s="99" t="s">
        <v>74</v>
      </c>
      <c r="G508" s="99" t="s">
        <v>75</v>
      </c>
      <c r="H508" s="99" t="s">
        <v>4557</v>
      </c>
      <c r="I508" s="99" t="s">
        <v>1934</v>
      </c>
      <c r="J508" s="99" t="s">
        <v>5057</v>
      </c>
      <c r="K508" s="99" t="s">
        <v>483</v>
      </c>
      <c r="L508" s="99" t="s">
        <v>5058</v>
      </c>
      <c r="M508" s="99" t="s">
        <v>5</v>
      </c>
      <c r="N508" s="99" t="s">
        <v>3407</v>
      </c>
      <c r="O508" s="99" t="s">
        <v>114</v>
      </c>
      <c r="P508" s="99" t="s">
        <v>5042</v>
      </c>
      <c r="Q508" s="99" t="s">
        <v>169</v>
      </c>
      <c r="R508" s="99" t="s">
        <v>71</v>
      </c>
      <c r="S508" s="99" t="s">
        <v>2691</v>
      </c>
      <c r="T508" s="99" t="s">
        <v>5050</v>
      </c>
      <c r="U508" s="99" t="s">
        <v>5051</v>
      </c>
      <c r="V508" s="99" t="s">
        <v>5052</v>
      </c>
      <c r="W508" s="99" t="s">
        <v>5042</v>
      </c>
      <c r="X508" s="99" t="s">
        <v>5042</v>
      </c>
      <c r="Y508" s="99" t="s">
        <v>5059</v>
      </c>
      <c r="Z508" s="99" t="s">
        <v>172</v>
      </c>
      <c r="AA508" s="99" t="s">
        <v>173</v>
      </c>
      <c r="AB508" s="99" t="s">
        <v>174</v>
      </c>
      <c r="AC508" s="99" t="s">
        <v>3411</v>
      </c>
      <c r="AD508" s="99" t="s">
        <v>175</v>
      </c>
      <c r="AE508" s="99" t="s">
        <v>3411</v>
      </c>
      <c r="AF508" s="99" t="s">
        <v>3411</v>
      </c>
      <c r="AG508" s="124">
        <v>3168</v>
      </c>
      <c r="AH508" s="99" t="s">
        <v>3413</v>
      </c>
      <c r="AI508" s="125">
        <v>100</v>
      </c>
      <c r="AJ508" s="99" t="s">
        <v>176</v>
      </c>
      <c r="AK508" s="99" t="s">
        <v>5042</v>
      </c>
      <c r="AL508" s="99" t="s">
        <v>3411</v>
      </c>
      <c r="AM508" s="99" t="s">
        <v>177</v>
      </c>
      <c r="AN508" s="99" t="s">
        <v>3411</v>
      </c>
      <c r="AO508" s="99" t="s">
        <v>1481</v>
      </c>
      <c r="AP508" s="99" t="s">
        <v>2611</v>
      </c>
      <c r="AQ508" s="99" t="s">
        <v>99</v>
      </c>
      <c r="AR508" s="99" t="s">
        <v>3411</v>
      </c>
      <c r="AS508" s="99" t="s">
        <v>5060</v>
      </c>
      <c r="AT508" s="99" t="s">
        <v>190</v>
      </c>
      <c r="AU508" s="99" t="s">
        <v>191</v>
      </c>
      <c r="AV508" s="99" t="s">
        <v>3570</v>
      </c>
      <c r="AW508" s="99" t="s">
        <v>406</v>
      </c>
      <c r="AX508" s="99" t="s">
        <v>3411</v>
      </c>
      <c r="AY508" s="99" t="s">
        <v>3411</v>
      </c>
      <c r="AZ508" s="99" t="s">
        <v>3411</v>
      </c>
      <c r="BA508" s="99" t="s">
        <v>5055</v>
      </c>
      <c r="BB508" s="99" t="s">
        <v>5056</v>
      </c>
      <c r="BC508" s="125">
        <v>24</v>
      </c>
      <c r="BD508" s="99" t="s">
        <v>3135</v>
      </c>
      <c r="BE508" s="99" t="s">
        <v>3136</v>
      </c>
    </row>
    <row r="509" spans="1:57" ht="12.95" customHeight="1">
      <c r="A509" s="124">
        <v>15</v>
      </c>
      <c r="B509" s="124">
        <v>2074</v>
      </c>
      <c r="C509" s="99" t="s">
        <v>165</v>
      </c>
      <c r="D509" s="99" t="s">
        <v>1477</v>
      </c>
      <c r="E509" s="99" t="s">
        <v>1478</v>
      </c>
      <c r="F509" s="99" t="s">
        <v>74</v>
      </c>
      <c r="G509" s="99" t="s">
        <v>75</v>
      </c>
      <c r="H509" s="99" t="s">
        <v>4557</v>
      </c>
      <c r="I509" s="99" t="s">
        <v>1934</v>
      </c>
      <c r="J509" s="99" t="s">
        <v>1951</v>
      </c>
      <c r="K509" s="99" t="s">
        <v>483</v>
      </c>
      <c r="L509" s="99" t="s">
        <v>1952</v>
      </c>
      <c r="M509" s="99" t="s">
        <v>5</v>
      </c>
      <c r="N509" s="99" t="s">
        <v>3407</v>
      </c>
      <c r="O509" s="99" t="s">
        <v>114</v>
      </c>
      <c r="P509" s="99" t="s">
        <v>3422</v>
      </c>
      <c r="Q509" s="99" t="s">
        <v>169</v>
      </c>
      <c r="R509" s="99" t="s">
        <v>71</v>
      </c>
      <c r="S509" s="99" t="s">
        <v>2691</v>
      </c>
      <c r="T509" s="99" t="s">
        <v>49</v>
      </c>
      <c r="U509" s="99" t="s">
        <v>1511</v>
      </c>
      <c r="V509" s="99" t="s">
        <v>54</v>
      </c>
      <c r="W509" s="99" t="s">
        <v>4568</v>
      </c>
      <c r="X509" s="99" t="s">
        <v>4568</v>
      </c>
      <c r="Y509" s="99" t="s">
        <v>4569</v>
      </c>
      <c r="Z509" s="99" t="s">
        <v>172</v>
      </c>
      <c r="AA509" s="99" t="s">
        <v>173</v>
      </c>
      <c r="AB509" s="99" t="s">
        <v>174</v>
      </c>
      <c r="AC509" s="99" t="s">
        <v>3411</v>
      </c>
      <c r="AD509" s="99" t="s">
        <v>175</v>
      </c>
      <c r="AE509" s="99" t="s">
        <v>3411</v>
      </c>
      <c r="AF509" s="99" t="s">
        <v>3411</v>
      </c>
      <c r="AG509" s="124">
        <v>471</v>
      </c>
      <c r="AH509" s="99" t="s">
        <v>3413</v>
      </c>
      <c r="AI509" s="125">
        <v>100</v>
      </c>
      <c r="AJ509" s="99" t="s">
        <v>176</v>
      </c>
      <c r="AK509" s="99" t="s">
        <v>4568</v>
      </c>
      <c r="AL509" s="99" t="s">
        <v>3411</v>
      </c>
      <c r="AM509" s="99" t="s">
        <v>177</v>
      </c>
      <c r="AN509" s="99" t="s">
        <v>3411</v>
      </c>
      <c r="AO509" s="99" t="s">
        <v>1482</v>
      </c>
      <c r="AP509" s="99" t="s">
        <v>2611</v>
      </c>
      <c r="AQ509" s="99" t="s">
        <v>99</v>
      </c>
      <c r="AR509" s="99" t="s">
        <v>1010</v>
      </c>
      <c r="AS509" s="99" t="s">
        <v>1953</v>
      </c>
      <c r="AT509" s="99" t="s">
        <v>190</v>
      </c>
      <c r="AU509" s="99" t="s">
        <v>191</v>
      </c>
      <c r="AV509" s="99" t="s">
        <v>3928</v>
      </c>
      <c r="AW509" s="99" t="s">
        <v>519</v>
      </c>
      <c r="AX509" s="99" t="s">
        <v>3420</v>
      </c>
      <c r="AY509" s="99" t="s">
        <v>252</v>
      </c>
      <c r="AZ509" s="99" t="s">
        <v>3416</v>
      </c>
      <c r="BA509" s="99" t="s">
        <v>4313</v>
      </c>
      <c r="BB509" s="99" t="s">
        <v>3411</v>
      </c>
      <c r="BC509" s="125">
        <v>48</v>
      </c>
      <c r="BD509" s="99" t="s">
        <v>3135</v>
      </c>
      <c r="BE509" s="99" t="s">
        <v>3136</v>
      </c>
    </row>
    <row r="510" spans="1:57" ht="12.95" customHeight="1">
      <c r="A510" s="124">
        <v>15</v>
      </c>
      <c r="B510" s="124">
        <v>1727</v>
      </c>
      <c r="C510" s="99" t="s">
        <v>165</v>
      </c>
      <c r="D510" s="99" t="s">
        <v>1477</v>
      </c>
      <c r="E510" s="99" t="s">
        <v>1478</v>
      </c>
      <c r="F510" s="99" t="s">
        <v>74</v>
      </c>
      <c r="G510" s="99" t="s">
        <v>75</v>
      </c>
      <c r="H510" s="99" t="s">
        <v>4557</v>
      </c>
      <c r="I510" s="99" t="s">
        <v>1934</v>
      </c>
      <c r="J510" s="99" t="s">
        <v>1667</v>
      </c>
      <c r="K510" s="99" t="s">
        <v>607</v>
      </c>
      <c r="L510" s="99" t="s">
        <v>1668</v>
      </c>
      <c r="M510" s="99" t="s">
        <v>5</v>
      </c>
      <c r="N510" s="99" t="s">
        <v>3407</v>
      </c>
      <c r="O510" s="99" t="s">
        <v>114</v>
      </c>
      <c r="P510" s="99" t="s">
        <v>3422</v>
      </c>
      <c r="Q510" s="99" t="s">
        <v>169</v>
      </c>
      <c r="R510" s="99" t="s">
        <v>71</v>
      </c>
      <c r="S510" s="99" t="s">
        <v>2691</v>
      </c>
      <c r="T510" s="99" t="s">
        <v>49</v>
      </c>
      <c r="U510" s="99" t="s">
        <v>1492</v>
      </c>
      <c r="V510" s="99" t="s">
        <v>55</v>
      </c>
      <c r="W510" s="99" t="s">
        <v>3563</v>
      </c>
      <c r="X510" s="99" t="s">
        <v>3563</v>
      </c>
      <c r="Y510" s="99" t="s">
        <v>4570</v>
      </c>
      <c r="Z510" s="99" t="s">
        <v>172</v>
      </c>
      <c r="AA510" s="99" t="s">
        <v>173</v>
      </c>
      <c r="AB510" s="99" t="s">
        <v>174</v>
      </c>
      <c r="AC510" s="99" t="s">
        <v>3411</v>
      </c>
      <c r="AD510" s="99" t="s">
        <v>175</v>
      </c>
      <c r="AE510" s="99" t="s">
        <v>3411</v>
      </c>
      <c r="AF510" s="99" t="s">
        <v>3411</v>
      </c>
      <c r="AG510" s="124">
        <v>332</v>
      </c>
      <c r="AH510" s="99" t="s">
        <v>3413</v>
      </c>
      <c r="AI510" s="125">
        <v>100</v>
      </c>
      <c r="AJ510" s="99" t="s">
        <v>176</v>
      </c>
      <c r="AK510" s="99" t="s">
        <v>3563</v>
      </c>
      <c r="AL510" s="99" t="s">
        <v>3411</v>
      </c>
      <c r="AM510" s="99" t="s">
        <v>177</v>
      </c>
      <c r="AN510" s="99" t="s">
        <v>3411</v>
      </c>
      <c r="AO510" s="99" t="s">
        <v>1482</v>
      </c>
      <c r="AP510" s="99" t="s">
        <v>2611</v>
      </c>
      <c r="AQ510" s="99" t="s">
        <v>99</v>
      </c>
      <c r="AR510" s="99" t="s">
        <v>207</v>
      </c>
      <c r="AS510" s="99" t="s">
        <v>1669</v>
      </c>
      <c r="AT510" s="99" t="s">
        <v>190</v>
      </c>
      <c r="AU510" s="99" t="s">
        <v>191</v>
      </c>
      <c r="AV510" s="99" t="s">
        <v>3928</v>
      </c>
      <c r="AW510" s="99" t="s">
        <v>519</v>
      </c>
      <c r="AX510" s="99" t="s">
        <v>3420</v>
      </c>
      <c r="AY510" s="99" t="s">
        <v>252</v>
      </c>
      <c r="AZ510" s="99" t="s">
        <v>3416</v>
      </c>
      <c r="BA510" s="99" t="s">
        <v>4313</v>
      </c>
      <c r="BB510" s="99" t="s">
        <v>3411</v>
      </c>
      <c r="BC510" s="125">
        <v>52</v>
      </c>
      <c r="BD510" s="99" t="s">
        <v>3135</v>
      </c>
      <c r="BE510" s="99" t="s">
        <v>3136</v>
      </c>
    </row>
    <row r="511" spans="1:57" ht="12.95" customHeight="1">
      <c r="A511" s="124">
        <v>15</v>
      </c>
      <c r="B511" s="124">
        <v>2246</v>
      </c>
      <c r="C511" s="99" t="s">
        <v>165</v>
      </c>
      <c r="D511" s="99" t="s">
        <v>1477</v>
      </c>
      <c r="E511" s="99" t="s">
        <v>1478</v>
      </c>
      <c r="F511" s="99" t="s">
        <v>74</v>
      </c>
      <c r="G511" s="99" t="s">
        <v>75</v>
      </c>
      <c r="H511" s="99" t="s">
        <v>4557</v>
      </c>
      <c r="I511" s="99" t="s">
        <v>1934</v>
      </c>
      <c r="J511" s="99" t="s">
        <v>1954</v>
      </c>
      <c r="K511" s="99" t="s">
        <v>1024</v>
      </c>
      <c r="L511" s="99" t="s">
        <v>1955</v>
      </c>
      <c r="M511" s="99" t="s">
        <v>5</v>
      </c>
      <c r="N511" s="99" t="s">
        <v>3407</v>
      </c>
      <c r="O511" s="99" t="s">
        <v>114</v>
      </c>
      <c r="P511" s="99" t="s">
        <v>3422</v>
      </c>
      <c r="Q511" s="99" t="s">
        <v>169</v>
      </c>
      <c r="R511" s="99" t="s">
        <v>71</v>
      </c>
      <c r="S511" s="99" t="s">
        <v>2691</v>
      </c>
      <c r="T511" s="99" t="s">
        <v>49</v>
      </c>
      <c r="U511" s="99" t="s">
        <v>1519</v>
      </c>
      <c r="V511" s="99" t="s">
        <v>56</v>
      </c>
      <c r="W511" s="99" t="s">
        <v>3620</v>
      </c>
      <c r="X511" s="99" t="s">
        <v>3620</v>
      </c>
      <c r="Y511" s="99" t="s">
        <v>4571</v>
      </c>
      <c r="Z511" s="99" t="s">
        <v>172</v>
      </c>
      <c r="AA511" s="99" t="s">
        <v>173</v>
      </c>
      <c r="AB511" s="99" t="s">
        <v>174</v>
      </c>
      <c r="AC511" s="99" t="s">
        <v>3411</v>
      </c>
      <c r="AD511" s="99" t="s">
        <v>175</v>
      </c>
      <c r="AE511" s="99" t="s">
        <v>3411</v>
      </c>
      <c r="AF511" s="99" t="s">
        <v>3411</v>
      </c>
      <c r="AG511" s="124">
        <v>537</v>
      </c>
      <c r="AH511" s="99" t="s">
        <v>3413</v>
      </c>
      <c r="AI511" s="125">
        <v>100</v>
      </c>
      <c r="AJ511" s="99" t="s">
        <v>176</v>
      </c>
      <c r="AK511" s="99" t="s">
        <v>3620</v>
      </c>
      <c r="AL511" s="99" t="s">
        <v>3411</v>
      </c>
      <c r="AM511" s="99" t="s">
        <v>177</v>
      </c>
      <c r="AN511" s="99" t="s">
        <v>3411</v>
      </c>
      <c r="AO511" s="99" t="s">
        <v>1482</v>
      </c>
      <c r="AP511" s="99" t="s">
        <v>2611</v>
      </c>
      <c r="AQ511" s="99" t="s">
        <v>99</v>
      </c>
      <c r="AR511" s="99" t="s">
        <v>1010</v>
      </c>
      <c r="AS511" s="99" t="s">
        <v>1956</v>
      </c>
      <c r="AT511" s="99" t="s">
        <v>190</v>
      </c>
      <c r="AU511" s="99" t="s">
        <v>191</v>
      </c>
      <c r="AV511" s="99" t="s">
        <v>3581</v>
      </c>
      <c r="AW511" s="99" t="s">
        <v>529</v>
      </c>
      <c r="AX511" s="99" t="s">
        <v>3420</v>
      </c>
      <c r="AY511" s="99" t="s">
        <v>252</v>
      </c>
      <c r="AZ511" s="99" t="s">
        <v>3416</v>
      </c>
      <c r="BA511" s="99" t="s">
        <v>4313</v>
      </c>
      <c r="BB511" s="99" t="s">
        <v>3411</v>
      </c>
      <c r="BC511" s="125">
        <v>59</v>
      </c>
      <c r="BD511" s="99" t="s">
        <v>3135</v>
      </c>
      <c r="BE511" s="99" t="s">
        <v>3136</v>
      </c>
    </row>
    <row r="512" spans="1:57" ht="12.95" customHeight="1">
      <c r="A512" s="124">
        <v>15</v>
      </c>
      <c r="B512" s="124">
        <v>2331</v>
      </c>
      <c r="C512" s="99" t="s">
        <v>165</v>
      </c>
      <c r="D512" s="99" t="s">
        <v>1477</v>
      </c>
      <c r="E512" s="99" t="s">
        <v>1478</v>
      </c>
      <c r="F512" s="99" t="s">
        <v>74</v>
      </c>
      <c r="G512" s="99" t="s">
        <v>75</v>
      </c>
      <c r="H512" s="99" t="s">
        <v>4557</v>
      </c>
      <c r="I512" s="99" t="s">
        <v>1934</v>
      </c>
      <c r="J512" s="99" t="s">
        <v>1957</v>
      </c>
      <c r="K512" s="99" t="s">
        <v>370</v>
      </c>
      <c r="L512" s="99" t="s">
        <v>1958</v>
      </c>
      <c r="M512" s="99" t="s">
        <v>5</v>
      </c>
      <c r="N512" s="99" t="s">
        <v>3407</v>
      </c>
      <c r="O512" s="99" t="s">
        <v>114</v>
      </c>
      <c r="P512" s="99" t="s">
        <v>3422</v>
      </c>
      <c r="Q512" s="99" t="s">
        <v>169</v>
      </c>
      <c r="R512" s="99" t="s">
        <v>71</v>
      </c>
      <c r="S512" s="99" t="s">
        <v>2691</v>
      </c>
      <c r="T512" s="99" t="s">
        <v>49</v>
      </c>
      <c r="U512" s="99" t="s">
        <v>1492</v>
      </c>
      <c r="V512" s="99" t="s">
        <v>55</v>
      </c>
      <c r="W512" s="99" t="s">
        <v>4572</v>
      </c>
      <c r="X512" s="99" t="s">
        <v>4572</v>
      </c>
      <c r="Y512" s="99" t="s">
        <v>4573</v>
      </c>
      <c r="Z512" s="99" t="s">
        <v>172</v>
      </c>
      <c r="AA512" s="99" t="s">
        <v>173</v>
      </c>
      <c r="AB512" s="99" t="s">
        <v>174</v>
      </c>
      <c r="AC512" s="99" t="s">
        <v>3411</v>
      </c>
      <c r="AD512" s="99" t="s">
        <v>175</v>
      </c>
      <c r="AE512" s="99" t="s">
        <v>3411</v>
      </c>
      <c r="AF512" s="99" t="s">
        <v>3411</v>
      </c>
      <c r="AG512" s="124">
        <v>571</v>
      </c>
      <c r="AH512" s="99" t="s">
        <v>3413</v>
      </c>
      <c r="AI512" s="125">
        <v>100</v>
      </c>
      <c r="AJ512" s="99" t="s">
        <v>176</v>
      </c>
      <c r="AK512" s="99" t="s">
        <v>4572</v>
      </c>
      <c r="AL512" s="99" t="s">
        <v>3411</v>
      </c>
      <c r="AM512" s="99" t="s">
        <v>177</v>
      </c>
      <c r="AN512" s="99" t="s">
        <v>3411</v>
      </c>
      <c r="AO512" s="99" t="s">
        <v>1482</v>
      </c>
      <c r="AP512" s="99" t="s">
        <v>2611</v>
      </c>
      <c r="AQ512" s="99" t="s">
        <v>99</v>
      </c>
      <c r="AR512" s="99" t="s">
        <v>1010</v>
      </c>
      <c r="AS512" s="99" t="s">
        <v>1959</v>
      </c>
      <c r="AT512" s="99" t="s">
        <v>190</v>
      </c>
      <c r="AU512" s="99" t="s">
        <v>191</v>
      </c>
      <c r="AV512" s="99" t="s">
        <v>3581</v>
      </c>
      <c r="AW512" s="99" t="s">
        <v>529</v>
      </c>
      <c r="AX512" s="99" t="s">
        <v>3420</v>
      </c>
      <c r="AY512" s="99" t="s">
        <v>252</v>
      </c>
      <c r="AZ512" s="99" t="s">
        <v>3416</v>
      </c>
      <c r="BA512" s="99" t="s">
        <v>4313</v>
      </c>
      <c r="BB512" s="99" t="s">
        <v>3411</v>
      </c>
      <c r="BC512" s="125">
        <v>46</v>
      </c>
      <c r="BD512" s="99" t="s">
        <v>3135</v>
      </c>
      <c r="BE512" s="99" t="s">
        <v>3136</v>
      </c>
    </row>
    <row r="513" spans="1:57" ht="12.95" customHeight="1">
      <c r="A513" s="124">
        <v>15</v>
      </c>
      <c r="B513" s="124">
        <v>2138</v>
      </c>
      <c r="C513" s="99" t="s">
        <v>165</v>
      </c>
      <c r="D513" s="99" t="s">
        <v>1477</v>
      </c>
      <c r="E513" s="99" t="s">
        <v>1478</v>
      </c>
      <c r="F513" s="99" t="s">
        <v>74</v>
      </c>
      <c r="G513" s="99" t="s">
        <v>75</v>
      </c>
      <c r="H513" s="99" t="s">
        <v>4557</v>
      </c>
      <c r="I513" s="99" t="s">
        <v>1934</v>
      </c>
      <c r="J513" s="99" t="s">
        <v>1964</v>
      </c>
      <c r="K513" s="99" t="s">
        <v>1965</v>
      </c>
      <c r="L513" s="99" t="s">
        <v>1966</v>
      </c>
      <c r="M513" s="99" t="s">
        <v>5</v>
      </c>
      <c r="N513" s="99" t="s">
        <v>3407</v>
      </c>
      <c r="O513" s="99" t="s">
        <v>114</v>
      </c>
      <c r="P513" s="99" t="s">
        <v>3422</v>
      </c>
      <c r="Q513" s="99" t="s">
        <v>169</v>
      </c>
      <c r="R513" s="99" t="s">
        <v>71</v>
      </c>
      <c r="S513" s="99" t="s">
        <v>2691</v>
      </c>
      <c r="T513" s="99" t="s">
        <v>49</v>
      </c>
      <c r="U513" s="99" t="s">
        <v>1492</v>
      </c>
      <c r="V513" s="99" t="s">
        <v>55</v>
      </c>
      <c r="W513" s="99" t="s">
        <v>4429</v>
      </c>
      <c r="X513" s="99" t="s">
        <v>4429</v>
      </c>
      <c r="Y513" s="99" t="s">
        <v>4574</v>
      </c>
      <c r="Z513" s="99" t="s">
        <v>172</v>
      </c>
      <c r="AA513" s="99" t="s">
        <v>173</v>
      </c>
      <c r="AB513" s="99" t="s">
        <v>174</v>
      </c>
      <c r="AC513" s="99" t="s">
        <v>3411</v>
      </c>
      <c r="AD513" s="99" t="s">
        <v>175</v>
      </c>
      <c r="AE513" s="99" t="s">
        <v>3411</v>
      </c>
      <c r="AF513" s="99" t="s">
        <v>3411</v>
      </c>
      <c r="AG513" s="124">
        <v>494</v>
      </c>
      <c r="AH513" s="99" t="s">
        <v>3413</v>
      </c>
      <c r="AI513" s="125">
        <v>100</v>
      </c>
      <c r="AJ513" s="99" t="s">
        <v>176</v>
      </c>
      <c r="AK513" s="99" t="s">
        <v>4429</v>
      </c>
      <c r="AL513" s="99" t="s">
        <v>3411</v>
      </c>
      <c r="AM513" s="99" t="s">
        <v>177</v>
      </c>
      <c r="AN513" s="99" t="s">
        <v>3411</v>
      </c>
      <c r="AO513" s="99" t="s">
        <v>1482</v>
      </c>
      <c r="AP513" s="99" t="s">
        <v>2611</v>
      </c>
      <c r="AQ513" s="99" t="s">
        <v>99</v>
      </c>
      <c r="AR513" s="99" t="s">
        <v>3411</v>
      </c>
      <c r="AS513" s="99" t="s">
        <v>1967</v>
      </c>
      <c r="AT513" s="99" t="s">
        <v>190</v>
      </c>
      <c r="AU513" s="99" t="s">
        <v>191</v>
      </c>
      <c r="AV513" s="99" t="s">
        <v>3581</v>
      </c>
      <c r="AW513" s="99" t="s">
        <v>529</v>
      </c>
      <c r="AX513" s="99" t="s">
        <v>3420</v>
      </c>
      <c r="AY513" s="99" t="s">
        <v>252</v>
      </c>
      <c r="AZ513" s="99" t="s">
        <v>3416</v>
      </c>
      <c r="BA513" s="99" t="s">
        <v>4313</v>
      </c>
      <c r="BB513" s="99" t="s">
        <v>3411</v>
      </c>
      <c r="BC513" s="125">
        <v>49</v>
      </c>
      <c r="BD513" s="99" t="s">
        <v>3135</v>
      </c>
      <c r="BE513" s="99" t="s">
        <v>3136</v>
      </c>
    </row>
    <row r="514" spans="1:57" ht="12.95" customHeight="1">
      <c r="A514" s="124">
        <v>15</v>
      </c>
      <c r="B514" s="124">
        <v>2058</v>
      </c>
      <c r="C514" s="99" t="s">
        <v>165</v>
      </c>
      <c r="D514" s="99" t="s">
        <v>1477</v>
      </c>
      <c r="E514" s="99" t="s">
        <v>1478</v>
      </c>
      <c r="F514" s="99" t="s">
        <v>74</v>
      </c>
      <c r="G514" s="99" t="s">
        <v>75</v>
      </c>
      <c r="H514" s="99" t="s">
        <v>4557</v>
      </c>
      <c r="I514" s="99" t="s">
        <v>1934</v>
      </c>
      <c r="J514" s="99" t="s">
        <v>1968</v>
      </c>
      <c r="K514" s="99" t="s">
        <v>275</v>
      </c>
      <c r="L514" s="99" t="s">
        <v>1969</v>
      </c>
      <c r="M514" s="99" t="s">
        <v>5</v>
      </c>
      <c r="N514" s="99" t="s">
        <v>3407</v>
      </c>
      <c r="O514" s="99" t="s">
        <v>114</v>
      </c>
      <c r="P514" s="99" t="s">
        <v>3422</v>
      </c>
      <c r="Q514" s="99" t="s">
        <v>169</v>
      </c>
      <c r="R514" s="99" t="s">
        <v>71</v>
      </c>
      <c r="S514" s="99" t="s">
        <v>2691</v>
      </c>
      <c r="T514" s="99" t="s">
        <v>49</v>
      </c>
      <c r="U514" s="99" t="s">
        <v>1008</v>
      </c>
      <c r="V514" s="99" t="s">
        <v>53</v>
      </c>
      <c r="W514" s="99" t="s">
        <v>4331</v>
      </c>
      <c r="X514" s="99" t="s">
        <v>4331</v>
      </c>
      <c r="Y514" s="99" t="s">
        <v>4575</v>
      </c>
      <c r="Z514" s="99" t="s">
        <v>172</v>
      </c>
      <c r="AA514" s="99" t="s">
        <v>173</v>
      </c>
      <c r="AB514" s="99" t="s">
        <v>174</v>
      </c>
      <c r="AC514" s="99" t="s">
        <v>3411</v>
      </c>
      <c r="AD514" s="99" t="s">
        <v>175</v>
      </c>
      <c r="AE514" s="99" t="s">
        <v>3411</v>
      </c>
      <c r="AF514" s="99" t="s">
        <v>3411</v>
      </c>
      <c r="AG514" s="124">
        <v>456</v>
      </c>
      <c r="AH514" s="99" t="s">
        <v>3413</v>
      </c>
      <c r="AI514" s="125">
        <v>100</v>
      </c>
      <c r="AJ514" s="99" t="s">
        <v>176</v>
      </c>
      <c r="AK514" s="99" t="s">
        <v>4331</v>
      </c>
      <c r="AL514" s="99" t="s">
        <v>3411</v>
      </c>
      <c r="AM514" s="99" t="s">
        <v>177</v>
      </c>
      <c r="AN514" s="99" t="s">
        <v>3411</v>
      </c>
      <c r="AO514" s="99" t="s">
        <v>1482</v>
      </c>
      <c r="AP514" s="99" t="s">
        <v>2611</v>
      </c>
      <c r="AQ514" s="99" t="s">
        <v>99</v>
      </c>
      <c r="AR514" s="99" t="s">
        <v>1010</v>
      </c>
      <c r="AS514" s="99" t="s">
        <v>1970</v>
      </c>
      <c r="AT514" s="99" t="s">
        <v>190</v>
      </c>
      <c r="AU514" s="99" t="s">
        <v>191</v>
      </c>
      <c r="AV514" s="99" t="s">
        <v>3581</v>
      </c>
      <c r="AW514" s="99" t="s">
        <v>529</v>
      </c>
      <c r="AX514" s="99" t="s">
        <v>3420</v>
      </c>
      <c r="AY514" s="99" t="s">
        <v>252</v>
      </c>
      <c r="AZ514" s="99" t="s">
        <v>3416</v>
      </c>
      <c r="BA514" s="99" t="s">
        <v>4313</v>
      </c>
      <c r="BB514" s="99" t="s">
        <v>3411</v>
      </c>
      <c r="BC514" s="125">
        <v>62</v>
      </c>
      <c r="BD514" s="99" t="s">
        <v>3135</v>
      </c>
      <c r="BE514" s="99" t="s">
        <v>3136</v>
      </c>
    </row>
    <row r="515" spans="1:57" ht="12.95" customHeight="1">
      <c r="A515" s="124">
        <v>15</v>
      </c>
      <c r="B515" s="124">
        <v>2923</v>
      </c>
      <c r="C515" s="99" t="s">
        <v>165</v>
      </c>
      <c r="D515" s="99" t="s">
        <v>1477</v>
      </c>
      <c r="E515" s="99" t="s">
        <v>1478</v>
      </c>
      <c r="F515" s="99" t="s">
        <v>74</v>
      </c>
      <c r="G515" s="99" t="s">
        <v>75</v>
      </c>
      <c r="H515" s="99" t="s">
        <v>4557</v>
      </c>
      <c r="I515" s="99" t="s">
        <v>1934</v>
      </c>
      <c r="J515" s="99" t="s">
        <v>1971</v>
      </c>
      <c r="K515" s="99" t="s">
        <v>832</v>
      </c>
      <c r="L515" s="99" t="s">
        <v>1972</v>
      </c>
      <c r="M515" s="99" t="s">
        <v>5</v>
      </c>
      <c r="N515" s="99" t="s">
        <v>3407</v>
      </c>
      <c r="O515" s="99" t="s">
        <v>114</v>
      </c>
      <c r="P515" s="99" t="s">
        <v>4576</v>
      </c>
      <c r="Q515" s="99" t="s">
        <v>169</v>
      </c>
      <c r="R515" s="99" t="s">
        <v>71</v>
      </c>
      <c r="S515" s="99" t="s">
        <v>2691</v>
      </c>
      <c r="T515" s="99" t="s">
        <v>49</v>
      </c>
      <c r="U515" s="99" t="s">
        <v>1492</v>
      </c>
      <c r="V515" s="99" t="s">
        <v>55</v>
      </c>
      <c r="W515" s="99" t="s">
        <v>4577</v>
      </c>
      <c r="X515" s="99" t="s">
        <v>4577</v>
      </c>
      <c r="Y515" s="99" t="s">
        <v>4578</v>
      </c>
      <c r="Z515" s="99" t="s">
        <v>172</v>
      </c>
      <c r="AA515" s="99" t="s">
        <v>173</v>
      </c>
      <c r="AB515" s="99" t="s">
        <v>174</v>
      </c>
      <c r="AC515" s="99" t="s">
        <v>3411</v>
      </c>
      <c r="AD515" s="99" t="s">
        <v>175</v>
      </c>
      <c r="AE515" s="99" t="s">
        <v>3411</v>
      </c>
      <c r="AF515" s="99" t="s">
        <v>3411</v>
      </c>
      <c r="AG515" s="124">
        <v>2923</v>
      </c>
      <c r="AH515" s="99" t="s">
        <v>3413</v>
      </c>
      <c r="AI515" s="125">
        <v>100</v>
      </c>
      <c r="AJ515" s="99" t="s">
        <v>176</v>
      </c>
      <c r="AK515" s="99" t="s">
        <v>4577</v>
      </c>
      <c r="AL515" s="99" t="s">
        <v>3411</v>
      </c>
      <c r="AM515" s="99" t="s">
        <v>177</v>
      </c>
      <c r="AN515" s="99" t="s">
        <v>3411</v>
      </c>
      <c r="AO515" s="99" t="s">
        <v>1481</v>
      </c>
      <c r="AP515" s="99" t="s">
        <v>2424</v>
      </c>
      <c r="AQ515" s="99" t="s">
        <v>90</v>
      </c>
      <c r="AR515" s="99" t="s">
        <v>3411</v>
      </c>
      <c r="AS515" s="99" t="s">
        <v>1973</v>
      </c>
      <c r="AT515" s="99" t="s">
        <v>190</v>
      </c>
      <c r="AU515" s="99" t="s">
        <v>191</v>
      </c>
      <c r="AV515" s="99" t="s">
        <v>3581</v>
      </c>
      <c r="AW515" s="99" t="s">
        <v>529</v>
      </c>
      <c r="AX515" s="99" t="s">
        <v>3420</v>
      </c>
      <c r="AY515" s="99" t="s">
        <v>252</v>
      </c>
      <c r="AZ515" s="99" t="s">
        <v>3416</v>
      </c>
      <c r="BA515" s="99" t="s">
        <v>520</v>
      </c>
      <c r="BB515" s="99" t="s">
        <v>3411</v>
      </c>
      <c r="BC515" s="125">
        <v>35</v>
      </c>
      <c r="BD515" s="99" t="s">
        <v>3135</v>
      </c>
      <c r="BE515" s="99" t="s">
        <v>3136</v>
      </c>
    </row>
    <row r="516" spans="1:57" ht="12.95" customHeight="1">
      <c r="A516" s="124">
        <v>15</v>
      </c>
      <c r="B516" s="124">
        <v>2376</v>
      </c>
      <c r="C516" s="99" t="s">
        <v>165</v>
      </c>
      <c r="D516" s="99" t="s">
        <v>1477</v>
      </c>
      <c r="E516" s="99" t="s">
        <v>1478</v>
      </c>
      <c r="F516" s="99" t="s">
        <v>74</v>
      </c>
      <c r="G516" s="99" t="s">
        <v>75</v>
      </c>
      <c r="H516" s="99" t="s">
        <v>4557</v>
      </c>
      <c r="I516" s="99" t="s">
        <v>1934</v>
      </c>
      <c r="J516" s="99" t="s">
        <v>1974</v>
      </c>
      <c r="K516" s="99" t="s">
        <v>1145</v>
      </c>
      <c r="L516" s="99" t="s">
        <v>1975</v>
      </c>
      <c r="M516" s="99" t="s">
        <v>1</v>
      </c>
      <c r="N516" s="99" t="s">
        <v>3407</v>
      </c>
      <c r="O516" s="99" t="s">
        <v>114</v>
      </c>
      <c r="P516" s="99" t="s">
        <v>3422</v>
      </c>
      <c r="Q516" s="99" t="s">
        <v>169</v>
      </c>
      <c r="R516" s="99" t="s">
        <v>71</v>
      </c>
      <c r="S516" s="99" t="s">
        <v>2691</v>
      </c>
      <c r="T516" s="99" t="s">
        <v>49</v>
      </c>
      <c r="U516" s="99" t="s">
        <v>1492</v>
      </c>
      <c r="V516" s="99" t="s">
        <v>55</v>
      </c>
      <c r="W516" s="99" t="s">
        <v>4545</v>
      </c>
      <c r="X516" s="99" t="s">
        <v>4545</v>
      </c>
      <c r="Y516" s="99" t="s">
        <v>4579</v>
      </c>
      <c r="Z516" s="99" t="s">
        <v>172</v>
      </c>
      <c r="AA516" s="99" t="s">
        <v>173</v>
      </c>
      <c r="AB516" s="99" t="s">
        <v>174</v>
      </c>
      <c r="AC516" s="99" t="s">
        <v>3411</v>
      </c>
      <c r="AD516" s="99" t="s">
        <v>175</v>
      </c>
      <c r="AE516" s="99" t="s">
        <v>3411</v>
      </c>
      <c r="AF516" s="99" t="s">
        <v>3411</v>
      </c>
      <c r="AG516" s="124">
        <v>584</v>
      </c>
      <c r="AH516" s="99" t="s">
        <v>3413</v>
      </c>
      <c r="AI516" s="125">
        <v>100</v>
      </c>
      <c r="AJ516" s="99" t="s">
        <v>176</v>
      </c>
      <c r="AK516" s="99" t="s">
        <v>4545</v>
      </c>
      <c r="AL516" s="99" t="s">
        <v>3411</v>
      </c>
      <c r="AM516" s="99" t="s">
        <v>177</v>
      </c>
      <c r="AN516" s="99" t="s">
        <v>3411</v>
      </c>
      <c r="AO516" s="99" t="s">
        <v>1482</v>
      </c>
      <c r="AP516" s="99" t="s">
        <v>2611</v>
      </c>
      <c r="AQ516" s="99" t="s">
        <v>99</v>
      </c>
      <c r="AR516" s="99" t="s">
        <v>3411</v>
      </c>
      <c r="AS516" s="99" t="s">
        <v>1976</v>
      </c>
      <c r="AT516" s="99" t="s">
        <v>190</v>
      </c>
      <c r="AU516" s="99" t="s">
        <v>191</v>
      </c>
      <c r="AV516" s="99" t="s">
        <v>3581</v>
      </c>
      <c r="AW516" s="99" t="s">
        <v>529</v>
      </c>
      <c r="AX516" s="99" t="s">
        <v>3420</v>
      </c>
      <c r="AY516" s="99" t="s">
        <v>252</v>
      </c>
      <c r="AZ516" s="99" t="s">
        <v>3416</v>
      </c>
      <c r="BA516" s="99" t="s">
        <v>4313</v>
      </c>
      <c r="BB516" s="99" t="s">
        <v>3411</v>
      </c>
      <c r="BC516" s="125">
        <v>48</v>
      </c>
      <c r="BD516" s="99" t="s">
        <v>3135</v>
      </c>
      <c r="BE516" s="99" t="s">
        <v>3136</v>
      </c>
    </row>
    <row r="517" spans="1:57" ht="12.95" customHeight="1">
      <c r="A517" s="124">
        <v>15</v>
      </c>
      <c r="B517" s="124">
        <v>2056</v>
      </c>
      <c r="C517" s="99" t="s">
        <v>165</v>
      </c>
      <c r="D517" s="99" t="s">
        <v>1477</v>
      </c>
      <c r="E517" s="99" t="s">
        <v>1478</v>
      </c>
      <c r="F517" s="99" t="s">
        <v>74</v>
      </c>
      <c r="G517" s="99" t="s">
        <v>75</v>
      </c>
      <c r="H517" s="99" t="s">
        <v>4557</v>
      </c>
      <c r="I517" s="99" t="s">
        <v>1934</v>
      </c>
      <c r="J517" s="99" t="s">
        <v>1977</v>
      </c>
      <c r="K517" s="99" t="s">
        <v>1566</v>
      </c>
      <c r="L517" s="99" t="s">
        <v>1978</v>
      </c>
      <c r="M517" s="99" t="s">
        <v>5</v>
      </c>
      <c r="N517" s="99" t="s">
        <v>3407</v>
      </c>
      <c r="O517" s="99" t="s">
        <v>114</v>
      </c>
      <c r="P517" s="99" t="s">
        <v>3422</v>
      </c>
      <c r="Q517" s="99" t="s">
        <v>169</v>
      </c>
      <c r="R517" s="99" t="s">
        <v>71</v>
      </c>
      <c r="S517" s="99" t="s">
        <v>2691</v>
      </c>
      <c r="T517" s="99" t="s">
        <v>49</v>
      </c>
      <c r="U517" s="99" t="s">
        <v>1663</v>
      </c>
      <c r="V517" s="99" t="s">
        <v>57</v>
      </c>
      <c r="W517" s="99" t="s">
        <v>4331</v>
      </c>
      <c r="X517" s="99" t="s">
        <v>4331</v>
      </c>
      <c r="Y517" s="99" t="s">
        <v>4580</v>
      </c>
      <c r="Z517" s="99" t="s">
        <v>172</v>
      </c>
      <c r="AA517" s="99" t="s">
        <v>173</v>
      </c>
      <c r="AB517" s="99" t="s">
        <v>174</v>
      </c>
      <c r="AC517" s="99" t="s">
        <v>3411</v>
      </c>
      <c r="AD517" s="99" t="s">
        <v>175</v>
      </c>
      <c r="AE517" s="99" t="s">
        <v>3411</v>
      </c>
      <c r="AF517" s="99" t="s">
        <v>3411</v>
      </c>
      <c r="AG517" s="124">
        <v>454</v>
      </c>
      <c r="AH517" s="99" t="s">
        <v>3413</v>
      </c>
      <c r="AI517" s="125">
        <v>100</v>
      </c>
      <c r="AJ517" s="99" t="s">
        <v>176</v>
      </c>
      <c r="AK517" s="99" t="s">
        <v>4331</v>
      </c>
      <c r="AL517" s="99" t="s">
        <v>3411</v>
      </c>
      <c r="AM517" s="99" t="s">
        <v>177</v>
      </c>
      <c r="AN517" s="99" t="s">
        <v>3411</v>
      </c>
      <c r="AO517" s="99" t="s">
        <v>1482</v>
      </c>
      <c r="AP517" s="99" t="s">
        <v>2611</v>
      </c>
      <c r="AQ517" s="99" t="s">
        <v>99</v>
      </c>
      <c r="AR517" s="99" t="s">
        <v>1010</v>
      </c>
      <c r="AS517" s="99" t="s">
        <v>1979</v>
      </c>
      <c r="AT517" s="99" t="s">
        <v>190</v>
      </c>
      <c r="AU517" s="99" t="s">
        <v>191</v>
      </c>
      <c r="AV517" s="99" t="s">
        <v>3581</v>
      </c>
      <c r="AW517" s="99" t="s">
        <v>529</v>
      </c>
      <c r="AX517" s="99" t="s">
        <v>3411</v>
      </c>
      <c r="AY517" s="99" t="s">
        <v>3411</v>
      </c>
      <c r="AZ517" s="99" t="s">
        <v>3411</v>
      </c>
      <c r="BA517" s="99" t="s">
        <v>4313</v>
      </c>
      <c r="BB517" s="99" t="s">
        <v>3411</v>
      </c>
      <c r="BC517" s="125">
        <v>58</v>
      </c>
      <c r="BD517" s="99" t="s">
        <v>3135</v>
      </c>
      <c r="BE517" s="99" t="s">
        <v>3136</v>
      </c>
    </row>
    <row r="518" spans="1:57" ht="12.95" customHeight="1">
      <c r="A518" s="124">
        <v>15</v>
      </c>
      <c r="B518" s="124">
        <v>3089</v>
      </c>
      <c r="C518" s="99" t="s">
        <v>165</v>
      </c>
      <c r="D518" s="99" t="s">
        <v>1477</v>
      </c>
      <c r="E518" s="99" t="s">
        <v>1478</v>
      </c>
      <c r="F518" s="99" t="s">
        <v>74</v>
      </c>
      <c r="G518" s="99" t="s">
        <v>75</v>
      </c>
      <c r="H518" s="99" t="s">
        <v>4557</v>
      </c>
      <c r="I518" s="99" t="s">
        <v>1934</v>
      </c>
      <c r="J518" s="99" t="s">
        <v>2956</v>
      </c>
      <c r="K518" s="99" t="s">
        <v>668</v>
      </c>
      <c r="L518" s="99" t="s">
        <v>2957</v>
      </c>
      <c r="M518" s="99" t="s">
        <v>1</v>
      </c>
      <c r="N518" s="99" t="s">
        <v>3407</v>
      </c>
      <c r="O518" s="99" t="s">
        <v>114</v>
      </c>
      <c r="P518" s="99" t="s">
        <v>4581</v>
      </c>
      <c r="Q518" s="99" t="s">
        <v>169</v>
      </c>
      <c r="R518" s="99" t="s">
        <v>71</v>
      </c>
      <c r="S518" s="99" t="s">
        <v>2691</v>
      </c>
      <c r="T518" s="99" t="s">
        <v>49</v>
      </c>
      <c r="U518" s="99" t="s">
        <v>2968</v>
      </c>
      <c r="V518" s="99" t="s">
        <v>2969</v>
      </c>
      <c r="W518" s="99" t="s">
        <v>4581</v>
      </c>
      <c r="X518" s="99" t="s">
        <v>4581</v>
      </c>
      <c r="Y518" s="99" t="s">
        <v>4582</v>
      </c>
      <c r="Z518" s="99" t="s">
        <v>172</v>
      </c>
      <c r="AA518" s="99" t="s">
        <v>173</v>
      </c>
      <c r="AB518" s="99" t="s">
        <v>174</v>
      </c>
      <c r="AC518" s="99" t="s">
        <v>3411</v>
      </c>
      <c r="AD518" s="99" t="s">
        <v>175</v>
      </c>
      <c r="AE518" s="99" t="s">
        <v>3411</v>
      </c>
      <c r="AF518" s="99" t="s">
        <v>3411</v>
      </c>
      <c r="AG518" s="124">
        <v>3089</v>
      </c>
      <c r="AH518" s="99" t="s">
        <v>3413</v>
      </c>
      <c r="AI518" s="125">
        <v>100</v>
      </c>
      <c r="AJ518" s="99" t="s">
        <v>176</v>
      </c>
      <c r="AK518" s="99" t="s">
        <v>4581</v>
      </c>
      <c r="AL518" s="99" t="s">
        <v>3411</v>
      </c>
      <c r="AM518" s="99" t="s">
        <v>177</v>
      </c>
      <c r="AN518" s="99" t="s">
        <v>3411</v>
      </c>
      <c r="AO518" s="99" t="s">
        <v>1481</v>
      </c>
      <c r="AP518" s="99" t="s">
        <v>2570</v>
      </c>
      <c r="AQ518" s="99" t="s">
        <v>3411</v>
      </c>
      <c r="AR518" s="99" t="s">
        <v>3411</v>
      </c>
      <c r="AS518" s="99" t="s">
        <v>2958</v>
      </c>
      <c r="AT518" s="99" t="s">
        <v>190</v>
      </c>
      <c r="AU518" s="99" t="s">
        <v>191</v>
      </c>
      <c r="AV518" s="99" t="s">
        <v>3570</v>
      </c>
      <c r="AW518" s="99" t="s">
        <v>406</v>
      </c>
      <c r="AX518" s="99" t="s">
        <v>3411</v>
      </c>
      <c r="AY518" s="99" t="s">
        <v>3411</v>
      </c>
      <c r="AZ518" s="99" t="s">
        <v>3411</v>
      </c>
      <c r="BA518" s="99" t="s">
        <v>520</v>
      </c>
      <c r="BB518" s="99" t="s">
        <v>3411</v>
      </c>
      <c r="BC518" s="125">
        <v>28</v>
      </c>
      <c r="BD518" s="99" t="s">
        <v>3135</v>
      </c>
      <c r="BE518" s="99" t="s">
        <v>3136</v>
      </c>
    </row>
    <row r="519" spans="1:57" ht="12.95" customHeight="1">
      <c r="A519" s="124">
        <v>15</v>
      </c>
      <c r="B519" s="124">
        <v>1279</v>
      </c>
      <c r="C519" s="99" t="s">
        <v>165</v>
      </c>
      <c r="D519" s="99" t="s">
        <v>1477</v>
      </c>
      <c r="E519" s="99" t="s">
        <v>1478</v>
      </c>
      <c r="F519" s="99" t="s">
        <v>74</v>
      </c>
      <c r="G519" s="99" t="s">
        <v>75</v>
      </c>
      <c r="H519" s="99" t="s">
        <v>4557</v>
      </c>
      <c r="I519" s="99" t="s">
        <v>1934</v>
      </c>
      <c r="J519" s="99" t="s">
        <v>1980</v>
      </c>
      <c r="K519" s="99" t="s">
        <v>1981</v>
      </c>
      <c r="L519" s="99" t="s">
        <v>1982</v>
      </c>
      <c r="M519" s="99" t="s">
        <v>5</v>
      </c>
      <c r="N519" s="99" t="s">
        <v>3407</v>
      </c>
      <c r="O519" s="99" t="s">
        <v>114</v>
      </c>
      <c r="P519" s="99" t="s">
        <v>3422</v>
      </c>
      <c r="Q519" s="99" t="s">
        <v>169</v>
      </c>
      <c r="R519" s="99" t="s">
        <v>71</v>
      </c>
      <c r="S519" s="99" t="s">
        <v>2691</v>
      </c>
      <c r="T519" s="99" t="s">
        <v>49</v>
      </c>
      <c r="U519" s="99" t="s">
        <v>1519</v>
      </c>
      <c r="V519" s="99" t="s">
        <v>56</v>
      </c>
      <c r="W519" s="99" t="s">
        <v>4583</v>
      </c>
      <c r="X519" s="99" t="s">
        <v>4583</v>
      </c>
      <c r="Y519" s="99" t="s">
        <v>4584</v>
      </c>
      <c r="Z519" s="99" t="s">
        <v>172</v>
      </c>
      <c r="AA519" s="99" t="s">
        <v>173</v>
      </c>
      <c r="AB519" s="99" t="s">
        <v>174</v>
      </c>
      <c r="AC519" s="99" t="s">
        <v>3411</v>
      </c>
      <c r="AD519" s="99" t="s">
        <v>175</v>
      </c>
      <c r="AE519" s="99" t="s">
        <v>3411</v>
      </c>
      <c r="AF519" s="99" t="s">
        <v>3411</v>
      </c>
      <c r="AG519" s="124">
        <v>271</v>
      </c>
      <c r="AH519" s="99" t="s">
        <v>3413</v>
      </c>
      <c r="AI519" s="125">
        <v>100</v>
      </c>
      <c r="AJ519" s="99" t="s">
        <v>176</v>
      </c>
      <c r="AK519" s="99" t="s">
        <v>4583</v>
      </c>
      <c r="AL519" s="99" t="s">
        <v>3411</v>
      </c>
      <c r="AM519" s="99" t="s">
        <v>177</v>
      </c>
      <c r="AN519" s="99" t="s">
        <v>3411</v>
      </c>
      <c r="AO519" s="99" t="s">
        <v>1482</v>
      </c>
      <c r="AP519" s="99" t="s">
        <v>2611</v>
      </c>
      <c r="AQ519" s="99" t="s">
        <v>99</v>
      </c>
      <c r="AR519" s="99" t="s">
        <v>1010</v>
      </c>
      <c r="AS519" s="99" t="s">
        <v>1983</v>
      </c>
      <c r="AT519" s="99" t="s">
        <v>190</v>
      </c>
      <c r="AU519" s="99" t="s">
        <v>191</v>
      </c>
      <c r="AV519" s="99" t="s">
        <v>3928</v>
      </c>
      <c r="AW519" s="99" t="s">
        <v>519</v>
      </c>
      <c r="AX519" s="99" t="s">
        <v>3420</v>
      </c>
      <c r="AY519" s="99" t="s">
        <v>252</v>
      </c>
      <c r="AZ519" s="99" t="s">
        <v>3416</v>
      </c>
      <c r="BA519" s="99" t="s">
        <v>4313</v>
      </c>
      <c r="BB519" s="99" t="s">
        <v>3411</v>
      </c>
      <c r="BC519" s="125">
        <v>54</v>
      </c>
      <c r="BD519" s="99" t="s">
        <v>3135</v>
      </c>
      <c r="BE519" s="99" t="s">
        <v>3136</v>
      </c>
    </row>
    <row r="520" spans="1:57" ht="12.95" customHeight="1">
      <c r="A520" s="124">
        <v>15</v>
      </c>
      <c r="B520" s="124">
        <v>3086</v>
      </c>
      <c r="C520" s="99" t="s">
        <v>165</v>
      </c>
      <c r="D520" s="99" t="s">
        <v>1477</v>
      </c>
      <c r="E520" s="99" t="s">
        <v>1478</v>
      </c>
      <c r="F520" s="99" t="s">
        <v>74</v>
      </c>
      <c r="G520" s="99" t="s">
        <v>75</v>
      </c>
      <c r="H520" s="99" t="s">
        <v>4557</v>
      </c>
      <c r="I520" s="99" t="s">
        <v>1934</v>
      </c>
      <c r="J520" s="99" t="s">
        <v>2959</v>
      </c>
      <c r="K520" s="99" t="s">
        <v>2960</v>
      </c>
      <c r="L520" s="99" t="s">
        <v>2961</v>
      </c>
      <c r="M520" s="99" t="s">
        <v>1</v>
      </c>
      <c r="N520" s="99" t="s">
        <v>3407</v>
      </c>
      <c r="O520" s="99" t="s">
        <v>114</v>
      </c>
      <c r="P520" s="99" t="s">
        <v>4576</v>
      </c>
      <c r="Q520" s="99" t="s">
        <v>169</v>
      </c>
      <c r="R520" s="99" t="s">
        <v>71</v>
      </c>
      <c r="S520" s="99" t="s">
        <v>2691</v>
      </c>
      <c r="T520" s="99" t="s">
        <v>49</v>
      </c>
      <c r="U520" s="99" t="s">
        <v>1492</v>
      </c>
      <c r="V520" s="99" t="s">
        <v>55</v>
      </c>
      <c r="W520" s="99" t="s">
        <v>4576</v>
      </c>
      <c r="X520" s="99" t="s">
        <v>4576</v>
      </c>
      <c r="Y520" s="99" t="s">
        <v>4585</v>
      </c>
      <c r="Z520" s="99" t="s">
        <v>172</v>
      </c>
      <c r="AA520" s="99" t="s">
        <v>173</v>
      </c>
      <c r="AB520" s="99" t="s">
        <v>174</v>
      </c>
      <c r="AC520" s="99" t="s">
        <v>3411</v>
      </c>
      <c r="AD520" s="99" t="s">
        <v>175</v>
      </c>
      <c r="AE520" s="99" t="s">
        <v>3411</v>
      </c>
      <c r="AF520" s="99" t="s">
        <v>3411</v>
      </c>
      <c r="AG520" s="124">
        <v>3086</v>
      </c>
      <c r="AH520" s="99" t="s">
        <v>3413</v>
      </c>
      <c r="AI520" s="125">
        <v>100</v>
      </c>
      <c r="AJ520" s="99" t="s">
        <v>176</v>
      </c>
      <c r="AK520" s="99" t="s">
        <v>4576</v>
      </c>
      <c r="AL520" s="99" t="s">
        <v>3411</v>
      </c>
      <c r="AM520" s="99" t="s">
        <v>177</v>
      </c>
      <c r="AN520" s="99" t="s">
        <v>3411</v>
      </c>
      <c r="AO520" s="99" t="s">
        <v>1481</v>
      </c>
      <c r="AP520" s="99" t="s">
        <v>2611</v>
      </c>
      <c r="AQ520" s="99" t="s">
        <v>99</v>
      </c>
      <c r="AR520" s="99" t="s">
        <v>3411</v>
      </c>
      <c r="AS520" s="99" t="s">
        <v>2962</v>
      </c>
      <c r="AT520" s="99" t="s">
        <v>190</v>
      </c>
      <c r="AU520" s="99" t="s">
        <v>191</v>
      </c>
      <c r="AV520" s="99" t="s">
        <v>3570</v>
      </c>
      <c r="AW520" s="99" t="s">
        <v>406</v>
      </c>
      <c r="AX520" s="99" t="s">
        <v>3420</v>
      </c>
      <c r="AY520" s="99" t="s">
        <v>252</v>
      </c>
      <c r="AZ520" s="99" t="s">
        <v>3416</v>
      </c>
      <c r="BA520" s="99" t="s">
        <v>520</v>
      </c>
      <c r="BB520" s="99" t="s">
        <v>3411</v>
      </c>
      <c r="BC520" s="125">
        <v>32</v>
      </c>
      <c r="BD520" s="99" t="s">
        <v>3135</v>
      </c>
      <c r="BE520" s="99" t="s">
        <v>3136</v>
      </c>
    </row>
    <row r="521" spans="1:57" ht="12.95" customHeight="1">
      <c r="A521" s="124">
        <v>15</v>
      </c>
      <c r="B521" s="124">
        <v>1943</v>
      </c>
      <c r="C521" s="99" t="s">
        <v>165</v>
      </c>
      <c r="D521" s="99" t="s">
        <v>1477</v>
      </c>
      <c r="E521" s="99" t="s">
        <v>1478</v>
      </c>
      <c r="F521" s="99" t="s">
        <v>74</v>
      </c>
      <c r="G521" s="99" t="s">
        <v>75</v>
      </c>
      <c r="H521" s="99" t="s">
        <v>4557</v>
      </c>
      <c r="I521" s="99" t="s">
        <v>1934</v>
      </c>
      <c r="J521" s="99" t="s">
        <v>1984</v>
      </c>
      <c r="K521" s="99" t="s">
        <v>919</v>
      </c>
      <c r="L521" s="99" t="s">
        <v>1985</v>
      </c>
      <c r="M521" s="99" t="s">
        <v>5</v>
      </c>
      <c r="N521" s="99" t="s">
        <v>3454</v>
      </c>
      <c r="O521" s="99" t="s">
        <v>70</v>
      </c>
      <c r="P521" s="99" t="s">
        <v>3904</v>
      </c>
      <c r="Q521" s="99" t="s">
        <v>247</v>
      </c>
      <c r="R521" s="99" t="s">
        <v>71</v>
      </c>
      <c r="S521" s="99" t="s">
        <v>2691</v>
      </c>
      <c r="T521" s="99" t="s">
        <v>49</v>
      </c>
      <c r="U521" s="99" t="s">
        <v>1492</v>
      </c>
      <c r="V521" s="99" t="s">
        <v>55</v>
      </c>
      <c r="W521" s="99" t="s">
        <v>4586</v>
      </c>
      <c r="X521" s="99" t="s">
        <v>4586</v>
      </c>
      <c r="Y521" s="99" t="s">
        <v>4587</v>
      </c>
      <c r="Z521" s="99" t="s">
        <v>172</v>
      </c>
      <c r="AA521" s="99" t="s">
        <v>173</v>
      </c>
      <c r="AB521" s="99" t="s">
        <v>174</v>
      </c>
      <c r="AC521" s="99" t="s">
        <v>3411</v>
      </c>
      <c r="AD521" s="99" t="s">
        <v>175</v>
      </c>
      <c r="AE521" s="99" t="s">
        <v>3411</v>
      </c>
      <c r="AF521" s="99" t="s">
        <v>3411</v>
      </c>
      <c r="AG521" s="124">
        <v>390</v>
      </c>
      <c r="AH521" s="99" t="s">
        <v>3413</v>
      </c>
      <c r="AI521" s="125">
        <v>100</v>
      </c>
      <c r="AJ521" s="99" t="s">
        <v>176</v>
      </c>
      <c r="AK521" s="99" t="s">
        <v>4586</v>
      </c>
      <c r="AL521" s="99" t="s">
        <v>3411</v>
      </c>
      <c r="AM521" s="99" t="s">
        <v>177</v>
      </c>
      <c r="AN521" s="99" t="s">
        <v>3411</v>
      </c>
      <c r="AO521" s="99" t="s">
        <v>1482</v>
      </c>
      <c r="AP521" s="99" t="s">
        <v>2611</v>
      </c>
      <c r="AQ521" s="99" t="s">
        <v>99</v>
      </c>
      <c r="AR521" s="99" t="s">
        <v>1010</v>
      </c>
      <c r="AS521" s="99" t="s">
        <v>1986</v>
      </c>
      <c r="AT521" s="99" t="s">
        <v>190</v>
      </c>
      <c r="AU521" s="99" t="s">
        <v>191</v>
      </c>
      <c r="AV521" s="99" t="s">
        <v>3928</v>
      </c>
      <c r="AW521" s="99" t="s">
        <v>519</v>
      </c>
      <c r="AX521" s="99" t="s">
        <v>3420</v>
      </c>
      <c r="AY521" s="99" t="s">
        <v>252</v>
      </c>
      <c r="AZ521" s="99" t="s">
        <v>3416</v>
      </c>
      <c r="BA521" s="99" t="s">
        <v>4325</v>
      </c>
      <c r="BB521" s="99" t="s">
        <v>3249</v>
      </c>
      <c r="BC521" s="125">
        <v>57</v>
      </c>
      <c r="BD521" s="99" t="s">
        <v>3135</v>
      </c>
      <c r="BE521" s="99" t="s">
        <v>3136</v>
      </c>
    </row>
    <row r="522" spans="1:57" ht="12.95" customHeight="1">
      <c r="A522" s="124">
        <v>15</v>
      </c>
      <c r="B522" s="124">
        <v>892</v>
      </c>
      <c r="C522" s="99" t="s">
        <v>165</v>
      </c>
      <c r="D522" s="99" t="s">
        <v>1477</v>
      </c>
      <c r="E522" s="99" t="s">
        <v>1478</v>
      </c>
      <c r="F522" s="99" t="s">
        <v>74</v>
      </c>
      <c r="G522" s="99" t="s">
        <v>75</v>
      </c>
      <c r="H522" s="99" t="s">
        <v>4557</v>
      </c>
      <c r="I522" s="99" t="s">
        <v>1934</v>
      </c>
      <c r="J522" s="99" t="s">
        <v>1987</v>
      </c>
      <c r="K522" s="99" t="s">
        <v>275</v>
      </c>
      <c r="L522" s="99" t="s">
        <v>1988</v>
      </c>
      <c r="M522" s="99" t="s">
        <v>5</v>
      </c>
      <c r="N522" s="99" t="s">
        <v>3407</v>
      </c>
      <c r="O522" s="99" t="s">
        <v>114</v>
      </c>
      <c r="P522" s="99" t="s">
        <v>3422</v>
      </c>
      <c r="Q522" s="99" t="s">
        <v>169</v>
      </c>
      <c r="R522" s="99" t="s">
        <v>71</v>
      </c>
      <c r="S522" s="99" t="s">
        <v>2691</v>
      </c>
      <c r="T522" s="99" t="s">
        <v>49</v>
      </c>
      <c r="U522" s="99" t="s">
        <v>1008</v>
      </c>
      <c r="V522" s="99" t="s">
        <v>53</v>
      </c>
      <c r="W522" s="99" t="s">
        <v>4588</v>
      </c>
      <c r="X522" s="99" t="s">
        <v>4588</v>
      </c>
      <c r="Y522" s="99" t="s">
        <v>4233</v>
      </c>
      <c r="Z522" s="99" t="s">
        <v>172</v>
      </c>
      <c r="AA522" s="99" t="s">
        <v>173</v>
      </c>
      <c r="AB522" s="99" t="s">
        <v>174</v>
      </c>
      <c r="AC522" s="99" t="s">
        <v>3411</v>
      </c>
      <c r="AD522" s="99" t="s">
        <v>175</v>
      </c>
      <c r="AE522" s="99" t="s">
        <v>3411</v>
      </c>
      <c r="AF522" s="99" t="s">
        <v>3411</v>
      </c>
      <c r="AG522" s="124">
        <v>208</v>
      </c>
      <c r="AH522" s="99" t="s">
        <v>3413</v>
      </c>
      <c r="AI522" s="125">
        <v>100</v>
      </c>
      <c r="AJ522" s="99" t="s">
        <v>176</v>
      </c>
      <c r="AK522" s="99" t="s">
        <v>4588</v>
      </c>
      <c r="AL522" s="99" t="s">
        <v>3411</v>
      </c>
      <c r="AM522" s="99" t="s">
        <v>177</v>
      </c>
      <c r="AN522" s="99" t="s">
        <v>3411</v>
      </c>
      <c r="AO522" s="99" t="s">
        <v>1482</v>
      </c>
      <c r="AP522" s="99" t="s">
        <v>2611</v>
      </c>
      <c r="AQ522" s="99" t="s">
        <v>99</v>
      </c>
      <c r="AR522" s="99" t="s">
        <v>3411</v>
      </c>
      <c r="AS522" s="99" t="s">
        <v>1989</v>
      </c>
      <c r="AT522" s="99" t="s">
        <v>190</v>
      </c>
      <c r="AU522" s="99" t="s">
        <v>191</v>
      </c>
      <c r="AV522" s="99" t="s">
        <v>3928</v>
      </c>
      <c r="AW522" s="99" t="s">
        <v>519</v>
      </c>
      <c r="AX522" s="99" t="s">
        <v>3420</v>
      </c>
      <c r="AY522" s="99" t="s">
        <v>252</v>
      </c>
      <c r="AZ522" s="99" t="s">
        <v>3416</v>
      </c>
      <c r="BA522" s="99" t="s">
        <v>4313</v>
      </c>
      <c r="BB522" s="99" t="s">
        <v>3411</v>
      </c>
      <c r="BC522" s="125">
        <v>60</v>
      </c>
      <c r="BD522" s="99" t="s">
        <v>3135</v>
      </c>
      <c r="BE522" s="99" t="s">
        <v>3136</v>
      </c>
    </row>
    <row r="523" spans="1:57" ht="12.95" customHeight="1">
      <c r="A523" s="124">
        <v>15</v>
      </c>
      <c r="B523" s="124">
        <v>2922</v>
      </c>
      <c r="C523" s="99" t="s">
        <v>165</v>
      </c>
      <c r="D523" s="99" t="s">
        <v>1477</v>
      </c>
      <c r="E523" s="99" t="s">
        <v>1478</v>
      </c>
      <c r="F523" s="99" t="s">
        <v>74</v>
      </c>
      <c r="G523" s="99" t="s">
        <v>75</v>
      </c>
      <c r="H523" s="99" t="s">
        <v>4557</v>
      </c>
      <c r="I523" s="99" t="s">
        <v>1934</v>
      </c>
      <c r="J523" s="99" t="s">
        <v>1990</v>
      </c>
      <c r="K523" s="99" t="s">
        <v>820</v>
      </c>
      <c r="L523" s="99" t="s">
        <v>1991</v>
      </c>
      <c r="M523" s="99" t="s">
        <v>5</v>
      </c>
      <c r="N523" s="99" t="s">
        <v>3407</v>
      </c>
      <c r="O523" s="99" t="s">
        <v>114</v>
      </c>
      <c r="P523" s="99" t="s">
        <v>3422</v>
      </c>
      <c r="Q523" s="99" t="s">
        <v>169</v>
      </c>
      <c r="R523" s="99" t="s">
        <v>71</v>
      </c>
      <c r="S523" s="99" t="s">
        <v>2691</v>
      </c>
      <c r="T523" s="99" t="s">
        <v>49</v>
      </c>
      <c r="U523" s="99" t="s">
        <v>1492</v>
      </c>
      <c r="V523" s="99" t="s">
        <v>55</v>
      </c>
      <c r="W523" s="99" t="s">
        <v>4589</v>
      </c>
      <c r="X523" s="99" t="s">
        <v>4589</v>
      </c>
      <c r="Y523" s="99" t="s">
        <v>4590</v>
      </c>
      <c r="Z523" s="99" t="s">
        <v>172</v>
      </c>
      <c r="AA523" s="99" t="s">
        <v>173</v>
      </c>
      <c r="AB523" s="99" t="s">
        <v>174</v>
      </c>
      <c r="AC523" s="99" t="s">
        <v>3411</v>
      </c>
      <c r="AD523" s="99" t="s">
        <v>175</v>
      </c>
      <c r="AE523" s="99" t="s">
        <v>3411</v>
      </c>
      <c r="AF523" s="99" t="s">
        <v>3411</v>
      </c>
      <c r="AG523" s="124">
        <v>2922</v>
      </c>
      <c r="AH523" s="99" t="s">
        <v>3413</v>
      </c>
      <c r="AI523" s="125">
        <v>100</v>
      </c>
      <c r="AJ523" s="99" t="s">
        <v>176</v>
      </c>
      <c r="AK523" s="99" t="s">
        <v>4589</v>
      </c>
      <c r="AL523" s="99" t="s">
        <v>3411</v>
      </c>
      <c r="AM523" s="99" t="s">
        <v>177</v>
      </c>
      <c r="AN523" s="99" t="s">
        <v>3411</v>
      </c>
      <c r="AO523" s="99" t="s">
        <v>1481</v>
      </c>
      <c r="AP523" s="99" t="s">
        <v>2611</v>
      </c>
      <c r="AQ523" s="99" t="s">
        <v>99</v>
      </c>
      <c r="AR523" s="99" t="s">
        <v>3411</v>
      </c>
      <c r="AS523" s="99" t="s">
        <v>1992</v>
      </c>
      <c r="AT523" s="99" t="s">
        <v>190</v>
      </c>
      <c r="AU523" s="99" t="s">
        <v>191</v>
      </c>
      <c r="AV523" s="99" t="s">
        <v>3928</v>
      </c>
      <c r="AW523" s="99" t="s">
        <v>519</v>
      </c>
      <c r="AX523" s="99" t="s">
        <v>3420</v>
      </c>
      <c r="AY523" s="99" t="s">
        <v>252</v>
      </c>
      <c r="AZ523" s="99" t="s">
        <v>3416</v>
      </c>
      <c r="BA523" s="99" t="s">
        <v>4313</v>
      </c>
      <c r="BB523" s="99" t="s">
        <v>3411</v>
      </c>
      <c r="BC523" s="125">
        <v>49</v>
      </c>
      <c r="BD523" s="99" t="s">
        <v>3135</v>
      </c>
      <c r="BE523" s="99" t="s">
        <v>3136</v>
      </c>
    </row>
    <row r="524" spans="1:57" ht="12.95" customHeight="1">
      <c r="A524" s="124">
        <v>15</v>
      </c>
      <c r="B524" s="124">
        <v>2181</v>
      </c>
      <c r="C524" s="99" t="s">
        <v>165</v>
      </c>
      <c r="D524" s="99" t="s">
        <v>1477</v>
      </c>
      <c r="E524" s="99" t="s">
        <v>1478</v>
      </c>
      <c r="F524" s="99" t="s">
        <v>74</v>
      </c>
      <c r="G524" s="99" t="s">
        <v>75</v>
      </c>
      <c r="H524" s="99" t="s">
        <v>4557</v>
      </c>
      <c r="I524" s="99" t="s">
        <v>1934</v>
      </c>
      <c r="J524" s="99" t="s">
        <v>1993</v>
      </c>
      <c r="K524" s="99" t="s">
        <v>1994</v>
      </c>
      <c r="L524" s="99" t="s">
        <v>1995</v>
      </c>
      <c r="M524" s="99" t="s">
        <v>1</v>
      </c>
      <c r="N524" s="99" t="s">
        <v>3407</v>
      </c>
      <c r="O524" s="99" t="s">
        <v>114</v>
      </c>
      <c r="P524" s="99" t="s">
        <v>3422</v>
      </c>
      <c r="Q524" s="99" t="s">
        <v>169</v>
      </c>
      <c r="R524" s="99" t="s">
        <v>71</v>
      </c>
      <c r="S524" s="99" t="s">
        <v>2691</v>
      </c>
      <c r="T524" s="99" t="s">
        <v>49</v>
      </c>
      <c r="U524" s="99" t="s">
        <v>1008</v>
      </c>
      <c r="V524" s="99" t="s">
        <v>53</v>
      </c>
      <c r="W524" s="99" t="s">
        <v>4413</v>
      </c>
      <c r="X524" s="99" t="s">
        <v>4413</v>
      </c>
      <c r="Y524" s="99" t="s">
        <v>4591</v>
      </c>
      <c r="Z524" s="99" t="s">
        <v>172</v>
      </c>
      <c r="AA524" s="99" t="s">
        <v>173</v>
      </c>
      <c r="AB524" s="99" t="s">
        <v>174</v>
      </c>
      <c r="AC524" s="99" t="s">
        <v>3411</v>
      </c>
      <c r="AD524" s="99" t="s">
        <v>175</v>
      </c>
      <c r="AE524" s="99" t="s">
        <v>3411</v>
      </c>
      <c r="AF524" s="99" t="s">
        <v>3411</v>
      </c>
      <c r="AG524" s="124">
        <v>515</v>
      </c>
      <c r="AH524" s="99" t="s">
        <v>3413</v>
      </c>
      <c r="AI524" s="125">
        <v>100</v>
      </c>
      <c r="AJ524" s="99" t="s">
        <v>176</v>
      </c>
      <c r="AK524" s="99" t="s">
        <v>4413</v>
      </c>
      <c r="AL524" s="99" t="s">
        <v>3411</v>
      </c>
      <c r="AM524" s="99" t="s">
        <v>177</v>
      </c>
      <c r="AN524" s="99" t="s">
        <v>3411</v>
      </c>
      <c r="AO524" s="99" t="s">
        <v>1482</v>
      </c>
      <c r="AP524" s="99" t="s">
        <v>2611</v>
      </c>
      <c r="AQ524" s="99" t="s">
        <v>99</v>
      </c>
      <c r="AR524" s="99" t="s">
        <v>1010</v>
      </c>
      <c r="AS524" s="99" t="s">
        <v>1996</v>
      </c>
      <c r="AT524" s="99" t="s">
        <v>190</v>
      </c>
      <c r="AU524" s="99" t="s">
        <v>191</v>
      </c>
      <c r="AV524" s="99" t="s">
        <v>3928</v>
      </c>
      <c r="AW524" s="99" t="s">
        <v>519</v>
      </c>
      <c r="AX524" s="99" t="s">
        <v>3836</v>
      </c>
      <c r="AY524" s="99" t="s">
        <v>252</v>
      </c>
      <c r="AZ524" s="99" t="s">
        <v>4440</v>
      </c>
      <c r="BA524" s="99" t="s">
        <v>4313</v>
      </c>
      <c r="BB524" s="99" t="s">
        <v>3411</v>
      </c>
      <c r="BC524" s="125">
        <v>59</v>
      </c>
      <c r="BD524" s="99" t="s">
        <v>3135</v>
      </c>
      <c r="BE524" s="99" t="s">
        <v>3136</v>
      </c>
    </row>
    <row r="525" spans="1:57" ht="12.95" customHeight="1">
      <c r="A525" s="124">
        <v>15</v>
      </c>
      <c r="B525" s="124">
        <v>3169</v>
      </c>
      <c r="C525" s="99" t="s">
        <v>165</v>
      </c>
      <c r="D525" s="99" t="s">
        <v>1477</v>
      </c>
      <c r="E525" s="99" t="s">
        <v>1478</v>
      </c>
      <c r="F525" s="99" t="s">
        <v>74</v>
      </c>
      <c r="G525" s="99" t="s">
        <v>75</v>
      </c>
      <c r="H525" s="99" t="s">
        <v>4557</v>
      </c>
      <c r="I525" s="99" t="s">
        <v>1934</v>
      </c>
      <c r="J525" s="99" t="s">
        <v>2639</v>
      </c>
      <c r="K525" s="99" t="s">
        <v>485</v>
      </c>
      <c r="L525" s="99" t="s">
        <v>5061</v>
      </c>
      <c r="M525" s="99" t="s">
        <v>1</v>
      </c>
      <c r="N525" s="99" t="s">
        <v>3407</v>
      </c>
      <c r="O525" s="99" t="s">
        <v>114</v>
      </c>
      <c r="P525" s="99" t="s">
        <v>5045</v>
      </c>
      <c r="Q525" s="99" t="s">
        <v>169</v>
      </c>
      <c r="R525" s="99" t="s">
        <v>71</v>
      </c>
      <c r="S525" s="99" t="s">
        <v>2691</v>
      </c>
      <c r="T525" s="99" t="s">
        <v>49</v>
      </c>
      <c r="U525" s="99" t="s">
        <v>1492</v>
      </c>
      <c r="V525" s="99" t="s">
        <v>55</v>
      </c>
      <c r="W525" s="99" t="s">
        <v>5045</v>
      </c>
      <c r="X525" s="99" t="s">
        <v>5045</v>
      </c>
      <c r="Y525" s="99" t="s">
        <v>5062</v>
      </c>
      <c r="Z525" s="99" t="s">
        <v>172</v>
      </c>
      <c r="AA525" s="99" t="s">
        <v>173</v>
      </c>
      <c r="AB525" s="99" t="s">
        <v>174</v>
      </c>
      <c r="AC525" s="99" t="s">
        <v>3411</v>
      </c>
      <c r="AD525" s="99" t="s">
        <v>175</v>
      </c>
      <c r="AE525" s="99" t="s">
        <v>3411</v>
      </c>
      <c r="AF525" s="99" t="s">
        <v>3411</v>
      </c>
      <c r="AG525" s="124">
        <v>3169</v>
      </c>
      <c r="AH525" s="99" t="s">
        <v>3413</v>
      </c>
      <c r="AI525" s="125">
        <v>100</v>
      </c>
      <c r="AJ525" s="99" t="s">
        <v>176</v>
      </c>
      <c r="AK525" s="99" t="s">
        <v>5045</v>
      </c>
      <c r="AL525" s="99" t="s">
        <v>3411</v>
      </c>
      <c r="AM525" s="99" t="s">
        <v>3480</v>
      </c>
      <c r="AN525" s="99" t="s">
        <v>233</v>
      </c>
      <c r="AO525" s="99" t="s">
        <v>1481</v>
      </c>
      <c r="AP525" s="99" t="s">
        <v>2611</v>
      </c>
      <c r="AQ525" s="99" t="s">
        <v>99</v>
      </c>
      <c r="AR525" s="99" t="s">
        <v>3411</v>
      </c>
      <c r="AS525" s="99" t="s">
        <v>5063</v>
      </c>
      <c r="AT525" s="99" t="s">
        <v>190</v>
      </c>
      <c r="AU525" s="99" t="s">
        <v>191</v>
      </c>
      <c r="AV525" s="99" t="s">
        <v>3570</v>
      </c>
      <c r="AW525" s="99" t="s">
        <v>406</v>
      </c>
      <c r="AX525" s="99" t="s">
        <v>5064</v>
      </c>
      <c r="AY525" s="99" t="s">
        <v>252</v>
      </c>
      <c r="AZ525" s="99" t="s">
        <v>5065</v>
      </c>
      <c r="BA525" s="99" t="s">
        <v>5055</v>
      </c>
      <c r="BB525" s="99" t="s">
        <v>5056</v>
      </c>
      <c r="BC525" s="125">
        <v>34</v>
      </c>
      <c r="BD525" s="99" t="s">
        <v>3135</v>
      </c>
      <c r="BE525" s="99" t="s">
        <v>3136</v>
      </c>
    </row>
    <row r="526" spans="1:57" ht="12.95" customHeight="1">
      <c r="A526" s="124">
        <v>15</v>
      </c>
      <c r="B526" s="124">
        <v>2332</v>
      </c>
      <c r="C526" s="99" t="s">
        <v>165</v>
      </c>
      <c r="D526" s="99" t="s">
        <v>1477</v>
      </c>
      <c r="E526" s="99" t="s">
        <v>1478</v>
      </c>
      <c r="F526" s="99" t="s">
        <v>74</v>
      </c>
      <c r="G526" s="99" t="s">
        <v>75</v>
      </c>
      <c r="H526" s="99" t="s">
        <v>4557</v>
      </c>
      <c r="I526" s="99" t="s">
        <v>1934</v>
      </c>
      <c r="J526" s="99" t="s">
        <v>1997</v>
      </c>
      <c r="K526" s="99" t="s">
        <v>255</v>
      </c>
      <c r="L526" s="99" t="s">
        <v>1998</v>
      </c>
      <c r="M526" s="99" t="s">
        <v>5</v>
      </c>
      <c r="N526" s="99" t="s">
        <v>3407</v>
      </c>
      <c r="O526" s="99" t="s">
        <v>114</v>
      </c>
      <c r="P526" s="99" t="s">
        <v>3422</v>
      </c>
      <c r="Q526" s="99" t="s">
        <v>169</v>
      </c>
      <c r="R526" s="99" t="s">
        <v>71</v>
      </c>
      <c r="S526" s="99" t="s">
        <v>2691</v>
      </c>
      <c r="T526" s="99" t="s">
        <v>49</v>
      </c>
      <c r="U526" s="99" t="s">
        <v>1511</v>
      </c>
      <c r="V526" s="99" t="s">
        <v>54</v>
      </c>
      <c r="W526" s="99" t="s">
        <v>4572</v>
      </c>
      <c r="X526" s="99" t="s">
        <v>4572</v>
      </c>
      <c r="Y526" s="99" t="s">
        <v>4592</v>
      </c>
      <c r="Z526" s="99" t="s">
        <v>172</v>
      </c>
      <c r="AA526" s="99" t="s">
        <v>173</v>
      </c>
      <c r="AB526" s="99" t="s">
        <v>174</v>
      </c>
      <c r="AC526" s="99" t="s">
        <v>3411</v>
      </c>
      <c r="AD526" s="99" t="s">
        <v>175</v>
      </c>
      <c r="AE526" s="99" t="s">
        <v>3411</v>
      </c>
      <c r="AF526" s="99" t="s">
        <v>3411</v>
      </c>
      <c r="AG526" s="124">
        <v>572</v>
      </c>
      <c r="AH526" s="99" t="s">
        <v>3413</v>
      </c>
      <c r="AI526" s="125">
        <v>100</v>
      </c>
      <c r="AJ526" s="99" t="s">
        <v>176</v>
      </c>
      <c r="AK526" s="99" t="s">
        <v>4572</v>
      </c>
      <c r="AL526" s="99" t="s">
        <v>3411</v>
      </c>
      <c r="AM526" s="99" t="s">
        <v>177</v>
      </c>
      <c r="AN526" s="99" t="s">
        <v>3411</v>
      </c>
      <c r="AO526" s="99" t="s">
        <v>1482</v>
      </c>
      <c r="AP526" s="99" t="s">
        <v>2611</v>
      </c>
      <c r="AQ526" s="99" t="s">
        <v>99</v>
      </c>
      <c r="AR526" s="99" t="s">
        <v>1010</v>
      </c>
      <c r="AS526" s="99" t="s">
        <v>1999</v>
      </c>
      <c r="AT526" s="99" t="s">
        <v>190</v>
      </c>
      <c r="AU526" s="99" t="s">
        <v>191</v>
      </c>
      <c r="AV526" s="99" t="s">
        <v>3581</v>
      </c>
      <c r="AW526" s="99" t="s">
        <v>529</v>
      </c>
      <c r="AX526" s="99" t="s">
        <v>3420</v>
      </c>
      <c r="AY526" s="99" t="s">
        <v>252</v>
      </c>
      <c r="AZ526" s="99" t="s">
        <v>3416</v>
      </c>
      <c r="BA526" s="99" t="s">
        <v>4313</v>
      </c>
      <c r="BB526" s="99" t="s">
        <v>3411</v>
      </c>
      <c r="BC526" s="125">
        <v>44</v>
      </c>
      <c r="BD526" s="99" t="s">
        <v>3135</v>
      </c>
      <c r="BE526" s="99" t="s">
        <v>3136</v>
      </c>
    </row>
    <row r="527" spans="1:57" ht="12.95" customHeight="1">
      <c r="A527" s="124">
        <v>15</v>
      </c>
      <c r="B527" s="124">
        <v>2195</v>
      </c>
      <c r="C527" s="99" t="s">
        <v>165</v>
      </c>
      <c r="D527" s="99" t="s">
        <v>1477</v>
      </c>
      <c r="E527" s="99" t="s">
        <v>1478</v>
      </c>
      <c r="F527" s="99" t="s">
        <v>74</v>
      </c>
      <c r="G527" s="99" t="s">
        <v>75</v>
      </c>
      <c r="H527" s="99" t="s">
        <v>4557</v>
      </c>
      <c r="I527" s="99" t="s">
        <v>1934</v>
      </c>
      <c r="J527" s="99" t="s">
        <v>2000</v>
      </c>
      <c r="K527" s="99" t="s">
        <v>209</v>
      </c>
      <c r="L527" s="99" t="s">
        <v>2001</v>
      </c>
      <c r="M527" s="99" t="s">
        <v>5</v>
      </c>
      <c r="N527" s="99" t="s">
        <v>3407</v>
      </c>
      <c r="O527" s="99" t="s">
        <v>114</v>
      </c>
      <c r="P527" s="99" t="s">
        <v>3422</v>
      </c>
      <c r="Q527" s="99" t="s">
        <v>169</v>
      </c>
      <c r="R527" s="99" t="s">
        <v>71</v>
      </c>
      <c r="S527" s="99" t="s">
        <v>2691</v>
      </c>
      <c r="T527" s="99" t="s">
        <v>49</v>
      </c>
      <c r="U527" s="99" t="s">
        <v>1519</v>
      </c>
      <c r="V527" s="99" t="s">
        <v>56</v>
      </c>
      <c r="W527" s="99" t="s">
        <v>4517</v>
      </c>
      <c r="X527" s="99" t="s">
        <v>4517</v>
      </c>
      <c r="Y527" s="99" t="s">
        <v>4593</v>
      </c>
      <c r="Z527" s="99" t="s">
        <v>172</v>
      </c>
      <c r="AA527" s="99" t="s">
        <v>173</v>
      </c>
      <c r="AB527" s="99" t="s">
        <v>174</v>
      </c>
      <c r="AC527" s="99" t="s">
        <v>3411</v>
      </c>
      <c r="AD527" s="99" t="s">
        <v>175</v>
      </c>
      <c r="AE527" s="99" t="s">
        <v>3411</v>
      </c>
      <c r="AF527" s="99" t="s">
        <v>3411</v>
      </c>
      <c r="AG527" s="124">
        <v>518</v>
      </c>
      <c r="AH527" s="99" t="s">
        <v>3413</v>
      </c>
      <c r="AI527" s="125">
        <v>100</v>
      </c>
      <c r="AJ527" s="99" t="s">
        <v>176</v>
      </c>
      <c r="AK527" s="99" t="s">
        <v>4517</v>
      </c>
      <c r="AL527" s="99" t="s">
        <v>3411</v>
      </c>
      <c r="AM527" s="99" t="s">
        <v>177</v>
      </c>
      <c r="AN527" s="99" t="s">
        <v>3411</v>
      </c>
      <c r="AO527" s="99" t="s">
        <v>1482</v>
      </c>
      <c r="AP527" s="99" t="s">
        <v>2611</v>
      </c>
      <c r="AQ527" s="99" t="s">
        <v>99</v>
      </c>
      <c r="AR527" s="99" t="s">
        <v>3411</v>
      </c>
      <c r="AS527" s="99" t="s">
        <v>2002</v>
      </c>
      <c r="AT527" s="99" t="s">
        <v>190</v>
      </c>
      <c r="AU527" s="99" t="s">
        <v>191</v>
      </c>
      <c r="AV527" s="99" t="s">
        <v>3928</v>
      </c>
      <c r="AW527" s="99" t="s">
        <v>519</v>
      </c>
      <c r="AX527" s="99" t="s">
        <v>3420</v>
      </c>
      <c r="AY527" s="99" t="s">
        <v>252</v>
      </c>
      <c r="AZ527" s="99" t="s">
        <v>3416</v>
      </c>
      <c r="BA527" s="99" t="s">
        <v>4313</v>
      </c>
      <c r="BB527" s="99" t="s">
        <v>3411</v>
      </c>
      <c r="BC527" s="125">
        <v>62</v>
      </c>
      <c r="BD527" s="99" t="s">
        <v>3135</v>
      </c>
      <c r="BE527" s="99" t="s">
        <v>3136</v>
      </c>
    </row>
    <row r="528" spans="1:57" ht="12.95" customHeight="1">
      <c r="A528" s="124">
        <v>15</v>
      </c>
      <c r="B528" s="124">
        <v>1296</v>
      </c>
      <c r="C528" s="99" t="s">
        <v>165</v>
      </c>
      <c r="D528" s="99" t="s">
        <v>1477</v>
      </c>
      <c r="E528" s="99" t="s">
        <v>1478</v>
      </c>
      <c r="F528" s="99" t="s">
        <v>74</v>
      </c>
      <c r="G528" s="99" t="s">
        <v>75</v>
      </c>
      <c r="H528" s="99" t="s">
        <v>4557</v>
      </c>
      <c r="I528" s="99" t="s">
        <v>1934</v>
      </c>
      <c r="J528" s="99" t="s">
        <v>2003</v>
      </c>
      <c r="K528" s="99" t="s">
        <v>1307</v>
      </c>
      <c r="L528" s="99" t="s">
        <v>2004</v>
      </c>
      <c r="M528" s="99" t="s">
        <v>1</v>
      </c>
      <c r="N528" s="99" t="s">
        <v>3407</v>
      </c>
      <c r="O528" s="99" t="s">
        <v>114</v>
      </c>
      <c r="P528" s="99" t="s">
        <v>3422</v>
      </c>
      <c r="Q528" s="99" t="s">
        <v>169</v>
      </c>
      <c r="R528" s="99" t="s">
        <v>71</v>
      </c>
      <c r="S528" s="99" t="s">
        <v>2691</v>
      </c>
      <c r="T528" s="99" t="s">
        <v>49</v>
      </c>
      <c r="U528" s="99" t="s">
        <v>1511</v>
      </c>
      <c r="V528" s="99" t="s">
        <v>54</v>
      </c>
      <c r="W528" s="99" t="s">
        <v>3837</v>
      </c>
      <c r="X528" s="99" t="s">
        <v>3837</v>
      </c>
      <c r="Y528" s="99" t="s">
        <v>4594</v>
      </c>
      <c r="Z528" s="99" t="s">
        <v>172</v>
      </c>
      <c r="AA528" s="99" t="s">
        <v>173</v>
      </c>
      <c r="AB528" s="99" t="s">
        <v>174</v>
      </c>
      <c r="AC528" s="99" t="s">
        <v>3411</v>
      </c>
      <c r="AD528" s="99" t="s">
        <v>175</v>
      </c>
      <c r="AE528" s="99" t="s">
        <v>3411</v>
      </c>
      <c r="AF528" s="99" t="s">
        <v>3411</v>
      </c>
      <c r="AG528" s="124">
        <v>274</v>
      </c>
      <c r="AH528" s="99" t="s">
        <v>3413</v>
      </c>
      <c r="AI528" s="125">
        <v>100</v>
      </c>
      <c r="AJ528" s="99" t="s">
        <v>176</v>
      </c>
      <c r="AK528" s="99" t="s">
        <v>3837</v>
      </c>
      <c r="AL528" s="99" t="s">
        <v>3411</v>
      </c>
      <c r="AM528" s="99" t="s">
        <v>177</v>
      </c>
      <c r="AN528" s="99" t="s">
        <v>3411</v>
      </c>
      <c r="AO528" s="99" t="s">
        <v>1482</v>
      </c>
      <c r="AP528" s="99" t="s">
        <v>2611</v>
      </c>
      <c r="AQ528" s="99" t="s">
        <v>99</v>
      </c>
      <c r="AR528" s="99" t="s">
        <v>1010</v>
      </c>
      <c r="AS528" s="99" t="s">
        <v>2005</v>
      </c>
      <c r="AT528" s="99" t="s">
        <v>190</v>
      </c>
      <c r="AU528" s="99" t="s">
        <v>191</v>
      </c>
      <c r="AV528" s="99" t="s">
        <v>3570</v>
      </c>
      <c r="AW528" s="99" t="s">
        <v>406</v>
      </c>
      <c r="AX528" s="99" t="s">
        <v>3420</v>
      </c>
      <c r="AY528" s="99" t="s">
        <v>252</v>
      </c>
      <c r="AZ528" s="99" t="s">
        <v>3416</v>
      </c>
      <c r="BA528" s="99" t="s">
        <v>4313</v>
      </c>
      <c r="BB528" s="99" t="s">
        <v>3411</v>
      </c>
      <c r="BC528" s="125">
        <v>54</v>
      </c>
      <c r="BD528" s="99" t="s">
        <v>3135</v>
      </c>
      <c r="BE528" s="99" t="s">
        <v>3136</v>
      </c>
    </row>
    <row r="529" spans="1:57" ht="12.95" customHeight="1">
      <c r="A529" s="124">
        <v>15</v>
      </c>
      <c r="B529" s="124">
        <v>919</v>
      </c>
      <c r="C529" s="99" t="s">
        <v>165</v>
      </c>
      <c r="D529" s="99" t="s">
        <v>1477</v>
      </c>
      <c r="E529" s="99" t="s">
        <v>1478</v>
      </c>
      <c r="F529" s="99" t="s">
        <v>2006</v>
      </c>
      <c r="G529" s="99" t="s">
        <v>100</v>
      </c>
      <c r="H529" s="99" t="s">
        <v>2007</v>
      </c>
      <c r="I529" s="99" t="s">
        <v>2008</v>
      </c>
      <c r="J529" s="99" t="s">
        <v>2009</v>
      </c>
      <c r="K529" s="99" t="s">
        <v>278</v>
      </c>
      <c r="L529" s="99" t="s">
        <v>2010</v>
      </c>
      <c r="M529" s="99" t="s">
        <v>5</v>
      </c>
      <c r="N529" s="99" t="s">
        <v>3454</v>
      </c>
      <c r="O529" s="99" t="s">
        <v>70</v>
      </c>
      <c r="P529" s="99" t="s">
        <v>3904</v>
      </c>
      <c r="Q529" s="99" t="s">
        <v>247</v>
      </c>
      <c r="R529" s="99" t="s">
        <v>71</v>
      </c>
      <c r="S529" s="99" t="s">
        <v>2691</v>
      </c>
      <c r="T529" s="99" t="s">
        <v>49</v>
      </c>
      <c r="U529" s="99" t="s">
        <v>1511</v>
      </c>
      <c r="V529" s="99" t="s">
        <v>54</v>
      </c>
      <c r="W529" s="99" t="s">
        <v>4323</v>
      </c>
      <c r="X529" s="99" t="s">
        <v>4323</v>
      </c>
      <c r="Y529" s="99" t="s">
        <v>4595</v>
      </c>
      <c r="Z529" s="99" t="s">
        <v>172</v>
      </c>
      <c r="AA529" s="99" t="s">
        <v>173</v>
      </c>
      <c r="AB529" s="99" t="s">
        <v>174</v>
      </c>
      <c r="AC529" s="99" t="s">
        <v>3411</v>
      </c>
      <c r="AD529" s="99" t="s">
        <v>175</v>
      </c>
      <c r="AE529" s="99" t="s">
        <v>3411</v>
      </c>
      <c r="AF529" s="99" t="s">
        <v>3411</v>
      </c>
      <c r="AG529" s="124">
        <v>212</v>
      </c>
      <c r="AH529" s="99" t="s">
        <v>3413</v>
      </c>
      <c r="AI529" s="125">
        <v>100</v>
      </c>
      <c r="AJ529" s="99" t="s">
        <v>176</v>
      </c>
      <c r="AK529" s="99" t="s">
        <v>3805</v>
      </c>
      <c r="AL529" s="99" t="s">
        <v>3411</v>
      </c>
      <c r="AM529" s="99" t="s">
        <v>177</v>
      </c>
      <c r="AN529" s="99" t="s">
        <v>3411</v>
      </c>
      <c r="AO529" s="99" t="s">
        <v>1624</v>
      </c>
      <c r="AP529" s="99" t="s">
        <v>2570</v>
      </c>
      <c r="AQ529" s="99" t="s">
        <v>3411</v>
      </c>
      <c r="AR529" s="99" t="s">
        <v>1010</v>
      </c>
      <c r="AS529" s="99" t="s">
        <v>2011</v>
      </c>
      <c r="AT529" s="99" t="s">
        <v>190</v>
      </c>
      <c r="AU529" s="99" t="s">
        <v>191</v>
      </c>
      <c r="AV529" s="99" t="s">
        <v>3581</v>
      </c>
      <c r="AW529" s="99" t="s">
        <v>529</v>
      </c>
      <c r="AX529" s="99" t="s">
        <v>3420</v>
      </c>
      <c r="AY529" s="99" t="s">
        <v>252</v>
      </c>
      <c r="AZ529" s="99" t="s">
        <v>4596</v>
      </c>
      <c r="BA529" s="99" t="s">
        <v>4597</v>
      </c>
      <c r="BB529" s="99" t="s">
        <v>2730</v>
      </c>
      <c r="BC529" s="125">
        <v>57</v>
      </c>
      <c r="BD529" s="99" t="s">
        <v>3135</v>
      </c>
      <c r="BE529" s="99" t="s">
        <v>3136</v>
      </c>
    </row>
    <row r="530" spans="1:57" ht="12.95" customHeight="1">
      <c r="A530" s="124">
        <v>15</v>
      </c>
      <c r="B530" s="124">
        <v>2692</v>
      </c>
      <c r="C530" s="99" t="s">
        <v>165</v>
      </c>
      <c r="D530" s="99" t="s">
        <v>1477</v>
      </c>
      <c r="E530" s="99" t="s">
        <v>1478</v>
      </c>
      <c r="F530" s="99" t="s">
        <v>2006</v>
      </c>
      <c r="G530" s="99" t="s">
        <v>100</v>
      </c>
      <c r="H530" s="99" t="s">
        <v>2007</v>
      </c>
      <c r="I530" s="99" t="s">
        <v>2008</v>
      </c>
      <c r="J530" s="99" t="s">
        <v>2012</v>
      </c>
      <c r="K530" s="99" t="s">
        <v>267</v>
      </c>
      <c r="L530" s="99" t="s">
        <v>2013</v>
      </c>
      <c r="M530" s="99" t="s">
        <v>1</v>
      </c>
      <c r="N530" s="99" t="s">
        <v>3407</v>
      </c>
      <c r="O530" s="99" t="s">
        <v>114</v>
      </c>
      <c r="P530" s="99" t="s">
        <v>3422</v>
      </c>
      <c r="Q530" s="99" t="s">
        <v>169</v>
      </c>
      <c r="R530" s="99" t="s">
        <v>71</v>
      </c>
      <c r="S530" s="99" t="s">
        <v>2691</v>
      </c>
      <c r="T530" s="99" t="s">
        <v>49</v>
      </c>
      <c r="U530" s="99" t="s">
        <v>1620</v>
      </c>
      <c r="V530" s="99" t="s">
        <v>59</v>
      </c>
      <c r="W530" s="99" t="s">
        <v>3435</v>
      </c>
      <c r="X530" s="99" t="s">
        <v>4598</v>
      </c>
      <c r="Y530" s="99" t="s">
        <v>4599</v>
      </c>
      <c r="Z530" s="99" t="s">
        <v>172</v>
      </c>
      <c r="AA530" s="99" t="s">
        <v>173</v>
      </c>
      <c r="AB530" s="99" t="s">
        <v>174</v>
      </c>
      <c r="AC530" s="99" t="s">
        <v>3411</v>
      </c>
      <c r="AD530" s="99" t="s">
        <v>175</v>
      </c>
      <c r="AE530" s="99" t="s">
        <v>3411</v>
      </c>
      <c r="AF530" s="99" t="s">
        <v>3411</v>
      </c>
      <c r="AG530" s="124">
        <v>2692</v>
      </c>
      <c r="AH530" s="99" t="s">
        <v>3413</v>
      </c>
      <c r="AI530" s="125">
        <v>100</v>
      </c>
      <c r="AJ530" s="99" t="s">
        <v>176</v>
      </c>
      <c r="AK530" s="99" t="s">
        <v>4564</v>
      </c>
      <c r="AL530" s="99" t="s">
        <v>3411</v>
      </c>
      <c r="AM530" s="99" t="s">
        <v>177</v>
      </c>
      <c r="AN530" s="99" t="s">
        <v>3411</v>
      </c>
      <c r="AO530" s="99" t="s">
        <v>1624</v>
      </c>
      <c r="AP530" s="99" t="s">
        <v>2570</v>
      </c>
      <c r="AQ530" s="99" t="s">
        <v>3411</v>
      </c>
      <c r="AR530" s="99" t="s">
        <v>1010</v>
      </c>
      <c r="AS530" s="99" t="s">
        <v>2014</v>
      </c>
      <c r="AT530" s="99" t="s">
        <v>190</v>
      </c>
      <c r="AU530" s="99" t="s">
        <v>191</v>
      </c>
      <c r="AV530" s="99" t="s">
        <v>3570</v>
      </c>
      <c r="AW530" s="99" t="s">
        <v>406</v>
      </c>
      <c r="AX530" s="99" t="s">
        <v>3420</v>
      </c>
      <c r="AY530" s="99" t="s">
        <v>252</v>
      </c>
      <c r="AZ530" s="99" t="s">
        <v>4596</v>
      </c>
      <c r="BA530" s="99" t="s">
        <v>4597</v>
      </c>
      <c r="BB530" s="99" t="s">
        <v>2730</v>
      </c>
      <c r="BC530" s="125">
        <v>56</v>
      </c>
      <c r="BD530" s="99" t="s">
        <v>3135</v>
      </c>
      <c r="BE530" s="99" t="s">
        <v>3136</v>
      </c>
    </row>
    <row r="531" spans="1:57" ht="12.95" customHeight="1">
      <c r="A531" s="124">
        <v>15</v>
      </c>
      <c r="B531" s="124">
        <v>2697</v>
      </c>
      <c r="C531" s="99" t="s">
        <v>165</v>
      </c>
      <c r="D531" s="99" t="s">
        <v>1477</v>
      </c>
      <c r="E531" s="99" t="s">
        <v>1478</v>
      </c>
      <c r="F531" s="99" t="s">
        <v>2006</v>
      </c>
      <c r="G531" s="99" t="s">
        <v>100</v>
      </c>
      <c r="H531" s="99" t="s">
        <v>2007</v>
      </c>
      <c r="I531" s="99" t="s">
        <v>2008</v>
      </c>
      <c r="J531" s="99" t="s">
        <v>2015</v>
      </c>
      <c r="K531" s="99" t="s">
        <v>1590</v>
      </c>
      <c r="L531" s="99" t="s">
        <v>2016</v>
      </c>
      <c r="M531" s="99" t="s">
        <v>1</v>
      </c>
      <c r="N531" s="99" t="s">
        <v>3407</v>
      </c>
      <c r="O531" s="99" t="s">
        <v>114</v>
      </c>
      <c r="P531" s="99" t="s">
        <v>3422</v>
      </c>
      <c r="Q531" s="99" t="s">
        <v>169</v>
      </c>
      <c r="R531" s="99" t="s">
        <v>71</v>
      </c>
      <c r="S531" s="99" t="s">
        <v>2691</v>
      </c>
      <c r="T531" s="99" t="s">
        <v>49</v>
      </c>
      <c r="U531" s="99" t="s">
        <v>1511</v>
      </c>
      <c r="V531" s="99" t="s">
        <v>54</v>
      </c>
      <c r="W531" s="99" t="s">
        <v>3435</v>
      </c>
      <c r="X531" s="99" t="s">
        <v>4600</v>
      </c>
      <c r="Y531" s="99" t="s">
        <v>4601</v>
      </c>
      <c r="Z531" s="99" t="s">
        <v>172</v>
      </c>
      <c r="AA531" s="99" t="s">
        <v>173</v>
      </c>
      <c r="AB531" s="99" t="s">
        <v>174</v>
      </c>
      <c r="AC531" s="99" t="s">
        <v>3411</v>
      </c>
      <c r="AD531" s="99" t="s">
        <v>175</v>
      </c>
      <c r="AE531" s="99" t="s">
        <v>3411</v>
      </c>
      <c r="AF531" s="99" t="s">
        <v>3411</v>
      </c>
      <c r="AG531" s="124">
        <v>2697</v>
      </c>
      <c r="AH531" s="99" t="s">
        <v>3413</v>
      </c>
      <c r="AI531" s="125">
        <v>100</v>
      </c>
      <c r="AJ531" s="99" t="s">
        <v>176</v>
      </c>
      <c r="AK531" s="99" t="s">
        <v>4600</v>
      </c>
      <c r="AL531" s="99" t="s">
        <v>3411</v>
      </c>
      <c r="AM531" s="99" t="s">
        <v>177</v>
      </c>
      <c r="AN531" s="99" t="s">
        <v>3411</v>
      </c>
      <c r="AO531" s="99" t="s">
        <v>1624</v>
      </c>
      <c r="AP531" s="99" t="s">
        <v>2570</v>
      </c>
      <c r="AQ531" s="99" t="s">
        <v>3411</v>
      </c>
      <c r="AR531" s="99" t="s">
        <v>3411</v>
      </c>
      <c r="AS531" s="99" t="s">
        <v>2017</v>
      </c>
      <c r="AT531" s="99" t="s">
        <v>190</v>
      </c>
      <c r="AU531" s="99" t="s">
        <v>191</v>
      </c>
      <c r="AV531" s="99" t="s">
        <v>3581</v>
      </c>
      <c r="AW531" s="99" t="s">
        <v>529</v>
      </c>
      <c r="AX531" s="99" t="s">
        <v>3420</v>
      </c>
      <c r="AY531" s="99" t="s">
        <v>252</v>
      </c>
      <c r="AZ531" s="99" t="s">
        <v>4596</v>
      </c>
      <c r="BA531" s="99" t="s">
        <v>4597</v>
      </c>
      <c r="BB531" s="99" t="s">
        <v>2730</v>
      </c>
      <c r="BC531" s="125">
        <v>52</v>
      </c>
      <c r="BD531" s="99" t="s">
        <v>3135</v>
      </c>
      <c r="BE531" s="99" t="s">
        <v>3136</v>
      </c>
    </row>
    <row r="532" spans="1:57" ht="12.95" customHeight="1">
      <c r="A532" s="124">
        <v>15</v>
      </c>
      <c r="B532" s="124">
        <v>2700</v>
      </c>
      <c r="C532" s="99" t="s">
        <v>165</v>
      </c>
      <c r="D532" s="99" t="s">
        <v>1477</v>
      </c>
      <c r="E532" s="99" t="s">
        <v>1478</v>
      </c>
      <c r="F532" s="99" t="s">
        <v>2006</v>
      </c>
      <c r="G532" s="99" t="s">
        <v>100</v>
      </c>
      <c r="H532" s="99" t="s">
        <v>2007</v>
      </c>
      <c r="I532" s="99" t="s">
        <v>2008</v>
      </c>
      <c r="J532" s="99" t="s">
        <v>2020</v>
      </c>
      <c r="K532" s="99" t="s">
        <v>586</v>
      </c>
      <c r="L532" s="99" t="s">
        <v>2021</v>
      </c>
      <c r="M532" s="99" t="s">
        <v>1</v>
      </c>
      <c r="N532" s="99" t="s">
        <v>3407</v>
      </c>
      <c r="O532" s="99" t="s">
        <v>114</v>
      </c>
      <c r="P532" s="99" t="s">
        <v>3422</v>
      </c>
      <c r="Q532" s="99" t="s">
        <v>169</v>
      </c>
      <c r="R532" s="99" t="s">
        <v>71</v>
      </c>
      <c r="S532" s="99" t="s">
        <v>2691</v>
      </c>
      <c r="T532" s="99" t="s">
        <v>49</v>
      </c>
      <c r="U532" s="99" t="s">
        <v>1511</v>
      </c>
      <c r="V532" s="99" t="s">
        <v>54</v>
      </c>
      <c r="W532" s="99" t="s">
        <v>3435</v>
      </c>
      <c r="X532" s="99" t="s">
        <v>4602</v>
      </c>
      <c r="Y532" s="99" t="s">
        <v>4603</v>
      </c>
      <c r="Z532" s="99" t="s">
        <v>172</v>
      </c>
      <c r="AA532" s="99" t="s">
        <v>173</v>
      </c>
      <c r="AB532" s="99" t="s">
        <v>174</v>
      </c>
      <c r="AC532" s="99" t="s">
        <v>3411</v>
      </c>
      <c r="AD532" s="99" t="s">
        <v>175</v>
      </c>
      <c r="AE532" s="99" t="s">
        <v>3411</v>
      </c>
      <c r="AF532" s="99" t="s">
        <v>3411</v>
      </c>
      <c r="AG532" s="124">
        <v>2700</v>
      </c>
      <c r="AH532" s="99" t="s">
        <v>3413</v>
      </c>
      <c r="AI532" s="125">
        <v>100</v>
      </c>
      <c r="AJ532" s="99" t="s">
        <v>176</v>
      </c>
      <c r="AK532" s="99" t="s">
        <v>4602</v>
      </c>
      <c r="AL532" s="99" t="s">
        <v>3411</v>
      </c>
      <c r="AM532" s="99" t="s">
        <v>177</v>
      </c>
      <c r="AN532" s="99" t="s">
        <v>3411</v>
      </c>
      <c r="AO532" s="99" t="s">
        <v>1624</v>
      </c>
      <c r="AP532" s="99" t="s">
        <v>2570</v>
      </c>
      <c r="AQ532" s="99" t="s">
        <v>3411</v>
      </c>
      <c r="AR532" s="99" t="s">
        <v>1010</v>
      </c>
      <c r="AS532" s="99" t="s">
        <v>2022</v>
      </c>
      <c r="AT532" s="99" t="s">
        <v>190</v>
      </c>
      <c r="AU532" s="99" t="s">
        <v>191</v>
      </c>
      <c r="AV532" s="99" t="s">
        <v>3581</v>
      </c>
      <c r="AW532" s="99" t="s">
        <v>529</v>
      </c>
      <c r="AX532" s="99" t="s">
        <v>3420</v>
      </c>
      <c r="AY532" s="99" t="s">
        <v>252</v>
      </c>
      <c r="AZ532" s="99" t="s">
        <v>4596</v>
      </c>
      <c r="BA532" s="99" t="s">
        <v>4597</v>
      </c>
      <c r="BB532" s="99" t="s">
        <v>2730</v>
      </c>
      <c r="BC532" s="125">
        <v>52</v>
      </c>
      <c r="BD532" s="99" t="s">
        <v>3135</v>
      </c>
      <c r="BE532" s="99" t="s">
        <v>3136</v>
      </c>
    </row>
    <row r="533" spans="1:57" ht="12.95" customHeight="1">
      <c r="A533" s="124">
        <v>15</v>
      </c>
      <c r="B533" s="124">
        <v>2701</v>
      </c>
      <c r="C533" s="99" t="s">
        <v>165</v>
      </c>
      <c r="D533" s="99" t="s">
        <v>1477</v>
      </c>
      <c r="E533" s="99" t="s">
        <v>1478</v>
      </c>
      <c r="F533" s="99" t="s">
        <v>2006</v>
      </c>
      <c r="G533" s="99" t="s">
        <v>100</v>
      </c>
      <c r="H533" s="99" t="s">
        <v>2007</v>
      </c>
      <c r="I533" s="99" t="s">
        <v>2008</v>
      </c>
      <c r="J533" s="99" t="s">
        <v>2023</v>
      </c>
      <c r="K533" s="99" t="s">
        <v>168</v>
      </c>
      <c r="L533" s="99" t="s">
        <v>2024</v>
      </c>
      <c r="M533" s="99" t="s">
        <v>1</v>
      </c>
      <c r="N533" s="99" t="s">
        <v>3407</v>
      </c>
      <c r="O533" s="99" t="s">
        <v>114</v>
      </c>
      <c r="P533" s="99" t="s">
        <v>3422</v>
      </c>
      <c r="Q533" s="99" t="s">
        <v>169</v>
      </c>
      <c r="R533" s="99" t="s">
        <v>71</v>
      </c>
      <c r="S533" s="99" t="s">
        <v>2691</v>
      </c>
      <c r="T533" s="99" t="s">
        <v>49</v>
      </c>
      <c r="U533" s="99" t="s">
        <v>1492</v>
      </c>
      <c r="V533" s="99" t="s">
        <v>55</v>
      </c>
      <c r="W533" s="99" t="s">
        <v>3435</v>
      </c>
      <c r="X533" s="99" t="s">
        <v>4604</v>
      </c>
      <c r="Y533" s="99" t="s">
        <v>4605</v>
      </c>
      <c r="Z533" s="99" t="s">
        <v>172</v>
      </c>
      <c r="AA533" s="99" t="s">
        <v>173</v>
      </c>
      <c r="AB533" s="99" t="s">
        <v>174</v>
      </c>
      <c r="AC533" s="99" t="s">
        <v>3411</v>
      </c>
      <c r="AD533" s="99" t="s">
        <v>175</v>
      </c>
      <c r="AE533" s="99" t="s">
        <v>3411</v>
      </c>
      <c r="AF533" s="99" t="s">
        <v>3411</v>
      </c>
      <c r="AG533" s="124">
        <v>2701</v>
      </c>
      <c r="AH533" s="99" t="s">
        <v>3413</v>
      </c>
      <c r="AI533" s="125">
        <v>100</v>
      </c>
      <c r="AJ533" s="99" t="s">
        <v>176</v>
      </c>
      <c r="AK533" s="99" t="s">
        <v>4606</v>
      </c>
      <c r="AL533" s="99" t="s">
        <v>3411</v>
      </c>
      <c r="AM533" s="99" t="s">
        <v>177</v>
      </c>
      <c r="AN533" s="99" t="s">
        <v>3411</v>
      </c>
      <c r="AO533" s="99" t="s">
        <v>1624</v>
      </c>
      <c r="AP533" s="99" t="s">
        <v>2570</v>
      </c>
      <c r="AQ533" s="99" t="s">
        <v>3411</v>
      </c>
      <c r="AR533" s="99" t="s">
        <v>1010</v>
      </c>
      <c r="AS533" s="99" t="s">
        <v>2025</v>
      </c>
      <c r="AT533" s="99" t="s">
        <v>190</v>
      </c>
      <c r="AU533" s="99" t="s">
        <v>191</v>
      </c>
      <c r="AV533" s="99" t="s">
        <v>3570</v>
      </c>
      <c r="AW533" s="99" t="s">
        <v>406</v>
      </c>
      <c r="AX533" s="99" t="s">
        <v>3420</v>
      </c>
      <c r="AY533" s="99" t="s">
        <v>252</v>
      </c>
      <c r="AZ533" s="99" t="s">
        <v>4596</v>
      </c>
      <c r="BA533" s="99" t="s">
        <v>4597</v>
      </c>
      <c r="BB533" s="99" t="s">
        <v>2730</v>
      </c>
      <c r="BC533" s="125">
        <v>54</v>
      </c>
      <c r="BD533" s="99" t="s">
        <v>3135</v>
      </c>
      <c r="BE533" s="99" t="s">
        <v>3136</v>
      </c>
    </row>
    <row r="534" spans="1:57" ht="12.95" customHeight="1">
      <c r="A534" s="124">
        <v>15</v>
      </c>
      <c r="B534" s="124">
        <v>2704</v>
      </c>
      <c r="C534" s="99" t="s">
        <v>165</v>
      </c>
      <c r="D534" s="99" t="s">
        <v>1477</v>
      </c>
      <c r="E534" s="99" t="s">
        <v>1478</v>
      </c>
      <c r="F534" s="99" t="s">
        <v>2006</v>
      </c>
      <c r="G534" s="99" t="s">
        <v>100</v>
      </c>
      <c r="H534" s="99" t="s">
        <v>2007</v>
      </c>
      <c r="I534" s="99" t="s">
        <v>2008</v>
      </c>
      <c r="J534" s="99" t="s">
        <v>1037</v>
      </c>
      <c r="K534" s="99" t="s">
        <v>2026</v>
      </c>
      <c r="L534" s="99" t="s">
        <v>2027</v>
      </c>
      <c r="M534" s="99" t="s">
        <v>1</v>
      </c>
      <c r="N534" s="99" t="s">
        <v>3407</v>
      </c>
      <c r="O534" s="99" t="s">
        <v>114</v>
      </c>
      <c r="P534" s="99" t="s">
        <v>3422</v>
      </c>
      <c r="Q534" s="99" t="s">
        <v>169</v>
      </c>
      <c r="R534" s="99" t="s">
        <v>71</v>
      </c>
      <c r="S534" s="99" t="s">
        <v>2691</v>
      </c>
      <c r="T534" s="99" t="s">
        <v>49</v>
      </c>
      <c r="U534" s="99" t="s">
        <v>1551</v>
      </c>
      <c r="V534" s="99" t="s">
        <v>51</v>
      </c>
      <c r="W534" s="99" t="s">
        <v>3435</v>
      </c>
      <c r="X534" s="99" t="s">
        <v>4604</v>
      </c>
      <c r="Y534" s="99" t="s">
        <v>4607</v>
      </c>
      <c r="Z534" s="99" t="s">
        <v>172</v>
      </c>
      <c r="AA534" s="99" t="s">
        <v>173</v>
      </c>
      <c r="AB534" s="99" t="s">
        <v>174</v>
      </c>
      <c r="AC534" s="99" t="s">
        <v>3411</v>
      </c>
      <c r="AD534" s="99" t="s">
        <v>175</v>
      </c>
      <c r="AE534" s="99" t="s">
        <v>3411</v>
      </c>
      <c r="AF534" s="99" t="s">
        <v>3411</v>
      </c>
      <c r="AG534" s="124">
        <v>2704</v>
      </c>
      <c r="AH534" s="99" t="s">
        <v>3413</v>
      </c>
      <c r="AI534" s="125">
        <v>100</v>
      </c>
      <c r="AJ534" s="99" t="s">
        <v>176</v>
      </c>
      <c r="AK534" s="99" t="s">
        <v>4604</v>
      </c>
      <c r="AL534" s="99" t="s">
        <v>3411</v>
      </c>
      <c r="AM534" s="99" t="s">
        <v>177</v>
      </c>
      <c r="AN534" s="99" t="s">
        <v>3411</v>
      </c>
      <c r="AO534" s="99" t="s">
        <v>1624</v>
      </c>
      <c r="AP534" s="99" t="s">
        <v>2570</v>
      </c>
      <c r="AQ534" s="99" t="s">
        <v>3411</v>
      </c>
      <c r="AR534" s="99" t="s">
        <v>1010</v>
      </c>
      <c r="AS534" s="99" t="s">
        <v>2028</v>
      </c>
      <c r="AT534" s="99" t="s">
        <v>190</v>
      </c>
      <c r="AU534" s="99" t="s">
        <v>191</v>
      </c>
      <c r="AV534" s="99" t="s">
        <v>3581</v>
      </c>
      <c r="AW534" s="99" t="s">
        <v>529</v>
      </c>
      <c r="AX534" s="99" t="s">
        <v>3420</v>
      </c>
      <c r="AY534" s="99" t="s">
        <v>252</v>
      </c>
      <c r="AZ534" s="99" t="s">
        <v>4596</v>
      </c>
      <c r="BA534" s="99" t="s">
        <v>4597</v>
      </c>
      <c r="BB534" s="99" t="s">
        <v>2730</v>
      </c>
      <c r="BC534" s="125">
        <v>57</v>
      </c>
      <c r="BD534" s="99" t="s">
        <v>3135</v>
      </c>
      <c r="BE534" s="99" t="s">
        <v>3136</v>
      </c>
    </row>
    <row r="535" spans="1:57" ht="12.95" customHeight="1">
      <c r="A535" s="124">
        <v>15</v>
      </c>
      <c r="B535" s="124">
        <v>2712</v>
      </c>
      <c r="C535" s="99" t="s">
        <v>165</v>
      </c>
      <c r="D535" s="99" t="s">
        <v>1477</v>
      </c>
      <c r="E535" s="99" t="s">
        <v>1478</v>
      </c>
      <c r="F535" s="99" t="s">
        <v>2006</v>
      </c>
      <c r="G535" s="99" t="s">
        <v>100</v>
      </c>
      <c r="H535" s="99" t="s">
        <v>2007</v>
      </c>
      <c r="I535" s="99" t="s">
        <v>2008</v>
      </c>
      <c r="J535" s="99" t="s">
        <v>2029</v>
      </c>
      <c r="K535" s="99" t="s">
        <v>341</v>
      </c>
      <c r="L535" s="99" t="s">
        <v>2030</v>
      </c>
      <c r="M535" s="99" t="s">
        <v>1</v>
      </c>
      <c r="N535" s="99" t="s">
        <v>3407</v>
      </c>
      <c r="O535" s="99" t="s">
        <v>114</v>
      </c>
      <c r="P535" s="99" t="s">
        <v>3422</v>
      </c>
      <c r="Q535" s="99" t="s">
        <v>169</v>
      </c>
      <c r="R535" s="99" t="s">
        <v>71</v>
      </c>
      <c r="S535" s="99" t="s">
        <v>2691</v>
      </c>
      <c r="T535" s="99" t="s">
        <v>49</v>
      </c>
      <c r="U535" s="99" t="s">
        <v>1519</v>
      </c>
      <c r="V535" s="99" t="s">
        <v>56</v>
      </c>
      <c r="W535" s="99" t="s">
        <v>3435</v>
      </c>
      <c r="X535" s="99" t="s">
        <v>4331</v>
      </c>
      <c r="Y535" s="99" t="s">
        <v>4608</v>
      </c>
      <c r="Z535" s="99" t="s">
        <v>172</v>
      </c>
      <c r="AA535" s="99" t="s">
        <v>173</v>
      </c>
      <c r="AB535" s="99" t="s">
        <v>174</v>
      </c>
      <c r="AC535" s="99" t="s">
        <v>3411</v>
      </c>
      <c r="AD535" s="99" t="s">
        <v>175</v>
      </c>
      <c r="AE535" s="99" t="s">
        <v>3411</v>
      </c>
      <c r="AF535" s="99" t="s">
        <v>3411</v>
      </c>
      <c r="AG535" s="124">
        <v>2712</v>
      </c>
      <c r="AH535" s="99" t="s">
        <v>3413</v>
      </c>
      <c r="AI535" s="125">
        <v>100</v>
      </c>
      <c r="AJ535" s="99" t="s">
        <v>176</v>
      </c>
      <c r="AK535" s="99" t="s">
        <v>4331</v>
      </c>
      <c r="AL535" s="99" t="s">
        <v>3411</v>
      </c>
      <c r="AM535" s="99" t="s">
        <v>177</v>
      </c>
      <c r="AN535" s="99" t="s">
        <v>3411</v>
      </c>
      <c r="AO535" s="99" t="s">
        <v>1624</v>
      </c>
      <c r="AP535" s="99" t="s">
        <v>2570</v>
      </c>
      <c r="AQ535" s="99" t="s">
        <v>3411</v>
      </c>
      <c r="AR535" s="99" t="s">
        <v>1010</v>
      </c>
      <c r="AS535" s="99" t="s">
        <v>2031</v>
      </c>
      <c r="AT535" s="99" t="s">
        <v>190</v>
      </c>
      <c r="AU535" s="99" t="s">
        <v>191</v>
      </c>
      <c r="AV535" s="99" t="s">
        <v>3581</v>
      </c>
      <c r="AW535" s="99" t="s">
        <v>529</v>
      </c>
      <c r="AX535" s="99" t="s">
        <v>3420</v>
      </c>
      <c r="AY535" s="99" t="s">
        <v>252</v>
      </c>
      <c r="AZ535" s="99" t="s">
        <v>4596</v>
      </c>
      <c r="BA535" s="99" t="s">
        <v>4597</v>
      </c>
      <c r="BB535" s="99" t="s">
        <v>2730</v>
      </c>
      <c r="BC535" s="125">
        <v>52</v>
      </c>
      <c r="BD535" s="99" t="s">
        <v>3135</v>
      </c>
      <c r="BE535" s="99" t="s">
        <v>3136</v>
      </c>
    </row>
    <row r="536" spans="1:57" ht="12.95" customHeight="1">
      <c r="A536" s="124">
        <v>15</v>
      </c>
      <c r="B536" s="124">
        <v>2715</v>
      </c>
      <c r="C536" s="99" t="s">
        <v>165</v>
      </c>
      <c r="D536" s="99" t="s">
        <v>1477</v>
      </c>
      <c r="E536" s="99" t="s">
        <v>1478</v>
      </c>
      <c r="F536" s="99" t="s">
        <v>2006</v>
      </c>
      <c r="G536" s="99" t="s">
        <v>100</v>
      </c>
      <c r="H536" s="99" t="s">
        <v>2007</v>
      </c>
      <c r="I536" s="99" t="s">
        <v>2008</v>
      </c>
      <c r="J536" s="99" t="s">
        <v>2032</v>
      </c>
      <c r="K536" s="99" t="s">
        <v>2033</v>
      </c>
      <c r="L536" s="99" t="s">
        <v>2034</v>
      </c>
      <c r="M536" s="99" t="s">
        <v>5</v>
      </c>
      <c r="N536" s="99" t="s">
        <v>3407</v>
      </c>
      <c r="O536" s="99" t="s">
        <v>114</v>
      </c>
      <c r="P536" s="99" t="s">
        <v>3422</v>
      </c>
      <c r="Q536" s="99" t="s">
        <v>169</v>
      </c>
      <c r="R536" s="99" t="s">
        <v>71</v>
      </c>
      <c r="S536" s="99" t="s">
        <v>2691</v>
      </c>
      <c r="T536" s="99" t="s">
        <v>49</v>
      </c>
      <c r="U536" s="99" t="s">
        <v>1551</v>
      </c>
      <c r="V536" s="99" t="s">
        <v>51</v>
      </c>
      <c r="W536" s="99" t="s">
        <v>3435</v>
      </c>
      <c r="X536" s="99" t="s">
        <v>3469</v>
      </c>
      <c r="Y536" s="99" t="s">
        <v>4609</v>
      </c>
      <c r="Z536" s="99" t="s">
        <v>172</v>
      </c>
      <c r="AA536" s="99" t="s">
        <v>173</v>
      </c>
      <c r="AB536" s="99" t="s">
        <v>174</v>
      </c>
      <c r="AC536" s="99" t="s">
        <v>3411</v>
      </c>
      <c r="AD536" s="99" t="s">
        <v>175</v>
      </c>
      <c r="AE536" s="99" t="s">
        <v>3411</v>
      </c>
      <c r="AF536" s="99" t="s">
        <v>3411</v>
      </c>
      <c r="AG536" s="124">
        <v>2715</v>
      </c>
      <c r="AH536" s="99" t="s">
        <v>3413</v>
      </c>
      <c r="AI536" s="125">
        <v>100</v>
      </c>
      <c r="AJ536" s="99" t="s">
        <v>176</v>
      </c>
      <c r="AK536" s="99" t="s">
        <v>3469</v>
      </c>
      <c r="AL536" s="99" t="s">
        <v>3411</v>
      </c>
      <c r="AM536" s="99" t="s">
        <v>177</v>
      </c>
      <c r="AN536" s="99" t="s">
        <v>3411</v>
      </c>
      <c r="AO536" s="99" t="s">
        <v>1624</v>
      </c>
      <c r="AP536" s="99" t="s">
        <v>2570</v>
      </c>
      <c r="AQ536" s="99" t="s">
        <v>3411</v>
      </c>
      <c r="AR536" s="99" t="s">
        <v>1010</v>
      </c>
      <c r="AS536" s="99" t="s">
        <v>2035</v>
      </c>
      <c r="AT536" s="99" t="s">
        <v>190</v>
      </c>
      <c r="AU536" s="99" t="s">
        <v>191</v>
      </c>
      <c r="AV536" s="99" t="s">
        <v>3581</v>
      </c>
      <c r="AW536" s="99" t="s">
        <v>529</v>
      </c>
      <c r="AX536" s="99" t="s">
        <v>3420</v>
      </c>
      <c r="AY536" s="99" t="s">
        <v>252</v>
      </c>
      <c r="AZ536" s="99" t="s">
        <v>4596</v>
      </c>
      <c r="BA536" s="99" t="s">
        <v>4597</v>
      </c>
      <c r="BB536" s="99" t="s">
        <v>2730</v>
      </c>
      <c r="BC536" s="125">
        <v>60</v>
      </c>
      <c r="BD536" s="99" t="s">
        <v>3135</v>
      </c>
      <c r="BE536" s="99" t="s">
        <v>3136</v>
      </c>
    </row>
    <row r="537" spans="1:57" ht="12.95" customHeight="1">
      <c r="A537" s="124">
        <v>15</v>
      </c>
      <c r="B537" s="124">
        <v>3165</v>
      </c>
      <c r="C537" s="99" t="s">
        <v>165</v>
      </c>
      <c r="D537" s="99" t="s">
        <v>1477</v>
      </c>
      <c r="E537" s="99" t="s">
        <v>1478</v>
      </c>
      <c r="F537" s="99" t="s">
        <v>2006</v>
      </c>
      <c r="G537" s="99" t="s">
        <v>100</v>
      </c>
      <c r="H537" s="99" t="s">
        <v>2007</v>
      </c>
      <c r="I537" s="99" t="s">
        <v>2008</v>
      </c>
      <c r="J537" s="99" t="s">
        <v>2795</v>
      </c>
      <c r="K537" s="99" t="s">
        <v>370</v>
      </c>
      <c r="L537" s="99" t="s">
        <v>2796</v>
      </c>
      <c r="M537" s="99" t="s">
        <v>5</v>
      </c>
      <c r="N537" s="99" t="s">
        <v>3407</v>
      </c>
      <c r="O537" s="99" t="s">
        <v>114</v>
      </c>
      <c r="P537" s="99" t="s">
        <v>5041</v>
      </c>
      <c r="Q537" s="99" t="s">
        <v>169</v>
      </c>
      <c r="R537" s="99" t="s">
        <v>71</v>
      </c>
      <c r="S537" s="99" t="s">
        <v>2691</v>
      </c>
      <c r="T537" s="99" t="s">
        <v>49</v>
      </c>
      <c r="U537" s="99" t="s">
        <v>1663</v>
      </c>
      <c r="V537" s="99" t="s">
        <v>57</v>
      </c>
      <c r="W537" s="99" t="s">
        <v>5041</v>
      </c>
      <c r="X537" s="99" t="s">
        <v>5041</v>
      </c>
      <c r="Y537" s="99" t="s">
        <v>4968</v>
      </c>
      <c r="Z537" s="99" t="s">
        <v>172</v>
      </c>
      <c r="AA537" s="99" t="s">
        <v>173</v>
      </c>
      <c r="AB537" s="99" t="s">
        <v>174</v>
      </c>
      <c r="AC537" s="99" t="s">
        <v>3411</v>
      </c>
      <c r="AD537" s="99" t="s">
        <v>175</v>
      </c>
      <c r="AE537" s="99" t="s">
        <v>3411</v>
      </c>
      <c r="AF537" s="99" t="s">
        <v>3411</v>
      </c>
      <c r="AG537" s="124">
        <v>3165</v>
      </c>
      <c r="AH537" s="99" t="s">
        <v>3413</v>
      </c>
      <c r="AI537" s="125">
        <v>100</v>
      </c>
      <c r="AJ537" s="99" t="s">
        <v>176</v>
      </c>
      <c r="AK537" s="99" t="s">
        <v>5041</v>
      </c>
      <c r="AL537" s="99" t="s">
        <v>3411</v>
      </c>
      <c r="AM537" s="99" t="s">
        <v>177</v>
      </c>
      <c r="AN537" s="99" t="s">
        <v>3411</v>
      </c>
      <c r="AO537" s="99" t="s">
        <v>1482</v>
      </c>
      <c r="AP537" s="99" t="s">
        <v>2570</v>
      </c>
      <c r="AQ537" s="99" t="s">
        <v>3411</v>
      </c>
      <c r="AR537" s="99" t="s">
        <v>3411</v>
      </c>
      <c r="AS537" s="99" t="s">
        <v>2797</v>
      </c>
      <c r="AT537" s="99" t="s">
        <v>190</v>
      </c>
      <c r="AU537" s="99" t="s">
        <v>191</v>
      </c>
      <c r="AV537" s="99" t="s">
        <v>3581</v>
      </c>
      <c r="AW537" s="99" t="s">
        <v>529</v>
      </c>
      <c r="AX537" s="99" t="s">
        <v>3411</v>
      </c>
      <c r="AY537" s="99" t="s">
        <v>3411</v>
      </c>
      <c r="AZ537" s="99" t="s">
        <v>3411</v>
      </c>
      <c r="BA537" s="99" t="s">
        <v>4597</v>
      </c>
      <c r="BB537" s="99" t="s">
        <v>2730</v>
      </c>
      <c r="BC537" s="125">
        <v>60</v>
      </c>
      <c r="BD537" s="99" t="s">
        <v>3135</v>
      </c>
      <c r="BE537" s="99" t="s">
        <v>3136</v>
      </c>
    </row>
    <row r="538" spans="1:57" ht="12.95" customHeight="1">
      <c r="A538" s="124">
        <v>15</v>
      </c>
      <c r="B538" s="124">
        <v>2719</v>
      </c>
      <c r="C538" s="99" t="s">
        <v>165</v>
      </c>
      <c r="D538" s="99" t="s">
        <v>1477</v>
      </c>
      <c r="E538" s="99" t="s">
        <v>1478</v>
      </c>
      <c r="F538" s="99" t="s">
        <v>2006</v>
      </c>
      <c r="G538" s="99" t="s">
        <v>100</v>
      </c>
      <c r="H538" s="99" t="s">
        <v>2007</v>
      </c>
      <c r="I538" s="99" t="s">
        <v>2008</v>
      </c>
      <c r="J538" s="99" t="s">
        <v>2036</v>
      </c>
      <c r="K538" s="99" t="s">
        <v>271</v>
      </c>
      <c r="L538" s="99" t="s">
        <v>2037</v>
      </c>
      <c r="M538" s="99" t="s">
        <v>1</v>
      </c>
      <c r="N538" s="99" t="s">
        <v>3454</v>
      </c>
      <c r="O538" s="99" t="s">
        <v>70</v>
      </c>
      <c r="P538" s="99" t="s">
        <v>3455</v>
      </c>
      <c r="Q538" s="99" t="s">
        <v>247</v>
      </c>
      <c r="R538" s="99" t="s">
        <v>71</v>
      </c>
      <c r="S538" s="99" t="s">
        <v>2691</v>
      </c>
      <c r="T538" s="99" t="s">
        <v>49</v>
      </c>
      <c r="U538" s="99" t="s">
        <v>1511</v>
      </c>
      <c r="V538" s="99" t="s">
        <v>54</v>
      </c>
      <c r="W538" s="99" t="s">
        <v>3435</v>
      </c>
      <c r="X538" s="99" t="s">
        <v>3469</v>
      </c>
      <c r="Y538" s="99" t="s">
        <v>4610</v>
      </c>
      <c r="Z538" s="99" t="s">
        <v>172</v>
      </c>
      <c r="AA538" s="99" t="s">
        <v>173</v>
      </c>
      <c r="AB538" s="99" t="s">
        <v>174</v>
      </c>
      <c r="AC538" s="99" t="s">
        <v>3411</v>
      </c>
      <c r="AD538" s="99" t="s">
        <v>175</v>
      </c>
      <c r="AE538" s="99" t="s">
        <v>3411</v>
      </c>
      <c r="AF538" s="99" t="s">
        <v>3411</v>
      </c>
      <c r="AG538" s="124">
        <v>2719</v>
      </c>
      <c r="AH538" s="99" t="s">
        <v>3413</v>
      </c>
      <c r="AI538" s="125">
        <v>100</v>
      </c>
      <c r="AJ538" s="99" t="s">
        <v>176</v>
      </c>
      <c r="AK538" s="99" t="s">
        <v>3469</v>
      </c>
      <c r="AL538" s="99" t="s">
        <v>3411</v>
      </c>
      <c r="AM538" s="99" t="s">
        <v>177</v>
      </c>
      <c r="AN538" s="99" t="s">
        <v>3411</v>
      </c>
      <c r="AO538" s="99" t="s">
        <v>1624</v>
      </c>
      <c r="AP538" s="99" t="s">
        <v>2570</v>
      </c>
      <c r="AQ538" s="99" t="s">
        <v>3411</v>
      </c>
      <c r="AR538" s="99" t="s">
        <v>1010</v>
      </c>
      <c r="AS538" s="99" t="s">
        <v>2038</v>
      </c>
      <c r="AT538" s="99" t="s">
        <v>190</v>
      </c>
      <c r="AU538" s="99" t="s">
        <v>191</v>
      </c>
      <c r="AV538" s="99" t="s">
        <v>3570</v>
      </c>
      <c r="AW538" s="99" t="s">
        <v>406</v>
      </c>
      <c r="AX538" s="99" t="s">
        <v>3420</v>
      </c>
      <c r="AY538" s="99" t="s">
        <v>252</v>
      </c>
      <c r="AZ538" s="99" t="s">
        <v>4596</v>
      </c>
      <c r="BA538" s="99" t="s">
        <v>4597</v>
      </c>
      <c r="BB538" s="99" t="s">
        <v>2730</v>
      </c>
      <c r="BC538" s="125">
        <v>61</v>
      </c>
      <c r="BD538" s="99" t="s">
        <v>3135</v>
      </c>
      <c r="BE538" s="99" t="s">
        <v>3136</v>
      </c>
    </row>
    <row r="539" spans="1:57" ht="12.95" customHeight="1">
      <c r="A539" s="124">
        <v>15</v>
      </c>
      <c r="B539" s="124">
        <v>2721</v>
      </c>
      <c r="C539" s="99" t="s">
        <v>165</v>
      </c>
      <c r="D539" s="99" t="s">
        <v>1477</v>
      </c>
      <c r="E539" s="99" t="s">
        <v>1478</v>
      </c>
      <c r="F539" s="99" t="s">
        <v>2006</v>
      </c>
      <c r="G539" s="99" t="s">
        <v>100</v>
      </c>
      <c r="H539" s="99" t="s">
        <v>2007</v>
      </c>
      <c r="I539" s="99" t="s">
        <v>2008</v>
      </c>
      <c r="J539" s="99" t="s">
        <v>2039</v>
      </c>
      <c r="K539" s="99" t="s">
        <v>327</v>
      </c>
      <c r="L539" s="99" t="s">
        <v>2040</v>
      </c>
      <c r="M539" s="99" t="s">
        <v>1</v>
      </c>
      <c r="N539" s="99" t="s">
        <v>3407</v>
      </c>
      <c r="O539" s="99" t="s">
        <v>114</v>
      </c>
      <c r="P539" s="99" t="s">
        <v>3422</v>
      </c>
      <c r="Q539" s="99" t="s">
        <v>169</v>
      </c>
      <c r="R539" s="99" t="s">
        <v>71</v>
      </c>
      <c r="S539" s="99" t="s">
        <v>2691</v>
      </c>
      <c r="T539" s="99" t="s">
        <v>49</v>
      </c>
      <c r="U539" s="99" t="s">
        <v>1511</v>
      </c>
      <c r="V539" s="99" t="s">
        <v>54</v>
      </c>
      <c r="W539" s="99" t="s">
        <v>3435</v>
      </c>
      <c r="X539" s="99" t="s">
        <v>4611</v>
      </c>
      <c r="Y539" s="99" t="s">
        <v>4612</v>
      </c>
      <c r="Z539" s="99" t="s">
        <v>172</v>
      </c>
      <c r="AA539" s="99" t="s">
        <v>173</v>
      </c>
      <c r="AB539" s="99" t="s">
        <v>174</v>
      </c>
      <c r="AC539" s="99" t="s">
        <v>3411</v>
      </c>
      <c r="AD539" s="99" t="s">
        <v>175</v>
      </c>
      <c r="AE539" s="99" t="s">
        <v>3411</v>
      </c>
      <c r="AF539" s="99" t="s">
        <v>3411</v>
      </c>
      <c r="AG539" s="124">
        <v>2721</v>
      </c>
      <c r="AH539" s="99" t="s">
        <v>3413</v>
      </c>
      <c r="AI539" s="125">
        <v>100</v>
      </c>
      <c r="AJ539" s="99" t="s">
        <v>176</v>
      </c>
      <c r="AK539" s="99" t="s">
        <v>4611</v>
      </c>
      <c r="AL539" s="99" t="s">
        <v>3411</v>
      </c>
      <c r="AM539" s="99" t="s">
        <v>177</v>
      </c>
      <c r="AN539" s="99" t="s">
        <v>3411</v>
      </c>
      <c r="AO539" s="99" t="s">
        <v>1624</v>
      </c>
      <c r="AP539" s="99" t="s">
        <v>2570</v>
      </c>
      <c r="AQ539" s="99" t="s">
        <v>3411</v>
      </c>
      <c r="AR539" s="99" t="s">
        <v>3411</v>
      </c>
      <c r="AS539" s="99" t="s">
        <v>2041</v>
      </c>
      <c r="AT539" s="99" t="s">
        <v>190</v>
      </c>
      <c r="AU539" s="99" t="s">
        <v>191</v>
      </c>
      <c r="AV539" s="99" t="s">
        <v>3581</v>
      </c>
      <c r="AW539" s="99" t="s">
        <v>529</v>
      </c>
      <c r="AX539" s="99" t="s">
        <v>3420</v>
      </c>
      <c r="AY539" s="99" t="s">
        <v>252</v>
      </c>
      <c r="AZ539" s="99" t="s">
        <v>4596</v>
      </c>
      <c r="BA539" s="99" t="s">
        <v>4597</v>
      </c>
      <c r="BB539" s="99" t="s">
        <v>2730</v>
      </c>
      <c r="BC539" s="125">
        <v>53</v>
      </c>
      <c r="BD539" s="99" t="s">
        <v>3135</v>
      </c>
      <c r="BE539" s="99" t="s">
        <v>3136</v>
      </c>
    </row>
    <row r="540" spans="1:57" ht="12.95" customHeight="1">
      <c r="A540" s="124">
        <v>15</v>
      </c>
      <c r="B540" s="124">
        <v>2723</v>
      </c>
      <c r="C540" s="99" t="s">
        <v>165</v>
      </c>
      <c r="D540" s="99" t="s">
        <v>1477</v>
      </c>
      <c r="E540" s="99" t="s">
        <v>1478</v>
      </c>
      <c r="F540" s="99" t="s">
        <v>2006</v>
      </c>
      <c r="G540" s="99" t="s">
        <v>100</v>
      </c>
      <c r="H540" s="99" t="s">
        <v>2007</v>
      </c>
      <c r="I540" s="99" t="s">
        <v>2008</v>
      </c>
      <c r="J540" s="99" t="s">
        <v>2042</v>
      </c>
      <c r="K540" s="99" t="s">
        <v>2043</v>
      </c>
      <c r="L540" s="99" t="s">
        <v>2044</v>
      </c>
      <c r="M540" s="99" t="s">
        <v>5</v>
      </c>
      <c r="N540" s="99" t="s">
        <v>3407</v>
      </c>
      <c r="O540" s="99" t="s">
        <v>114</v>
      </c>
      <c r="P540" s="99" t="s">
        <v>3422</v>
      </c>
      <c r="Q540" s="99" t="s">
        <v>169</v>
      </c>
      <c r="R540" s="99" t="s">
        <v>71</v>
      </c>
      <c r="S540" s="99" t="s">
        <v>2691</v>
      </c>
      <c r="T540" s="99" t="s">
        <v>49</v>
      </c>
      <c r="U540" s="99" t="s">
        <v>1492</v>
      </c>
      <c r="V540" s="99" t="s">
        <v>55</v>
      </c>
      <c r="W540" s="99" t="s">
        <v>3435</v>
      </c>
      <c r="X540" s="99" t="s">
        <v>3469</v>
      </c>
      <c r="Y540" s="99" t="s">
        <v>4613</v>
      </c>
      <c r="Z540" s="99" t="s">
        <v>172</v>
      </c>
      <c r="AA540" s="99" t="s">
        <v>173</v>
      </c>
      <c r="AB540" s="99" t="s">
        <v>174</v>
      </c>
      <c r="AC540" s="99" t="s">
        <v>3411</v>
      </c>
      <c r="AD540" s="99" t="s">
        <v>175</v>
      </c>
      <c r="AE540" s="99" t="s">
        <v>3411</v>
      </c>
      <c r="AF540" s="99" t="s">
        <v>3411</v>
      </c>
      <c r="AG540" s="124">
        <v>2723</v>
      </c>
      <c r="AH540" s="99" t="s">
        <v>3413</v>
      </c>
      <c r="AI540" s="125">
        <v>100</v>
      </c>
      <c r="AJ540" s="99" t="s">
        <v>176</v>
      </c>
      <c r="AK540" s="99" t="s">
        <v>3469</v>
      </c>
      <c r="AL540" s="99" t="s">
        <v>3411</v>
      </c>
      <c r="AM540" s="99" t="s">
        <v>177</v>
      </c>
      <c r="AN540" s="99" t="s">
        <v>3411</v>
      </c>
      <c r="AO540" s="99" t="s">
        <v>1624</v>
      </c>
      <c r="AP540" s="99" t="s">
        <v>2570</v>
      </c>
      <c r="AQ540" s="99" t="s">
        <v>3411</v>
      </c>
      <c r="AR540" s="99" t="s">
        <v>3411</v>
      </c>
      <c r="AS540" s="99" t="s">
        <v>2045</v>
      </c>
      <c r="AT540" s="99" t="s">
        <v>190</v>
      </c>
      <c r="AU540" s="99" t="s">
        <v>191</v>
      </c>
      <c r="AV540" s="99" t="s">
        <v>3581</v>
      </c>
      <c r="AW540" s="99" t="s">
        <v>529</v>
      </c>
      <c r="AX540" s="99" t="s">
        <v>3420</v>
      </c>
      <c r="AY540" s="99" t="s">
        <v>252</v>
      </c>
      <c r="AZ540" s="99" t="s">
        <v>4596</v>
      </c>
      <c r="BA540" s="99" t="s">
        <v>4597</v>
      </c>
      <c r="BB540" s="99" t="s">
        <v>2730</v>
      </c>
      <c r="BC540" s="125">
        <v>57</v>
      </c>
      <c r="BD540" s="99" t="s">
        <v>3135</v>
      </c>
      <c r="BE540" s="99" t="s">
        <v>3136</v>
      </c>
    </row>
    <row r="541" spans="1:57" ht="12.95" customHeight="1">
      <c r="A541" s="124">
        <v>15</v>
      </c>
      <c r="B541" s="124">
        <v>2724</v>
      </c>
      <c r="C541" s="99" t="s">
        <v>165</v>
      </c>
      <c r="D541" s="99" t="s">
        <v>1477</v>
      </c>
      <c r="E541" s="99" t="s">
        <v>1478</v>
      </c>
      <c r="F541" s="99" t="s">
        <v>2006</v>
      </c>
      <c r="G541" s="99" t="s">
        <v>100</v>
      </c>
      <c r="H541" s="99" t="s">
        <v>2007</v>
      </c>
      <c r="I541" s="99" t="s">
        <v>2008</v>
      </c>
      <c r="J541" s="99" t="s">
        <v>2046</v>
      </c>
      <c r="K541" s="99" t="s">
        <v>196</v>
      </c>
      <c r="L541" s="99" t="s">
        <v>2047</v>
      </c>
      <c r="M541" s="99" t="s">
        <v>1</v>
      </c>
      <c r="N541" s="99" t="s">
        <v>3407</v>
      </c>
      <c r="O541" s="99" t="s">
        <v>114</v>
      </c>
      <c r="P541" s="99" t="s">
        <v>3422</v>
      </c>
      <c r="Q541" s="99" t="s">
        <v>169</v>
      </c>
      <c r="R541" s="99" t="s">
        <v>71</v>
      </c>
      <c r="S541" s="99" t="s">
        <v>2691</v>
      </c>
      <c r="T541" s="99" t="s">
        <v>49</v>
      </c>
      <c r="U541" s="99" t="s">
        <v>1492</v>
      </c>
      <c r="V541" s="99" t="s">
        <v>55</v>
      </c>
      <c r="W541" s="99" t="s">
        <v>3435</v>
      </c>
      <c r="X541" s="99" t="s">
        <v>3469</v>
      </c>
      <c r="Y541" s="99" t="s">
        <v>4614</v>
      </c>
      <c r="Z541" s="99" t="s">
        <v>172</v>
      </c>
      <c r="AA541" s="99" t="s">
        <v>173</v>
      </c>
      <c r="AB541" s="99" t="s">
        <v>174</v>
      </c>
      <c r="AC541" s="99" t="s">
        <v>3411</v>
      </c>
      <c r="AD541" s="99" t="s">
        <v>175</v>
      </c>
      <c r="AE541" s="99" t="s">
        <v>3411</v>
      </c>
      <c r="AF541" s="99" t="s">
        <v>3411</v>
      </c>
      <c r="AG541" s="124">
        <v>2724</v>
      </c>
      <c r="AH541" s="99" t="s">
        <v>3413</v>
      </c>
      <c r="AI541" s="125">
        <v>100</v>
      </c>
      <c r="AJ541" s="99" t="s">
        <v>176</v>
      </c>
      <c r="AK541" s="99" t="s">
        <v>3469</v>
      </c>
      <c r="AL541" s="99" t="s">
        <v>3411</v>
      </c>
      <c r="AM541" s="99" t="s">
        <v>177</v>
      </c>
      <c r="AN541" s="99" t="s">
        <v>3411</v>
      </c>
      <c r="AO541" s="99" t="s">
        <v>1624</v>
      </c>
      <c r="AP541" s="99" t="s">
        <v>2570</v>
      </c>
      <c r="AQ541" s="99" t="s">
        <v>3411</v>
      </c>
      <c r="AR541" s="99" t="s">
        <v>1010</v>
      </c>
      <c r="AS541" s="99" t="s">
        <v>2048</v>
      </c>
      <c r="AT541" s="99" t="s">
        <v>190</v>
      </c>
      <c r="AU541" s="99" t="s">
        <v>191</v>
      </c>
      <c r="AV541" s="99" t="s">
        <v>3581</v>
      </c>
      <c r="AW541" s="99" t="s">
        <v>529</v>
      </c>
      <c r="AX541" s="99" t="s">
        <v>3420</v>
      </c>
      <c r="AY541" s="99" t="s">
        <v>252</v>
      </c>
      <c r="AZ541" s="99" t="s">
        <v>4596</v>
      </c>
      <c r="BA541" s="99" t="s">
        <v>4597</v>
      </c>
      <c r="BB541" s="99" t="s">
        <v>2730</v>
      </c>
      <c r="BC541" s="125">
        <v>60</v>
      </c>
      <c r="BD541" s="99" t="s">
        <v>3135</v>
      </c>
      <c r="BE541" s="99" t="s">
        <v>3136</v>
      </c>
    </row>
    <row r="542" spans="1:57" ht="12.95" customHeight="1">
      <c r="A542" s="124">
        <v>15</v>
      </c>
      <c r="B542" s="124">
        <v>2026</v>
      </c>
      <c r="C542" s="99" t="s">
        <v>165</v>
      </c>
      <c r="D542" s="99" t="s">
        <v>1477</v>
      </c>
      <c r="E542" s="99" t="s">
        <v>1478</v>
      </c>
      <c r="F542" s="99" t="s">
        <v>2006</v>
      </c>
      <c r="G542" s="99" t="s">
        <v>100</v>
      </c>
      <c r="H542" s="99" t="s">
        <v>2007</v>
      </c>
      <c r="I542" s="99" t="s">
        <v>2008</v>
      </c>
      <c r="J542" s="99" t="s">
        <v>2049</v>
      </c>
      <c r="K542" s="99" t="s">
        <v>1442</v>
      </c>
      <c r="L542" s="99" t="s">
        <v>2050</v>
      </c>
      <c r="M542" s="99" t="s">
        <v>1</v>
      </c>
      <c r="N542" s="99" t="s">
        <v>3454</v>
      </c>
      <c r="O542" s="99" t="s">
        <v>70</v>
      </c>
      <c r="P542" s="99" t="s">
        <v>4298</v>
      </c>
      <c r="Q542" s="99" t="s">
        <v>247</v>
      </c>
      <c r="R542" s="99" t="s">
        <v>71</v>
      </c>
      <c r="S542" s="99" t="s">
        <v>2691</v>
      </c>
      <c r="T542" s="99" t="s">
        <v>49</v>
      </c>
      <c r="U542" s="99" t="s">
        <v>1492</v>
      </c>
      <c r="V542" s="99" t="s">
        <v>55</v>
      </c>
      <c r="W542" s="99" t="s">
        <v>4615</v>
      </c>
      <c r="X542" s="99" t="s">
        <v>4615</v>
      </c>
      <c r="Y542" s="99" t="s">
        <v>4616</v>
      </c>
      <c r="Z542" s="99" t="s">
        <v>172</v>
      </c>
      <c r="AA542" s="99" t="s">
        <v>173</v>
      </c>
      <c r="AB542" s="99" t="s">
        <v>174</v>
      </c>
      <c r="AC542" s="99" t="s">
        <v>3411</v>
      </c>
      <c r="AD542" s="99" t="s">
        <v>175</v>
      </c>
      <c r="AE542" s="99" t="s">
        <v>3411</v>
      </c>
      <c r="AF542" s="99" t="s">
        <v>3411</v>
      </c>
      <c r="AG542" s="124">
        <v>444</v>
      </c>
      <c r="AH542" s="99" t="s">
        <v>3413</v>
      </c>
      <c r="AI542" s="125">
        <v>100</v>
      </c>
      <c r="AJ542" s="99" t="s">
        <v>176</v>
      </c>
      <c r="AK542" s="99" t="s">
        <v>4615</v>
      </c>
      <c r="AL542" s="99" t="s">
        <v>3411</v>
      </c>
      <c r="AM542" s="99" t="s">
        <v>177</v>
      </c>
      <c r="AN542" s="99" t="s">
        <v>3411</v>
      </c>
      <c r="AO542" s="99" t="s">
        <v>1624</v>
      </c>
      <c r="AP542" s="99" t="s">
        <v>2570</v>
      </c>
      <c r="AQ542" s="99" t="s">
        <v>3411</v>
      </c>
      <c r="AR542" s="99" t="s">
        <v>1010</v>
      </c>
      <c r="AS542" s="99" t="s">
        <v>2051</v>
      </c>
      <c r="AT542" s="99" t="s">
        <v>190</v>
      </c>
      <c r="AU542" s="99" t="s">
        <v>191</v>
      </c>
      <c r="AV542" s="99" t="s">
        <v>3414</v>
      </c>
      <c r="AW542" s="99" t="s">
        <v>180</v>
      </c>
      <c r="AX542" s="99" t="s">
        <v>3836</v>
      </c>
      <c r="AY542" s="99" t="s">
        <v>252</v>
      </c>
      <c r="AZ542" s="99" t="s">
        <v>4440</v>
      </c>
      <c r="BA542" s="99" t="s">
        <v>4597</v>
      </c>
      <c r="BB542" s="99" t="s">
        <v>2730</v>
      </c>
      <c r="BC542" s="125">
        <v>55</v>
      </c>
      <c r="BD542" s="99" t="s">
        <v>3135</v>
      </c>
      <c r="BE542" s="99" t="s">
        <v>3136</v>
      </c>
    </row>
    <row r="543" spans="1:57" ht="12.95" customHeight="1">
      <c r="A543" s="124">
        <v>15</v>
      </c>
      <c r="B543" s="124">
        <v>1948</v>
      </c>
      <c r="C543" s="99" t="s">
        <v>165</v>
      </c>
      <c r="D543" s="99" t="s">
        <v>1477</v>
      </c>
      <c r="E543" s="99" t="s">
        <v>1478</v>
      </c>
      <c r="F543" s="99" t="s">
        <v>2006</v>
      </c>
      <c r="G543" s="99" t="s">
        <v>100</v>
      </c>
      <c r="H543" s="99" t="s">
        <v>2007</v>
      </c>
      <c r="I543" s="99" t="s">
        <v>2008</v>
      </c>
      <c r="J543" s="99" t="s">
        <v>1720</v>
      </c>
      <c r="K543" s="99" t="s">
        <v>275</v>
      </c>
      <c r="L543" s="99" t="s">
        <v>2052</v>
      </c>
      <c r="M543" s="99" t="s">
        <v>5</v>
      </c>
      <c r="N543" s="99" t="s">
        <v>3407</v>
      </c>
      <c r="O543" s="99" t="s">
        <v>114</v>
      </c>
      <c r="P543" s="99" t="s">
        <v>3422</v>
      </c>
      <c r="Q543" s="99" t="s">
        <v>169</v>
      </c>
      <c r="R543" s="99" t="s">
        <v>71</v>
      </c>
      <c r="S543" s="99" t="s">
        <v>2691</v>
      </c>
      <c r="T543" s="99" t="s">
        <v>49</v>
      </c>
      <c r="U543" s="99" t="s">
        <v>1519</v>
      </c>
      <c r="V543" s="99" t="s">
        <v>56</v>
      </c>
      <c r="W543" s="99" t="s">
        <v>4303</v>
      </c>
      <c r="X543" s="99" t="s">
        <v>4303</v>
      </c>
      <c r="Y543" s="99" t="s">
        <v>4617</v>
      </c>
      <c r="Z543" s="99" t="s">
        <v>172</v>
      </c>
      <c r="AA543" s="99" t="s">
        <v>173</v>
      </c>
      <c r="AB543" s="99" t="s">
        <v>174</v>
      </c>
      <c r="AC543" s="99" t="s">
        <v>3411</v>
      </c>
      <c r="AD543" s="99" t="s">
        <v>175</v>
      </c>
      <c r="AE543" s="99" t="s">
        <v>3411</v>
      </c>
      <c r="AF543" s="99" t="s">
        <v>3411</v>
      </c>
      <c r="AG543" s="124">
        <v>393</v>
      </c>
      <c r="AH543" s="99" t="s">
        <v>3413</v>
      </c>
      <c r="AI543" s="125">
        <v>100</v>
      </c>
      <c r="AJ543" s="99" t="s">
        <v>176</v>
      </c>
      <c r="AK543" s="99" t="s">
        <v>4303</v>
      </c>
      <c r="AL543" s="99" t="s">
        <v>3411</v>
      </c>
      <c r="AM543" s="99" t="s">
        <v>177</v>
      </c>
      <c r="AN543" s="99" t="s">
        <v>3411</v>
      </c>
      <c r="AO543" s="99" t="s">
        <v>1624</v>
      </c>
      <c r="AP543" s="99" t="s">
        <v>2570</v>
      </c>
      <c r="AQ543" s="99" t="s">
        <v>3411</v>
      </c>
      <c r="AR543" s="99" t="s">
        <v>3411</v>
      </c>
      <c r="AS543" s="99" t="s">
        <v>2053</v>
      </c>
      <c r="AT543" s="99" t="s">
        <v>190</v>
      </c>
      <c r="AU543" s="99" t="s">
        <v>191</v>
      </c>
      <c r="AV543" s="99" t="s">
        <v>3581</v>
      </c>
      <c r="AW543" s="99" t="s">
        <v>529</v>
      </c>
      <c r="AX543" s="99" t="s">
        <v>3420</v>
      </c>
      <c r="AY543" s="99" t="s">
        <v>252</v>
      </c>
      <c r="AZ543" s="99" t="s">
        <v>4596</v>
      </c>
      <c r="BA543" s="99" t="s">
        <v>4597</v>
      </c>
      <c r="BB543" s="99" t="s">
        <v>2730</v>
      </c>
      <c r="BC543" s="125">
        <v>61</v>
      </c>
      <c r="BD543" s="99" t="s">
        <v>3135</v>
      </c>
      <c r="BE543" s="99" t="s">
        <v>3136</v>
      </c>
    </row>
    <row r="544" spans="1:57" ht="12.95" customHeight="1">
      <c r="A544" s="124">
        <v>15</v>
      </c>
      <c r="B544" s="124">
        <v>2739</v>
      </c>
      <c r="C544" s="99" t="s">
        <v>165</v>
      </c>
      <c r="D544" s="99" t="s">
        <v>1477</v>
      </c>
      <c r="E544" s="99" t="s">
        <v>1478</v>
      </c>
      <c r="F544" s="99" t="s">
        <v>2006</v>
      </c>
      <c r="G544" s="99" t="s">
        <v>100</v>
      </c>
      <c r="H544" s="99" t="s">
        <v>2007</v>
      </c>
      <c r="I544" s="99" t="s">
        <v>2008</v>
      </c>
      <c r="J544" s="99" t="s">
        <v>2055</v>
      </c>
      <c r="K544" s="99" t="s">
        <v>798</v>
      </c>
      <c r="L544" s="99" t="s">
        <v>2056</v>
      </c>
      <c r="M544" s="99" t="s">
        <v>5</v>
      </c>
      <c r="N544" s="99" t="s">
        <v>3407</v>
      </c>
      <c r="O544" s="99" t="s">
        <v>114</v>
      </c>
      <c r="P544" s="99" t="s">
        <v>3422</v>
      </c>
      <c r="Q544" s="99" t="s">
        <v>169</v>
      </c>
      <c r="R544" s="99" t="s">
        <v>71</v>
      </c>
      <c r="S544" s="99" t="s">
        <v>2691</v>
      </c>
      <c r="T544" s="99" t="s">
        <v>49</v>
      </c>
      <c r="U544" s="99" t="s">
        <v>1008</v>
      </c>
      <c r="V544" s="99" t="s">
        <v>53</v>
      </c>
      <c r="W544" s="99" t="s">
        <v>3435</v>
      </c>
      <c r="X544" s="99" t="s">
        <v>3668</v>
      </c>
      <c r="Y544" s="99" t="s">
        <v>4618</v>
      </c>
      <c r="Z544" s="99" t="s">
        <v>172</v>
      </c>
      <c r="AA544" s="99" t="s">
        <v>173</v>
      </c>
      <c r="AB544" s="99" t="s">
        <v>174</v>
      </c>
      <c r="AC544" s="99" t="s">
        <v>3411</v>
      </c>
      <c r="AD544" s="99" t="s">
        <v>175</v>
      </c>
      <c r="AE544" s="99" t="s">
        <v>3411</v>
      </c>
      <c r="AF544" s="99" t="s">
        <v>3411</v>
      </c>
      <c r="AG544" s="124">
        <v>2739</v>
      </c>
      <c r="AH544" s="99" t="s">
        <v>3413</v>
      </c>
      <c r="AI544" s="125">
        <v>100</v>
      </c>
      <c r="AJ544" s="99" t="s">
        <v>176</v>
      </c>
      <c r="AK544" s="99" t="s">
        <v>4290</v>
      </c>
      <c r="AL544" s="99" t="s">
        <v>3411</v>
      </c>
      <c r="AM544" s="99" t="s">
        <v>177</v>
      </c>
      <c r="AN544" s="99" t="s">
        <v>3411</v>
      </c>
      <c r="AO544" s="99" t="s">
        <v>1624</v>
      </c>
      <c r="AP544" s="99" t="s">
        <v>2570</v>
      </c>
      <c r="AQ544" s="99" t="s">
        <v>3411</v>
      </c>
      <c r="AR544" s="99" t="s">
        <v>3411</v>
      </c>
      <c r="AS544" s="99" t="s">
        <v>2057</v>
      </c>
      <c r="AT544" s="99" t="s">
        <v>190</v>
      </c>
      <c r="AU544" s="99" t="s">
        <v>191</v>
      </c>
      <c r="AV544" s="99" t="s">
        <v>3581</v>
      </c>
      <c r="AW544" s="99" t="s">
        <v>529</v>
      </c>
      <c r="AX544" s="99" t="s">
        <v>3411</v>
      </c>
      <c r="AY544" s="99" t="s">
        <v>3411</v>
      </c>
      <c r="AZ544" s="99" t="s">
        <v>3411</v>
      </c>
      <c r="BA544" s="99" t="s">
        <v>4597</v>
      </c>
      <c r="BB544" s="99" t="s">
        <v>2730</v>
      </c>
      <c r="BC544" s="125">
        <v>54</v>
      </c>
      <c r="BD544" s="99" t="s">
        <v>3135</v>
      </c>
      <c r="BE544" s="99" t="s">
        <v>3136</v>
      </c>
    </row>
    <row r="545" spans="1:57" ht="12.95" customHeight="1">
      <c r="A545" s="124">
        <v>15</v>
      </c>
      <c r="B545" s="124">
        <v>2747</v>
      </c>
      <c r="C545" s="99" t="s">
        <v>165</v>
      </c>
      <c r="D545" s="99" t="s">
        <v>1477</v>
      </c>
      <c r="E545" s="99" t="s">
        <v>1478</v>
      </c>
      <c r="F545" s="99" t="s">
        <v>2006</v>
      </c>
      <c r="G545" s="99" t="s">
        <v>100</v>
      </c>
      <c r="H545" s="99" t="s">
        <v>2007</v>
      </c>
      <c r="I545" s="99" t="s">
        <v>2008</v>
      </c>
      <c r="J545" s="99" t="s">
        <v>2062</v>
      </c>
      <c r="K545" s="99" t="s">
        <v>528</v>
      </c>
      <c r="L545" s="99" t="s">
        <v>2063</v>
      </c>
      <c r="M545" s="99" t="s">
        <v>5</v>
      </c>
      <c r="N545" s="99" t="s">
        <v>3407</v>
      </c>
      <c r="O545" s="99" t="s">
        <v>114</v>
      </c>
      <c r="P545" s="99" t="s">
        <v>3422</v>
      </c>
      <c r="Q545" s="99" t="s">
        <v>169</v>
      </c>
      <c r="R545" s="99" t="s">
        <v>71</v>
      </c>
      <c r="S545" s="99" t="s">
        <v>2691</v>
      </c>
      <c r="T545" s="99" t="s">
        <v>49</v>
      </c>
      <c r="U545" s="99" t="s">
        <v>1511</v>
      </c>
      <c r="V545" s="99" t="s">
        <v>54</v>
      </c>
      <c r="W545" s="99" t="s">
        <v>3435</v>
      </c>
      <c r="X545" s="99" t="s">
        <v>4619</v>
      </c>
      <c r="Y545" s="99" t="s">
        <v>4620</v>
      </c>
      <c r="Z545" s="99" t="s">
        <v>172</v>
      </c>
      <c r="AA545" s="99" t="s">
        <v>173</v>
      </c>
      <c r="AB545" s="99" t="s">
        <v>174</v>
      </c>
      <c r="AC545" s="99" t="s">
        <v>3411</v>
      </c>
      <c r="AD545" s="99" t="s">
        <v>175</v>
      </c>
      <c r="AE545" s="99" t="s">
        <v>3411</v>
      </c>
      <c r="AF545" s="99" t="s">
        <v>3411</v>
      </c>
      <c r="AG545" s="124">
        <v>2747</v>
      </c>
      <c r="AH545" s="99" t="s">
        <v>3413</v>
      </c>
      <c r="AI545" s="125">
        <v>100</v>
      </c>
      <c r="AJ545" s="99" t="s">
        <v>176</v>
      </c>
      <c r="AK545" s="99" t="s">
        <v>4619</v>
      </c>
      <c r="AL545" s="99" t="s">
        <v>3411</v>
      </c>
      <c r="AM545" s="99" t="s">
        <v>177</v>
      </c>
      <c r="AN545" s="99" t="s">
        <v>3411</v>
      </c>
      <c r="AO545" s="99" t="s">
        <v>1624</v>
      </c>
      <c r="AP545" s="99" t="s">
        <v>2570</v>
      </c>
      <c r="AQ545" s="99" t="s">
        <v>3411</v>
      </c>
      <c r="AR545" s="99" t="s">
        <v>207</v>
      </c>
      <c r="AS545" s="99" t="s">
        <v>2064</v>
      </c>
      <c r="AT545" s="99" t="s">
        <v>190</v>
      </c>
      <c r="AU545" s="99" t="s">
        <v>191</v>
      </c>
      <c r="AV545" s="99" t="s">
        <v>3581</v>
      </c>
      <c r="AW545" s="99" t="s">
        <v>529</v>
      </c>
      <c r="AX545" s="99" t="s">
        <v>3420</v>
      </c>
      <c r="AY545" s="99" t="s">
        <v>252</v>
      </c>
      <c r="AZ545" s="99" t="s">
        <v>4596</v>
      </c>
      <c r="BA545" s="99" t="s">
        <v>4597</v>
      </c>
      <c r="BB545" s="99" t="s">
        <v>2730</v>
      </c>
      <c r="BC545" s="125">
        <v>50</v>
      </c>
      <c r="BD545" s="99" t="s">
        <v>3135</v>
      </c>
      <c r="BE545" s="99" t="s">
        <v>3136</v>
      </c>
    </row>
    <row r="546" spans="1:57" ht="12.95" customHeight="1">
      <c r="A546" s="124">
        <v>15</v>
      </c>
      <c r="B546" s="124">
        <v>2748</v>
      </c>
      <c r="C546" s="99" t="s">
        <v>165</v>
      </c>
      <c r="D546" s="99" t="s">
        <v>1477</v>
      </c>
      <c r="E546" s="99" t="s">
        <v>1478</v>
      </c>
      <c r="F546" s="99" t="s">
        <v>2006</v>
      </c>
      <c r="G546" s="99" t="s">
        <v>100</v>
      </c>
      <c r="H546" s="99" t="s">
        <v>2007</v>
      </c>
      <c r="I546" s="99" t="s">
        <v>2008</v>
      </c>
      <c r="J546" s="99" t="s">
        <v>2065</v>
      </c>
      <c r="K546" s="99" t="s">
        <v>1566</v>
      </c>
      <c r="L546" s="99" t="s">
        <v>2066</v>
      </c>
      <c r="M546" s="99" t="s">
        <v>5</v>
      </c>
      <c r="N546" s="99" t="s">
        <v>3407</v>
      </c>
      <c r="O546" s="99" t="s">
        <v>114</v>
      </c>
      <c r="P546" s="99" t="s">
        <v>3422</v>
      </c>
      <c r="Q546" s="99" t="s">
        <v>169</v>
      </c>
      <c r="R546" s="99" t="s">
        <v>71</v>
      </c>
      <c r="S546" s="99" t="s">
        <v>2691</v>
      </c>
      <c r="T546" s="99" t="s">
        <v>49</v>
      </c>
      <c r="U546" s="99" t="s">
        <v>1519</v>
      </c>
      <c r="V546" s="99" t="s">
        <v>56</v>
      </c>
      <c r="W546" s="99" t="s">
        <v>3435</v>
      </c>
      <c r="X546" s="99" t="s">
        <v>4245</v>
      </c>
      <c r="Y546" s="99" t="s">
        <v>4621</v>
      </c>
      <c r="Z546" s="99" t="s">
        <v>172</v>
      </c>
      <c r="AA546" s="99" t="s">
        <v>173</v>
      </c>
      <c r="AB546" s="99" t="s">
        <v>174</v>
      </c>
      <c r="AC546" s="99" t="s">
        <v>3411</v>
      </c>
      <c r="AD546" s="99" t="s">
        <v>175</v>
      </c>
      <c r="AE546" s="99" t="s">
        <v>3411</v>
      </c>
      <c r="AF546" s="99" t="s">
        <v>3411</v>
      </c>
      <c r="AG546" s="124">
        <v>2748</v>
      </c>
      <c r="AH546" s="99" t="s">
        <v>3413</v>
      </c>
      <c r="AI546" s="125">
        <v>100</v>
      </c>
      <c r="AJ546" s="99" t="s">
        <v>176</v>
      </c>
      <c r="AK546" s="99" t="s">
        <v>4245</v>
      </c>
      <c r="AL546" s="99" t="s">
        <v>3411</v>
      </c>
      <c r="AM546" s="99" t="s">
        <v>177</v>
      </c>
      <c r="AN546" s="99" t="s">
        <v>3411</v>
      </c>
      <c r="AO546" s="99" t="s">
        <v>1624</v>
      </c>
      <c r="AP546" s="99" t="s">
        <v>2570</v>
      </c>
      <c r="AQ546" s="99" t="s">
        <v>3411</v>
      </c>
      <c r="AR546" s="99" t="s">
        <v>3411</v>
      </c>
      <c r="AS546" s="99" t="s">
        <v>2067</v>
      </c>
      <c r="AT546" s="99" t="s">
        <v>190</v>
      </c>
      <c r="AU546" s="99" t="s">
        <v>191</v>
      </c>
      <c r="AV546" s="99" t="s">
        <v>3581</v>
      </c>
      <c r="AW546" s="99" t="s">
        <v>529</v>
      </c>
      <c r="AX546" s="99" t="s">
        <v>3420</v>
      </c>
      <c r="AY546" s="99" t="s">
        <v>252</v>
      </c>
      <c r="AZ546" s="99" t="s">
        <v>4596</v>
      </c>
      <c r="BA546" s="99" t="s">
        <v>4597</v>
      </c>
      <c r="BB546" s="99" t="s">
        <v>2730</v>
      </c>
      <c r="BC546" s="125">
        <v>54</v>
      </c>
      <c r="BD546" s="99" t="s">
        <v>3135</v>
      </c>
      <c r="BE546" s="99" t="s">
        <v>3136</v>
      </c>
    </row>
    <row r="547" spans="1:57" ht="12.95" customHeight="1">
      <c r="A547" s="124">
        <v>15</v>
      </c>
      <c r="B547" s="124">
        <v>2751</v>
      </c>
      <c r="C547" s="99" t="s">
        <v>165</v>
      </c>
      <c r="D547" s="99" t="s">
        <v>1477</v>
      </c>
      <c r="E547" s="99" t="s">
        <v>1478</v>
      </c>
      <c r="F547" s="99" t="s">
        <v>2006</v>
      </c>
      <c r="G547" s="99" t="s">
        <v>100</v>
      </c>
      <c r="H547" s="99" t="s">
        <v>2007</v>
      </c>
      <c r="I547" s="99" t="s">
        <v>2008</v>
      </c>
      <c r="J547" s="99" t="s">
        <v>2068</v>
      </c>
      <c r="K547" s="99" t="s">
        <v>2069</v>
      </c>
      <c r="L547" s="99" t="s">
        <v>2070</v>
      </c>
      <c r="M547" s="99" t="s">
        <v>1</v>
      </c>
      <c r="N547" s="99" t="s">
        <v>3407</v>
      </c>
      <c r="O547" s="99" t="s">
        <v>114</v>
      </c>
      <c r="P547" s="99" t="s">
        <v>3422</v>
      </c>
      <c r="Q547" s="99" t="s">
        <v>169</v>
      </c>
      <c r="R547" s="99" t="s">
        <v>71</v>
      </c>
      <c r="S547" s="99" t="s">
        <v>2691</v>
      </c>
      <c r="T547" s="99" t="s">
        <v>49</v>
      </c>
      <c r="U547" s="99" t="s">
        <v>1492</v>
      </c>
      <c r="V547" s="99" t="s">
        <v>55</v>
      </c>
      <c r="W547" s="99" t="s">
        <v>3435</v>
      </c>
      <c r="X547" s="99" t="s">
        <v>4622</v>
      </c>
      <c r="Y547" s="99" t="s">
        <v>4623</v>
      </c>
      <c r="Z547" s="99" t="s">
        <v>172</v>
      </c>
      <c r="AA547" s="99" t="s">
        <v>173</v>
      </c>
      <c r="AB547" s="99" t="s">
        <v>174</v>
      </c>
      <c r="AC547" s="99" t="s">
        <v>3411</v>
      </c>
      <c r="AD547" s="99" t="s">
        <v>175</v>
      </c>
      <c r="AE547" s="99" t="s">
        <v>3411</v>
      </c>
      <c r="AF547" s="99" t="s">
        <v>3411</v>
      </c>
      <c r="AG547" s="124">
        <v>2751</v>
      </c>
      <c r="AH547" s="99" t="s">
        <v>3413</v>
      </c>
      <c r="AI547" s="125">
        <v>100</v>
      </c>
      <c r="AJ547" s="99" t="s">
        <v>176</v>
      </c>
      <c r="AK547" s="99" t="s">
        <v>4622</v>
      </c>
      <c r="AL547" s="99" t="s">
        <v>3411</v>
      </c>
      <c r="AM547" s="99" t="s">
        <v>177</v>
      </c>
      <c r="AN547" s="99" t="s">
        <v>3411</v>
      </c>
      <c r="AO547" s="99" t="s">
        <v>1624</v>
      </c>
      <c r="AP547" s="99" t="s">
        <v>2570</v>
      </c>
      <c r="AQ547" s="99" t="s">
        <v>3411</v>
      </c>
      <c r="AR547" s="99" t="s">
        <v>1010</v>
      </c>
      <c r="AS547" s="99" t="s">
        <v>2071</v>
      </c>
      <c r="AT547" s="99" t="s">
        <v>190</v>
      </c>
      <c r="AU547" s="99" t="s">
        <v>191</v>
      </c>
      <c r="AV547" s="99" t="s">
        <v>3581</v>
      </c>
      <c r="AW547" s="99" t="s">
        <v>529</v>
      </c>
      <c r="AX547" s="99" t="s">
        <v>3836</v>
      </c>
      <c r="AY547" s="99" t="s">
        <v>252</v>
      </c>
      <c r="AZ547" s="99" t="s">
        <v>4440</v>
      </c>
      <c r="BA547" s="99" t="s">
        <v>4597</v>
      </c>
      <c r="BB547" s="99" t="s">
        <v>2730</v>
      </c>
      <c r="BC547" s="125">
        <v>58</v>
      </c>
      <c r="BD547" s="99" t="s">
        <v>3135</v>
      </c>
      <c r="BE547" s="99" t="s">
        <v>3136</v>
      </c>
    </row>
    <row r="548" spans="1:57" ht="12.95" customHeight="1">
      <c r="A548" s="124">
        <v>15</v>
      </c>
      <c r="B548" s="124">
        <v>2752</v>
      </c>
      <c r="C548" s="99" t="s">
        <v>165</v>
      </c>
      <c r="D548" s="99" t="s">
        <v>1477</v>
      </c>
      <c r="E548" s="99" t="s">
        <v>1478</v>
      </c>
      <c r="F548" s="99" t="s">
        <v>2006</v>
      </c>
      <c r="G548" s="99" t="s">
        <v>100</v>
      </c>
      <c r="H548" s="99" t="s">
        <v>2007</v>
      </c>
      <c r="I548" s="99" t="s">
        <v>2008</v>
      </c>
      <c r="J548" s="99" t="s">
        <v>2072</v>
      </c>
      <c r="K548" s="99" t="s">
        <v>2073</v>
      </c>
      <c r="L548" s="99" t="s">
        <v>2074</v>
      </c>
      <c r="M548" s="99" t="s">
        <v>1</v>
      </c>
      <c r="N548" s="99" t="s">
        <v>3407</v>
      </c>
      <c r="O548" s="99" t="s">
        <v>114</v>
      </c>
      <c r="P548" s="99" t="s">
        <v>3422</v>
      </c>
      <c r="Q548" s="99" t="s">
        <v>169</v>
      </c>
      <c r="R548" s="99" t="s">
        <v>71</v>
      </c>
      <c r="S548" s="99" t="s">
        <v>2691</v>
      </c>
      <c r="T548" s="99" t="s">
        <v>49</v>
      </c>
      <c r="U548" s="99" t="s">
        <v>1511</v>
      </c>
      <c r="V548" s="99" t="s">
        <v>54</v>
      </c>
      <c r="W548" s="99" t="s">
        <v>3435</v>
      </c>
      <c r="X548" s="99" t="s">
        <v>4624</v>
      </c>
      <c r="Y548" s="99" t="s">
        <v>4625</v>
      </c>
      <c r="Z548" s="99" t="s">
        <v>172</v>
      </c>
      <c r="AA548" s="99" t="s">
        <v>173</v>
      </c>
      <c r="AB548" s="99" t="s">
        <v>174</v>
      </c>
      <c r="AC548" s="99" t="s">
        <v>3411</v>
      </c>
      <c r="AD548" s="99" t="s">
        <v>175</v>
      </c>
      <c r="AE548" s="99" t="s">
        <v>3411</v>
      </c>
      <c r="AF548" s="99" t="s">
        <v>3411</v>
      </c>
      <c r="AG548" s="124">
        <v>2752</v>
      </c>
      <c r="AH548" s="99" t="s">
        <v>3413</v>
      </c>
      <c r="AI548" s="125">
        <v>100</v>
      </c>
      <c r="AJ548" s="99" t="s">
        <v>176</v>
      </c>
      <c r="AK548" s="99" t="s">
        <v>4626</v>
      </c>
      <c r="AL548" s="99" t="s">
        <v>3411</v>
      </c>
      <c r="AM548" s="99" t="s">
        <v>177</v>
      </c>
      <c r="AN548" s="99" t="s">
        <v>3411</v>
      </c>
      <c r="AO548" s="99" t="s">
        <v>1624</v>
      </c>
      <c r="AP548" s="99" t="s">
        <v>2570</v>
      </c>
      <c r="AQ548" s="99" t="s">
        <v>3411</v>
      </c>
      <c r="AR548" s="99" t="s">
        <v>1010</v>
      </c>
      <c r="AS548" s="99" t="s">
        <v>2075</v>
      </c>
      <c r="AT548" s="99" t="s">
        <v>190</v>
      </c>
      <c r="AU548" s="99" t="s">
        <v>191</v>
      </c>
      <c r="AV548" s="99" t="s">
        <v>3570</v>
      </c>
      <c r="AW548" s="99" t="s">
        <v>406</v>
      </c>
      <c r="AX548" s="99" t="s">
        <v>3420</v>
      </c>
      <c r="AY548" s="99" t="s">
        <v>252</v>
      </c>
      <c r="AZ548" s="99" t="s">
        <v>4596</v>
      </c>
      <c r="BA548" s="99" t="s">
        <v>4597</v>
      </c>
      <c r="BB548" s="99" t="s">
        <v>2730</v>
      </c>
      <c r="BC548" s="125">
        <v>55</v>
      </c>
      <c r="BD548" s="99" t="s">
        <v>3135</v>
      </c>
      <c r="BE548" s="99" t="s">
        <v>3136</v>
      </c>
    </row>
    <row r="549" spans="1:57" ht="12.95" customHeight="1">
      <c r="A549" s="124">
        <v>15</v>
      </c>
      <c r="B549" s="124">
        <v>2758</v>
      </c>
      <c r="C549" s="99" t="s">
        <v>165</v>
      </c>
      <c r="D549" s="99" t="s">
        <v>1477</v>
      </c>
      <c r="E549" s="99" t="s">
        <v>1478</v>
      </c>
      <c r="F549" s="99" t="s">
        <v>2006</v>
      </c>
      <c r="G549" s="99" t="s">
        <v>100</v>
      </c>
      <c r="H549" s="99" t="s">
        <v>2007</v>
      </c>
      <c r="I549" s="99" t="s">
        <v>2008</v>
      </c>
      <c r="J549" s="99" t="s">
        <v>1797</v>
      </c>
      <c r="K549" s="99" t="s">
        <v>203</v>
      </c>
      <c r="L549" s="99" t="s">
        <v>2076</v>
      </c>
      <c r="M549" s="99" t="s">
        <v>5</v>
      </c>
      <c r="N549" s="99" t="s">
        <v>3407</v>
      </c>
      <c r="O549" s="99" t="s">
        <v>114</v>
      </c>
      <c r="P549" s="99" t="s">
        <v>3422</v>
      </c>
      <c r="Q549" s="99" t="s">
        <v>169</v>
      </c>
      <c r="R549" s="99" t="s">
        <v>71</v>
      </c>
      <c r="S549" s="99" t="s">
        <v>2691</v>
      </c>
      <c r="T549" s="99" t="s">
        <v>49</v>
      </c>
      <c r="U549" s="99" t="s">
        <v>1511</v>
      </c>
      <c r="V549" s="99" t="s">
        <v>54</v>
      </c>
      <c r="W549" s="99" t="s">
        <v>3435</v>
      </c>
      <c r="X549" s="99" t="s">
        <v>4627</v>
      </c>
      <c r="Y549" s="99" t="s">
        <v>4628</v>
      </c>
      <c r="Z549" s="99" t="s">
        <v>172</v>
      </c>
      <c r="AA549" s="99" t="s">
        <v>173</v>
      </c>
      <c r="AB549" s="99" t="s">
        <v>174</v>
      </c>
      <c r="AC549" s="99" t="s">
        <v>3411</v>
      </c>
      <c r="AD549" s="99" t="s">
        <v>175</v>
      </c>
      <c r="AE549" s="99" t="s">
        <v>3411</v>
      </c>
      <c r="AF549" s="99" t="s">
        <v>3411</v>
      </c>
      <c r="AG549" s="124">
        <v>2758</v>
      </c>
      <c r="AH549" s="99" t="s">
        <v>3413</v>
      </c>
      <c r="AI549" s="125">
        <v>100</v>
      </c>
      <c r="AJ549" s="99" t="s">
        <v>176</v>
      </c>
      <c r="AK549" s="99" t="s">
        <v>4627</v>
      </c>
      <c r="AL549" s="99" t="s">
        <v>3411</v>
      </c>
      <c r="AM549" s="99" t="s">
        <v>177</v>
      </c>
      <c r="AN549" s="99" t="s">
        <v>3411</v>
      </c>
      <c r="AO549" s="99" t="s">
        <v>1624</v>
      </c>
      <c r="AP549" s="99" t="s">
        <v>2570</v>
      </c>
      <c r="AQ549" s="99" t="s">
        <v>3411</v>
      </c>
      <c r="AR549" s="99" t="s">
        <v>1010</v>
      </c>
      <c r="AS549" s="99" t="s">
        <v>3318</v>
      </c>
      <c r="AT549" s="99" t="s">
        <v>190</v>
      </c>
      <c r="AU549" s="99" t="s">
        <v>191</v>
      </c>
      <c r="AV549" s="99" t="s">
        <v>3570</v>
      </c>
      <c r="AW549" s="99" t="s">
        <v>406</v>
      </c>
      <c r="AX549" s="99" t="s">
        <v>3836</v>
      </c>
      <c r="AY549" s="99" t="s">
        <v>252</v>
      </c>
      <c r="AZ549" s="99" t="s">
        <v>4440</v>
      </c>
      <c r="BA549" s="99" t="s">
        <v>4597</v>
      </c>
      <c r="BB549" s="99" t="s">
        <v>2730</v>
      </c>
      <c r="BC549" s="125">
        <v>52</v>
      </c>
      <c r="BD549" s="99" t="s">
        <v>3135</v>
      </c>
      <c r="BE549" s="99" t="s">
        <v>3136</v>
      </c>
    </row>
    <row r="550" spans="1:57" ht="12.95" customHeight="1">
      <c r="A550" s="124">
        <v>15</v>
      </c>
      <c r="B550" s="124">
        <v>2763</v>
      </c>
      <c r="C550" s="99" t="s">
        <v>165</v>
      </c>
      <c r="D550" s="99" t="s">
        <v>1477</v>
      </c>
      <c r="E550" s="99" t="s">
        <v>1478</v>
      </c>
      <c r="F550" s="99" t="s">
        <v>2006</v>
      </c>
      <c r="G550" s="99" t="s">
        <v>100</v>
      </c>
      <c r="H550" s="99" t="s">
        <v>2007</v>
      </c>
      <c r="I550" s="99" t="s">
        <v>2008</v>
      </c>
      <c r="J550" s="99" t="s">
        <v>2077</v>
      </c>
      <c r="K550" s="99" t="s">
        <v>967</v>
      </c>
      <c r="L550" s="99" t="s">
        <v>2078</v>
      </c>
      <c r="M550" s="99" t="s">
        <v>1</v>
      </c>
      <c r="N550" s="99" t="s">
        <v>3454</v>
      </c>
      <c r="O550" s="99" t="s">
        <v>70</v>
      </c>
      <c r="P550" s="99" t="s">
        <v>3455</v>
      </c>
      <c r="Q550" s="99" t="s">
        <v>247</v>
      </c>
      <c r="R550" s="99" t="s">
        <v>71</v>
      </c>
      <c r="S550" s="99" t="s">
        <v>2691</v>
      </c>
      <c r="T550" s="99" t="s">
        <v>49</v>
      </c>
      <c r="U550" s="99" t="s">
        <v>1511</v>
      </c>
      <c r="V550" s="99" t="s">
        <v>54</v>
      </c>
      <c r="W550" s="99" t="s">
        <v>3435</v>
      </c>
      <c r="X550" s="99" t="s">
        <v>3469</v>
      </c>
      <c r="Y550" s="99" t="s">
        <v>4629</v>
      </c>
      <c r="Z550" s="99" t="s">
        <v>172</v>
      </c>
      <c r="AA550" s="99" t="s">
        <v>173</v>
      </c>
      <c r="AB550" s="99" t="s">
        <v>174</v>
      </c>
      <c r="AC550" s="99" t="s">
        <v>3411</v>
      </c>
      <c r="AD550" s="99" t="s">
        <v>175</v>
      </c>
      <c r="AE550" s="99" t="s">
        <v>3411</v>
      </c>
      <c r="AF550" s="99" t="s">
        <v>3411</v>
      </c>
      <c r="AG550" s="124">
        <v>2763</v>
      </c>
      <c r="AH550" s="99" t="s">
        <v>3413</v>
      </c>
      <c r="AI550" s="125">
        <v>100</v>
      </c>
      <c r="AJ550" s="99" t="s">
        <v>176</v>
      </c>
      <c r="AK550" s="99" t="s">
        <v>3469</v>
      </c>
      <c r="AL550" s="99" t="s">
        <v>3411</v>
      </c>
      <c r="AM550" s="99" t="s">
        <v>177</v>
      </c>
      <c r="AN550" s="99" t="s">
        <v>3411</v>
      </c>
      <c r="AO550" s="99" t="s">
        <v>1624</v>
      </c>
      <c r="AP550" s="99" t="s">
        <v>2570</v>
      </c>
      <c r="AQ550" s="99" t="s">
        <v>3411</v>
      </c>
      <c r="AR550" s="99" t="s">
        <v>3411</v>
      </c>
      <c r="AS550" s="99" t="s">
        <v>2079</v>
      </c>
      <c r="AT550" s="99" t="s">
        <v>190</v>
      </c>
      <c r="AU550" s="99" t="s">
        <v>191</v>
      </c>
      <c r="AV550" s="99" t="s">
        <v>3581</v>
      </c>
      <c r="AW550" s="99" t="s">
        <v>529</v>
      </c>
      <c r="AX550" s="99" t="s">
        <v>3420</v>
      </c>
      <c r="AY550" s="99" t="s">
        <v>252</v>
      </c>
      <c r="AZ550" s="99" t="s">
        <v>4596</v>
      </c>
      <c r="BA550" s="99" t="s">
        <v>4597</v>
      </c>
      <c r="BB550" s="99" t="s">
        <v>2730</v>
      </c>
      <c r="BC550" s="125">
        <v>55</v>
      </c>
      <c r="BD550" s="99" t="s">
        <v>3135</v>
      </c>
      <c r="BE550" s="99" t="s">
        <v>3136</v>
      </c>
    </row>
    <row r="551" spans="1:57" ht="12.95" customHeight="1">
      <c r="A551" s="124">
        <v>15</v>
      </c>
      <c r="B551" s="124">
        <v>2766</v>
      </c>
      <c r="C551" s="99" t="s">
        <v>165</v>
      </c>
      <c r="D551" s="99" t="s">
        <v>1477</v>
      </c>
      <c r="E551" s="99" t="s">
        <v>1478</v>
      </c>
      <c r="F551" s="99" t="s">
        <v>2006</v>
      </c>
      <c r="G551" s="99" t="s">
        <v>100</v>
      </c>
      <c r="H551" s="99" t="s">
        <v>2007</v>
      </c>
      <c r="I551" s="99" t="s">
        <v>2008</v>
      </c>
      <c r="J551" s="99" t="s">
        <v>2080</v>
      </c>
      <c r="K551" s="99" t="s">
        <v>607</v>
      </c>
      <c r="L551" s="99" t="s">
        <v>2081</v>
      </c>
      <c r="M551" s="99" t="s">
        <v>5</v>
      </c>
      <c r="N551" s="99" t="s">
        <v>3407</v>
      </c>
      <c r="O551" s="99" t="s">
        <v>114</v>
      </c>
      <c r="P551" s="99" t="s">
        <v>3422</v>
      </c>
      <c r="Q551" s="99" t="s">
        <v>169</v>
      </c>
      <c r="R551" s="99" t="s">
        <v>71</v>
      </c>
      <c r="S551" s="99" t="s">
        <v>2691</v>
      </c>
      <c r="T551" s="99" t="s">
        <v>49</v>
      </c>
      <c r="U551" s="99" t="s">
        <v>1519</v>
      </c>
      <c r="V551" s="99" t="s">
        <v>56</v>
      </c>
      <c r="W551" s="99" t="s">
        <v>3435</v>
      </c>
      <c r="X551" s="99" t="s">
        <v>3563</v>
      </c>
      <c r="Y551" s="99" t="s">
        <v>4630</v>
      </c>
      <c r="Z551" s="99" t="s">
        <v>172</v>
      </c>
      <c r="AA551" s="99" t="s">
        <v>173</v>
      </c>
      <c r="AB551" s="99" t="s">
        <v>174</v>
      </c>
      <c r="AC551" s="99" t="s">
        <v>3411</v>
      </c>
      <c r="AD551" s="99" t="s">
        <v>175</v>
      </c>
      <c r="AE551" s="99" t="s">
        <v>3411</v>
      </c>
      <c r="AF551" s="99" t="s">
        <v>3411</v>
      </c>
      <c r="AG551" s="124">
        <v>2766</v>
      </c>
      <c r="AH551" s="99" t="s">
        <v>3413</v>
      </c>
      <c r="AI551" s="125">
        <v>100</v>
      </c>
      <c r="AJ551" s="99" t="s">
        <v>176</v>
      </c>
      <c r="AK551" s="99" t="s">
        <v>4290</v>
      </c>
      <c r="AL551" s="99" t="s">
        <v>3411</v>
      </c>
      <c r="AM551" s="99" t="s">
        <v>177</v>
      </c>
      <c r="AN551" s="99" t="s">
        <v>3411</v>
      </c>
      <c r="AO551" s="99" t="s">
        <v>1624</v>
      </c>
      <c r="AP551" s="99" t="s">
        <v>2570</v>
      </c>
      <c r="AQ551" s="99" t="s">
        <v>3411</v>
      </c>
      <c r="AR551" s="99" t="s">
        <v>3411</v>
      </c>
      <c r="AS551" s="99" t="s">
        <v>2082</v>
      </c>
      <c r="AT551" s="99" t="s">
        <v>190</v>
      </c>
      <c r="AU551" s="99" t="s">
        <v>191</v>
      </c>
      <c r="AV551" s="99" t="s">
        <v>3581</v>
      </c>
      <c r="AW551" s="99" t="s">
        <v>529</v>
      </c>
      <c r="AX551" s="99" t="s">
        <v>3411</v>
      </c>
      <c r="AY551" s="99" t="s">
        <v>3411</v>
      </c>
      <c r="AZ551" s="99" t="s">
        <v>3411</v>
      </c>
      <c r="BA551" s="99" t="s">
        <v>4597</v>
      </c>
      <c r="BB551" s="99" t="s">
        <v>2730</v>
      </c>
      <c r="BC551" s="125">
        <v>49</v>
      </c>
      <c r="BD551" s="99" t="s">
        <v>3135</v>
      </c>
      <c r="BE551" s="99" t="s">
        <v>3136</v>
      </c>
    </row>
    <row r="552" spans="1:57" ht="12.95" customHeight="1">
      <c r="A552" s="124">
        <v>15</v>
      </c>
      <c r="B552" s="124">
        <v>3130</v>
      </c>
      <c r="C552" s="99" t="s">
        <v>165</v>
      </c>
      <c r="D552" s="99" t="s">
        <v>1477</v>
      </c>
      <c r="E552" s="99" t="s">
        <v>1478</v>
      </c>
      <c r="F552" s="99" t="s">
        <v>2006</v>
      </c>
      <c r="G552" s="99" t="s">
        <v>100</v>
      </c>
      <c r="H552" s="99" t="s">
        <v>2007</v>
      </c>
      <c r="I552" s="99" t="s">
        <v>2008</v>
      </c>
      <c r="J552" s="99" t="s">
        <v>3121</v>
      </c>
      <c r="K552" s="99" t="s">
        <v>257</v>
      </c>
      <c r="L552" s="99" t="s">
        <v>3122</v>
      </c>
      <c r="M552" s="99" t="s">
        <v>5</v>
      </c>
      <c r="N552" s="99" t="s">
        <v>3454</v>
      </c>
      <c r="O552" s="99" t="s">
        <v>70</v>
      </c>
      <c r="P552" s="99" t="s">
        <v>3866</v>
      </c>
      <c r="Q552" s="99" t="s">
        <v>247</v>
      </c>
      <c r="R552" s="99" t="s">
        <v>71</v>
      </c>
      <c r="S552" s="99" t="s">
        <v>2691</v>
      </c>
      <c r="T552" s="99" t="s">
        <v>49</v>
      </c>
      <c r="U552" s="99" t="s">
        <v>1492</v>
      </c>
      <c r="V552" s="99" t="s">
        <v>55</v>
      </c>
      <c r="W552" s="99" t="s">
        <v>3866</v>
      </c>
      <c r="X552" s="99" t="s">
        <v>3866</v>
      </c>
      <c r="Y552" s="99" t="s">
        <v>4631</v>
      </c>
      <c r="Z552" s="99" t="s">
        <v>172</v>
      </c>
      <c r="AA552" s="99" t="s">
        <v>173</v>
      </c>
      <c r="AB552" s="99" t="s">
        <v>316</v>
      </c>
      <c r="AC552" s="99" t="s">
        <v>3411</v>
      </c>
      <c r="AD552" s="99" t="s">
        <v>175</v>
      </c>
      <c r="AE552" s="99" t="s">
        <v>3411</v>
      </c>
      <c r="AF552" s="99" t="s">
        <v>3411</v>
      </c>
      <c r="AG552" s="124">
        <v>3130</v>
      </c>
      <c r="AH552" s="99" t="s">
        <v>3413</v>
      </c>
      <c r="AI552" s="125">
        <v>100</v>
      </c>
      <c r="AJ552" s="99" t="s">
        <v>176</v>
      </c>
      <c r="AK552" s="99" t="s">
        <v>3866</v>
      </c>
      <c r="AL552" s="99" t="s">
        <v>3411</v>
      </c>
      <c r="AM552" s="99" t="s">
        <v>177</v>
      </c>
      <c r="AN552" s="99" t="s">
        <v>3411</v>
      </c>
      <c r="AO552" s="99" t="s">
        <v>1624</v>
      </c>
      <c r="AP552" s="99" t="s">
        <v>2570</v>
      </c>
      <c r="AQ552" s="99" t="s">
        <v>3411</v>
      </c>
      <c r="AR552" s="99" t="s">
        <v>3411</v>
      </c>
      <c r="AS552" s="99" t="s">
        <v>3123</v>
      </c>
      <c r="AT552" s="99" t="s">
        <v>1</v>
      </c>
      <c r="AU552" s="99" t="s">
        <v>179</v>
      </c>
      <c r="AV552" s="99" t="s">
        <v>3414</v>
      </c>
      <c r="AW552" s="99" t="s">
        <v>180</v>
      </c>
      <c r="AX552" s="99" t="s">
        <v>3420</v>
      </c>
      <c r="AY552" s="99" t="s">
        <v>252</v>
      </c>
      <c r="AZ552" s="99" t="s">
        <v>4596</v>
      </c>
      <c r="BA552" s="99" t="s">
        <v>4597</v>
      </c>
      <c r="BB552" s="99" t="s">
        <v>2730</v>
      </c>
      <c r="BC552" s="125">
        <v>56</v>
      </c>
      <c r="BD552" s="99" t="s">
        <v>3135</v>
      </c>
      <c r="BE552" s="99" t="s">
        <v>3136</v>
      </c>
    </row>
    <row r="553" spans="1:57" ht="12.95" customHeight="1">
      <c r="A553" s="124">
        <v>15</v>
      </c>
      <c r="B553" s="124">
        <v>2767</v>
      </c>
      <c r="C553" s="99" t="s">
        <v>165</v>
      </c>
      <c r="D553" s="99" t="s">
        <v>1477</v>
      </c>
      <c r="E553" s="99" t="s">
        <v>1478</v>
      </c>
      <c r="F553" s="99" t="s">
        <v>2006</v>
      </c>
      <c r="G553" s="99" t="s">
        <v>100</v>
      </c>
      <c r="H553" s="99" t="s">
        <v>2007</v>
      </c>
      <c r="I553" s="99" t="s">
        <v>2008</v>
      </c>
      <c r="J553" s="99" t="s">
        <v>2083</v>
      </c>
      <c r="K553" s="99" t="s">
        <v>967</v>
      </c>
      <c r="L553" s="99" t="s">
        <v>2084</v>
      </c>
      <c r="M553" s="99" t="s">
        <v>1</v>
      </c>
      <c r="N553" s="99" t="s">
        <v>3407</v>
      </c>
      <c r="O553" s="99" t="s">
        <v>114</v>
      </c>
      <c r="P553" s="99" t="s">
        <v>3422</v>
      </c>
      <c r="Q553" s="99" t="s">
        <v>169</v>
      </c>
      <c r="R553" s="99" t="s">
        <v>71</v>
      </c>
      <c r="S553" s="99" t="s">
        <v>2691</v>
      </c>
      <c r="T553" s="99" t="s">
        <v>49</v>
      </c>
      <c r="U553" s="99" t="s">
        <v>1008</v>
      </c>
      <c r="V553" s="99" t="s">
        <v>53</v>
      </c>
      <c r="W553" s="99" t="s">
        <v>3435</v>
      </c>
      <c r="X553" s="99" t="s">
        <v>3469</v>
      </c>
      <c r="Y553" s="99" t="s">
        <v>4632</v>
      </c>
      <c r="Z553" s="99" t="s">
        <v>172</v>
      </c>
      <c r="AA553" s="99" t="s">
        <v>173</v>
      </c>
      <c r="AB553" s="99" t="s">
        <v>174</v>
      </c>
      <c r="AC553" s="99" t="s">
        <v>3411</v>
      </c>
      <c r="AD553" s="99" t="s">
        <v>175</v>
      </c>
      <c r="AE553" s="99" t="s">
        <v>3411</v>
      </c>
      <c r="AF553" s="99" t="s">
        <v>3411</v>
      </c>
      <c r="AG553" s="124">
        <v>2767</v>
      </c>
      <c r="AH553" s="99" t="s">
        <v>3413</v>
      </c>
      <c r="AI553" s="125">
        <v>100</v>
      </c>
      <c r="AJ553" s="99" t="s">
        <v>176</v>
      </c>
      <c r="AK553" s="99" t="s">
        <v>3469</v>
      </c>
      <c r="AL553" s="99" t="s">
        <v>3411</v>
      </c>
      <c r="AM553" s="99" t="s">
        <v>177</v>
      </c>
      <c r="AN553" s="99" t="s">
        <v>3411</v>
      </c>
      <c r="AO553" s="99" t="s">
        <v>1624</v>
      </c>
      <c r="AP553" s="99" t="s">
        <v>2570</v>
      </c>
      <c r="AQ553" s="99" t="s">
        <v>3411</v>
      </c>
      <c r="AR553" s="99" t="s">
        <v>3411</v>
      </c>
      <c r="AS553" s="99" t="s">
        <v>2085</v>
      </c>
      <c r="AT553" s="99" t="s">
        <v>190</v>
      </c>
      <c r="AU553" s="99" t="s">
        <v>191</v>
      </c>
      <c r="AV553" s="99" t="s">
        <v>3581</v>
      </c>
      <c r="AW553" s="99" t="s">
        <v>529</v>
      </c>
      <c r="AX553" s="99" t="s">
        <v>3420</v>
      </c>
      <c r="AY553" s="99" t="s">
        <v>252</v>
      </c>
      <c r="AZ553" s="99" t="s">
        <v>4596</v>
      </c>
      <c r="BA553" s="99" t="s">
        <v>4597</v>
      </c>
      <c r="BB553" s="99" t="s">
        <v>2730</v>
      </c>
      <c r="BC553" s="125">
        <v>55</v>
      </c>
      <c r="BD553" s="99" t="s">
        <v>3135</v>
      </c>
      <c r="BE553" s="99" t="s">
        <v>3136</v>
      </c>
    </row>
    <row r="554" spans="1:57" ht="12.95" customHeight="1">
      <c r="A554" s="124">
        <v>15</v>
      </c>
      <c r="B554" s="124">
        <v>1160</v>
      </c>
      <c r="C554" s="99" t="s">
        <v>165</v>
      </c>
      <c r="D554" s="99" t="s">
        <v>1477</v>
      </c>
      <c r="E554" s="99" t="s">
        <v>1478</v>
      </c>
      <c r="F554" s="99" t="s">
        <v>2006</v>
      </c>
      <c r="G554" s="99" t="s">
        <v>100</v>
      </c>
      <c r="H554" s="99" t="s">
        <v>2007</v>
      </c>
      <c r="I554" s="99" t="s">
        <v>2008</v>
      </c>
      <c r="J554" s="99" t="s">
        <v>2086</v>
      </c>
      <c r="K554" s="99" t="s">
        <v>2087</v>
      </c>
      <c r="L554" s="99" t="s">
        <v>2088</v>
      </c>
      <c r="M554" s="99" t="s">
        <v>1</v>
      </c>
      <c r="N554" s="99" t="s">
        <v>3454</v>
      </c>
      <c r="O554" s="99" t="s">
        <v>70</v>
      </c>
      <c r="P554" s="99" t="s">
        <v>3455</v>
      </c>
      <c r="Q554" s="99" t="s">
        <v>247</v>
      </c>
      <c r="R554" s="99" t="s">
        <v>71</v>
      </c>
      <c r="S554" s="99" t="s">
        <v>2691</v>
      </c>
      <c r="T554" s="99" t="s">
        <v>49</v>
      </c>
      <c r="U554" s="99" t="s">
        <v>1492</v>
      </c>
      <c r="V554" s="99" t="s">
        <v>55</v>
      </c>
      <c r="W554" s="99" t="s">
        <v>4633</v>
      </c>
      <c r="X554" s="99" t="s">
        <v>4633</v>
      </c>
      <c r="Y554" s="99" t="s">
        <v>4634</v>
      </c>
      <c r="Z554" s="99" t="s">
        <v>172</v>
      </c>
      <c r="AA554" s="99" t="s">
        <v>173</v>
      </c>
      <c r="AB554" s="99" t="s">
        <v>174</v>
      </c>
      <c r="AC554" s="99" t="s">
        <v>3411</v>
      </c>
      <c r="AD554" s="99" t="s">
        <v>175</v>
      </c>
      <c r="AE554" s="99" t="s">
        <v>3411</v>
      </c>
      <c r="AF554" s="99" t="s">
        <v>3411</v>
      </c>
      <c r="AG554" s="124">
        <v>247</v>
      </c>
      <c r="AH554" s="99" t="s">
        <v>3413</v>
      </c>
      <c r="AI554" s="125">
        <v>100</v>
      </c>
      <c r="AJ554" s="99" t="s">
        <v>176</v>
      </c>
      <c r="AK554" s="99" t="s">
        <v>4633</v>
      </c>
      <c r="AL554" s="99" t="s">
        <v>3411</v>
      </c>
      <c r="AM554" s="99" t="s">
        <v>177</v>
      </c>
      <c r="AN554" s="99" t="s">
        <v>3411</v>
      </c>
      <c r="AO554" s="99" t="s">
        <v>1624</v>
      </c>
      <c r="AP554" s="99" t="s">
        <v>2570</v>
      </c>
      <c r="AQ554" s="99" t="s">
        <v>3411</v>
      </c>
      <c r="AR554" s="99" t="s">
        <v>3411</v>
      </c>
      <c r="AS554" s="99" t="s">
        <v>2731</v>
      </c>
      <c r="AT554" s="99" t="s">
        <v>190</v>
      </c>
      <c r="AU554" s="99" t="s">
        <v>191</v>
      </c>
      <c r="AV554" s="99" t="s">
        <v>3928</v>
      </c>
      <c r="AW554" s="99" t="s">
        <v>519</v>
      </c>
      <c r="AX554" s="99" t="s">
        <v>3420</v>
      </c>
      <c r="AY554" s="99" t="s">
        <v>252</v>
      </c>
      <c r="AZ554" s="99" t="s">
        <v>4596</v>
      </c>
      <c r="BA554" s="99" t="s">
        <v>4597</v>
      </c>
      <c r="BB554" s="99" t="s">
        <v>2730</v>
      </c>
      <c r="BC554" s="125">
        <v>63</v>
      </c>
      <c r="BD554" s="99" t="s">
        <v>3135</v>
      </c>
      <c r="BE554" s="99" t="s">
        <v>3136</v>
      </c>
    </row>
    <row r="555" spans="1:57" ht="12.95" customHeight="1">
      <c r="A555" s="124">
        <v>15</v>
      </c>
      <c r="B555" s="124">
        <v>2773</v>
      </c>
      <c r="C555" s="99" t="s">
        <v>165</v>
      </c>
      <c r="D555" s="99" t="s">
        <v>1477</v>
      </c>
      <c r="E555" s="99" t="s">
        <v>1478</v>
      </c>
      <c r="F555" s="99" t="s">
        <v>2006</v>
      </c>
      <c r="G555" s="99" t="s">
        <v>100</v>
      </c>
      <c r="H555" s="99" t="s">
        <v>2007</v>
      </c>
      <c r="I555" s="99" t="s">
        <v>2008</v>
      </c>
      <c r="J555" s="99" t="s">
        <v>2089</v>
      </c>
      <c r="K555" s="99" t="s">
        <v>370</v>
      </c>
      <c r="L555" s="99" t="s">
        <v>2090</v>
      </c>
      <c r="M555" s="99" t="s">
        <v>5</v>
      </c>
      <c r="N555" s="99" t="s">
        <v>3454</v>
      </c>
      <c r="O555" s="99" t="s">
        <v>70</v>
      </c>
      <c r="P555" s="99" t="s">
        <v>3455</v>
      </c>
      <c r="Q555" s="99" t="s">
        <v>247</v>
      </c>
      <c r="R555" s="99" t="s">
        <v>71</v>
      </c>
      <c r="S555" s="99" t="s">
        <v>2691</v>
      </c>
      <c r="T555" s="99" t="s">
        <v>49</v>
      </c>
      <c r="U555" s="99" t="s">
        <v>1492</v>
      </c>
      <c r="V555" s="99" t="s">
        <v>55</v>
      </c>
      <c r="W555" s="99" t="s">
        <v>3435</v>
      </c>
      <c r="X555" s="99" t="s">
        <v>4635</v>
      </c>
      <c r="Y555" s="99" t="s">
        <v>4636</v>
      </c>
      <c r="Z555" s="99" t="s">
        <v>172</v>
      </c>
      <c r="AA555" s="99" t="s">
        <v>173</v>
      </c>
      <c r="AB555" s="99" t="s">
        <v>174</v>
      </c>
      <c r="AC555" s="99" t="s">
        <v>3411</v>
      </c>
      <c r="AD555" s="99" t="s">
        <v>175</v>
      </c>
      <c r="AE555" s="99" t="s">
        <v>3411</v>
      </c>
      <c r="AF555" s="99" t="s">
        <v>3411</v>
      </c>
      <c r="AG555" s="124">
        <v>2773</v>
      </c>
      <c r="AH555" s="99" t="s">
        <v>3413</v>
      </c>
      <c r="AI555" s="125">
        <v>100</v>
      </c>
      <c r="AJ555" s="99" t="s">
        <v>176</v>
      </c>
      <c r="AK555" s="99" t="s">
        <v>4635</v>
      </c>
      <c r="AL555" s="99" t="s">
        <v>3411</v>
      </c>
      <c r="AM555" s="99" t="s">
        <v>177</v>
      </c>
      <c r="AN555" s="99" t="s">
        <v>3411</v>
      </c>
      <c r="AO555" s="99" t="s">
        <v>1624</v>
      </c>
      <c r="AP555" s="99" t="s">
        <v>2570</v>
      </c>
      <c r="AQ555" s="99" t="s">
        <v>3411</v>
      </c>
      <c r="AR555" s="99" t="s">
        <v>1010</v>
      </c>
      <c r="AS555" s="99" t="s">
        <v>2091</v>
      </c>
      <c r="AT555" s="99" t="s">
        <v>190</v>
      </c>
      <c r="AU555" s="99" t="s">
        <v>191</v>
      </c>
      <c r="AV555" s="99" t="s">
        <v>3581</v>
      </c>
      <c r="AW555" s="99" t="s">
        <v>529</v>
      </c>
      <c r="AX555" s="99" t="s">
        <v>3420</v>
      </c>
      <c r="AY555" s="99" t="s">
        <v>252</v>
      </c>
      <c r="AZ555" s="99" t="s">
        <v>4596</v>
      </c>
      <c r="BA555" s="99" t="s">
        <v>4597</v>
      </c>
      <c r="BB555" s="99" t="s">
        <v>2730</v>
      </c>
      <c r="BC555" s="125">
        <v>56</v>
      </c>
      <c r="BD555" s="99" t="s">
        <v>3135</v>
      </c>
      <c r="BE555" s="99" t="s">
        <v>3136</v>
      </c>
    </row>
    <row r="556" spans="1:57" ht="12.95" customHeight="1">
      <c r="A556" s="124">
        <v>15</v>
      </c>
      <c r="B556" s="124">
        <v>2273</v>
      </c>
      <c r="C556" s="99" t="s">
        <v>165</v>
      </c>
      <c r="D556" s="99" t="s">
        <v>1477</v>
      </c>
      <c r="E556" s="99" t="s">
        <v>1478</v>
      </c>
      <c r="F556" s="99" t="s">
        <v>2006</v>
      </c>
      <c r="G556" s="99" t="s">
        <v>100</v>
      </c>
      <c r="H556" s="99" t="s">
        <v>2007</v>
      </c>
      <c r="I556" s="99" t="s">
        <v>2008</v>
      </c>
      <c r="J556" s="99" t="s">
        <v>2092</v>
      </c>
      <c r="K556" s="99" t="s">
        <v>2093</v>
      </c>
      <c r="L556" s="99" t="s">
        <v>2094</v>
      </c>
      <c r="M556" s="99" t="s">
        <v>1</v>
      </c>
      <c r="N556" s="99" t="s">
        <v>3407</v>
      </c>
      <c r="O556" s="99" t="s">
        <v>114</v>
      </c>
      <c r="P556" s="99" t="s">
        <v>3422</v>
      </c>
      <c r="Q556" s="99" t="s">
        <v>169</v>
      </c>
      <c r="R556" s="99" t="s">
        <v>71</v>
      </c>
      <c r="S556" s="99" t="s">
        <v>2691</v>
      </c>
      <c r="T556" s="99" t="s">
        <v>49</v>
      </c>
      <c r="U556" s="99" t="s">
        <v>1008</v>
      </c>
      <c r="V556" s="99" t="s">
        <v>53</v>
      </c>
      <c r="W556" s="99" t="s">
        <v>4637</v>
      </c>
      <c r="X556" s="99" t="s">
        <v>4637</v>
      </c>
      <c r="Y556" s="99" t="s">
        <v>4638</v>
      </c>
      <c r="Z556" s="99" t="s">
        <v>172</v>
      </c>
      <c r="AA556" s="99" t="s">
        <v>173</v>
      </c>
      <c r="AB556" s="99" t="s">
        <v>174</v>
      </c>
      <c r="AC556" s="99" t="s">
        <v>3411</v>
      </c>
      <c r="AD556" s="99" t="s">
        <v>175</v>
      </c>
      <c r="AE556" s="99" t="s">
        <v>3411</v>
      </c>
      <c r="AF556" s="99" t="s">
        <v>3411</v>
      </c>
      <c r="AG556" s="124">
        <v>545</v>
      </c>
      <c r="AH556" s="99" t="s">
        <v>3413</v>
      </c>
      <c r="AI556" s="125">
        <v>100</v>
      </c>
      <c r="AJ556" s="99" t="s">
        <v>176</v>
      </c>
      <c r="AK556" s="99" t="s">
        <v>4637</v>
      </c>
      <c r="AL556" s="99" t="s">
        <v>3411</v>
      </c>
      <c r="AM556" s="99" t="s">
        <v>177</v>
      </c>
      <c r="AN556" s="99" t="s">
        <v>3411</v>
      </c>
      <c r="AO556" s="99" t="s">
        <v>1624</v>
      </c>
      <c r="AP556" s="99" t="s">
        <v>2570</v>
      </c>
      <c r="AQ556" s="99" t="s">
        <v>3411</v>
      </c>
      <c r="AR556" s="99" t="s">
        <v>3411</v>
      </c>
      <c r="AS556" s="99" t="s">
        <v>2095</v>
      </c>
      <c r="AT556" s="99" t="s">
        <v>190</v>
      </c>
      <c r="AU556" s="99" t="s">
        <v>191</v>
      </c>
      <c r="AV556" s="99" t="s">
        <v>3581</v>
      </c>
      <c r="AW556" s="99" t="s">
        <v>529</v>
      </c>
      <c r="AX556" s="99" t="s">
        <v>3836</v>
      </c>
      <c r="AY556" s="99" t="s">
        <v>252</v>
      </c>
      <c r="AZ556" s="99" t="s">
        <v>4440</v>
      </c>
      <c r="BA556" s="99" t="s">
        <v>4597</v>
      </c>
      <c r="BB556" s="99" t="s">
        <v>2730</v>
      </c>
      <c r="BC556" s="125">
        <v>46</v>
      </c>
      <c r="BD556" s="99" t="s">
        <v>3135</v>
      </c>
      <c r="BE556" s="99" t="s">
        <v>3136</v>
      </c>
    </row>
    <row r="557" spans="1:57" ht="12.95" customHeight="1">
      <c r="A557" s="124">
        <v>15</v>
      </c>
      <c r="B557" s="124">
        <v>2689</v>
      </c>
      <c r="C557" s="99" t="s">
        <v>165</v>
      </c>
      <c r="D557" s="99" t="s">
        <v>1477</v>
      </c>
      <c r="E557" s="99" t="s">
        <v>1478</v>
      </c>
      <c r="F557" s="99" t="s">
        <v>2006</v>
      </c>
      <c r="G557" s="99" t="s">
        <v>100</v>
      </c>
      <c r="H557" s="99" t="s">
        <v>2096</v>
      </c>
      <c r="I557" s="99" t="s">
        <v>2097</v>
      </c>
      <c r="J557" s="99" t="s">
        <v>2098</v>
      </c>
      <c r="K557" s="99" t="s">
        <v>2099</v>
      </c>
      <c r="L557" s="99" t="s">
        <v>2100</v>
      </c>
      <c r="M557" s="99" t="s">
        <v>5</v>
      </c>
      <c r="N557" s="99" t="s">
        <v>3407</v>
      </c>
      <c r="O557" s="99" t="s">
        <v>114</v>
      </c>
      <c r="P557" s="99" t="s">
        <v>3422</v>
      </c>
      <c r="Q557" s="99" t="s">
        <v>169</v>
      </c>
      <c r="R557" s="99" t="s">
        <v>71</v>
      </c>
      <c r="S557" s="99" t="s">
        <v>2691</v>
      </c>
      <c r="T557" s="99" t="s">
        <v>49</v>
      </c>
      <c r="U557" s="99" t="s">
        <v>1480</v>
      </c>
      <c r="V557" s="99" t="s">
        <v>50</v>
      </c>
      <c r="W557" s="99" t="s">
        <v>3435</v>
      </c>
      <c r="X557" s="99" t="s">
        <v>4163</v>
      </c>
      <c r="Y557" s="99" t="s">
        <v>4374</v>
      </c>
      <c r="Z557" s="99" t="s">
        <v>172</v>
      </c>
      <c r="AA557" s="99" t="s">
        <v>173</v>
      </c>
      <c r="AB557" s="99" t="s">
        <v>174</v>
      </c>
      <c r="AC557" s="99" t="s">
        <v>3411</v>
      </c>
      <c r="AD557" s="99" t="s">
        <v>175</v>
      </c>
      <c r="AE557" s="99" t="s">
        <v>3411</v>
      </c>
      <c r="AF557" s="99" t="s">
        <v>3411</v>
      </c>
      <c r="AG557" s="124">
        <v>2689</v>
      </c>
      <c r="AH557" s="99" t="s">
        <v>3413</v>
      </c>
      <c r="AI557" s="125">
        <v>100</v>
      </c>
      <c r="AJ557" s="99" t="s">
        <v>176</v>
      </c>
      <c r="AK557" s="99" t="s">
        <v>4163</v>
      </c>
      <c r="AL557" s="99" t="s">
        <v>3411</v>
      </c>
      <c r="AM557" s="99" t="s">
        <v>177</v>
      </c>
      <c r="AN557" s="99" t="s">
        <v>3411</v>
      </c>
      <c r="AO557" s="99" t="s">
        <v>1624</v>
      </c>
      <c r="AP557" s="99" t="s">
        <v>2570</v>
      </c>
      <c r="AQ557" s="99" t="s">
        <v>3411</v>
      </c>
      <c r="AR557" s="99" t="s">
        <v>3411</v>
      </c>
      <c r="AS557" s="99" t="s">
        <v>2101</v>
      </c>
      <c r="AT557" s="99" t="s">
        <v>190</v>
      </c>
      <c r="AU557" s="99" t="s">
        <v>191</v>
      </c>
      <c r="AV557" s="99" t="s">
        <v>3581</v>
      </c>
      <c r="AW557" s="99" t="s">
        <v>529</v>
      </c>
      <c r="AX557" s="99" t="s">
        <v>3411</v>
      </c>
      <c r="AY557" s="99" t="s">
        <v>3411</v>
      </c>
      <c r="AZ557" s="99" t="s">
        <v>3411</v>
      </c>
      <c r="BA557" s="99" t="s">
        <v>4597</v>
      </c>
      <c r="BB557" s="99" t="s">
        <v>2730</v>
      </c>
      <c r="BC557" s="125">
        <v>57</v>
      </c>
      <c r="BD557" s="99" t="s">
        <v>3135</v>
      </c>
      <c r="BE557" s="99" t="s">
        <v>3136</v>
      </c>
    </row>
    <row r="558" spans="1:57" ht="12.95" customHeight="1">
      <c r="A558" s="124">
        <v>15</v>
      </c>
      <c r="B558" s="124">
        <v>2709</v>
      </c>
      <c r="C558" s="99" t="s">
        <v>165</v>
      </c>
      <c r="D558" s="99" t="s">
        <v>1477</v>
      </c>
      <c r="E558" s="99" t="s">
        <v>1478</v>
      </c>
      <c r="F558" s="99" t="s">
        <v>2006</v>
      </c>
      <c r="G558" s="99" t="s">
        <v>100</v>
      </c>
      <c r="H558" s="99" t="s">
        <v>2096</v>
      </c>
      <c r="I558" s="99" t="s">
        <v>2097</v>
      </c>
      <c r="J558" s="99" t="s">
        <v>2102</v>
      </c>
      <c r="K558" s="99" t="s">
        <v>230</v>
      </c>
      <c r="L558" s="99" t="s">
        <v>2103</v>
      </c>
      <c r="M558" s="99" t="s">
        <v>5</v>
      </c>
      <c r="N558" s="99" t="s">
        <v>3407</v>
      </c>
      <c r="O558" s="99" t="s">
        <v>114</v>
      </c>
      <c r="P558" s="99" t="s">
        <v>3422</v>
      </c>
      <c r="Q558" s="99" t="s">
        <v>169</v>
      </c>
      <c r="R558" s="99" t="s">
        <v>71</v>
      </c>
      <c r="S558" s="99" t="s">
        <v>2691</v>
      </c>
      <c r="T558" s="99" t="s">
        <v>49</v>
      </c>
      <c r="U558" s="99" t="s">
        <v>1008</v>
      </c>
      <c r="V558" s="99" t="s">
        <v>53</v>
      </c>
      <c r="W558" s="99" t="s">
        <v>3435</v>
      </c>
      <c r="X558" s="99" t="s">
        <v>4639</v>
      </c>
      <c r="Y558" s="99" t="s">
        <v>4640</v>
      </c>
      <c r="Z558" s="99" t="s">
        <v>172</v>
      </c>
      <c r="AA558" s="99" t="s">
        <v>173</v>
      </c>
      <c r="AB558" s="99" t="s">
        <v>174</v>
      </c>
      <c r="AC558" s="99" t="s">
        <v>3411</v>
      </c>
      <c r="AD558" s="99" t="s">
        <v>175</v>
      </c>
      <c r="AE558" s="99" t="s">
        <v>3411</v>
      </c>
      <c r="AF558" s="99" t="s">
        <v>3411</v>
      </c>
      <c r="AG558" s="124">
        <v>2709</v>
      </c>
      <c r="AH558" s="99" t="s">
        <v>3413</v>
      </c>
      <c r="AI558" s="125">
        <v>100</v>
      </c>
      <c r="AJ558" s="99" t="s">
        <v>176</v>
      </c>
      <c r="AK558" s="99" t="s">
        <v>4639</v>
      </c>
      <c r="AL558" s="99" t="s">
        <v>3411</v>
      </c>
      <c r="AM558" s="99" t="s">
        <v>177</v>
      </c>
      <c r="AN558" s="99" t="s">
        <v>3411</v>
      </c>
      <c r="AO558" s="99" t="s">
        <v>1624</v>
      </c>
      <c r="AP558" s="99" t="s">
        <v>2570</v>
      </c>
      <c r="AQ558" s="99" t="s">
        <v>3411</v>
      </c>
      <c r="AR558" s="99" t="s">
        <v>3411</v>
      </c>
      <c r="AS558" s="99" t="s">
        <v>2104</v>
      </c>
      <c r="AT558" s="99" t="s">
        <v>190</v>
      </c>
      <c r="AU558" s="99" t="s">
        <v>191</v>
      </c>
      <c r="AV558" s="99" t="s">
        <v>3581</v>
      </c>
      <c r="AW558" s="99" t="s">
        <v>529</v>
      </c>
      <c r="AX558" s="99" t="s">
        <v>3411</v>
      </c>
      <c r="AY558" s="99" t="s">
        <v>3411</v>
      </c>
      <c r="AZ558" s="99" t="s">
        <v>3411</v>
      </c>
      <c r="BA558" s="99" t="s">
        <v>4597</v>
      </c>
      <c r="BB558" s="99" t="s">
        <v>2730</v>
      </c>
      <c r="BC558" s="125">
        <v>59</v>
      </c>
      <c r="BD558" s="99" t="s">
        <v>3135</v>
      </c>
      <c r="BE558" s="99" t="s">
        <v>3136</v>
      </c>
    </row>
    <row r="559" spans="1:57" ht="12.95" customHeight="1">
      <c r="A559" s="124">
        <v>15</v>
      </c>
      <c r="B559" s="124">
        <v>2745</v>
      </c>
      <c r="C559" s="99" t="s">
        <v>165</v>
      </c>
      <c r="D559" s="99" t="s">
        <v>1477</v>
      </c>
      <c r="E559" s="99" t="s">
        <v>1478</v>
      </c>
      <c r="F559" s="99" t="s">
        <v>2006</v>
      </c>
      <c r="G559" s="99" t="s">
        <v>100</v>
      </c>
      <c r="H559" s="99" t="s">
        <v>2096</v>
      </c>
      <c r="I559" s="99" t="s">
        <v>2097</v>
      </c>
      <c r="J559" s="99" t="s">
        <v>2105</v>
      </c>
      <c r="K559" s="99" t="s">
        <v>278</v>
      </c>
      <c r="L559" s="99" t="s">
        <v>2106</v>
      </c>
      <c r="M559" s="99" t="s">
        <v>5</v>
      </c>
      <c r="N559" s="99" t="s">
        <v>3407</v>
      </c>
      <c r="O559" s="99" t="s">
        <v>114</v>
      </c>
      <c r="P559" s="99" t="s">
        <v>3422</v>
      </c>
      <c r="Q559" s="99" t="s">
        <v>169</v>
      </c>
      <c r="R559" s="99" t="s">
        <v>71</v>
      </c>
      <c r="S559" s="99" t="s">
        <v>2691</v>
      </c>
      <c r="T559" s="99" t="s">
        <v>49</v>
      </c>
      <c r="U559" s="99" t="s">
        <v>1620</v>
      </c>
      <c r="V559" s="99" t="s">
        <v>59</v>
      </c>
      <c r="W559" s="99" t="s">
        <v>3435</v>
      </c>
      <c r="X559" s="99" t="s">
        <v>4641</v>
      </c>
      <c r="Y559" s="99" t="s">
        <v>4642</v>
      </c>
      <c r="Z559" s="99" t="s">
        <v>172</v>
      </c>
      <c r="AA559" s="99" t="s">
        <v>173</v>
      </c>
      <c r="AB559" s="99" t="s">
        <v>174</v>
      </c>
      <c r="AC559" s="99" t="s">
        <v>3411</v>
      </c>
      <c r="AD559" s="99" t="s">
        <v>175</v>
      </c>
      <c r="AE559" s="99" t="s">
        <v>3411</v>
      </c>
      <c r="AF559" s="99" t="s">
        <v>3411</v>
      </c>
      <c r="AG559" s="124">
        <v>2745</v>
      </c>
      <c r="AH559" s="99" t="s">
        <v>3413</v>
      </c>
      <c r="AI559" s="125">
        <v>100</v>
      </c>
      <c r="AJ559" s="99" t="s">
        <v>176</v>
      </c>
      <c r="AK559" s="99" t="s">
        <v>4641</v>
      </c>
      <c r="AL559" s="99" t="s">
        <v>3411</v>
      </c>
      <c r="AM559" s="99" t="s">
        <v>177</v>
      </c>
      <c r="AN559" s="99" t="s">
        <v>3411</v>
      </c>
      <c r="AO559" s="99" t="s">
        <v>1624</v>
      </c>
      <c r="AP559" s="99" t="s">
        <v>2570</v>
      </c>
      <c r="AQ559" s="99" t="s">
        <v>3411</v>
      </c>
      <c r="AR559" s="99" t="s">
        <v>3411</v>
      </c>
      <c r="AS559" s="99" t="s">
        <v>2107</v>
      </c>
      <c r="AT559" s="99" t="s">
        <v>190</v>
      </c>
      <c r="AU559" s="99" t="s">
        <v>191</v>
      </c>
      <c r="AV559" s="99" t="s">
        <v>3581</v>
      </c>
      <c r="AW559" s="99" t="s">
        <v>529</v>
      </c>
      <c r="AX559" s="99" t="s">
        <v>3411</v>
      </c>
      <c r="AY559" s="99" t="s">
        <v>3411</v>
      </c>
      <c r="AZ559" s="99" t="s">
        <v>3411</v>
      </c>
      <c r="BA559" s="99" t="s">
        <v>4597</v>
      </c>
      <c r="BB559" s="99" t="s">
        <v>2730</v>
      </c>
      <c r="BC559" s="125">
        <v>55</v>
      </c>
      <c r="BD559" s="99" t="s">
        <v>3135</v>
      </c>
      <c r="BE559" s="99" t="s">
        <v>3136</v>
      </c>
    </row>
    <row r="560" spans="1:57" ht="12.95" customHeight="1">
      <c r="A560" s="124">
        <v>15</v>
      </c>
      <c r="B560" s="124">
        <v>2760</v>
      </c>
      <c r="C560" s="99" t="s">
        <v>165</v>
      </c>
      <c r="D560" s="99" t="s">
        <v>1477</v>
      </c>
      <c r="E560" s="99" t="s">
        <v>1478</v>
      </c>
      <c r="F560" s="99" t="s">
        <v>2006</v>
      </c>
      <c r="G560" s="99" t="s">
        <v>100</v>
      </c>
      <c r="H560" s="99" t="s">
        <v>2096</v>
      </c>
      <c r="I560" s="99" t="s">
        <v>2097</v>
      </c>
      <c r="J560" s="99" t="s">
        <v>2108</v>
      </c>
      <c r="K560" s="99" t="s">
        <v>2109</v>
      </c>
      <c r="L560" s="99" t="s">
        <v>2110</v>
      </c>
      <c r="M560" s="99" t="s">
        <v>1</v>
      </c>
      <c r="N560" s="99" t="s">
        <v>3407</v>
      </c>
      <c r="O560" s="99" t="s">
        <v>114</v>
      </c>
      <c r="P560" s="99" t="s">
        <v>3422</v>
      </c>
      <c r="Q560" s="99" t="s">
        <v>169</v>
      </c>
      <c r="R560" s="99" t="s">
        <v>71</v>
      </c>
      <c r="S560" s="99" t="s">
        <v>2691</v>
      </c>
      <c r="T560" s="99" t="s">
        <v>49</v>
      </c>
      <c r="U560" s="99" t="s">
        <v>1620</v>
      </c>
      <c r="V560" s="99" t="s">
        <v>59</v>
      </c>
      <c r="W560" s="99" t="s">
        <v>3435</v>
      </c>
      <c r="X560" s="99" t="s">
        <v>4331</v>
      </c>
      <c r="Y560" s="99" t="s">
        <v>4643</v>
      </c>
      <c r="Z560" s="99" t="s">
        <v>172</v>
      </c>
      <c r="AA560" s="99" t="s">
        <v>173</v>
      </c>
      <c r="AB560" s="99" t="s">
        <v>174</v>
      </c>
      <c r="AC560" s="99" t="s">
        <v>3411</v>
      </c>
      <c r="AD560" s="99" t="s">
        <v>175</v>
      </c>
      <c r="AE560" s="99" t="s">
        <v>3411</v>
      </c>
      <c r="AF560" s="99" t="s">
        <v>3411</v>
      </c>
      <c r="AG560" s="124">
        <v>2760</v>
      </c>
      <c r="AH560" s="99" t="s">
        <v>3413</v>
      </c>
      <c r="AI560" s="125">
        <v>100</v>
      </c>
      <c r="AJ560" s="99" t="s">
        <v>176</v>
      </c>
      <c r="AK560" s="99" t="s">
        <v>4331</v>
      </c>
      <c r="AL560" s="99" t="s">
        <v>3411</v>
      </c>
      <c r="AM560" s="99" t="s">
        <v>177</v>
      </c>
      <c r="AN560" s="99" t="s">
        <v>3411</v>
      </c>
      <c r="AO560" s="99" t="s">
        <v>1624</v>
      </c>
      <c r="AP560" s="99" t="s">
        <v>2570</v>
      </c>
      <c r="AQ560" s="99" t="s">
        <v>3411</v>
      </c>
      <c r="AR560" s="99" t="s">
        <v>1010</v>
      </c>
      <c r="AS560" s="99" t="s">
        <v>2111</v>
      </c>
      <c r="AT560" s="99" t="s">
        <v>190</v>
      </c>
      <c r="AU560" s="99" t="s">
        <v>191</v>
      </c>
      <c r="AV560" s="99" t="s">
        <v>3581</v>
      </c>
      <c r="AW560" s="99" t="s">
        <v>529</v>
      </c>
      <c r="AX560" s="99" t="s">
        <v>3836</v>
      </c>
      <c r="AY560" s="99" t="s">
        <v>252</v>
      </c>
      <c r="AZ560" s="99" t="s">
        <v>4440</v>
      </c>
      <c r="BA560" s="99" t="s">
        <v>4597</v>
      </c>
      <c r="BB560" s="99" t="s">
        <v>2730</v>
      </c>
      <c r="BC560" s="125">
        <v>56</v>
      </c>
      <c r="BD560" s="99" t="s">
        <v>3135</v>
      </c>
      <c r="BE560" s="99" t="s">
        <v>3136</v>
      </c>
    </row>
    <row r="561" spans="1:57" ht="12.95" customHeight="1">
      <c r="A561" s="124">
        <v>15</v>
      </c>
      <c r="B561" s="124">
        <v>2761</v>
      </c>
      <c r="C561" s="99" t="s">
        <v>165</v>
      </c>
      <c r="D561" s="99" t="s">
        <v>1477</v>
      </c>
      <c r="E561" s="99" t="s">
        <v>1478</v>
      </c>
      <c r="F561" s="99" t="s">
        <v>2006</v>
      </c>
      <c r="G561" s="99" t="s">
        <v>100</v>
      </c>
      <c r="H561" s="99" t="s">
        <v>2096</v>
      </c>
      <c r="I561" s="99" t="s">
        <v>2097</v>
      </c>
      <c r="J561" s="99" t="s">
        <v>2112</v>
      </c>
      <c r="K561" s="99" t="s">
        <v>967</v>
      </c>
      <c r="L561" s="99" t="s">
        <v>2113</v>
      </c>
      <c r="M561" s="99" t="s">
        <v>1</v>
      </c>
      <c r="N561" s="99" t="s">
        <v>3407</v>
      </c>
      <c r="O561" s="99" t="s">
        <v>114</v>
      </c>
      <c r="P561" s="99" t="s">
        <v>3422</v>
      </c>
      <c r="Q561" s="99" t="s">
        <v>169</v>
      </c>
      <c r="R561" s="99" t="s">
        <v>71</v>
      </c>
      <c r="S561" s="99" t="s">
        <v>2691</v>
      </c>
      <c r="T561" s="99" t="s">
        <v>49</v>
      </c>
      <c r="U561" s="99" t="s">
        <v>1551</v>
      </c>
      <c r="V561" s="99" t="s">
        <v>51</v>
      </c>
      <c r="W561" s="99" t="s">
        <v>3435</v>
      </c>
      <c r="X561" s="99" t="s">
        <v>3912</v>
      </c>
      <c r="Y561" s="99" t="s">
        <v>4644</v>
      </c>
      <c r="Z561" s="99" t="s">
        <v>172</v>
      </c>
      <c r="AA561" s="99" t="s">
        <v>173</v>
      </c>
      <c r="AB561" s="99" t="s">
        <v>174</v>
      </c>
      <c r="AC561" s="99" t="s">
        <v>3411</v>
      </c>
      <c r="AD561" s="99" t="s">
        <v>175</v>
      </c>
      <c r="AE561" s="99" t="s">
        <v>3411</v>
      </c>
      <c r="AF561" s="99" t="s">
        <v>3411</v>
      </c>
      <c r="AG561" s="124">
        <v>2761</v>
      </c>
      <c r="AH561" s="99" t="s">
        <v>3413</v>
      </c>
      <c r="AI561" s="125">
        <v>100</v>
      </c>
      <c r="AJ561" s="99" t="s">
        <v>176</v>
      </c>
      <c r="AK561" s="99" t="s">
        <v>3443</v>
      </c>
      <c r="AL561" s="99" t="s">
        <v>3411</v>
      </c>
      <c r="AM561" s="99" t="s">
        <v>177</v>
      </c>
      <c r="AN561" s="99" t="s">
        <v>3411</v>
      </c>
      <c r="AO561" s="99" t="s">
        <v>1624</v>
      </c>
      <c r="AP561" s="99" t="s">
        <v>2570</v>
      </c>
      <c r="AQ561" s="99" t="s">
        <v>3411</v>
      </c>
      <c r="AR561" s="99" t="s">
        <v>3411</v>
      </c>
      <c r="AS561" s="99" t="s">
        <v>2114</v>
      </c>
      <c r="AT561" s="99" t="s">
        <v>190</v>
      </c>
      <c r="AU561" s="99" t="s">
        <v>191</v>
      </c>
      <c r="AV561" s="99" t="s">
        <v>3581</v>
      </c>
      <c r="AW561" s="99" t="s">
        <v>529</v>
      </c>
      <c r="AX561" s="99" t="s">
        <v>3836</v>
      </c>
      <c r="AY561" s="99" t="s">
        <v>252</v>
      </c>
      <c r="AZ561" s="99" t="s">
        <v>4440</v>
      </c>
      <c r="BA561" s="99" t="s">
        <v>4597</v>
      </c>
      <c r="BB561" s="99" t="s">
        <v>2730</v>
      </c>
      <c r="BC561" s="125">
        <v>60</v>
      </c>
      <c r="BD561" s="99" t="s">
        <v>3135</v>
      </c>
      <c r="BE561" s="99" t="s">
        <v>3136</v>
      </c>
    </row>
    <row r="562" spans="1:57" ht="12.95" customHeight="1">
      <c r="A562" s="124">
        <v>15</v>
      </c>
      <c r="B562" s="124">
        <v>2788</v>
      </c>
      <c r="C562" s="99" t="s">
        <v>165</v>
      </c>
      <c r="D562" s="99" t="s">
        <v>1477</v>
      </c>
      <c r="E562" s="99" t="s">
        <v>1478</v>
      </c>
      <c r="F562" s="99" t="s">
        <v>2122</v>
      </c>
      <c r="G562" s="99" t="s">
        <v>101</v>
      </c>
      <c r="H562" s="99" t="s">
        <v>4645</v>
      </c>
      <c r="I562" s="99" t="s">
        <v>2123</v>
      </c>
      <c r="J562" s="99" t="s">
        <v>2124</v>
      </c>
      <c r="K562" s="99" t="s">
        <v>679</v>
      </c>
      <c r="L562" s="99" t="s">
        <v>2125</v>
      </c>
      <c r="M562" s="99" t="s">
        <v>1</v>
      </c>
      <c r="N562" s="99" t="s">
        <v>3407</v>
      </c>
      <c r="O562" s="99" t="s">
        <v>114</v>
      </c>
      <c r="P562" s="99" t="s">
        <v>3422</v>
      </c>
      <c r="Q562" s="99" t="s">
        <v>169</v>
      </c>
      <c r="R562" s="99" t="s">
        <v>71</v>
      </c>
      <c r="S562" s="99" t="s">
        <v>2691</v>
      </c>
      <c r="T562" s="99" t="s">
        <v>49</v>
      </c>
      <c r="U562" s="99" t="s">
        <v>1480</v>
      </c>
      <c r="V562" s="99" t="s">
        <v>50</v>
      </c>
      <c r="W562" s="99" t="s">
        <v>4646</v>
      </c>
      <c r="X562" s="99" t="s">
        <v>4646</v>
      </c>
      <c r="Y562" s="99" t="s">
        <v>4647</v>
      </c>
      <c r="Z562" s="99" t="s">
        <v>172</v>
      </c>
      <c r="AA562" s="99" t="s">
        <v>173</v>
      </c>
      <c r="AB562" s="99" t="s">
        <v>174</v>
      </c>
      <c r="AC562" s="99" t="s">
        <v>3411</v>
      </c>
      <c r="AD562" s="99" t="s">
        <v>175</v>
      </c>
      <c r="AE562" s="99" t="s">
        <v>3411</v>
      </c>
      <c r="AF562" s="99" t="s">
        <v>3411</v>
      </c>
      <c r="AG562" s="124">
        <v>2788</v>
      </c>
      <c r="AH562" s="99" t="s">
        <v>3413</v>
      </c>
      <c r="AI562" s="125">
        <v>100</v>
      </c>
      <c r="AJ562" s="99" t="s">
        <v>176</v>
      </c>
      <c r="AK562" s="99" t="s">
        <v>4646</v>
      </c>
      <c r="AL562" s="99" t="s">
        <v>3411</v>
      </c>
      <c r="AM562" s="99" t="s">
        <v>177</v>
      </c>
      <c r="AN562" s="99" t="s">
        <v>3411</v>
      </c>
      <c r="AO562" s="99" t="s">
        <v>1481</v>
      </c>
      <c r="AP562" s="99" t="s">
        <v>2570</v>
      </c>
      <c r="AQ562" s="99" t="s">
        <v>3411</v>
      </c>
      <c r="AR562" s="99" t="s">
        <v>3411</v>
      </c>
      <c r="AS562" s="99" t="s">
        <v>2126</v>
      </c>
      <c r="AT562" s="99" t="s">
        <v>190</v>
      </c>
      <c r="AU562" s="99" t="s">
        <v>191</v>
      </c>
      <c r="AV562" s="99" t="s">
        <v>3581</v>
      </c>
      <c r="AW562" s="99" t="s">
        <v>529</v>
      </c>
      <c r="AX562" s="99" t="s">
        <v>3626</v>
      </c>
      <c r="AY562" s="99" t="s">
        <v>252</v>
      </c>
      <c r="AZ562" s="99" t="s">
        <v>3416</v>
      </c>
      <c r="BA562" s="99" t="s">
        <v>4521</v>
      </c>
      <c r="BB562" s="99" t="s">
        <v>3411</v>
      </c>
      <c r="BC562" s="125">
        <v>60</v>
      </c>
      <c r="BD562" s="99" t="s">
        <v>3135</v>
      </c>
      <c r="BE562" s="99" t="s">
        <v>3136</v>
      </c>
    </row>
    <row r="563" spans="1:57" ht="12.95" customHeight="1">
      <c r="A563" s="124">
        <v>15</v>
      </c>
      <c r="B563" s="124">
        <v>2939</v>
      </c>
      <c r="C563" s="99" t="s">
        <v>165</v>
      </c>
      <c r="D563" s="99" t="s">
        <v>1477</v>
      </c>
      <c r="E563" s="99" t="s">
        <v>1478</v>
      </c>
      <c r="F563" s="99" t="s">
        <v>2127</v>
      </c>
      <c r="G563" s="99" t="s">
        <v>11</v>
      </c>
      <c r="H563" s="99" t="s">
        <v>4648</v>
      </c>
      <c r="I563" s="99" t="s">
        <v>2128</v>
      </c>
      <c r="J563" s="99" t="s">
        <v>2129</v>
      </c>
      <c r="K563" s="99" t="s">
        <v>948</v>
      </c>
      <c r="L563" s="99" t="s">
        <v>2130</v>
      </c>
      <c r="M563" s="99" t="s">
        <v>1</v>
      </c>
      <c r="N563" s="99" t="s">
        <v>3407</v>
      </c>
      <c r="O563" s="99" t="s">
        <v>114</v>
      </c>
      <c r="P563" s="99" t="s">
        <v>3422</v>
      </c>
      <c r="Q563" s="99" t="s">
        <v>169</v>
      </c>
      <c r="R563" s="99" t="s">
        <v>71</v>
      </c>
      <c r="S563" s="99" t="s">
        <v>2691</v>
      </c>
      <c r="T563" s="99" t="s">
        <v>49</v>
      </c>
      <c r="U563" s="99" t="s">
        <v>1492</v>
      </c>
      <c r="V563" s="99" t="s">
        <v>55</v>
      </c>
      <c r="W563" s="99" t="s">
        <v>4426</v>
      </c>
      <c r="X563" s="99" t="s">
        <v>4426</v>
      </c>
      <c r="Y563" s="99" t="s">
        <v>3528</v>
      </c>
      <c r="Z563" s="99" t="s">
        <v>172</v>
      </c>
      <c r="AA563" s="99" t="s">
        <v>173</v>
      </c>
      <c r="AB563" s="99" t="s">
        <v>174</v>
      </c>
      <c r="AC563" s="99" t="s">
        <v>3411</v>
      </c>
      <c r="AD563" s="99" t="s">
        <v>175</v>
      </c>
      <c r="AE563" s="99" t="s">
        <v>3411</v>
      </c>
      <c r="AF563" s="99" t="s">
        <v>3411</v>
      </c>
      <c r="AG563" s="124">
        <v>2939</v>
      </c>
      <c r="AH563" s="99" t="s">
        <v>3413</v>
      </c>
      <c r="AI563" s="125">
        <v>100</v>
      </c>
      <c r="AJ563" s="99" t="s">
        <v>176</v>
      </c>
      <c r="AK563" s="99" t="s">
        <v>4426</v>
      </c>
      <c r="AL563" s="99" t="s">
        <v>3411</v>
      </c>
      <c r="AM563" s="99" t="s">
        <v>177</v>
      </c>
      <c r="AN563" s="99" t="s">
        <v>3411</v>
      </c>
      <c r="AO563" s="99" t="s">
        <v>1009</v>
      </c>
      <c r="AP563" s="99" t="s">
        <v>2570</v>
      </c>
      <c r="AQ563" s="99" t="s">
        <v>3411</v>
      </c>
      <c r="AR563" s="99" t="s">
        <v>3411</v>
      </c>
      <c r="AS563" s="99" t="s">
        <v>2131</v>
      </c>
      <c r="AT563" s="99" t="s">
        <v>190</v>
      </c>
      <c r="AU563" s="99" t="s">
        <v>191</v>
      </c>
      <c r="AV563" s="99" t="s">
        <v>3581</v>
      </c>
      <c r="AW563" s="99" t="s">
        <v>529</v>
      </c>
      <c r="AX563" s="99" t="s">
        <v>3420</v>
      </c>
      <c r="AY563" s="99" t="s">
        <v>252</v>
      </c>
      <c r="AZ563" s="99" t="s">
        <v>3416</v>
      </c>
      <c r="BA563" s="99" t="s">
        <v>4649</v>
      </c>
      <c r="BB563" s="99" t="s">
        <v>2732</v>
      </c>
      <c r="BC563" s="125">
        <v>49</v>
      </c>
      <c r="BD563" s="99" t="s">
        <v>3135</v>
      </c>
      <c r="BE563" s="99" t="s">
        <v>3136</v>
      </c>
    </row>
    <row r="564" spans="1:57" ht="12.95" customHeight="1">
      <c r="A564" s="124">
        <v>15</v>
      </c>
      <c r="B564" s="124">
        <v>3083</v>
      </c>
      <c r="C564" s="99" t="s">
        <v>165</v>
      </c>
      <c r="D564" s="99" t="s">
        <v>1477</v>
      </c>
      <c r="E564" s="99" t="s">
        <v>1478</v>
      </c>
      <c r="F564" s="99" t="s">
        <v>2127</v>
      </c>
      <c r="G564" s="99" t="s">
        <v>11</v>
      </c>
      <c r="H564" s="99" t="s">
        <v>4648</v>
      </c>
      <c r="I564" s="99" t="s">
        <v>2128</v>
      </c>
      <c r="J564" s="99" t="s">
        <v>2927</v>
      </c>
      <c r="K564" s="99" t="s">
        <v>948</v>
      </c>
      <c r="L564" s="99" t="s">
        <v>2928</v>
      </c>
      <c r="M564" s="99" t="s">
        <v>1</v>
      </c>
      <c r="N564" s="99" t="s">
        <v>3407</v>
      </c>
      <c r="O564" s="99" t="s">
        <v>114</v>
      </c>
      <c r="P564" s="99" t="s">
        <v>3973</v>
      </c>
      <c r="Q564" s="99" t="s">
        <v>169</v>
      </c>
      <c r="R564" s="99" t="s">
        <v>71</v>
      </c>
      <c r="S564" s="99" t="s">
        <v>2691</v>
      </c>
      <c r="T564" s="99" t="s">
        <v>49</v>
      </c>
      <c r="U564" s="99" t="s">
        <v>1492</v>
      </c>
      <c r="V564" s="99" t="s">
        <v>55</v>
      </c>
      <c r="W564" s="99" t="s">
        <v>3973</v>
      </c>
      <c r="X564" s="99" t="s">
        <v>3973</v>
      </c>
      <c r="Y564" s="99" t="s">
        <v>4650</v>
      </c>
      <c r="Z564" s="99" t="s">
        <v>172</v>
      </c>
      <c r="AA564" s="99" t="s">
        <v>173</v>
      </c>
      <c r="AB564" s="99" t="s">
        <v>174</v>
      </c>
      <c r="AC564" s="99" t="s">
        <v>3411</v>
      </c>
      <c r="AD564" s="99" t="s">
        <v>175</v>
      </c>
      <c r="AE564" s="99" t="s">
        <v>3411</v>
      </c>
      <c r="AF564" s="99" t="s">
        <v>3411</v>
      </c>
      <c r="AG564" s="124">
        <v>3083</v>
      </c>
      <c r="AH564" s="99" t="s">
        <v>3413</v>
      </c>
      <c r="AI564" s="125">
        <v>100</v>
      </c>
      <c r="AJ564" s="99" t="s">
        <v>176</v>
      </c>
      <c r="AK564" s="99" t="s">
        <v>3973</v>
      </c>
      <c r="AL564" s="99" t="s">
        <v>3411</v>
      </c>
      <c r="AM564" s="99" t="s">
        <v>177</v>
      </c>
      <c r="AN564" s="99" t="s">
        <v>3411</v>
      </c>
      <c r="AO564" s="99" t="s">
        <v>1009</v>
      </c>
      <c r="AP564" s="99" t="s">
        <v>2570</v>
      </c>
      <c r="AQ564" s="99" t="s">
        <v>3411</v>
      </c>
      <c r="AR564" s="99" t="s">
        <v>3411</v>
      </c>
      <c r="AS564" s="99" t="s">
        <v>2929</v>
      </c>
      <c r="AT564" s="99" t="s">
        <v>190</v>
      </c>
      <c r="AU564" s="99" t="s">
        <v>191</v>
      </c>
      <c r="AV564" s="99" t="s">
        <v>3581</v>
      </c>
      <c r="AW564" s="99" t="s">
        <v>529</v>
      </c>
      <c r="AX564" s="99" t="s">
        <v>3420</v>
      </c>
      <c r="AY564" s="99" t="s">
        <v>252</v>
      </c>
      <c r="AZ564" s="99" t="s">
        <v>3416</v>
      </c>
      <c r="BA564" s="99" t="s">
        <v>4649</v>
      </c>
      <c r="BB564" s="99" t="s">
        <v>2732</v>
      </c>
      <c r="BC564" s="125">
        <v>29</v>
      </c>
      <c r="BD564" s="99" t="s">
        <v>3135</v>
      </c>
      <c r="BE564" s="99" t="s">
        <v>3136</v>
      </c>
    </row>
    <row r="565" spans="1:57" ht="12.95" customHeight="1">
      <c r="A565" s="124">
        <v>15</v>
      </c>
      <c r="B565" s="124">
        <v>3092</v>
      </c>
      <c r="C565" s="99" t="s">
        <v>165</v>
      </c>
      <c r="D565" s="99" t="s">
        <v>1477</v>
      </c>
      <c r="E565" s="99" t="s">
        <v>1478</v>
      </c>
      <c r="F565" s="99" t="s">
        <v>2127</v>
      </c>
      <c r="G565" s="99" t="s">
        <v>11</v>
      </c>
      <c r="H565" s="99" t="s">
        <v>4648</v>
      </c>
      <c r="I565" s="99" t="s">
        <v>2128</v>
      </c>
      <c r="J565" s="99" t="s">
        <v>2963</v>
      </c>
      <c r="K565" s="99" t="s">
        <v>267</v>
      </c>
      <c r="L565" s="99" t="s">
        <v>2964</v>
      </c>
      <c r="M565" s="99" t="s">
        <v>1</v>
      </c>
      <c r="N565" s="99" t="s">
        <v>3407</v>
      </c>
      <c r="O565" s="99" t="s">
        <v>114</v>
      </c>
      <c r="P565" s="99" t="s">
        <v>4651</v>
      </c>
      <c r="Q565" s="99" t="s">
        <v>169</v>
      </c>
      <c r="R565" s="99" t="s">
        <v>71</v>
      </c>
      <c r="S565" s="99" t="s">
        <v>2691</v>
      </c>
      <c r="T565" s="99" t="s">
        <v>49</v>
      </c>
      <c r="U565" s="99" t="s">
        <v>1492</v>
      </c>
      <c r="V565" s="99" t="s">
        <v>55</v>
      </c>
      <c r="W565" s="99" t="s">
        <v>4651</v>
      </c>
      <c r="X565" s="99" t="s">
        <v>4651</v>
      </c>
      <c r="Y565" s="99" t="s">
        <v>4652</v>
      </c>
      <c r="Z565" s="99" t="s">
        <v>172</v>
      </c>
      <c r="AA565" s="99" t="s">
        <v>173</v>
      </c>
      <c r="AB565" s="99" t="s">
        <v>174</v>
      </c>
      <c r="AC565" s="99" t="s">
        <v>3411</v>
      </c>
      <c r="AD565" s="99" t="s">
        <v>175</v>
      </c>
      <c r="AE565" s="99" t="s">
        <v>3411</v>
      </c>
      <c r="AF565" s="99" t="s">
        <v>3411</v>
      </c>
      <c r="AG565" s="124">
        <v>3092</v>
      </c>
      <c r="AH565" s="99" t="s">
        <v>3413</v>
      </c>
      <c r="AI565" s="125">
        <v>100</v>
      </c>
      <c r="AJ565" s="99" t="s">
        <v>176</v>
      </c>
      <c r="AK565" s="99" t="s">
        <v>4651</v>
      </c>
      <c r="AL565" s="99" t="s">
        <v>3411</v>
      </c>
      <c r="AM565" s="99" t="s">
        <v>177</v>
      </c>
      <c r="AN565" s="99" t="s">
        <v>3411</v>
      </c>
      <c r="AO565" s="99" t="s">
        <v>1009</v>
      </c>
      <c r="AP565" s="99" t="s">
        <v>2570</v>
      </c>
      <c r="AQ565" s="99" t="s">
        <v>3411</v>
      </c>
      <c r="AR565" s="99" t="s">
        <v>1010</v>
      </c>
      <c r="AS565" s="99" t="s">
        <v>2965</v>
      </c>
      <c r="AT565" s="99" t="s">
        <v>190</v>
      </c>
      <c r="AU565" s="99" t="s">
        <v>191</v>
      </c>
      <c r="AV565" s="99" t="s">
        <v>3581</v>
      </c>
      <c r="AW565" s="99" t="s">
        <v>529</v>
      </c>
      <c r="AX565" s="99" t="s">
        <v>3420</v>
      </c>
      <c r="AY565" s="99" t="s">
        <v>252</v>
      </c>
      <c r="AZ565" s="99" t="s">
        <v>3416</v>
      </c>
      <c r="BA565" s="99" t="s">
        <v>4649</v>
      </c>
      <c r="BB565" s="99" t="s">
        <v>2732</v>
      </c>
      <c r="BC565" s="125">
        <v>44</v>
      </c>
      <c r="BD565" s="99" t="s">
        <v>3135</v>
      </c>
      <c r="BE565" s="99" t="s">
        <v>3136</v>
      </c>
    </row>
    <row r="566" spans="1:57" ht="12.95" customHeight="1">
      <c r="A566" s="124">
        <v>15</v>
      </c>
      <c r="B566" s="124">
        <v>2134</v>
      </c>
      <c r="C566" s="99" t="s">
        <v>165</v>
      </c>
      <c r="D566" s="99" t="s">
        <v>1477</v>
      </c>
      <c r="E566" s="99" t="s">
        <v>1478</v>
      </c>
      <c r="F566" s="99" t="s">
        <v>2127</v>
      </c>
      <c r="G566" s="99" t="s">
        <v>11</v>
      </c>
      <c r="H566" s="99" t="s">
        <v>4648</v>
      </c>
      <c r="I566" s="99" t="s">
        <v>2128</v>
      </c>
      <c r="J566" s="99" t="s">
        <v>2132</v>
      </c>
      <c r="K566" s="99" t="s">
        <v>414</v>
      </c>
      <c r="L566" s="99" t="s">
        <v>2133</v>
      </c>
      <c r="M566" s="99" t="s">
        <v>1</v>
      </c>
      <c r="N566" s="99" t="s">
        <v>3407</v>
      </c>
      <c r="O566" s="99" t="s">
        <v>114</v>
      </c>
      <c r="P566" s="99" t="s">
        <v>3422</v>
      </c>
      <c r="Q566" s="99" t="s">
        <v>169</v>
      </c>
      <c r="R566" s="99" t="s">
        <v>71</v>
      </c>
      <c r="S566" s="99" t="s">
        <v>2691</v>
      </c>
      <c r="T566" s="99" t="s">
        <v>49</v>
      </c>
      <c r="U566" s="99" t="s">
        <v>1008</v>
      </c>
      <c r="V566" s="99" t="s">
        <v>53</v>
      </c>
      <c r="W566" s="99" t="s">
        <v>4653</v>
      </c>
      <c r="X566" s="99" t="s">
        <v>4653</v>
      </c>
      <c r="Y566" s="99" t="s">
        <v>4654</v>
      </c>
      <c r="Z566" s="99" t="s">
        <v>172</v>
      </c>
      <c r="AA566" s="99" t="s">
        <v>173</v>
      </c>
      <c r="AB566" s="99" t="s">
        <v>174</v>
      </c>
      <c r="AC566" s="99" t="s">
        <v>3411</v>
      </c>
      <c r="AD566" s="99" t="s">
        <v>175</v>
      </c>
      <c r="AE566" s="99" t="s">
        <v>3411</v>
      </c>
      <c r="AF566" s="99" t="s">
        <v>3411</v>
      </c>
      <c r="AG566" s="124">
        <v>492</v>
      </c>
      <c r="AH566" s="99" t="s">
        <v>3413</v>
      </c>
      <c r="AI566" s="125">
        <v>100</v>
      </c>
      <c r="AJ566" s="99" t="s">
        <v>176</v>
      </c>
      <c r="AK566" s="99" t="s">
        <v>4653</v>
      </c>
      <c r="AL566" s="99" t="s">
        <v>3411</v>
      </c>
      <c r="AM566" s="99" t="s">
        <v>177</v>
      </c>
      <c r="AN566" s="99" t="s">
        <v>3411</v>
      </c>
      <c r="AO566" s="99" t="s">
        <v>1009</v>
      </c>
      <c r="AP566" s="99" t="s">
        <v>2570</v>
      </c>
      <c r="AQ566" s="99" t="s">
        <v>3411</v>
      </c>
      <c r="AR566" s="99" t="s">
        <v>1010</v>
      </c>
      <c r="AS566" s="99" t="s">
        <v>2134</v>
      </c>
      <c r="AT566" s="99" t="s">
        <v>190</v>
      </c>
      <c r="AU566" s="99" t="s">
        <v>191</v>
      </c>
      <c r="AV566" s="99" t="s">
        <v>3581</v>
      </c>
      <c r="AW566" s="99" t="s">
        <v>529</v>
      </c>
      <c r="AX566" s="99" t="s">
        <v>3420</v>
      </c>
      <c r="AY566" s="99" t="s">
        <v>252</v>
      </c>
      <c r="AZ566" s="99" t="s">
        <v>3416</v>
      </c>
      <c r="BA566" s="99" t="s">
        <v>4649</v>
      </c>
      <c r="BB566" s="99" t="s">
        <v>2732</v>
      </c>
      <c r="BC566" s="125">
        <v>53</v>
      </c>
      <c r="BD566" s="99" t="s">
        <v>3135</v>
      </c>
      <c r="BE566" s="99" t="s">
        <v>3136</v>
      </c>
    </row>
    <row r="567" spans="1:57" ht="12.95" customHeight="1">
      <c r="A567" s="124">
        <v>15</v>
      </c>
      <c r="B567" s="124">
        <v>3091</v>
      </c>
      <c r="C567" s="99" t="s">
        <v>165</v>
      </c>
      <c r="D567" s="99" t="s">
        <v>1477</v>
      </c>
      <c r="E567" s="99" t="s">
        <v>1478</v>
      </c>
      <c r="F567" s="99" t="s">
        <v>2127</v>
      </c>
      <c r="G567" s="99" t="s">
        <v>11</v>
      </c>
      <c r="H567" s="99" t="s">
        <v>4648</v>
      </c>
      <c r="I567" s="99" t="s">
        <v>2128</v>
      </c>
      <c r="J567" s="99" t="s">
        <v>2966</v>
      </c>
      <c r="K567" s="99" t="s">
        <v>2472</v>
      </c>
      <c r="L567" s="99" t="s">
        <v>2967</v>
      </c>
      <c r="M567" s="99" t="s">
        <v>1</v>
      </c>
      <c r="N567" s="99" t="s">
        <v>3407</v>
      </c>
      <c r="O567" s="99" t="s">
        <v>114</v>
      </c>
      <c r="P567" s="99" t="s">
        <v>4655</v>
      </c>
      <c r="Q567" s="99" t="s">
        <v>169</v>
      </c>
      <c r="R567" s="99" t="s">
        <v>71</v>
      </c>
      <c r="S567" s="99" t="s">
        <v>2691</v>
      </c>
      <c r="T567" s="99" t="s">
        <v>49</v>
      </c>
      <c r="U567" s="99" t="s">
        <v>1492</v>
      </c>
      <c r="V567" s="99" t="s">
        <v>55</v>
      </c>
      <c r="W567" s="99" t="s">
        <v>4655</v>
      </c>
      <c r="X567" s="99" t="s">
        <v>4655</v>
      </c>
      <c r="Y567" s="99" t="s">
        <v>4656</v>
      </c>
      <c r="Z567" s="99" t="s">
        <v>172</v>
      </c>
      <c r="AA567" s="99" t="s">
        <v>173</v>
      </c>
      <c r="AB567" s="99" t="s">
        <v>174</v>
      </c>
      <c r="AC567" s="99" t="s">
        <v>3411</v>
      </c>
      <c r="AD567" s="99" t="s">
        <v>175</v>
      </c>
      <c r="AE567" s="99" t="s">
        <v>3411</v>
      </c>
      <c r="AF567" s="99" t="s">
        <v>3411</v>
      </c>
      <c r="AG567" s="124">
        <v>3091</v>
      </c>
      <c r="AH567" s="99" t="s">
        <v>3413</v>
      </c>
      <c r="AI567" s="125">
        <v>100</v>
      </c>
      <c r="AJ567" s="99" t="s">
        <v>176</v>
      </c>
      <c r="AK567" s="99" t="s">
        <v>4655</v>
      </c>
      <c r="AL567" s="99" t="s">
        <v>3411</v>
      </c>
      <c r="AM567" s="99" t="s">
        <v>177</v>
      </c>
      <c r="AN567" s="99" t="s">
        <v>3411</v>
      </c>
      <c r="AO567" s="99" t="s">
        <v>1009</v>
      </c>
      <c r="AP567" s="99" t="s">
        <v>2570</v>
      </c>
      <c r="AQ567" s="99" t="s">
        <v>3411</v>
      </c>
      <c r="AR567" s="99" t="s">
        <v>3411</v>
      </c>
      <c r="AS567" s="99" t="s">
        <v>2970</v>
      </c>
      <c r="AT567" s="99" t="s">
        <v>190</v>
      </c>
      <c r="AU567" s="99" t="s">
        <v>191</v>
      </c>
      <c r="AV567" s="99" t="s">
        <v>3581</v>
      </c>
      <c r="AW567" s="99" t="s">
        <v>529</v>
      </c>
      <c r="AX567" s="99" t="s">
        <v>3420</v>
      </c>
      <c r="AY567" s="99" t="s">
        <v>252</v>
      </c>
      <c r="AZ567" s="99" t="s">
        <v>3416</v>
      </c>
      <c r="BA567" s="99" t="s">
        <v>4649</v>
      </c>
      <c r="BB567" s="99" t="s">
        <v>2732</v>
      </c>
      <c r="BC567" s="125">
        <v>27</v>
      </c>
      <c r="BD567" s="99" t="s">
        <v>3135</v>
      </c>
      <c r="BE567" s="99" t="s">
        <v>3136</v>
      </c>
    </row>
    <row r="568" spans="1:57" ht="12.95" customHeight="1">
      <c r="A568" s="124">
        <v>15</v>
      </c>
      <c r="B568" s="124">
        <v>2148</v>
      </c>
      <c r="C568" s="99" t="s">
        <v>165</v>
      </c>
      <c r="D568" s="99" t="s">
        <v>1477</v>
      </c>
      <c r="E568" s="99" t="s">
        <v>1478</v>
      </c>
      <c r="F568" s="99" t="s">
        <v>2127</v>
      </c>
      <c r="G568" s="99" t="s">
        <v>11</v>
      </c>
      <c r="H568" s="99" t="s">
        <v>4648</v>
      </c>
      <c r="I568" s="99" t="s">
        <v>2128</v>
      </c>
      <c r="J568" s="99" t="s">
        <v>2137</v>
      </c>
      <c r="K568" s="99" t="s">
        <v>2138</v>
      </c>
      <c r="L568" s="99" t="s">
        <v>2139</v>
      </c>
      <c r="M568" s="99" t="s">
        <v>5</v>
      </c>
      <c r="N568" s="99" t="s">
        <v>3407</v>
      </c>
      <c r="O568" s="99" t="s">
        <v>114</v>
      </c>
      <c r="P568" s="99" t="s">
        <v>3422</v>
      </c>
      <c r="Q568" s="99" t="s">
        <v>169</v>
      </c>
      <c r="R568" s="99" t="s">
        <v>71</v>
      </c>
      <c r="S568" s="99" t="s">
        <v>2691</v>
      </c>
      <c r="T568" s="99" t="s">
        <v>49</v>
      </c>
      <c r="U568" s="99" t="s">
        <v>1511</v>
      </c>
      <c r="V568" s="99" t="s">
        <v>54</v>
      </c>
      <c r="W568" s="99" t="s">
        <v>4657</v>
      </c>
      <c r="X568" s="99" t="s">
        <v>4657</v>
      </c>
      <c r="Y568" s="99" t="s">
        <v>4658</v>
      </c>
      <c r="Z568" s="99" t="s">
        <v>172</v>
      </c>
      <c r="AA568" s="99" t="s">
        <v>173</v>
      </c>
      <c r="AB568" s="99" t="s">
        <v>174</v>
      </c>
      <c r="AC568" s="99" t="s">
        <v>3411</v>
      </c>
      <c r="AD568" s="99" t="s">
        <v>175</v>
      </c>
      <c r="AE568" s="99" t="s">
        <v>3411</v>
      </c>
      <c r="AF568" s="99" t="s">
        <v>3411</v>
      </c>
      <c r="AG568" s="124">
        <v>501</v>
      </c>
      <c r="AH568" s="99" t="s">
        <v>3413</v>
      </c>
      <c r="AI568" s="125">
        <v>100</v>
      </c>
      <c r="AJ568" s="99" t="s">
        <v>176</v>
      </c>
      <c r="AK568" s="99" t="s">
        <v>4657</v>
      </c>
      <c r="AL568" s="99" t="s">
        <v>3411</v>
      </c>
      <c r="AM568" s="99" t="s">
        <v>177</v>
      </c>
      <c r="AN568" s="99" t="s">
        <v>3411</v>
      </c>
      <c r="AO568" s="99" t="s">
        <v>1009</v>
      </c>
      <c r="AP568" s="99" t="s">
        <v>2570</v>
      </c>
      <c r="AQ568" s="99" t="s">
        <v>3411</v>
      </c>
      <c r="AR568" s="99" t="s">
        <v>3411</v>
      </c>
      <c r="AS568" s="99" t="s">
        <v>2140</v>
      </c>
      <c r="AT568" s="99" t="s">
        <v>190</v>
      </c>
      <c r="AU568" s="99" t="s">
        <v>191</v>
      </c>
      <c r="AV568" s="99" t="s">
        <v>3581</v>
      </c>
      <c r="AW568" s="99" t="s">
        <v>529</v>
      </c>
      <c r="AX568" s="99" t="s">
        <v>3420</v>
      </c>
      <c r="AY568" s="99" t="s">
        <v>252</v>
      </c>
      <c r="AZ568" s="99" t="s">
        <v>3416</v>
      </c>
      <c r="BA568" s="99" t="s">
        <v>4649</v>
      </c>
      <c r="BB568" s="99" t="s">
        <v>2732</v>
      </c>
      <c r="BC568" s="125">
        <v>48</v>
      </c>
      <c r="BD568" s="99" t="s">
        <v>3135</v>
      </c>
      <c r="BE568" s="99" t="s">
        <v>3136</v>
      </c>
    </row>
    <row r="569" spans="1:57" ht="12.95" customHeight="1">
      <c r="A569" s="124">
        <v>15</v>
      </c>
      <c r="B569" s="124">
        <v>1954</v>
      </c>
      <c r="C569" s="99" t="s">
        <v>165</v>
      </c>
      <c r="D569" s="99" t="s">
        <v>1477</v>
      </c>
      <c r="E569" s="99" t="s">
        <v>1478</v>
      </c>
      <c r="F569" s="99" t="s">
        <v>2127</v>
      </c>
      <c r="G569" s="99" t="s">
        <v>11</v>
      </c>
      <c r="H569" s="99" t="s">
        <v>4648</v>
      </c>
      <c r="I569" s="99" t="s">
        <v>2128</v>
      </c>
      <c r="J569" s="99" t="s">
        <v>2141</v>
      </c>
      <c r="K569" s="99" t="s">
        <v>879</v>
      </c>
      <c r="L569" s="99" t="s">
        <v>2142</v>
      </c>
      <c r="M569" s="99" t="s">
        <v>1</v>
      </c>
      <c r="N569" s="99" t="s">
        <v>3407</v>
      </c>
      <c r="O569" s="99" t="s">
        <v>114</v>
      </c>
      <c r="P569" s="99" t="s">
        <v>3422</v>
      </c>
      <c r="Q569" s="99" t="s">
        <v>169</v>
      </c>
      <c r="R569" s="99" t="s">
        <v>71</v>
      </c>
      <c r="S569" s="99" t="s">
        <v>2691</v>
      </c>
      <c r="T569" s="99" t="s">
        <v>49</v>
      </c>
      <c r="U569" s="99" t="s">
        <v>1620</v>
      </c>
      <c r="V569" s="99" t="s">
        <v>59</v>
      </c>
      <c r="W569" s="99" t="s">
        <v>4303</v>
      </c>
      <c r="X569" s="99" t="s">
        <v>4303</v>
      </c>
      <c r="Y569" s="99" t="s">
        <v>4659</v>
      </c>
      <c r="Z569" s="99" t="s">
        <v>172</v>
      </c>
      <c r="AA569" s="99" t="s">
        <v>173</v>
      </c>
      <c r="AB569" s="99" t="s">
        <v>174</v>
      </c>
      <c r="AC569" s="99" t="s">
        <v>3411</v>
      </c>
      <c r="AD569" s="99" t="s">
        <v>175</v>
      </c>
      <c r="AE569" s="99" t="s">
        <v>3411</v>
      </c>
      <c r="AF569" s="99" t="s">
        <v>3411</v>
      </c>
      <c r="AG569" s="124">
        <v>399</v>
      </c>
      <c r="AH569" s="99" t="s">
        <v>3413</v>
      </c>
      <c r="AI569" s="125">
        <v>100</v>
      </c>
      <c r="AJ569" s="99" t="s">
        <v>176</v>
      </c>
      <c r="AK569" s="99" t="s">
        <v>4576</v>
      </c>
      <c r="AL569" s="99" t="s">
        <v>3411</v>
      </c>
      <c r="AM569" s="99" t="s">
        <v>177</v>
      </c>
      <c r="AN569" s="99" t="s">
        <v>3411</v>
      </c>
      <c r="AO569" s="99" t="s">
        <v>1009</v>
      </c>
      <c r="AP569" s="99" t="s">
        <v>2570</v>
      </c>
      <c r="AQ569" s="99" t="s">
        <v>3411</v>
      </c>
      <c r="AR569" s="99" t="s">
        <v>1010</v>
      </c>
      <c r="AS569" s="99" t="s">
        <v>2143</v>
      </c>
      <c r="AT569" s="99" t="s">
        <v>190</v>
      </c>
      <c r="AU569" s="99" t="s">
        <v>191</v>
      </c>
      <c r="AV569" s="99" t="s">
        <v>3414</v>
      </c>
      <c r="AW569" s="99" t="s">
        <v>180</v>
      </c>
      <c r="AX569" s="99" t="s">
        <v>3420</v>
      </c>
      <c r="AY569" s="99" t="s">
        <v>252</v>
      </c>
      <c r="AZ569" s="99" t="s">
        <v>3416</v>
      </c>
      <c r="BA569" s="99" t="s">
        <v>4649</v>
      </c>
      <c r="BB569" s="99" t="s">
        <v>2732</v>
      </c>
      <c r="BC569" s="125">
        <v>50</v>
      </c>
      <c r="BD569" s="99" t="s">
        <v>3135</v>
      </c>
      <c r="BE569" s="99" t="s">
        <v>3136</v>
      </c>
    </row>
    <row r="570" spans="1:57" ht="12.95" customHeight="1">
      <c r="A570" s="124">
        <v>15</v>
      </c>
      <c r="B570" s="124">
        <v>3090</v>
      </c>
      <c r="C570" s="99" t="s">
        <v>165</v>
      </c>
      <c r="D570" s="99" t="s">
        <v>1477</v>
      </c>
      <c r="E570" s="99" t="s">
        <v>1478</v>
      </c>
      <c r="F570" s="99" t="s">
        <v>2127</v>
      </c>
      <c r="G570" s="99" t="s">
        <v>11</v>
      </c>
      <c r="H570" s="99" t="s">
        <v>4648</v>
      </c>
      <c r="I570" s="99" t="s">
        <v>2128</v>
      </c>
      <c r="J570" s="99" t="s">
        <v>2971</v>
      </c>
      <c r="K570" s="99" t="s">
        <v>879</v>
      </c>
      <c r="L570" s="99" t="s">
        <v>2972</v>
      </c>
      <c r="M570" s="99" t="s">
        <v>1</v>
      </c>
      <c r="N570" s="99" t="s">
        <v>3407</v>
      </c>
      <c r="O570" s="99" t="s">
        <v>114</v>
      </c>
      <c r="P570" s="99" t="s">
        <v>4651</v>
      </c>
      <c r="Q570" s="99" t="s">
        <v>169</v>
      </c>
      <c r="R570" s="99" t="s">
        <v>71</v>
      </c>
      <c r="S570" s="99" t="s">
        <v>2691</v>
      </c>
      <c r="T570" s="99" t="s">
        <v>49</v>
      </c>
      <c r="U570" s="99" t="s">
        <v>1492</v>
      </c>
      <c r="V570" s="99" t="s">
        <v>55</v>
      </c>
      <c r="W570" s="99" t="s">
        <v>4651</v>
      </c>
      <c r="X570" s="99" t="s">
        <v>4651</v>
      </c>
      <c r="Y570" s="99" t="s">
        <v>4660</v>
      </c>
      <c r="Z570" s="99" t="s">
        <v>172</v>
      </c>
      <c r="AA570" s="99" t="s">
        <v>173</v>
      </c>
      <c r="AB570" s="99" t="s">
        <v>174</v>
      </c>
      <c r="AC570" s="99" t="s">
        <v>3411</v>
      </c>
      <c r="AD570" s="99" t="s">
        <v>175</v>
      </c>
      <c r="AE570" s="99" t="s">
        <v>3411</v>
      </c>
      <c r="AF570" s="99" t="s">
        <v>3411</v>
      </c>
      <c r="AG570" s="124">
        <v>3090</v>
      </c>
      <c r="AH570" s="99" t="s">
        <v>3413</v>
      </c>
      <c r="AI570" s="125">
        <v>100</v>
      </c>
      <c r="AJ570" s="99" t="s">
        <v>176</v>
      </c>
      <c r="AK570" s="99" t="s">
        <v>4655</v>
      </c>
      <c r="AL570" s="99" t="s">
        <v>3411</v>
      </c>
      <c r="AM570" s="99" t="s">
        <v>177</v>
      </c>
      <c r="AN570" s="99" t="s">
        <v>3411</v>
      </c>
      <c r="AO570" s="99" t="s">
        <v>1009</v>
      </c>
      <c r="AP570" s="99" t="s">
        <v>2570</v>
      </c>
      <c r="AQ570" s="99" t="s">
        <v>3411</v>
      </c>
      <c r="AR570" s="99" t="s">
        <v>3411</v>
      </c>
      <c r="AS570" s="99" t="s">
        <v>2973</v>
      </c>
      <c r="AT570" s="99" t="s">
        <v>190</v>
      </c>
      <c r="AU570" s="99" t="s">
        <v>191</v>
      </c>
      <c r="AV570" s="99" t="s">
        <v>3581</v>
      </c>
      <c r="AW570" s="99" t="s">
        <v>529</v>
      </c>
      <c r="AX570" s="99" t="s">
        <v>3420</v>
      </c>
      <c r="AY570" s="99" t="s">
        <v>252</v>
      </c>
      <c r="AZ570" s="99" t="s">
        <v>3416</v>
      </c>
      <c r="BA570" s="99" t="s">
        <v>4649</v>
      </c>
      <c r="BB570" s="99" t="s">
        <v>2732</v>
      </c>
      <c r="BC570" s="125">
        <v>46</v>
      </c>
      <c r="BD570" s="99" t="s">
        <v>3135</v>
      </c>
      <c r="BE570" s="99" t="s">
        <v>3136</v>
      </c>
    </row>
    <row r="571" spans="1:57" ht="12.95" customHeight="1">
      <c r="A571" s="124">
        <v>15</v>
      </c>
      <c r="B571" s="124">
        <v>2142</v>
      </c>
      <c r="C571" s="99" t="s">
        <v>165</v>
      </c>
      <c r="D571" s="99" t="s">
        <v>1477</v>
      </c>
      <c r="E571" s="99" t="s">
        <v>1478</v>
      </c>
      <c r="F571" s="99" t="s">
        <v>2127</v>
      </c>
      <c r="G571" s="99" t="s">
        <v>11</v>
      </c>
      <c r="H571" s="99" t="s">
        <v>4648</v>
      </c>
      <c r="I571" s="99" t="s">
        <v>2128</v>
      </c>
      <c r="J571" s="99" t="s">
        <v>2144</v>
      </c>
      <c r="K571" s="99" t="s">
        <v>370</v>
      </c>
      <c r="L571" s="99" t="s">
        <v>2145</v>
      </c>
      <c r="M571" s="99" t="s">
        <v>5</v>
      </c>
      <c r="N571" s="99" t="s">
        <v>3454</v>
      </c>
      <c r="O571" s="99" t="s">
        <v>70</v>
      </c>
      <c r="P571" s="99" t="s">
        <v>4576</v>
      </c>
      <c r="Q571" s="99" t="s">
        <v>247</v>
      </c>
      <c r="R571" s="99" t="s">
        <v>71</v>
      </c>
      <c r="S571" s="99" t="s">
        <v>2691</v>
      </c>
      <c r="T571" s="99" t="s">
        <v>49</v>
      </c>
      <c r="U571" s="99" t="s">
        <v>1492</v>
      </c>
      <c r="V571" s="99" t="s">
        <v>55</v>
      </c>
      <c r="W571" s="99" t="s">
        <v>4429</v>
      </c>
      <c r="X571" s="99" t="s">
        <v>4429</v>
      </c>
      <c r="Y571" s="99" t="s">
        <v>4661</v>
      </c>
      <c r="Z571" s="99" t="s">
        <v>172</v>
      </c>
      <c r="AA571" s="99" t="s">
        <v>173</v>
      </c>
      <c r="AB571" s="99" t="s">
        <v>174</v>
      </c>
      <c r="AC571" s="99" t="s">
        <v>3411</v>
      </c>
      <c r="AD571" s="99" t="s">
        <v>175</v>
      </c>
      <c r="AE571" s="99" t="s">
        <v>3411</v>
      </c>
      <c r="AF571" s="99" t="s">
        <v>3411</v>
      </c>
      <c r="AG571" s="124">
        <v>498</v>
      </c>
      <c r="AH571" s="99" t="s">
        <v>3413</v>
      </c>
      <c r="AI571" s="125">
        <v>100</v>
      </c>
      <c r="AJ571" s="99" t="s">
        <v>176</v>
      </c>
      <c r="AK571" s="99" t="s">
        <v>4429</v>
      </c>
      <c r="AL571" s="99" t="s">
        <v>3411</v>
      </c>
      <c r="AM571" s="99" t="s">
        <v>177</v>
      </c>
      <c r="AN571" s="99" t="s">
        <v>3411</v>
      </c>
      <c r="AO571" s="99" t="s">
        <v>1009</v>
      </c>
      <c r="AP571" s="99" t="s">
        <v>2570</v>
      </c>
      <c r="AQ571" s="99" t="s">
        <v>3411</v>
      </c>
      <c r="AR571" s="99" t="s">
        <v>1010</v>
      </c>
      <c r="AS571" s="99" t="s">
        <v>2146</v>
      </c>
      <c r="AT571" s="99" t="s">
        <v>190</v>
      </c>
      <c r="AU571" s="99" t="s">
        <v>191</v>
      </c>
      <c r="AV571" s="99" t="s">
        <v>3581</v>
      </c>
      <c r="AW571" s="99" t="s">
        <v>529</v>
      </c>
      <c r="AX571" s="99" t="s">
        <v>3420</v>
      </c>
      <c r="AY571" s="99" t="s">
        <v>252</v>
      </c>
      <c r="AZ571" s="99" t="s">
        <v>3416</v>
      </c>
      <c r="BA571" s="99" t="s">
        <v>4649</v>
      </c>
      <c r="BB571" s="99" t="s">
        <v>2732</v>
      </c>
      <c r="BC571" s="125">
        <v>47</v>
      </c>
      <c r="BD571" s="99" t="s">
        <v>3135</v>
      </c>
      <c r="BE571" s="99" t="s">
        <v>3136</v>
      </c>
    </row>
    <row r="572" spans="1:57" ht="12.95" customHeight="1">
      <c r="A572" s="124">
        <v>15</v>
      </c>
      <c r="B572" s="124">
        <v>273</v>
      </c>
      <c r="C572" s="99" t="s">
        <v>165</v>
      </c>
      <c r="D572" s="99" t="s">
        <v>1477</v>
      </c>
      <c r="E572" s="99" t="s">
        <v>1478</v>
      </c>
      <c r="F572" s="99" t="s">
        <v>2127</v>
      </c>
      <c r="G572" s="99" t="s">
        <v>11</v>
      </c>
      <c r="H572" s="99" t="s">
        <v>4648</v>
      </c>
      <c r="I572" s="99" t="s">
        <v>2128</v>
      </c>
      <c r="J572" s="99" t="s">
        <v>2147</v>
      </c>
      <c r="K572" s="99" t="s">
        <v>450</v>
      </c>
      <c r="L572" s="99" t="s">
        <v>2148</v>
      </c>
      <c r="M572" s="99" t="s">
        <v>1</v>
      </c>
      <c r="N572" s="99" t="s">
        <v>3407</v>
      </c>
      <c r="O572" s="99" t="s">
        <v>114</v>
      </c>
      <c r="P572" s="99" t="s">
        <v>3422</v>
      </c>
      <c r="Q572" s="99" t="s">
        <v>169</v>
      </c>
      <c r="R572" s="99" t="s">
        <v>71</v>
      </c>
      <c r="S572" s="99" t="s">
        <v>2691</v>
      </c>
      <c r="T572" s="99" t="s">
        <v>49</v>
      </c>
      <c r="U572" s="99" t="s">
        <v>1008</v>
      </c>
      <c r="V572" s="99" t="s">
        <v>53</v>
      </c>
      <c r="W572" s="99" t="s">
        <v>4662</v>
      </c>
      <c r="X572" s="99" t="s">
        <v>3664</v>
      </c>
      <c r="Y572" s="99" t="s">
        <v>4663</v>
      </c>
      <c r="Z572" s="99" t="s">
        <v>172</v>
      </c>
      <c r="AA572" s="99" t="s">
        <v>173</v>
      </c>
      <c r="AB572" s="99" t="s">
        <v>174</v>
      </c>
      <c r="AC572" s="99" t="s">
        <v>3411</v>
      </c>
      <c r="AD572" s="99" t="s">
        <v>175</v>
      </c>
      <c r="AE572" s="99" t="s">
        <v>3411</v>
      </c>
      <c r="AF572" s="99" t="s">
        <v>3411</v>
      </c>
      <c r="AG572" s="124">
        <v>80</v>
      </c>
      <c r="AH572" s="99" t="s">
        <v>3413</v>
      </c>
      <c r="AI572" s="125">
        <v>100</v>
      </c>
      <c r="AJ572" s="99" t="s">
        <v>176</v>
      </c>
      <c r="AK572" s="99" t="s">
        <v>4664</v>
      </c>
      <c r="AL572" s="99" t="s">
        <v>3411</v>
      </c>
      <c r="AM572" s="99" t="s">
        <v>177</v>
      </c>
      <c r="AN572" s="99" t="s">
        <v>3411</v>
      </c>
      <c r="AO572" s="99" t="s">
        <v>1009</v>
      </c>
      <c r="AP572" s="99" t="s">
        <v>2570</v>
      </c>
      <c r="AQ572" s="99" t="s">
        <v>3411</v>
      </c>
      <c r="AR572" s="99" t="s">
        <v>1010</v>
      </c>
      <c r="AS572" s="99" t="s">
        <v>2149</v>
      </c>
      <c r="AT572" s="99" t="s">
        <v>190</v>
      </c>
      <c r="AU572" s="99" t="s">
        <v>191</v>
      </c>
      <c r="AV572" s="99" t="s">
        <v>3928</v>
      </c>
      <c r="AW572" s="99" t="s">
        <v>519</v>
      </c>
      <c r="AX572" s="99" t="s">
        <v>4665</v>
      </c>
      <c r="AY572" s="99" t="s">
        <v>252</v>
      </c>
      <c r="AZ572" s="99" t="s">
        <v>3416</v>
      </c>
      <c r="BA572" s="99" t="s">
        <v>4649</v>
      </c>
      <c r="BB572" s="99" t="s">
        <v>2732</v>
      </c>
      <c r="BC572" s="125">
        <v>63</v>
      </c>
      <c r="BD572" s="99" t="s">
        <v>3135</v>
      </c>
      <c r="BE572" s="99" t="s">
        <v>3136</v>
      </c>
    </row>
    <row r="573" spans="1:57" ht="12.95" customHeight="1">
      <c r="A573" s="124">
        <v>15</v>
      </c>
      <c r="B573" s="124">
        <v>2738</v>
      </c>
      <c r="C573" s="99" t="s">
        <v>165</v>
      </c>
      <c r="D573" s="99" t="s">
        <v>1477</v>
      </c>
      <c r="E573" s="99" t="s">
        <v>1478</v>
      </c>
      <c r="F573" s="99" t="s">
        <v>2127</v>
      </c>
      <c r="G573" s="99" t="s">
        <v>11</v>
      </c>
      <c r="H573" s="99" t="s">
        <v>4648</v>
      </c>
      <c r="I573" s="99" t="s">
        <v>2128</v>
      </c>
      <c r="J573" s="99" t="s">
        <v>987</v>
      </c>
      <c r="K573" s="99" t="s">
        <v>445</v>
      </c>
      <c r="L573" s="99" t="s">
        <v>2054</v>
      </c>
      <c r="M573" s="99" t="s">
        <v>1</v>
      </c>
      <c r="N573" s="99" t="s">
        <v>3407</v>
      </c>
      <c r="O573" s="99" t="s">
        <v>114</v>
      </c>
      <c r="P573" s="99" t="s">
        <v>3422</v>
      </c>
      <c r="Q573" s="99" t="s">
        <v>169</v>
      </c>
      <c r="R573" s="99" t="s">
        <v>71</v>
      </c>
      <c r="S573" s="99" t="s">
        <v>2691</v>
      </c>
      <c r="T573" s="99" t="s">
        <v>49</v>
      </c>
      <c r="U573" s="99" t="s">
        <v>1492</v>
      </c>
      <c r="V573" s="99" t="s">
        <v>55</v>
      </c>
      <c r="W573" s="99" t="s">
        <v>3435</v>
      </c>
      <c r="X573" s="99" t="s">
        <v>4331</v>
      </c>
      <c r="Y573" s="99" t="s">
        <v>4666</v>
      </c>
      <c r="Z573" s="99" t="s">
        <v>172</v>
      </c>
      <c r="AA573" s="99" t="s">
        <v>173</v>
      </c>
      <c r="AB573" s="99" t="s">
        <v>174</v>
      </c>
      <c r="AC573" s="99" t="s">
        <v>3411</v>
      </c>
      <c r="AD573" s="99" t="s">
        <v>175</v>
      </c>
      <c r="AE573" s="99" t="s">
        <v>3411</v>
      </c>
      <c r="AF573" s="99" t="s">
        <v>3411</v>
      </c>
      <c r="AG573" s="124">
        <v>2738</v>
      </c>
      <c r="AH573" s="99" t="s">
        <v>3413</v>
      </c>
      <c r="AI573" s="125">
        <v>100</v>
      </c>
      <c r="AJ573" s="99" t="s">
        <v>176</v>
      </c>
      <c r="AK573" s="99" t="s">
        <v>4331</v>
      </c>
      <c r="AL573" s="99" t="s">
        <v>3411</v>
      </c>
      <c r="AM573" s="99" t="s">
        <v>177</v>
      </c>
      <c r="AN573" s="99" t="s">
        <v>3411</v>
      </c>
      <c r="AO573" s="99" t="s">
        <v>1009</v>
      </c>
      <c r="AP573" s="99" t="s">
        <v>2570</v>
      </c>
      <c r="AQ573" s="99" t="s">
        <v>3411</v>
      </c>
      <c r="AR573" s="99" t="s">
        <v>2719</v>
      </c>
      <c r="AS573" s="99" t="s">
        <v>3047</v>
      </c>
      <c r="AT573" s="99" t="s">
        <v>190</v>
      </c>
      <c r="AU573" s="99" t="s">
        <v>191</v>
      </c>
      <c r="AV573" s="99" t="s">
        <v>3581</v>
      </c>
      <c r="AW573" s="99" t="s">
        <v>529</v>
      </c>
      <c r="AX573" s="99" t="s">
        <v>3420</v>
      </c>
      <c r="AY573" s="99" t="s">
        <v>252</v>
      </c>
      <c r="AZ573" s="99" t="s">
        <v>3416</v>
      </c>
      <c r="BA573" s="99" t="s">
        <v>4649</v>
      </c>
      <c r="BB573" s="99" t="s">
        <v>2732</v>
      </c>
      <c r="BC573" s="125">
        <v>54</v>
      </c>
      <c r="BD573" s="99" t="s">
        <v>3135</v>
      </c>
      <c r="BE573" s="99" t="s">
        <v>3136</v>
      </c>
    </row>
    <row r="574" spans="1:57" ht="12.95" customHeight="1">
      <c r="A574" s="124">
        <v>15</v>
      </c>
      <c r="B574" s="124">
        <v>1506</v>
      </c>
      <c r="C574" s="99" t="s">
        <v>165</v>
      </c>
      <c r="D574" s="99" t="s">
        <v>1477</v>
      </c>
      <c r="E574" s="99" t="s">
        <v>1478</v>
      </c>
      <c r="F574" s="99" t="s">
        <v>2127</v>
      </c>
      <c r="G574" s="99" t="s">
        <v>11</v>
      </c>
      <c r="H574" s="99" t="s">
        <v>4648</v>
      </c>
      <c r="I574" s="99" t="s">
        <v>2128</v>
      </c>
      <c r="J574" s="99" t="s">
        <v>2150</v>
      </c>
      <c r="K574" s="99" t="s">
        <v>701</v>
      </c>
      <c r="L574" s="99" t="s">
        <v>2151</v>
      </c>
      <c r="M574" s="99" t="s">
        <v>1</v>
      </c>
      <c r="N574" s="99" t="s">
        <v>3407</v>
      </c>
      <c r="O574" s="99" t="s">
        <v>114</v>
      </c>
      <c r="P574" s="99" t="s">
        <v>3422</v>
      </c>
      <c r="Q574" s="99" t="s">
        <v>169</v>
      </c>
      <c r="R574" s="99" t="s">
        <v>71</v>
      </c>
      <c r="S574" s="99" t="s">
        <v>2691</v>
      </c>
      <c r="T574" s="99" t="s">
        <v>49</v>
      </c>
      <c r="U574" s="99" t="s">
        <v>1620</v>
      </c>
      <c r="V574" s="99" t="s">
        <v>59</v>
      </c>
      <c r="W574" s="99" t="s">
        <v>4667</v>
      </c>
      <c r="X574" s="99" t="s">
        <v>4667</v>
      </c>
      <c r="Y574" s="99" t="s">
        <v>4668</v>
      </c>
      <c r="Z574" s="99" t="s">
        <v>172</v>
      </c>
      <c r="AA574" s="99" t="s">
        <v>173</v>
      </c>
      <c r="AB574" s="99" t="s">
        <v>174</v>
      </c>
      <c r="AC574" s="99" t="s">
        <v>3411</v>
      </c>
      <c r="AD574" s="99" t="s">
        <v>175</v>
      </c>
      <c r="AE574" s="99" t="s">
        <v>3411</v>
      </c>
      <c r="AF574" s="99" t="s">
        <v>3411</v>
      </c>
      <c r="AG574" s="124">
        <v>308</v>
      </c>
      <c r="AH574" s="99" t="s">
        <v>3413</v>
      </c>
      <c r="AI574" s="125">
        <v>100</v>
      </c>
      <c r="AJ574" s="99" t="s">
        <v>176</v>
      </c>
      <c r="AK574" s="99" t="s">
        <v>4667</v>
      </c>
      <c r="AL574" s="99" t="s">
        <v>3411</v>
      </c>
      <c r="AM574" s="99" t="s">
        <v>177</v>
      </c>
      <c r="AN574" s="99" t="s">
        <v>3411</v>
      </c>
      <c r="AO574" s="99" t="s">
        <v>1009</v>
      </c>
      <c r="AP574" s="99" t="s">
        <v>2570</v>
      </c>
      <c r="AQ574" s="99" t="s">
        <v>3411</v>
      </c>
      <c r="AR574" s="99" t="s">
        <v>2719</v>
      </c>
      <c r="AS574" s="99" t="s">
        <v>2152</v>
      </c>
      <c r="AT574" s="99" t="s">
        <v>190</v>
      </c>
      <c r="AU574" s="99" t="s">
        <v>191</v>
      </c>
      <c r="AV574" s="99" t="s">
        <v>3581</v>
      </c>
      <c r="AW574" s="99" t="s">
        <v>529</v>
      </c>
      <c r="AX574" s="99" t="s">
        <v>3420</v>
      </c>
      <c r="AY574" s="99" t="s">
        <v>252</v>
      </c>
      <c r="AZ574" s="99" t="s">
        <v>3416</v>
      </c>
      <c r="BA574" s="99" t="s">
        <v>4649</v>
      </c>
      <c r="BB574" s="99" t="s">
        <v>2732</v>
      </c>
      <c r="BC574" s="125">
        <v>54</v>
      </c>
      <c r="BD574" s="99" t="s">
        <v>3135</v>
      </c>
      <c r="BE574" s="99" t="s">
        <v>3136</v>
      </c>
    </row>
    <row r="575" spans="1:57" ht="12.95" customHeight="1">
      <c r="A575" s="124">
        <v>15</v>
      </c>
      <c r="B575" s="124">
        <v>2940</v>
      </c>
      <c r="C575" s="99" t="s">
        <v>165</v>
      </c>
      <c r="D575" s="99" t="s">
        <v>1477</v>
      </c>
      <c r="E575" s="99" t="s">
        <v>1478</v>
      </c>
      <c r="F575" s="99" t="s">
        <v>2127</v>
      </c>
      <c r="G575" s="99" t="s">
        <v>11</v>
      </c>
      <c r="H575" s="99" t="s">
        <v>4648</v>
      </c>
      <c r="I575" s="99" t="s">
        <v>2128</v>
      </c>
      <c r="J575" s="99" t="s">
        <v>2153</v>
      </c>
      <c r="K575" s="99" t="s">
        <v>1566</v>
      </c>
      <c r="L575" s="99" t="s">
        <v>2154</v>
      </c>
      <c r="M575" s="99" t="s">
        <v>5</v>
      </c>
      <c r="N575" s="99" t="s">
        <v>3407</v>
      </c>
      <c r="O575" s="99" t="s">
        <v>114</v>
      </c>
      <c r="P575" s="99" t="s">
        <v>3422</v>
      </c>
      <c r="Q575" s="99" t="s">
        <v>169</v>
      </c>
      <c r="R575" s="99" t="s">
        <v>71</v>
      </c>
      <c r="S575" s="99" t="s">
        <v>2691</v>
      </c>
      <c r="T575" s="99" t="s">
        <v>49</v>
      </c>
      <c r="U575" s="99" t="s">
        <v>1492</v>
      </c>
      <c r="V575" s="99" t="s">
        <v>55</v>
      </c>
      <c r="W575" s="99" t="s">
        <v>4426</v>
      </c>
      <c r="X575" s="99" t="s">
        <v>4426</v>
      </c>
      <c r="Y575" s="99" t="s">
        <v>4669</v>
      </c>
      <c r="Z575" s="99" t="s">
        <v>172</v>
      </c>
      <c r="AA575" s="99" t="s">
        <v>173</v>
      </c>
      <c r="AB575" s="99" t="s">
        <v>174</v>
      </c>
      <c r="AC575" s="99" t="s">
        <v>3411</v>
      </c>
      <c r="AD575" s="99" t="s">
        <v>175</v>
      </c>
      <c r="AE575" s="99" t="s">
        <v>3411</v>
      </c>
      <c r="AF575" s="99" t="s">
        <v>3411</v>
      </c>
      <c r="AG575" s="124">
        <v>2940</v>
      </c>
      <c r="AH575" s="99" t="s">
        <v>3413</v>
      </c>
      <c r="AI575" s="125">
        <v>100</v>
      </c>
      <c r="AJ575" s="99" t="s">
        <v>176</v>
      </c>
      <c r="AK575" s="99" t="s">
        <v>4426</v>
      </c>
      <c r="AL575" s="99" t="s">
        <v>3411</v>
      </c>
      <c r="AM575" s="99" t="s">
        <v>177</v>
      </c>
      <c r="AN575" s="99" t="s">
        <v>3411</v>
      </c>
      <c r="AO575" s="99" t="s">
        <v>1009</v>
      </c>
      <c r="AP575" s="99" t="s">
        <v>2570</v>
      </c>
      <c r="AQ575" s="99" t="s">
        <v>3411</v>
      </c>
      <c r="AR575" s="99" t="s">
        <v>3411</v>
      </c>
      <c r="AS575" s="99" t="s">
        <v>2155</v>
      </c>
      <c r="AT575" s="99" t="s">
        <v>190</v>
      </c>
      <c r="AU575" s="99" t="s">
        <v>191</v>
      </c>
      <c r="AV575" s="99" t="s">
        <v>3581</v>
      </c>
      <c r="AW575" s="99" t="s">
        <v>529</v>
      </c>
      <c r="AX575" s="99" t="s">
        <v>3420</v>
      </c>
      <c r="AY575" s="99" t="s">
        <v>252</v>
      </c>
      <c r="AZ575" s="99" t="s">
        <v>3416</v>
      </c>
      <c r="BA575" s="99" t="s">
        <v>4649</v>
      </c>
      <c r="BB575" s="99" t="s">
        <v>2732</v>
      </c>
      <c r="BC575" s="125">
        <v>45</v>
      </c>
      <c r="BD575" s="99" t="s">
        <v>3135</v>
      </c>
      <c r="BE575" s="99" t="s">
        <v>3136</v>
      </c>
    </row>
    <row r="576" spans="1:57" ht="12.95" customHeight="1">
      <c r="A576" s="124">
        <v>15</v>
      </c>
      <c r="B576" s="124">
        <v>2744</v>
      </c>
      <c r="C576" s="99" t="s">
        <v>165</v>
      </c>
      <c r="D576" s="99" t="s">
        <v>1477</v>
      </c>
      <c r="E576" s="99" t="s">
        <v>1478</v>
      </c>
      <c r="F576" s="99" t="s">
        <v>2127</v>
      </c>
      <c r="G576" s="99" t="s">
        <v>11</v>
      </c>
      <c r="H576" s="99" t="s">
        <v>4648</v>
      </c>
      <c r="I576" s="99" t="s">
        <v>2128</v>
      </c>
      <c r="J576" s="99" t="s">
        <v>2060</v>
      </c>
      <c r="K576" s="99" t="s">
        <v>445</v>
      </c>
      <c r="L576" s="99" t="s">
        <v>2061</v>
      </c>
      <c r="M576" s="99" t="s">
        <v>1</v>
      </c>
      <c r="N576" s="99" t="s">
        <v>3407</v>
      </c>
      <c r="O576" s="99" t="s">
        <v>114</v>
      </c>
      <c r="P576" s="99" t="s">
        <v>3422</v>
      </c>
      <c r="Q576" s="99" t="s">
        <v>169</v>
      </c>
      <c r="R576" s="99" t="s">
        <v>71</v>
      </c>
      <c r="S576" s="99" t="s">
        <v>2691</v>
      </c>
      <c r="T576" s="99" t="s">
        <v>49</v>
      </c>
      <c r="U576" s="99" t="s">
        <v>1551</v>
      </c>
      <c r="V576" s="99" t="s">
        <v>51</v>
      </c>
      <c r="W576" s="99" t="s">
        <v>3435</v>
      </c>
      <c r="X576" s="99" t="s">
        <v>3469</v>
      </c>
      <c r="Y576" s="99" t="s">
        <v>4670</v>
      </c>
      <c r="Z576" s="99" t="s">
        <v>172</v>
      </c>
      <c r="AA576" s="99" t="s">
        <v>173</v>
      </c>
      <c r="AB576" s="99" t="s">
        <v>174</v>
      </c>
      <c r="AC576" s="99" t="s">
        <v>3411</v>
      </c>
      <c r="AD576" s="99" t="s">
        <v>175</v>
      </c>
      <c r="AE576" s="99" t="s">
        <v>3411</v>
      </c>
      <c r="AF576" s="99" t="s">
        <v>3411</v>
      </c>
      <c r="AG576" s="124">
        <v>2744</v>
      </c>
      <c r="AH576" s="99" t="s">
        <v>3413</v>
      </c>
      <c r="AI576" s="125">
        <v>100</v>
      </c>
      <c r="AJ576" s="99" t="s">
        <v>176</v>
      </c>
      <c r="AK576" s="99" t="s">
        <v>3469</v>
      </c>
      <c r="AL576" s="99" t="s">
        <v>3411</v>
      </c>
      <c r="AM576" s="99" t="s">
        <v>177</v>
      </c>
      <c r="AN576" s="99" t="s">
        <v>3411</v>
      </c>
      <c r="AO576" s="99" t="s">
        <v>1009</v>
      </c>
      <c r="AP576" s="99" t="s">
        <v>2570</v>
      </c>
      <c r="AQ576" s="99" t="s">
        <v>3411</v>
      </c>
      <c r="AR576" s="99" t="s">
        <v>3411</v>
      </c>
      <c r="AS576" s="99" t="s">
        <v>3061</v>
      </c>
      <c r="AT576" s="99" t="s">
        <v>190</v>
      </c>
      <c r="AU576" s="99" t="s">
        <v>191</v>
      </c>
      <c r="AV576" s="99" t="s">
        <v>3581</v>
      </c>
      <c r="AW576" s="99" t="s">
        <v>529</v>
      </c>
      <c r="AX576" s="99" t="s">
        <v>3420</v>
      </c>
      <c r="AY576" s="99" t="s">
        <v>252</v>
      </c>
      <c r="AZ576" s="99" t="s">
        <v>3416</v>
      </c>
      <c r="BA576" s="99" t="s">
        <v>4649</v>
      </c>
      <c r="BB576" s="99" t="s">
        <v>2732</v>
      </c>
      <c r="BC576" s="125">
        <v>53</v>
      </c>
      <c r="BD576" s="99" t="s">
        <v>3135</v>
      </c>
      <c r="BE576" s="99" t="s">
        <v>3136</v>
      </c>
    </row>
    <row r="577" spans="1:57" ht="12.95" customHeight="1">
      <c r="A577" s="124">
        <v>15</v>
      </c>
      <c r="B577" s="124">
        <v>2749</v>
      </c>
      <c r="C577" s="99" t="s">
        <v>165</v>
      </c>
      <c r="D577" s="99" t="s">
        <v>1477</v>
      </c>
      <c r="E577" s="99" t="s">
        <v>1478</v>
      </c>
      <c r="F577" s="99" t="s">
        <v>2127</v>
      </c>
      <c r="G577" s="99" t="s">
        <v>11</v>
      </c>
      <c r="H577" s="99" t="s">
        <v>4648</v>
      </c>
      <c r="I577" s="99" t="s">
        <v>2128</v>
      </c>
      <c r="J577" s="99" t="s">
        <v>2156</v>
      </c>
      <c r="K577" s="99" t="s">
        <v>348</v>
      </c>
      <c r="L577" s="99" t="s">
        <v>2157</v>
      </c>
      <c r="M577" s="99" t="s">
        <v>5</v>
      </c>
      <c r="N577" s="99" t="s">
        <v>3407</v>
      </c>
      <c r="O577" s="99" t="s">
        <v>114</v>
      </c>
      <c r="P577" s="99" t="s">
        <v>3422</v>
      </c>
      <c r="Q577" s="99" t="s">
        <v>169</v>
      </c>
      <c r="R577" s="99" t="s">
        <v>71</v>
      </c>
      <c r="S577" s="99" t="s">
        <v>2691</v>
      </c>
      <c r="T577" s="99" t="s">
        <v>49</v>
      </c>
      <c r="U577" s="99" t="s">
        <v>1492</v>
      </c>
      <c r="V577" s="99" t="s">
        <v>55</v>
      </c>
      <c r="W577" s="99" t="s">
        <v>3435</v>
      </c>
      <c r="X577" s="99" t="s">
        <v>4671</v>
      </c>
      <c r="Y577" s="99" t="s">
        <v>4672</v>
      </c>
      <c r="Z577" s="99" t="s">
        <v>172</v>
      </c>
      <c r="AA577" s="99" t="s">
        <v>173</v>
      </c>
      <c r="AB577" s="99" t="s">
        <v>174</v>
      </c>
      <c r="AC577" s="99" t="s">
        <v>3411</v>
      </c>
      <c r="AD577" s="99" t="s">
        <v>175</v>
      </c>
      <c r="AE577" s="99" t="s">
        <v>3411</v>
      </c>
      <c r="AF577" s="99" t="s">
        <v>3411</v>
      </c>
      <c r="AG577" s="124">
        <v>2749</v>
      </c>
      <c r="AH577" s="99" t="s">
        <v>3413</v>
      </c>
      <c r="AI577" s="125">
        <v>100</v>
      </c>
      <c r="AJ577" s="99" t="s">
        <v>176</v>
      </c>
      <c r="AK577" s="99" t="s">
        <v>4671</v>
      </c>
      <c r="AL577" s="99" t="s">
        <v>3411</v>
      </c>
      <c r="AM577" s="99" t="s">
        <v>177</v>
      </c>
      <c r="AN577" s="99" t="s">
        <v>3411</v>
      </c>
      <c r="AO577" s="99" t="s">
        <v>1624</v>
      </c>
      <c r="AP577" s="99" t="s">
        <v>2570</v>
      </c>
      <c r="AQ577" s="99" t="s">
        <v>3411</v>
      </c>
      <c r="AR577" s="99" t="s">
        <v>1010</v>
      </c>
      <c r="AS577" s="99" t="s">
        <v>2158</v>
      </c>
      <c r="AT577" s="99" t="s">
        <v>190</v>
      </c>
      <c r="AU577" s="99" t="s">
        <v>191</v>
      </c>
      <c r="AV577" s="99" t="s">
        <v>3581</v>
      </c>
      <c r="AW577" s="99" t="s">
        <v>529</v>
      </c>
      <c r="AX577" s="99" t="s">
        <v>3420</v>
      </c>
      <c r="AY577" s="99" t="s">
        <v>252</v>
      </c>
      <c r="AZ577" s="99" t="s">
        <v>3416</v>
      </c>
      <c r="BA577" s="99" t="s">
        <v>4649</v>
      </c>
      <c r="BB577" s="99" t="s">
        <v>2732</v>
      </c>
      <c r="BC577" s="125">
        <v>63</v>
      </c>
      <c r="BD577" s="99" t="s">
        <v>3135</v>
      </c>
      <c r="BE577" s="99" t="s">
        <v>3136</v>
      </c>
    </row>
    <row r="578" spans="1:57" ht="12.95" customHeight="1">
      <c r="A578" s="124">
        <v>15</v>
      </c>
      <c r="B578" s="124">
        <v>2164</v>
      </c>
      <c r="C578" s="99" t="s">
        <v>165</v>
      </c>
      <c r="D578" s="99" t="s">
        <v>1477</v>
      </c>
      <c r="E578" s="99" t="s">
        <v>1478</v>
      </c>
      <c r="F578" s="99" t="s">
        <v>2127</v>
      </c>
      <c r="G578" s="99" t="s">
        <v>11</v>
      </c>
      <c r="H578" s="99" t="s">
        <v>4648</v>
      </c>
      <c r="I578" s="99" t="s">
        <v>2128</v>
      </c>
      <c r="J578" s="99" t="s">
        <v>2159</v>
      </c>
      <c r="K578" s="99" t="s">
        <v>348</v>
      </c>
      <c r="L578" s="99" t="s">
        <v>2160</v>
      </c>
      <c r="M578" s="99" t="s">
        <v>5</v>
      </c>
      <c r="N578" s="99" t="s">
        <v>3407</v>
      </c>
      <c r="O578" s="99" t="s">
        <v>114</v>
      </c>
      <c r="P578" s="99" t="s">
        <v>3422</v>
      </c>
      <c r="Q578" s="99" t="s">
        <v>169</v>
      </c>
      <c r="R578" s="99" t="s">
        <v>71</v>
      </c>
      <c r="S578" s="99" t="s">
        <v>2691</v>
      </c>
      <c r="T578" s="99" t="s">
        <v>49</v>
      </c>
      <c r="U578" s="99" t="s">
        <v>1492</v>
      </c>
      <c r="V578" s="99" t="s">
        <v>55</v>
      </c>
      <c r="W578" s="99" t="s">
        <v>4673</v>
      </c>
      <c r="X578" s="99" t="s">
        <v>4673</v>
      </c>
      <c r="Y578" s="99" t="s">
        <v>4674</v>
      </c>
      <c r="Z578" s="99" t="s">
        <v>172</v>
      </c>
      <c r="AA578" s="99" t="s">
        <v>173</v>
      </c>
      <c r="AB578" s="99" t="s">
        <v>174</v>
      </c>
      <c r="AC578" s="99" t="s">
        <v>3411</v>
      </c>
      <c r="AD578" s="99" t="s">
        <v>175</v>
      </c>
      <c r="AE578" s="99" t="s">
        <v>3411</v>
      </c>
      <c r="AF578" s="99" t="s">
        <v>3411</v>
      </c>
      <c r="AG578" s="124">
        <v>506</v>
      </c>
      <c r="AH578" s="99" t="s">
        <v>3413</v>
      </c>
      <c r="AI578" s="125">
        <v>100</v>
      </c>
      <c r="AJ578" s="99" t="s">
        <v>176</v>
      </c>
      <c r="AK578" s="99" t="s">
        <v>4673</v>
      </c>
      <c r="AL578" s="99" t="s">
        <v>3411</v>
      </c>
      <c r="AM578" s="99" t="s">
        <v>177</v>
      </c>
      <c r="AN578" s="99" t="s">
        <v>3411</v>
      </c>
      <c r="AO578" s="99" t="s">
        <v>1009</v>
      </c>
      <c r="AP578" s="99" t="s">
        <v>2570</v>
      </c>
      <c r="AQ578" s="99" t="s">
        <v>3411</v>
      </c>
      <c r="AR578" s="99" t="s">
        <v>1010</v>
      </c>
      <c r="AS578" s="99" t="s">
        <v>2161</v>
      </c>
      <c r="AT578" s="99" t="s">
        <v>190</v>
      </c>
      <c r="AU578" s="99" t="s">
        <v>191</v>
      </c>
      <c r="AV578" s="99" t="s">
        <v>3581</v>
      </c>
      <c r="AW578" s="99" t="s">
        <v>529</v>
      </c>
      <c r="AX578" s="99" t="s">
        <v>3420</v>
      </c>
      <c r="AY578" s="99" t="s">
        <v>252</v>
      </c>
      <c r="AZ578" s="99" t="s">
        <v>3416</v>
      </c>
      <c r="BA578" s="99" t="s">
        <v>4649</v>
      </c>
      <c r="BB578" s="99" t="s">
        <v>2732</v>
      </c>
      <c r="BC578" s="125">
        <v>46</v>
      </c>
      <c r="BD578" s="99" t="s">
        <v>3135</v>
      </c>
      <c r="BE578" s="99" t="s">
        <v>3136</v>
      </c>
    </row>
    <row r="579" spans="1:57" ht="12.95" customHeight="1">
      <c r="A579" s="124">
        <v>15</v>
      </c>
      <c r="B579" s="124">
        <v>2147</v>
      </c>
      <c r="C579" s="99" t="s">
        <v>165</v>
      </c>
      <c r="D579" s="99" t="s">
        <v>1477</v>
      </c>
      <c r="E579" s="99" t="s">
        <v>1478</v>
      </c>
      <c r="F579" s="99" t="s">
        <v>2127</v>
      </c>
      <c r="G579" s="99" t="s">
        <v>11</v>
      </c>
      <c r="H579" s="99" t="s">
        <v>4648</v>
      </c>
      <c r="I579" s="99" t="s">
        <v>2128</v>
      </c>
      <c r="J579" s="99" t="s">
        <v>2162</v>
      </c>
      <c r="K579" s="99" t="s">
        <v>2163</v>
      </c>
      <c r="L579" s="99" t="s">
        <v>2164</v>
      </c>
      <c r="M579" s="99" t="s">
        <v>5</v>
      </c>
      <c r="N579" s="99" t="s">
        <v>3407</v>
      </c>
      <c r="O579" s="99" t="s">
        <v>114</v>
      </c>
      <c r="P579" s="99" t="s">
        <v>3422</v>
      </c>
      <c r="Q579" s="99" t="s">
        <v>169</v>
      </c>
      <c r="R579" s="99" t="s">
        <v>71</v>
      </c>
      <c r="S579" s="99" t="s">
        <v>2691</v>
      </c>
      <c r="T579" s="99" t="s">
        <v>49</v>
      </c>
      <c r="U579" s="99" t="s">
        <v>1492</v>
      </c>
      <c r="V579" s="99" t="s">
        <v>55</v>
      </c>
      <c r="W579" s="99" t="s">
        <v>4675</v>
      </c>
      <c r="X579" s="99" t="s">
        <v>4675</v>
      </c>
      <c r="Y579" s="99" t="s">
        <v>4167</v>
      </c>
      <c r="Z579" s="99" t="s">
        <v>172</v>
      </c>
      <c r="AA579" s="99" t="s">
        <v>173</v>
      </c>
      <c r="AB579" s="99" t="s">
        <v>174</v>
      </c>
      <c r="AC579" s="99" t="s">
        <v>3411</v>
      </c>
      <c r="AD579" s="99" t="s">
        <v>175</v>
      </c>
      <c r="AE579" s="99" t="s">
        <v>3411</v>
      </c>
      <c r="AF579" s="99" t="s">
        <v>3411</v>
      </c>
      <c r="AG579" s="124">
        <v>500</v>
      </c>
      <c r="AH579" s="99" t="s">
        <v>3413</v>
      </c>
      <c r="AI579" s="125">
        <v>100</v>
      </c>
      <c r="AJ579" s="99" t="s">
        <v>176</v>
      </c>
      <c r="AK579" s="99" t="s">
        <v>4675</v>
      </c>
      <c r="AL579" s="99" t="s">
        <v>3411</v>
      </c>
      <c r="AM579" s="99" t="s">
        <v>177</v>
      </c>
      <c r="AN579" s="99" t="s">
        <v>3411</v>
      </c>
      <c r="AO579" s="99" t="s">
        <v>1009</v>
      </c>
      <c r="AP579" s="99" t="s">
        <v>2570</v>
      </c>
      <c r="AQ579" s="99" t="s">
        <v>3411</v>
      </c>
      <c r="AR579" s="99" t="s">
        <v>3411</v>
      </c>
      <c r="AS579" s="99" t="s">
        <v>2165</v>
      </c>
      <c r="AT579" s="99" t="s">
        <v>190</v>
      </c>
      <c r="AU579" s="99" t="s">
        <v>191</v>
      </c>
      <c r="AV579" s="99" t="s">
        <v>3581</v>
      </c>
      <c r="AW579" s="99" t="s">
        <v>529</v>
      </c>
      <c r="AX579" s="99" t="s">
        <v>3420</v>
      </c>
      <c r="AY579" s="99" t="s">
        <v>252</v>
      </c>
      <c r="AZ579" s="99" t="s">
        <v>3416</v>
      </c>
      <c r="BA579" s="99" t="s">
        <v>4649</v>
      </c>
      <c r="BB579" s="99" t="s">
        <v>2732</v>
      </c>
      <c r="BC579" s="125">
        <v>59</v>
      </c>
      <c r="BD579" s="99" t="s">
        <v>3135</v>
      </c>
      <c r="BE579" s="99" t="s">
        <v>3136</v>
      </c>
    </row>
    <row r="580" spans="1:57" ht="12.95" customHeight="1">
      <c r="A580" s="124">
        <v>15</v>
      </c>
      <c r="B580" s="124">
        <v>1688</v>
      </c>
      <c r="C580" s="99" t="s">
        <v>165</v>
      </c>
      <c r="D580" s="99" t="s">
        <v>1477</v>
      </c>
      <c r="E580" s="99" t="s">
        <v>1478</v>
      </c>
      <c r="F580" s="99" t="s">
        <v>2127</v>
      </c>
      <c r="G580" s="99" t="s">
        <v>11</v>
      </c>
      <c r="H580" s="99" t="s">
        <v>4648</v>
      </c>
      <c r="I580" s="99" t="s">
        <v>2128</v>
      </c>
      <c r="J580" s="99" t="s">
        <v>2166</v>
      </c>
      <c r="K580" s="99" t="s">
        <v>203</v>
      </c>
      <c r="L580" s="99" t="s">
        <v>2167</v>
      </c>
      <c r="M580" s="99" t="s">
        <v>5</v>
      </c>
      <c r="N580" s="99" t="s">
        <v>3407</v>
      </c>
      <c r="O580" s="99" t="s">
        <v>114</v>
      </c>
      <c r="P580" s="99" t="s">
        <v>3422</v>
      </c>
      <c r="Q580" s="99" t="s">
        <v>169</v>
      </c>
      <c r="R580" s="99" t="s">
        <v>71</v>
      </c>
      <c r="S580" s="99" t="s">
        <v>2691</v>
      </c>
      <c r="T580" s="99" t="s">
        <v>49</v>
      </c>
      <c r="U580" s="99" t="s">
        <v>1008</v>
      </c>
      <c r="V580" s="99" t="s">
        <v>53</v>
      </c>
      <c r="W580" s="99" t="s">
        <v>3751</v>
      </c>
      <c r="X580" s="99" t="s">
        <v>3751</v>
      </c>
      <c r="Y580" s="99" t="s">
        <v>4676</v>
      </c>
      <c r="Z580" s="99" t="s">
        <v>172</v>
      </c>
      <c r="AA580" s="99" t="s">
        <v>173</v>
      </c>
      <c r="AB580" s="99" t="s">
        <v>174</v>
      </c>
      <c r="AC580" s="99" t="s">
        <v>3411</v>
      </c>
      <c r="AD580" s="99" t="s">
        <v>175</v>
      </c>
      <c r="AE580" s="99" t="s">
        <v>3411</v>
      </c>
      <c r="AF580" s="99" t="s">
        <v>3411</v>
      </c>
      <c r="AG580" s="124">
        <v>327</v>
      </c>
      <c r="AH580" s="99" t="s">
        <v>3413</v>
      </c>
      <c r="AI580" s="125">
        <v>100</v>
      </c>
      <c r="AJ580" s="99" t="s">
        <v>176</v>
      </c>
      <c r="AK580" s="99" t="s">
        <v>3751</v>
      </c>
      <c r="AL580" s="99" t="s">
        <v>3411</v>
      </c>
      <c r="AM580" s="99" t="s">
        <v>177</v>
      </c>
      <c r="AN580" s="99" t="s">
        <v>3411</v>
      </c>
      <c r="AO580" s="99" t="s">
        <v>1009</v>
      </c>
      <c r="AP580" s="99" t="s">
        <v>2570</v>
      </c>
      <c r="AQ580" s="99" t="s">
        <v>3411</v>
      </c>
      <c r="AR580" s="99" t="s">
        <v>1010</v>
      </c>
      <c r="AS580" s="99" t="s">
        <v>2168</v>
      </c>
      <c r="AT580" s="99" t="s">
        <v>190</v>
      </c>
      <c r="AU580" s="99" t="s">
        <v>191</v>
      </c>
      <c r="AV580" s="99" t="s">
        <v>3928</v>
      </c>
      <c r="AW580" s="99" t="s">
        <v>519</v>
      </c>
      <c r="AX580" s="99" t="s">
        <v>3420</v>
      </c>
      <c r="AY580" s="99" t="s">
        <v>252</v>
      </c>
      <c r="AZ580" s="99" t="s">
        <v>3416</v>
      </c>
      <c r="BA580" s="99" t="s">
        <v>4649</v>
      </c>
      <c r="BB580" s="99" t="s">
        <v>2732</v>
      </c>
      <c r="BC580" s="125">
        <v>58</v>
      </c>
      <c r="BD580" s="99" t="s">
        <v>3135</v>
      </c>
      <c r="BE580" s="99" t="s">
        <v>3136</v>
      </c>
    </row>
    <row r="581" spans="1:57" ht="12.95" customHeight="1">
      <c r="A581" s="124">
        <v>15</v>
      </c>
      <c r="B581" s="124">
        <v>3093</v>
      </c>
      <c r="C581" s="99" t="s">
        <v>165</v>
      </c>
      <c r="D581" s="99" t="s">
        <v>1477</v>
      </c>
      <c r="E581" s="99" t="s">
        <v>1478</v>
      </c>
      <c r="F581" s="99" t="s">
        <v>2127</v>
      </c>
      <c r="G581" s="99" t="s">
        <v>11</v>
      </c>
      <c r="H581" s="99" t="s">
        <v>4648</v>
      </c>
      <c r="I581" s="99" t="s">
        <v>2128</v>
      </c>
      <c r="J581" s="99" t="s">
        <v>2974</v>
      </c>
      <c r="K581" s="99" t="s">
        <v>2459</v>
      </c>
      <c r="L581" s="99" t="s">
        <v>2975</v>
      </c>
      <c r="M581" s="99" t="s">
        <v>1</v>
      </c>
      <c r="N581" s="99" t="s">
        <v>3407</v>
      </c>
      <c r="O581" s="99" t="s">
        <v>114</v>
      </c>
      <c r="P581" s="99" t="s">
        <v>4651</v>
      </c>
      <c r="Q581" s="99" t="s">
        <v>169</v>
      </c>
      <c r="R581" s="99" t="s">
        <v>71</v>
      </c>
      <c r="S581" s="99" t="s">
        <v>2691</v>
      </c>
      <c r="T581" s="99" t="s">
        <v>49</v>
      </c>
      <c r="U581" s="99" t="s">
        <v>1492</v>
      </c>
      <c r="V581" s="99" t="s">
        <v>55</v>
      </c>
      <c r="W581" s="99" t="s">
        <v>4651</v>
      </c>
      <c r="X581" s="99" t="s">
        <v>4651</v>
      </c>
      <c r="Y581" s="99" t="s">
        <v>4677</v>
      </c>
      <c r="Z581" s="99" t="s">
        <v>172</v>
      </c>
      <c r="AA581" s="99" t="s">
        <v>173</v>
      </c>
      <c r="AB581" s="99" t="s">
        <v>174</v>
      </c>
      <c r="AC581" s="99" t="s">
        <v>3411</v>
      </c>
      <c r="AD581" s="99" t="s">
        <v>175</v>
      </c>
      <c r="AE581" s="99" t="s">
        <v>3411</v>
      </c>
      <c r="AF581" s="99" t="s">
        <v>3411</v>
      </c>
      <c r="AG581" s="124">
        <v>3093</v>
      </c>
      <c r="AH581" s="99" t="s">
        <v>3413</v>
      </c>
      <c r="AI581" s="125">
        <v>100</v>
      </c>
      <c r="AJ581" s="99" t="s">
        <v>176</v>
      </c>
      <c r="AK581" s="99" t="s">
        <v>4651</v>
      </c>
      <c r="AL581" s="99" t="s">
        <v>3411</v>
      </c>
      <c r="AM581" s="99" t="s">
        <v>177</v>
      </c>
      <c r="AN581" s="99" t="s">
        <v>3411</v>
      </c>
      <c r="AO581" s="99" t="s">
        <v>1009</v>
      </c>
      <c r="AP581" s="99" t="s">
        <v>2570</v>
      </c>
      <c r="AQ581" s="99" t="s">
        <v>3411</v>
      </c>
      <c r="AR581" s="99" t="s">
        <v>3411</v>
      </c>
      <c r="AS581" s="99" t="s">
        <v>2976</v>
      </c>
      <c r="AT581" s="99" t="s">
        <v>190</v>
      </c>
      <c r="AU581" s="99" t="s">
        <v>191</v>
      </c>
      <c r="AV581" s="99" t="s">
        <v>3581</v>
      </c>
      <c r="AW581" s="99" t="s">
        <v>529</v>
      </c>
      <c r="AX581" s="99" t="s">
        <v>3420</v>
      </c>
      <c r="AY581" s="99" t="s">
        <v>252</v>
      </c>
      <c r="AZ581" s="99" t="s">
        <v>3416</v>
      </c>
      <c r="BA581" s="99" t="s">
        <v>4649</v>
      </c>
      <c r="BB581" s="99" t="s">
        <v>2732</v>
      </c>
      <c r="BC581" s="125">
        <v>32</v>
      </c>
      <c r="BD581" s="99" t="s">
        <v>3135</v>
      </c>
      <c r="BE581" s="99" t="s">
        <v>3136</v>
      </c>
    </row>
    <row r="582" spans="1:57" ht="12.95" customHeight="1">
      <c r="A582" s="124">
        <v>15</v>
      </c>
      <c r="B582" s="124">
        <v>759</v>
      </c>
      <c r="C582" s="99" t="s">
        <v>165</v>
      </c>
      <c r="D582" s="99" t="s">
        <v>1477</v>
      </c>
      <c r="E582" s="99" t="s">
        <v>1478</v>
      </c>
      <c r="F582" s="99" t="s">
        <v>2127</v>
      </c>
      <c r="G582" s="99" t="s">
        <v>11</v>
      </c>
      <c r="H582" s="99" t="s">
        <v>4648</v>
      </c>
      <c r="I582" s="99" t="s">
        <v>2128</v>
      </c>
      <c r="J582" s="99" t="s">
        <v>2169</v>
      </c>
      <c r="K582" s="99" t="s">
        <v>1413</v>
      </c>
      <c r="L582" s="99" t="s">
        <v>2170</v>
      </c>
      <c r="M582" s="99" t="s">
        <v>1</v>
      </c>
      <c r="N582" s="99" t="s">
        <v>3407</v>
      </c>
      <c r="O582" s="99" t="s">
        <v>114</v>
      </c>
      <c r="P582" s="99" t="s">
        <v>3422</v>
      </c>
      <c r="Q582" s="99" t="s">
        <v>169</v>
      </c>
      <c r="R582" s="99" t="s">
        <v>71</v>
      </c>
      <c r="S582" s="99" t="s">
        <v>2691</v>
      </c>
      <c r="T582" s="99" t="s">
        <v>49</v>
      </c>
      <c r="U582" s="99" t="s">
        <v>1551</v>
      </c>
      <c r="V582" s="99" t="s">
        <v>51</v>
      </c>
      <c r="W582" s="99" t="s">
        <v>4678</v>
      </c>
      <c r="X582" s="99" t="s">
        <v>3664</v>
      </c>
      <c r="Y582" s="99" t="s">
        <v>4679</v>
      </c>
      <c r="Z582" s="99" t="s">
        <v>172</v>
      </c>
      <c r="AA582" s="99" t="s">
        <v>173</v>
      </c>
      <c r="AB582" s="99" t="s">
        <v>174</v>
      </c>
      <c r="AC582" s="99" t="s">
        <v>3411</v>
      </c>
      <c r="AD582" s="99" t="s">
        <v>175</v>
      </c>
      <c r="AE582" s="99" t="s">
        <v>3411</v>
      </c>
      <c r="AF582" s="99" t="s">
        <v>3411</v>
      </c>
      <c r="AG582" s="124">
        <v>192</v>
      </c>
      <c r="AH582" s="99" t="s">
        <v>3413</v>
      </c>
      <c r="AI582" s="125">
        <v>100</v>
      </c>
      <c r="AJ582" s="99" t="s">
        <v>176</v>
      </c>
      <c r="AK582" s="99" t="s">
        <v>4678</v>
      </c>
      <c r="AL582" s="99" t="s">
        <v>3411</v>
      </c>
      <c r="AM582" s="99" t="s">
        <v>177</v>
      </c>
      <c r="AN582" s="99" t="s">
        <v>3411</v>
      </c>
      <c r="AO582" s="99" t="s">
        <v>1009</v>
      </c>
      <c r="AP582" s="99" t="s">
        <v>2570</v>
      </c>
      <c r="AQ582" s="99" t="s">
        <v>3411</v>
      </c>
      <c r="AR582" s="99" t="s">
        <v>1010</v>
      </c>
      <c r="AS582" s="99" t="s">
        <v>2171</v>
      </c>
      <c r="AT582" s="99" t="s">
        <v>190</v>
      </c>
      <c r="AU582" s="99" t="s">
        <v>191</v>
      </c>
      <c r="AV582" s="99" t="s">
        <v>3928</v>
      </c>
      <c r="AW582" s="99" t="s">
        <v>519</v>
      </c>
      <c r="AX582" s="99" t="s">
        <v>3420</v>
      </c>
      <c r="AY582" s="99" t="s">
        <v>252</v>
      </c>
      <c r="AZ582" s="99" t="s">
        <v>3416</v>
      </c>
      <c r="BA582" s="99" t="s">
        <v>4521</v>
      </c>
      <c r="BB582" s="99" t="s">
        <v>3411</v>
      </c>
      <c r="BC582" s="125">
        <v>58</v>
      </c>
      <c r="BD582" s="99" t="s">
        <v>3135</v>
      </c>
      <c r="BE582" s="99" t="s">
        <v>3136</v>
      </c>
    </row>
    <row r="583" spans="1:57" ht="12.95" customHeight="1">
      <c r="A583" s="124">
        <v>15</v>
      </c>
      <c r="B583" s="124">
        <v>3156</v>
      </c>
      <c r="C583" s="99" t="s">
        <v>165</v>
      </c>
      <c r="D583" s="99" t="s">
        <v>1477</v>
      </c>
      <c r="E583" s="99" t="s">
        <v>1478</v>
      </c>
      <c r="F583" s="99" t="s">
        <v>2127</v>
      </c>
      <c r="G583" s="99" t="s">
        <v>11</v>
      </c>
      <c r="H583" s="99" t="s">
        <v>4648</v>
      </c>
      <c r="I583" s="99" t="s">
        <v>2128</v>
      </c>
      <c r="J583" s="99" t="s">
        <v>3256</v>
      </c>
      <c r="K583" s="99" t="s">
        <v>564</v>
      </c>
      <c r="L583" s="99" t="s">
        <v>3257</v>
      </c>
      <c r="M583" s="99" t="s">
        <v>5</v>
      </c>
      <c r="N583" s="99" t="s">
        <v>3407</v>
      </c>
      <c r="O583" s="99" t="s">
        <v>114</v>
      </c>
      <c r="P583" s="99" t="s">
        <v>4680</v>
      </c>
      <c r="Q583" s="99" t="s">
        <v>169</v>
      </c>
      <c r="R583" s="99" t="s">
        <v>71</v>
      </c>
      <c r="S583" s="99" t="s">
        <v>2691</v>
      </c>
      <c r="T583" s="99" t="s">
        <v>49</v>
      </c>
      <c r="U583" s="99" t="s">
        <v>2968</v>
      </c>
      <c r="V583" s="99" t="s">
        <v>2969</v>
      </c>
      <c r="W583" s="99" t="s">
        <v>4680</v>
      </c>
      <c r="X583" s="99" t="s">
        <v>4680</v>
      </c>
      <c r="Y583" s="99" t="s">
        <v>4681</v>
      </c>
      <c r="Z583" s="99" t="s">
        <v>172</v>
      </c>
      <c r="AA583" s="99" t="s">
        <v>173</v>
      </c>
      <c r="AB583" s="99" t="s">
        <v>174</v>
      </c>
      <c r="AC583" s="99" t="s">
        <v>3411</v>
      </c>
      <c r="AD583" s="99" t="s">
        <v>175</v>
      </c>
      <c r="AE583" s="99" t="s">
        <v>3411</v>
      </c>
      <c r="AF583" s="99" t="s">
        <v>3411</v>
      </c>
      <c r="AG583" s="124">
        <v>3156</v>
      </c>
      <c r="AH583" s="99" t="s">
        <v>3413</v>
      </c>
      <c r="AI583" s="125">
        <v>100</v>
      </c>
      <c r="AJ583" s="99" t="s">
        <v>176</v>
      </c>
      <c r="AK583" s="99" t="s">
        <v>4680</v>
      </c>
      <c r="AL583" s="99" t="s">
        <v>3411</v>
      </c>
      <c r="AM583" s="99" t="s">
        <v>177</v>
      </c>
      <c r="AN583" s="99" t="s">
        <v>3411</v>
      </c>
      <c r="AO583" s="99" t="s">
        <v>1009</v>
      </c>
      <c r="AP583" s="99" t="s">
        <v>2570</v>
      </c>
      <c r="AQ583" s="99" t="s">
        <v>3411</v>
      </c>
      <c r="AR583" s="99" t="s">
        <v>3411</v>
      </c>
      <c r="AS583" s="99" t="s">
        <v>3319</v>
      </c>
      <c r="AT583" s="99" t="s">
        <v>190</v>
      </c>
      <c r="AU583" s="99" t="s">
        <v>191</v>
      </c>
      <c r="AV583" s="99" t="s">
        <v>3581</v>
      </c>
      <c r="AW583" s="99" t="s">
        <v>529</v>
      </c>
      <c r="AX583" s="99" t="s">
        <v>4298</v>
      </c>
      <c r="AY583" s="99" t="s">
        <v>252</v>
      </c>
      <c r="AZ583" s="99" t="s">
        <v>3416</v>
      </c>
      <c r="BA583" s="99" t="s">
        <v>4649</v>
      </c>
      <c r="BB583" s="99" t="s">
        <v>2732</v>
      </c>
      <c r="BC583" s="125">
        <v>32</v>
      </c>
      <c r="BD583" s="99" t="s">
        <v>3135</v>
      </c>
      <c r="BE583" s="99" t="s">
        <v>3136</v>
      </c>
    </row>
    <row r="584" spans="1:57" ht="12.95" customHeight="1">
      <c r="A584" s="124">
        <v>15</v>
      </c>
      <c r="B584" s="124">
        <v>1795</v>
      </c>
      <c r="C584" s="99" t="s">
        <v>165</v>
      </c>
      <c r="D584" s="99" t="s">
        <v>1477</v>
      </c>
      <c r="E584" s="99" t="s">
        <v>1478</v>
      </c>
      <c r="F584" s="99" t="s">
        <v>2127</v>
      </c>
      <c r="G584" s="99" t="s">
        <v>11</v>
      </c>
      <c r="H584" s="99" t="s">
        <v>4682</v>
      </c>
      <c r="I584" s="99" t="s">
        <v>2172</v>
      </c>
      <c r="J584" s="99" t="s">
        <v>2173</v>
      </c>
      <c r="K584" s="99" t="s">
        <v>476</v>
      </c>
      <c r="L584" s="99" t="s">
        <v>2174</v>
      </c>
      <c r="M584" s="99" t="s">
        <v>5</v>
      </c>
      <c r="N584" s="99" t="s">
        <v>3454</v>
      </c>
      <c r="O584" s="99" t="s">
        <v>70</v>
      </c>
      <c r="P584" s="99" t="s">
        <v>3455</v>
      </c>
      <c r="Q584" s="99" t="s">
        <v>247</v>
      </c>
      <c r="R584" s="99" t="s">
        <v>71</v>
      </c>
      <c r="S584" s="99" t="s">
        <v>2691</v>
      </c>
      <c r="T584" s="99" t="s">
        <v>49</v>
      </c>
      <c r="U584" s="99" t="s">
        <v>1492</v>
      </c>
      <c r="V584" s="99" t="s">
        <v>55</v>
      </c>
      <c r="W584" s="99" t="s">
        <v>4683</v>
      </c>
      <c r="X584" s="99" t="s">
        <v>4683</v>
      </c>
      <c r="Y584" s="99" t="s">
        <v>4684</v>
      </c>
      <c r="Z584" s="99" t="s">
        <v>172</v>
      </c>
      <c r="AA584" s="99" t="s">
        <v>173</v>
      </c>
      <c r="AB584" s="99" t="s">
        <v>174</v>
      </c>
      <c r="AC584" s="99" t="s">
        <v>3411</v>
      </c>
      <c r="AD584" s="99" t="s">
        <v>175</v>
      </c>
      <c r="AE584" s="99" t="s">
        <v>3411</v>
      </c>
      <c r="AF584" s="99" t="s">
        <v>3411</v>
      </c>
      <c r="AG584" s="124">
        <v>355</v>
      </c>
      <c r="AH584" s="99" t="s">
        <v>3413</v>
      </c>
      <c r="AI584" s="125">
        <v>100</v>
      </c>
      <c r="AJ584" s="99" t="s">
        <v>176</v>
      </c>
      <c r="AK584" s="99" t="s">
        <v>4683</v>
      </c>
      <c r="AL584" s="99" t="s">
        <v>3411</v>
      </c>
      <c r="AM584" s="99" t="s">
        <v>177</v>
      </c>
      <c r="AN584" s="99" t="s">
        <v>3411</v>
      </c>
      <c r="AO584" s="99" t="s">
        <v>1009</v>
      </c>
      <c r="AP584" s="99" t="s">
        <v>2570</v>
      </c>
      <c r="AQ584" s="99" t="s">
        <v>3411</v>
      </c>
      <c r="AR584" s="99" t="s">
        <v>1010</v>
      </c>
      <c r="AS584" s="99" t="s">
        <v>2175</v>
      </c>
      <c r="AT584" s="99" t="s">
        <v>190</v>
      </c>
      <c r="AU584" s="99" t="s">
        <v>191</v>
      </c>
      <c r="AV584" s="99" t="s">
        <v>3581</v>
      </c>
      <c r="AW584" s="99" t="s">
        <v>529</v>
      </c>
      <c r="AX584" s="99" t="s">
        <v>3420</v>
      </c>
      <c r="AY584" s="99" t="s">
        <v>252</v>
      </c>
      <c r="AZ584" s="99" t="s">
        <v>3416</v>
      </c>
      <c r="BA584" s="99" t="s">
        <v>4685</v>
      </c>
      <c r="BB584" s="99" t="s">
        <v>2949</v>
      </c>
      <c r="BC584" s="125">
        <v>64</v>
      </c>
      <c r="BD584" s="99" t="s">
        <v>3135</v>
      </c>
      <c r="BE584" s="99" t="s">
        <v>3136</v>
      </c>
    </row>
    <row r="585" spans="1:57" ht="12.95" customHeight="1">
      <c r="A585" s="124">
        <v>15</v>
      </c>
      <c r="B585" s="124">
        <v>1899</v>
      </c>
      <c r="C585" s="99" t="s">
        <v>165</v>
      </c>
      <c r="D585" s="99" t="s">
        <v>1477</v>
      </c>
      <c r="E585" s="99" t="s">
        <v>1478</v>
      </c>
      <c r="F585" s="99" t="s">
        <v>2127</v>
      </c>
      <c r="G585" s="99" t="s">
        <v>11</v>
      </c>
      <c r="H585" s="99" t="s">
        <v>4682</v>
      </c>
      <c r="I585" s="99" t="s">
        <v>2172</v>
      </c>
      <c r="J585" s="99" t="s">
        <v>2176</v>
      </c>
      <c r="K585" s="99" t="s">
        <v>402</v>
      </c>
      <c r="L585" s="99" t="s">
        <v>2177</v>
      </c>
      <c r="M585" s="99" t="s">
        <v>1</v>
      </c>
      <c r="N585" s="99" t="s">
        <v>3454</v>
      </c>
      <c r="O585" s="99" t="s">
        <v>70</v>
      </c>
      <c r="P585" s="99" t="s">
        <v>3455</v>
      </c>
      <c r="Q585" s="99" t="s">
        <v>247</v>
      </c>
      <c r="R585" s="99" t="s">
        <v>71</v>
      </c>
      <c r="S585" s="99" t="s">
        <v>2691</v>
      </c>
      <c r="T585" s="99" t="s">
        <v>49</v>
      </c>
      <c r="U585" s="99" t="s">
        <v>1492</v>
      </c>
      <c r="V585" s="99" t="s">
        <v>55</v>
      </c>
      <c r="W585" s="99" t="s">
        <v>4686</v>
      </c>
      <c r="X585" s="99" t="s">
        <v>4686</v>
      </c>
      <c r="Y585" s="99" t="s">
        <v>4687</v>
      </c>
      <c r="Z585" s="99" t="s">
        <v>172</v>
      </c>
      <c r="AA585" s="99" t="s">
        <v>173</v>
      </c>
      <c r="AB585" s="99" t="s">
        <v>174</v>
      </c>
      <c r="AC585" s="99" t="s">
        <v>3411</v>
      </c>
      <c r="AD585" s="99" t="s">
        <v>175</v>
      </c>
      <c r="AE585" s="99" t="s">
        <v>3411</v>
      </c>
      <c r="AF585" s="99" t="s">
        <v>3411</v>
      </c>
      <c r="AG585" s="124">
        <v>367</v>
      </c>
      <c r="AH585" s="99" t="s">
        <v>3413</v>
      </c>
      <c r="AI585" s="125">
        <v>100</v>
      </c>
      <c r="AJ585" s="99" t="s">
        <v>176</v>
      </c>
      <c r="AK585" s="99" t="s">
        <v>4492</v>
      </c>
      <c r="AL585" s="99" t="s">
        <v>3411</v>
      </c>
      <c r="AM585" s="99" t="s">
        <v>177</v>
      </c>
      <c r="AN585" s="99" t="s">
        <v>3411</v>
      </c>
      <c r="AO585" s="99" t="s">
        <v>1009</v>
      </c>
      <c r="AP585" s="99" t="s">
        <v>2570</v>
      </c>
      <c r="AQ585" s="99" t="s">
        <v>3411</v>
      </c>
      <c r="AR585" s="99" t="s">
        <v>3411</v>
      </c>
      <c r="AS585" s="99" t="s">
        <v>2178</v>
      </c>
      <c r="AT585" s="99" t="s">
        <v>190</v>
      </c>
      <c r="AU585" s="99" t="s">
        <v>191</v>
      </c>
      <c r="AV585" s="99" t="s">
        <v>3581</v>
      </c>
      <c r="AW585" s="99" t="s">
        <v>529</v>
      </c>
      <c r="AX585" s="99" t="s">
        <v>3420</v>
      </c>
      <c r="AY585" s="99" t="s">
        <v>252</v>
      </c>
      <c r="AZ585" s="99" t="s">
        <v>3416</v>
      </c>
      <c r="BA585" s="99" t="s">
        <v>4685</v>
      </c>
      <c r="BB585" s="99" t="s">
        <v>2949</v>
      </c>
      <c r="BC585" s="125">
        <v>53</v>
      </c>
      <c r="BD585" s="99" t="s">
        <v>3135</v>
      </c>
      <c r="BE585" s="99" t="s">
        <v>3136</v>
      </c>
    </row>
    <row r="586" spans="1:57" ht="12.95" customHeight="1">
      <c r="A586" s="124">
        <v>15</v>
      </c>
      <c r="B586" s="124">
        <v>1865</v>
      </c>
      <c r="C586" s="99" t="s">
        <v>165</v>
      </c>
      <c r="D586" s="99" t="s">
        <v>1477</v>
      </c>
      <c r="E586" s="99" t="s">
        <v>1478</v>
      </c>
      <c r="F586" s="99" t="s">
        <v>2127</v>
      </c>
      <c r="G586" s="99" t="s">
        <v>11</v>
      </c>
      <c r="H586" s="99" t="s">
        <v>4682</v>
      </c>
      <c r="I586" s="99" t="s">
        <v>2172</v>
      </c>
      <c r="J586" s="99" t="s">
        <v>2179</v>
      </c>
      <c r="K586" s="99" t="s">
        <v>967</v>
      </c>
      <c r="L586" s="99" t="s">
        <v>2180</v>
      </c>
      <c r="M586" s="99" t="s">
        <v>1</v>
      </c>
      <c r="N586" s="99" t="s">
        <v>3454</v>
      </c>
      <c r="O586" s="99" t="s">
        <v>70</v>
      </c>
      <c r="P586" s="99" t="s">
        <v>3455</v>
      </c>
      <c r="Q586" s="99" t="s">
        <v>247</v>
      </c>
      <c r="R586" s="99" t="s">
        <v>71</v>
      </c>
      <c r="S586" s="99" t="s">
        <v>2691</v>
      </c>
      <c r="T586" s="99" t="s">
        <v>49</v>
      </c>
      <c r="U586" s="99" t="s">
        <v>1511</v>
      </c>
      <c r="V586" s="99" t="s">
        <v>54</v>
      </c>
      <c r="W586" s="99" t="s">
        <v>4688</v>
      </c>
      <c r="X586" s="99" t="s">
        <v>4688</v>
      </c>
      <c r="Y586" s="99" t="s">
        <v>4689</v>
      </c>
      <c r="Z586" s="99" t="s">
        <v>172</v>
      </c>
      <c r="AA586" s="99" t="s">
        <v>173</v>
      </c>
      <c r="AB586" s="99" t="s">
        <v>174</v>
      </c>
      <c r="AC586" s="99" t="s">
        <v>3411</v>
      </c>
      <c r="AD586" s="99" t="s">
        <v>175</v>
      </c>
      <c r="AE586" s="99" t="s">
        <v>3411</v>
      </c>
      <c r="AF586" s="99" t="s">
        <v>3411</v>
      </c>
      <c r="AG586" s="124">
        <v>360</v>
      </c>
      <c r="AH586" s="99" t="s">
        <v>3413</v>
      </c>
      <c r="AI586" s="125">
        <v>100</v>
      </c>
      <c r="AJ586" s="99" t="s">
        <v>176</v>
      </c>
      <c r="AK586" s="99" t="s">
        <v>4688</v>
      </c>
      <c r="AL586" s="99" t="s">
        <v>3411</v>
      </c>
      <c r="AM586" s="99" t="s">
        <v>177</v>
      </c>
      <c r="AN586" s="99" t="s">
        <v>3411</v>
      </c>
      <c r="AO586" s="99" t="s">
        <v>1009</v>
      </c>
      <c r="AP586" s="99" t="s">
        <v>2570</v>
      </c>
      <c r="AQ586" s="99" t="s">
        <v>3411</v>
      </c>
      <c r="AR586" s="99" t="s">
        <v>1010</v>
      </c>
      <c r="AS586" s="99" t="s">
        <v>2181</v>
      </c>
      <c r="AT586" s="99" t="s">
        <v>190</v>
      </c>
      <c r="AU586" s="99" t="s">
        <v>191</v>
      </c>
      <c r="AV586" s="99" t="s">
        <v>3581</v>
      </c>
      <c r="AW586" s="99" t="s">
        <v>529</v>
      </c>
      <c r="AX586" s="99" t="s">
        <v>3420</v>
      </c>
      <c r="AY586" s="99" t="s">
        <v>252</v>
      </c>
      <c r="AZ586" s="99" t="s">
        <v>3416</v>
      </c>
      <c r="BA586" s="99" t="s">
        <v>4685</v>
      </c>
      <c r="BB586" s="99" t="s">
        <v>2949</v>
      </c>
      <c r="BC586" s="125">
        <v>56</v>
      </c>
      <c r="BD586" s="99" t="s">
        <v>3135</v>
      </c>
      <c r="BE586" s="99" t="s">
        <v>3136</v>
      </c>
    </row>
    <row r="587" spans="1:57" ht="12.95" customHeight="1">
      <c r="A587" s="124">
        <v>15</v>
      </c>
      <c r="B587" s="124">
        <v>2143</v>
      </c>
      <c r="C587" s="99" t="s">
        <v>165</v>
      </c>
      <c r="D587" s="99" t="s">
        <v>1477</v>
      </c>
      <c r="E587" s="99" t="s">
        <v>1478</v>
      </c>
      <c r="F587" s="99" t="s">
        <v>2127</v>
      </c>
      <c r="G587" s="99" t="s">
        <v>11</v>
      </c>
      <c r="H587" s="99" t="s">
        <v>4682</v>
      </c>
      <c r="I587" s="99" t="s">
        <v>2172</v>
      </c>
      <c r="J587" s="99" t="s">
        <v>715</v>
      </c>
      <c r="K587" s="99" t="s">
        <v>1846</v>
      </c>
      <c r="L587" s="99" t="s">
        <v>2135</v>
      </c>
      <c r="M587" s="99" t="s">
        <v>1</v>
      </c>
      <c r="N587" s="99" t="s">
        <v>3454</v>
      </c>
      <c r="O587" s="99" t="s">
        <v>70</v>
      </c>
      <c r="P587" s="99" t="s">
        <v>4690</v>
      </c>
      <c r="Q587" s="99" t="s">
        <v>247</v>
      </c>
      <c r="R587" s="99" t="s">
        <v>71</v>
      </c>
      <c r="S587" s="99" t="s">
        <v>2691</v>
      </c>
      <c r="T587" s="99" t="s">
        <v>49</v>
      </c>
      <c r="U587" s="99" t="s">
        <v>1492</v>
      </c>
      <c r="V587" s="99" t="s">
        <v>55</v>
      </c>
      <c r="W587" s="99" t="s">
        <v>4429</v>
      </c>
      <c r="X587" s="99" t="s">
        <v>4429</v>
      </c>
      <c r="Y587" s="99" t="s">
        <v>4691</v>
      </c>
      <c r="Z587" s="99" t="s">
        <v>172</v>
      </c>
      <c r="AA587" s="99" t="s">
        <v>173</v>
      </c>
      <c r="AB587" s="99" t="s">
        <v>174</v>
      </c>
      <c r="AC587" s="99" t="s">
        <v>3411</v>
      </c>
      <c r="AD587" s="99" t="s">
        <v>175</v>
      </c>
      <c r="AE587" s="99" t="s">
        <v>3411</v>
      </c>
      <c r="AF587" s="99" t="s">
        <v>3411</v>
      </c>
      <c r="AG587" s="124">
        <v>499</v>
      </c>
      <c r="AH587" s="99" t="s">
        <v>3413</v>
      </c>
      <c r="AI587" s="125">
        <v>100</v>
      </c>
      <c r="AJ587" s="99" t="s">
        <v>176</v>
      </c>
      <c r="AK587" s="99" t="s">
        <v>4429</v>
      </c>
      <c r="AL587" s="99" t="s">
        <v>3411</v>
      </c>
      <c r="AM587" s="99" t="s">
        <v>177</v>
      </c>
      <c r="AN587" s="99" t="s">
        <v>3411</v>
      </c>
      <c r="AO587" s="99" t="s">
        <v>1009</v>
      </c>
      <c r="AP587" s="99" t="s">
        <v>2570</v>
      </c>
      <c r="AQ587" s="99" t="s">
        <v>3411</v>
      </c>
      <c r="AR587" s="99" t="s">
        <v>3411</v>
      </c>
      <c r="AS587" s="99" t="s">
        <v>2136</v>
      </c>
      <c r="AT587" s="99" t="s">
        <v>190</v>
      </c>
      <c r="AU587" s="99" t="s">
        <v>191</v>
      </c>
      <c r="AV587" s="99" t="s">
        <v>3581</v>
      </c>
      <c r="AW587" s="99" t="s">
        <v>529</v>
      </c>
      <c r="AX587" s="99" t="s">
        <v>3420</v>
      </c>
      <c r="AY587" s="99" t="s">
        <v>252</v>
      </c>
      <c r="AZ587" s="99" t="s">
        <v>3416</v>
      </c>
      <c r="BA587" s="99" t="s">
        <v>4649</v>
      </c>
      <c r="BB587" s="99" t="s">
        <v>2732</v>
      </c>
      <c r="BC587" s="125">
        <v>47</v>
      </c>
      <c r="BD587" s="99" t="s">
        <v>3135</v>
      </c>
      <c r="BE587" s="99" t="s">
        <v>3136</v>
      </c>
    </row>
    <row r="588" spans="1:57" ht="12.95" customHeight="1">
      <c r="A588" s="124">
        <v>15</v>
      </c>
      <c r="B588" s="124">
        <v>1707</v>
      </c>
      <c r="C588" s="99" t="s">
        <v>165</v>
      </c>
      <c r="D588" s="99" t="s">
        <v>1477</v>
      </c>
      <c r="E588" s="99" t="s">
        <v>1478</v>
      </c>
      <c r="F588" s="99" t="s">
        <v>2127</v>
      </c>
      <c r="G588" s="99" t="s">
        <v>11</v>
      </c>
      <c r="H588" s="99" t="s">
        <v>4682</v>
      </c>
      <c r="I588" s="99" t="s">
        <v>2172</v>
      </c>
      <c r="J588" s="99" t="s">
        <v>2182</v>
      </c>
      <c r="K588" s="99" t="s">
        <v>186</v>
      </c>
      <c r="L588" s="99" t="s">
        <v>2183</v>
      </c>
      <c r="M588" s="99" t="s">
        <v>5</v>
      </c>
      <c r="N588" s="99" t="s">
        <v>3454</v>
      </c>
      <c r="O588" s="99" t="s">
        <v>70</v>
      </c>
      <c r="P588" s="99" t="s">
        <v>3455</v>
      </c>
      <c r="Q588" s="99" t="s">
        <v>247</v>
      </c>
      <c r="R588" s="99" t="s">
        <v>71</v>
      </c>
      <c r="S588" s="99" t="s">
        <v>2691</v>
      </c>
      <c r="T588" s="99" t="s">
        <v>49</v>
      </c>
      <c r="U588" s="99" t="s">
        <v>1492</v>
      </c>
      <c r="V588" s="99" t="s">
        <v>55</v>
      </c>
      <c r="W588" s="99" t="s">
        <v>4692</v>
      </c>
      <c r="X588" s="99" t="s">
        <v>4692</v>
      </c>
      <c r="Y588" s="99" t="s">
        <v>4693</v>
      </c>
      <c r="Z588" s="99" t="s">
        <v>172</v>
      </c>
      <c r="AA588" s="99" t="s">
        <v>173</v>
      </c>
      <c r="AB588" s="99" t="s">
        <v>174</v>
      </c>
      <c r="AC588" s="99" t="s">
        <v>3411</v>
      </c>
      <c r="AD588" s="99" t="s">
        <v>175</v>
      </c>
      <c r="AE588" s="99" t="s">
        <v>3411</v>
      </c>
      <c r="AF588" s="99" t="s">
        <v>3411</v>
      </c>
      <c r="AG588" s="124">
        <v>328</v>
      </c>
      <c r="AH588" s="99" t="s">
        <v>3413</v>
      </c>
      <c r="AI588" s="125">
        <v>100</v>
      </c>
      <c r="AJ588" s="99" t="s">
        <v>176</v>
      </c>
      <c r="AK588" s="99" t="s">
        <v>4692</v>
      </c>
      <c r="AL588" s="99" t="s">
        <v>3411</v>
      </c>
      <c r="AM588" s="99" t="s">
        <v>177</v>
      </c>
      <c r="AN588" s="99" t="s">
        <v>3411</v>
      </c>
      <c r="AO588" s="99" t="s">
        <v>1009</v>
      </c>
      <c r="AP588" s="99" t="s">
        <v>2570</v>
      </c>
      <c r="AQ588" s="99" t="s">
        <v>3411</v>
      </c>
      <c r="AR588" s="99" t="s">
        <v>3411</v>
      </c>
      <c r="AS588" s="99" t="s">
        <v>2184</v>
      </c>
      <c r="AT588" s="99" t="s">
        <v>190</v>
      </c>
      <c r="AU588" s="99" t="s">
        <v>191</v>
      </c>
      <c r="AV588" s="99" t="s">
        <v>3928</v>
      </c>
      <c r="AW588" s="99" t="s">
        <v>519</v>
      </c>
      <c r="AX588" s="99" t="s">
        <v>3420</v>
      </c>
      <c r="AY588" s="99" t="s">
        <v>252</v>
      </c>
      <c r="AZ588" s="99" t="s">
        <v>3416</v>
      </c>
      <c r="BA588" s="99" t="s">
        <v>4685</v>
      </c>
      <c r="BB588" s="99" t="s">
        <v>2949</v>
      </c>
      <c r="BC588" s="125">
        <v>51</v>
      </c>
      <c r="BD588" s="99" t="s">
        <v>3135</v>
      </c>
      <c r="BE588" s="99" t="s">
        <v>3136</v>
      </c>
    </row>
    <row r="589" spans="1:57" ht="12.95" customHeight="1">
      <c r="A589" s="124">
        <v>15</v>
      </c>
      <c r="B589" s="124">
        <v>2139</v>
      </c>
      <c r="C589" s="99" t="s">
        <v>165</v>
      </c>
      <c r="D589" s="99" t="s">
        <v>1477</v>
      </c>
      <c r="E589" s="99" t="s">
        <v>1478</v>
      </c>
      <c r="F589" s="99" t="s">
        <v>2127</v>
      </c>
      <c r="G589" s="99" t="s">
        <v>11</v>
      </c>
      <c r="H589" s="99" t="s">
        <v>4682</v>
      </c>
      <c r="I589" s="99" t="s">
        <v>2172</v>
      </c>
      <c r="J589" s="99" t="s">
        <v>2185</v>
      </c>
      <c r="K589" s="99" t="s">
        <v>530</v>
      </c>
      <c r="L589" s="99" t="s">
        <v>2186</v>
      </c>
      <c r="M589" s="99" t="s">
        <v>5</v>
      </c>
      <c r="N589" s="99" t="s">
        <v>3454</v>
      </c>
      <c r="O589" s="99" t="s">
        <v>70</v>
      </c>
      <c r="P589" s="99" t="s">
        <v>4694</v>
      </c>
      <c r="Q589" s="99" t="s">
        <v>247</v>
      </c>
      <c r="R589" s="99" t="s">
        <v>71</v>
      </c>
      <c r="S589" s="99" t="s">
        <v>2691</v>
      </c>
      <c r="T589" s="99" t="s">
        <v>49</v>
      </c>
      <c r="U589" s="99" t="s">
        <v>1492</v>
      </c>
      <c r="V589" s="99" t="s">
        <v>55</v>
      </c>
      <c r="W589" s="99" t="s">
        <v>4429</v>
      </c>
      <c r="X589" s="99" t="s">
        <v>4429</v>
      </c>
      <c r="Y589" s="99" t="s">
        <v>4695</v>
      </c>
      <c r="Z589" s="99" t="s">
        <v>172</v>
      </c>
      <c r="AA589" s="99" t="s">
        <v>173</v>
      </c>
      <c r="AB589" s="99" t="s">
        <v>174</v>
      </c>
      <c r="AC589" s="99" t="s">
        <v>3411</v>
      </c>
      <c r="AD589" s="99" t="s">
        <v>175</v>
      </c>
      <c r="AE589" s="99" t="s">
        <v>3411</v>
      </c>
      <c r="AF589" s="99" t="s">
        <v>3411</v>
      </c>
      <c r="AG589" s="124">
        <v>495</v>
      </c>
      <c r="AH589" s="99" t="s">
        <v>3413</v>
      </c>
      <c r="AI589" s="125">
        <v>100</v>
      </c>
      <c r="AJ589" s="99" t="s">
        <v>176</v>
      </c>
      <c r="AK589" s="99" t="s">
        <v>4429</v>
      </c>
      <c r="AL589" s="99" t="s">
        <v>3411</v>
      </c>
      <c r="AM589" s="99" t="s">
        <v>177</v>
      </c>
      <c r="AN589" s="99" t="s">
        <v>3411</v>
      </c>
      <c r="AO589" s="99" t="s">
        <v>1009</v>
      </c>
      <c r="AP589" s="99" t="s">
        <v>2570</v>
      </c>
      <c r="AQ589" s="99" t="s">
        <v>3411</v>
      </c>
      <c r="AR589" s="99" t="s">
        <v>3411</v>
      </c>
      <c r="AS589" s="99" t="s">
        <v>2187</v>
      </c>
      <c r="AT589" s="99" t="s">
        <v>190</v>
      </c>
      <c r="AU589" s="99" t="s">
        <v>191</v>
      </c>
      <c r="AV589" s="99" t="s">
        <v>3581</v>
      </c>
      <c r="AW589" s="99" t="s">
        <v>529</v>
      </c>
      <c r="AX589" s="99" t="s">
        <v>3420</v>
      </c>
      <c r="AY589" s="99" t="s">
        <v>252</v>
      </c>
      <c r="AZ589" s="99" t="s">
        <v>3416</v>
      </c>
      <c r="BA589" s="99" t="s">
        <v>4685</v>
      </c>
      <c r="BB589" s="99" t="s">
        <v>2949</v>
      </c>
      <c r="BC589" s="125">
        <v>47</v>
      </c>
      <c r="BD589" s="99" t="s">
        <v>3135</v>
      </c>
      <c r="BE589" s="99" t="s">
        <v>3136</v>
      </c>
    </row>
    <row r="590" spans="1:57" ht="12.95" customHeight="1">
      <c r="A590" s="124">
        <v>15</v>
      </c>
      <c r="B590" s="124">
        <v>601</v>
      </c>
      <c r="C590" s="99" t="s">
        <v>165</v>
      </c>
      <c r="D590" s="99" t="s">
        <v>1477</v>
      </c>
      <c r="E590" s="99" t="s">
        <v>1478</v>
      </c>
      <c r="F590" s="99" t="s">
        <v>2127</v>
      </c>
      <c r="G590" s="99" t="s">
        <v>11</v>
      </c>
      <c r="H590" s="99" t="s">
        <v>4682</v>
      </c>
      <c r="I590" s="99" t="s">
        <v>2172</v>
      </c>
      <c r="J590" s="99" t="s">
        <v>2188</v>
      </c>
      <c r="K590" s="99" t="s">
        <v>1914</v>
      </c>
      <c r="L590" s="99" t="s">
        <v>2189</v>
      </c>
      <c r="M590" s="99" t="s">
        <v>5</v>
      </c>
      <c r="N590" s="99" t="s">
        <v>3454</v>
      </c>
      <c r="O590" s="99" t="s">
        <v>70</v>
      </c>
      <c r="P590" s="99" t="s">
        <v>3455</v>
      </c>
      <c r="Q590" s="99" t="s">
        <v>247</v>
      </c>
      <c r="R590" s="99" t="s">
        <v>71</v>
      </c>
      <c r="S590" s="99" t="s">
        <v>2691</v>
      </c>
      <c r="T590" s="99" t="s">
        <v>49</v>
      </c>
      <c r="U590" s="99" t="s">
        <v>5066</v>
      </c>
      <c r="V590" s="99" t="s">
        <v>5067</v>
      </c>
      <c r="W590" s="99" t="s">
        <v>3784</v>
      </c>
      <c r="X590" s="99" t="s">
        <v>3664</v>
      </c>
      <c r="Y590" s="99" t="s">
        <v>4696</v>
      </c>
      <c r="Z590" s="99" t="s">
        <v>172</v>
      </c>
      <c r="AA590" s="99" t="s">
        <v>173</v>
      </c>
      <c r="AB590" s="99" t="s">
        <v>174</v>
      </c>
      <c r="AC590" s="99" t="s">
        <v>3411</v>
      </c>
      <c r="AD590" s="99" t="s">
        <v>175</v>
      </c>
      <c r="AE590" s="99" t="s">
        <v>3411</v>
      </c>
      <c r="AF590" s="99" t="s">
        <v>3411</v>
      </c>
      <c r="AG590" s="124">
        <v>172</v>
      </c>
      <c r="AH590" s="99" t="s">
        <v>3413</v>
      </c>
      <c r="AI590" s="125">
        <v>100</v>
      </c>
      <c r="AJ590" s="99" t="s">
        <v>176</v>
      </c>
      <c r="AK590" s="99" t="s">
        <v>3784</v>
      </c>
      <c r="AL590" s="99" t="s">
        <v>3411</v>
      </c>
      <c r="AM590" s="99" t="s">
        <v>177</v>
      </c>
      <c r="AN590" s="99" t="s">
        <v>3411</v>
      </c>
      <c r="AO590" s="99" t="s">
        <v>1009</v>
      </c>
      <c r="AP590" s="99" t="s">
        <v>2570</v>
      </c>
      <c r="AQ590" s="99" t="s">
        <v>3411</v>
      </c>
      <c r="AR590" s="99" t="s">
        <v>3411</v>
      </c>
      <c r="AS590" s="99" t="s">
        <v>2190</v>
      </c>
      <c r="AT590" s="99" t="s">
        <v>190</v>
      </c>
      <c r="AU590" s="99" t="s">
        <v>191</v>
      </c>
      <c r="AV590" s="99" t="s">
        <v>3928</v>
      </c>
      <c r="AW590" s="99" t="s">
        <v>519</v>
      </c>
      <c r="AX590" s="99" t="s">
        <v>3420</v>
      </c>
      <c r="AY590" s="99" t="s">
        <v>252</v>
      </c>
      <c r="AZ590" s="99" t="s">
        <v>3416</v>
      </c>
      <c r="BA590" s="99" t="s">
        <v>4685</v>
      </c>
      <c r="BB590" s="99" t="s">
        <v>2949</v>
      </c>
      <c r="BC590" s="125">
        <v>63</v>
      </c>
      <c r="BD590" s="99" t="s">
        <v>3135</v>
      </c>
      <c r="BE590" s="99" t="s">
        <v>3136</v>
      </c>
    </row>
    <row r="591" spans="1:57" ht="12.95" customHeight="1">
      <c r="A591" s="124">
        <v>15</v>
      </c>
      <c r="B591" s="124">
        <v>1708</v>
      </c>
      <c r="C591" s="99" t="s">
        <v>165</v>
      </c>
      <c r="D591" s="99" t="s">
        <v>1477</v>
      </c>
      <c r="E591" s="99" t="s">
        <v>1478</v>
      </c>
      <c r="F591" s="99" t="s">
        <v>2127</v>
      </c>
      <c r="G591" s="99" t="s">
        <v>11</v>
      </c>
      <c r="H591" s="99" t="s">
        <v>4682</v>
      </c>
      <c r="I591" s="99" t="s">
        <v>2172</v>
      </c>
      <c r="J591" s="99" t="s">
        <v>2191</v>
      </c>
      <c r="K591" s="99" t="s">
        <v>483</v>
      </c>
      <c r="L591" s="99" t="s">
        <v>2192</v>
      </c>
      <c r="M591" s="99" t="s">
        <v>5</v>
      </c>
      <c r="N591" s="99" t="s">
        <v>3454</v>
      </c>
      <c r="O591" s="99" t="s">
        <v>70</v>
      </c>
      <c r="P591" s="99" t="s">
        <v>3455</v>
      </c>
      <c r="Q591" s="99" t="s">
        <v>247</v>
      </c>
      <c r="R591" s="99" t="s">
        <v>71</v>
      </c>
      <c r="S591" s="99" t="s">
        <v>2691</v>
      </c>
      <c r="T591" s="99" t="s">
        <v>49</v>
      </c>
      <c r="U591" s="99" t="s">
        <v>1551</v>
      </c>
      <c r="V591" s="99" t="s">
        <v>51</v>
      </c>
      <c r="W591" s="99" t="s">
        <v>4692</v>
      </c>
      <c r="X591" s="99" t="s">
        <v>4692</v>
      </c>
      <c r="Y591" s="99" t="s">
        <v>4697</v>
      </c>
      <c r="Z591" s="99" t="s">
        <v>172</v>
      </c>
      <c r="AA591" s="99" t="s">
        <v>173</v>
      </c>
      <c r="AB591" s="99" t="s">
        <v>174</v>
      </c>
      <c r="AC591" s="99" t="s">
        <v>3411</v>
      </c>
      <c r="AD591" s="99" t="s">
        <v>175</v>
      </c>
      <c r="AE591" s="99" t="s">
        <v>3411</v>
      </c>
      <c r="AF591" s="99" t="s">
        <v>3411</v>
      </c>
      <c r="AG591" s="124">
        <v>329</v>
      </c>
      <c r="AH591" s="99" t="s">
        <v>3413</v>
      </c>
      <c r="AI591" s="125">
        <v>100</v>
      </c>
      <c r="AJ591" s="99" t="s">
        <v>176</v>
      </c>
      <c r="AK591" s="99" t="s">
        <v>4692</v>
      </c>
      <c r="AL591" s="99" t="s">
        <v>3411</v>
      </c>
      <c r="AM591" s="99" t="s">
        <v>177</v>
      </c>
      <c r="AN591" s="99" t="s">
        <v>3411</v>
      </c>
      <c r="AO591" s="99" t="s">
        <v>1009</v>
      </c>
      <c r="AP591" s="99" t="s">
        <v>2570</v>
      </c>
      <c r="AQ591" s="99" t="s">
        <v>3411</v>
      </c>
      <c r="AR591" s="99" t="s">
        <v>3411</v>
      </c>
      <c r="AS591" s="99" t="s">
        <v>2193</v>
      </c>
      <c r="AT591" s="99" t="s">
        <v>190</v>
      </c>
      <c r="AU591" s="99" t="s">
        <v>191</v>
      </c>
      <c r="AV591" s="99" t="s">
        <v>3928</v>
      </c>
      <c r="AW591" s="99" t="s">
        <v>519</v>
      </c>
      <c r="AX591" s="99" t="s">
        <v>3420</v>
      </c>
      <c r="AY591" s="99" t="s">
        <v>252</v>
      </c>
      <c r="AZ591" s="99" t="s">
        <v>3416</v>
      </c>
      <c r="BA591" s="99" t="s">
        <v>4521</v>
      </c>
      <c r="BB591" s="99" t="s">
        <v>3411</v>
      </c>
      <c r="BC591" s="125">
        <v>54</v>
      </c>
      <c r="BD591" s="99" t="s">
        <v>3135</v>
      </c>
      <c r="BE591" s="99" t="s">
        <v>3136</v>
      </c>
    </row>
    <row r="592" spans="1:57" ht="12.95" customHeight="1">
      <c r="A592" s="124">
        <v>15</v>
      </c>
      <c r="B592" s="124">
        <v>1265</v>
      </c>
      <c r="C592" s="99" t="s">
        <v>165</v>
      </c>
      <c r="D592" s="99" t="s">
        <v>1477</v>
      </c>
      <c r="E592" s="99" t="s">
        <v>1478</v>
      </c>
      <c r="F592" s="99" t="s">
        <v>2127</v>
      </c>
      <c r="G592" s="99" t="s">
        <v>11</v>
      </c>
      <c r="H592" s="99" t="s">
        <v>4682</v>
      </c>
      <c r="I592" s="99" t="s">
        <v>2172</v>
      </c>
      <c r="J592" s="99" t="s">
        <v>2194</v>
      </c>
      <c r="K592" s="99" t="s">
        <v>527</v>
      </c>
      <c r="L592" s="99" t="s">
        <v>2195</v>
      </c>
      <c r="M592" s="99" t="s">
        <v>5</v>
      </c>
      <c r="N592" s="99" t="s">
        <v>3454</v>
      </c>
      <c r="O592" s="99" t="s">
        <v>70</v>
      </c>
      <c r="P592" s="99" t="s">
        <v>3455</v>
      </c>
      <c r="Q592" s="99" t="s">
        <v>247</v>
      </c>
      <c r="R592" s="99" t="s">
        <v>71</v>
      </c>
      <c r="S592" s="99" t="s">
        <v>2691</v>
      </c>
      <c r="T592" s="99" t="s">
        <v>49</v>
      </c>
      <c r="U592" s="99" t="s">
        <v>1511</v>
      </c>
      <c r="V592" s="99" t="s">
        <v>54</v>
      </c>
      <c r="W592" s="99" t="s">
        <v>4698</v>
      </c>
      <c r="X592" s="99" t="s">
        <v>4698</v>
      </c>
      <c r="Y592" s="99" t="s">
        <v>4699</v>
      </c>
      <c r="Z592" s="99" t="s">
        <v>172</v>
      </c>
      <c r="AA592" s="99" t="s">
        <v>173</v>
      </c>
      <c r="AB592" s="99" t="s">
        <v>174</v>
      </c>
      <c r="AC592" s="99" t="s">
        <v>3411</v>
      </c>
      <c r="AD592" s="99" t="s">
        <v>175</v>
      </c>
      <c r="AE592" s="99" t="s">
        <v>3411</v>
      </c>
      <c r="AF592" s="99" t="s">
        <v>3411</v>
      </c>
      <c r="AG592" s="124">
        <v>267</v>
      </c>
      <c r="AH592" s="99" t="s">
        <v>3413</v>
      </c>
      <c r="AI592" s="125">
        <v>100</v>
      </c>
      <c r="AJ592" s="99" t="s">
        <v>176</v>
      </c>
      <c r="AK592" s="99" t="s">
        <v>4698</v>
      </c>
      <c r="AL592" s="99" t="s">
        <v>3411</v>
      </c>
      <c r="AM592" s="99" t="s">
        <v>177</v>
      </c>
      <c r="AN592" s="99" t="s">
        <v>3411</v>
      </c>
      <c r="AO592" s="99" t="s">
        <v>1009</v>
      </c>
      <c r="AP592" s="99" t="s">
        <v>2570</v>
      </c>
      <c r="AQ592" s="99" t="s">
        <v>3411</v>
      </c>
      <c r="AR592" s="99" t="s">
        <v>3411</v>
      </c>
      <c r="AS592" s="99" t="s">
        <v>2196</v>
      </c>
      <c r="AT592" s="99" t="s">
        <v>190</v>
      </c>
      <c r="AU592" s="99" t="s">
        <v>191</v>
      </c>
      <c r="AV592" s="99" t="s">
        <v>3928</v>
      </c>
      <c r="AW592" s="99" t="s">
        <v>519</v>
      </c>
      <c r="AX592" s="99" t="s">
        <v>3420</v>
      </c>
      <c r="AY592" s="99" t="s">
        <v>252</v>
      </c>
      <c r="AZ592" s="99" t="s">
        <v>3416</v>
      </c>
      <c r="BA592" s="99" t="s">
        <v>4685</v>
      </c>
      <c r="BB592" s="99" t="s">
        <v>2949</v>
      </c>
      <c r="BC592" s="125">
        <v>51</v>
      </c>
      <c r="BD592" s="99" t="s">
        <v>3135</v>
      </c>
      <c r="BE592" s="99" t="s">
        <v>3136</v>
      </c>
    </row>
    <row r="593" spans="1:57" ht="12.95" customHeight="1">
      <c r="A593" s="124">
        <v>15</v>
      </c>
      <c r="B593" s="124">
        <v>2743</v>
      </c>
      <c r="C593" s="99" t="s">
        <v>165</v>
      </c>
      <c r="D593" s="99" t="s">
        <v>1477</v>
      </c>
      <c r="E593" s="99" t="s">
        <v>1478</v>
      </c>
      <c r="F593" s="99" t="s">
        <v>2127</v>
      </c>
      <c r="G593" s="99" t="s">
        <v>11</v>
      </c>
      <c r="H593" s="99" t="s">
        <v>4682</v>
      </c>
      <c r="I593" s="99" t="s">
        <v>2172</v>
      </c>
      <c r="J593" s="99" t="s">
        <v>2058</v>
      </c>
      <c r="K593" s="99" t="s">
        <v>825</v>
      </c>
      <c r="L593" s="99" t="s">
        <v>2059</v>
      </c>
      <c r="M593" s="99" t="s">
        <v>5</v>
      </c>
      <c r="N593" s="99" t="s">
        <v>3454</v>
      </c>
      <c r="O593" s="99" t="s">
        <v>70</v>
      </c>
      <c r="P593" s="99" t="s">
        <v>3455</v>
      </c>
      <c r="Q593" s="99" t="s">
        <v>247</v>
      </c>
      <c r="R593" s="99" t="s">
        <v>71</v>
      </c>
      <c r="S593" s="99" t="s">
        <v>2691</v>
      </c>
      <c r="T593" s="99" t="s">
        <v>49</v>
      </c>
      <c r="U593" s="99" t="s">
        <v>1551</v>
      </c>
      <c r="V593" s="99" t="s">
        <v>51</v>
      </c>
      <c r="W593" s="99" t="s">
        <v>3435</v>
      </c>
      <c r="X593" s="99" t="s">
        <v>4700</v>
      </c>
      <c r="Y593" s="99" t="s">
        <v>4701</v>
      </c>
      <c r="Z593" s="99" t="s">
        <v>172</v>
      </c>
      <c r="AA593" s="99" t="s">
        <v>173</v>
      </c>
      <c r="AB593" s="99" t="s">
        <v>174</v>
      </c>
      <c r="AC593" s="99" t="s">
        <v>3411</v>
      </c>
      <c r="AD593" s="99" t="s">
        <v>175</v>
      </c>
      <c r="AE593" s="99" t="s">
        <v>3411</v>
      </c>
      <c r="AF593" s="99" t="s">
        <v>3411</v>
      </c>
      <c r="AG593" s="124">
        <v>2743</v>
      </c>
      <c r="AH593" s="99" t="s">
        <v>3413</v>
      </c>
      <c r="AI593" s="125">
        <v>100</v>
      </c>
      <c r="AJ593" s="99" t="s">
        <v>176</v>
      </c>
      <c r="AK593" s="99" t="s">
        <v>4700</v>
      </c>
      <c r="AL593" s="99" t="s">
        <v>3411</v>
      </c>
      <c r="AM593" s="99" t="s">
        <v>177</v>
      </c>
      <c r="AN593" s="99" t="s">
        <v>3411</v>
      </c>
      <c r="AO593" s="99" t="s">
        <v>1009</v>
      </c>
      <c r="AP593" s="99" t="s">
        <v>2570</v>
      </c>
      <c r="AQ593" s="99" t="s">
        <v>3411</v>
      </c>
      <c r="AR593" s="99" t="s">
        <v>3411</v>
      </c>
      <c r="AS593" s="99" t="s">
        <v>3048</v>
      </c>
      <c r="AT593" s="99" t="s">
        <v>190</v>
      </c>
      <c r="AU593" s="99" t="s">
        <v>191</v>
      </c>
      <c r="AV593" s="99" t="s">
        <v>3581</v>
      </c>
      <c r="AW593" s="99" t="s">
        <v>529</v>
      </c>
      <c r="AX593" s="99" t="s">
        <v>3420</v>
      </c>
      <c r="AY593" s="99" t="s">
        <v>252</v>
      </c>
      <c r="AZ593" s="99" t="s">
        <v>3416</v>
      </c>
      <c r="BA593" s="99" t="s">
        <v>4685</v>
      </c>
      <c r="BB593" s="99" t="s">
        <v>2949</v>
      </c>
      <c r="BC593" s="125">
        <v>58</v>
      </c>
      <c r="BD593" s="99" t="s">
        <v>3135</v>
      </c>
      <c r="BE593" s="99" t="s">
        <v>3136</v>
      </c>
    </row>
    <row r="594" spans="1:57" ht="12.95" customHeight="1">
      <c r="A594" s="124">
        <v>15</v>
      </c>
      <c r="B594" s="124">
        <v>1266</v>
      </c>
      <c r="C594" s="99" t="s">
        <v>165</v>
      </c>
      <c r="D594" s="99" t="s">
        <v>1477</v>
      </c>
      <c r="E594" s="99" t="s">
        <v>1478</v>
      </c>
      <c r="F594" s="99" t="s">
        <v>2127</v>
      </c>
      <c r="G594" s="99" t="s">
        <v>11</v>
      </c>
      <c r="H594" s="99" t="s">
        <v>4682</v>
      </c>
      <c r="I594" s="99" t="s">
        <v>2172</v>
      </c>
      <c r="J594" s="99" t="s">
        <v>2197</v>
      </c>
      <c r="K594" s="99" t="s">
        <v>402</v>
      </c>
      <c r="L594" s="99" t="s">
        <v>2198</v>
      </c>
      <c r="M594" s="99" t="s">
        <v>1</v>
      </c>
      <c r="N594" s="99" t="s">
        <v>3454</v>
      </c>
      <c r="O594" s="99" t="s">
        <v>70</v>
      </c>
      <c r="P594" s="99" t="s">
        <v>3455</v>
      </c>
      <c r="Q594" s="99" t="s">
        <v>247</v>
      </c>
      <c r="R594" s="99" t="s">
        <v>71</v>
      </c>
      <c r="S594" s="99" t="s">
        <v>2691</v>
      </c>
      <c r="T594" s="99" t="s">
        <v>49</v>
      </c>
      <c r="U594" s="99" t="s">
        <v>1492</v>
      </c>
      <c r="V594" s="99" t="s">
        <v>55</v>
      </c>
      <c r="W594" s="99" t="s">
        <v>4698</v>
      </c>
      <c r="X594" s="99" t="s">
        <v>4698</v>
      </c>
      <c r="Y594" s="99" t="s">
        <v>4702</v>
      </c>
      <c r="Z594" s="99" t="s">
        <v>172</v>
      </c>
      <c r="AA594" s="99" t="s">
        <v>173</v>
      </c>
      <c r="AB594" s="99" t="s">
        <v>174</v>
      </c>
      <c r="AC594" s="99" t="s">
        <v>3411</v>
      </c>
      <c r="AD594" s="99" t="s">
        <v>175</v>
      </c>
      <c r="AE594" s="99" t="s">
        <v>3411</v>
      </c>
      <c r="AF594" s="99" t="s">
        <v>3411</v>
      </c>
      <c r="AG594" s="124">
        <v>268</v>
      </c>
      <c r="AH594" s="99" t="s">
        <v>3413</v>
      </c>
      <c r="AI594" s="125">
        <v>100</v>
      </c>
      <c r="AJ594" s="99" t="s">
        <v>176</v>
      </c>
      <c r="AK594" s="99" t="s">
        <v>4698</v>
      </c>
      <c r="AL594" s="99" t="s">
        <v>3411</v>
      </c>
      <c r="AM594" s="99" t="s">
        <v>177</v>
      </c>
      <c r="AN594" s="99" t="s">
        <v>3411</v>
      </c>
      <c r="AO594" s="99" t="s">
        <v>1009</v>
      </c>
      <c r="AP594" s="99" t="s">
        <v>2570</v>
      </c>
      <c r="AQ594" s="99" t="s">
        <v>3411</v>
      </c>
      <c r="AR594" s="99" t="s">
        <v>1010</v>
      </c>
      <c r="AS594" s="99" t="s">
        <v>2199</v>
      </c>
      <c r="AT594" s="99" t="s">
        <v>190</v>
      </c>
      <c r="AU594" s="99" t="s">
        <v>191</v>
      </c>
      <c r="AV594" s="99" t="s">
        <v>3928</v>
      </c>
      <c r="AW594" s="99" t="s">
        <v>519</v>
      </c>
      <c r="AX594" s="99" t="s">
        <v>3420</v>
      </c>
      <c r="AY594" s="99" t="s">
        <v>252</v>
      </c>
      <c r="AZ594" s="99" t="s">
        <v>3416</v>
      </c>
      <c r="BA594" s="99" t="s">
        <v>4685</v>
      </c>
      <c r="BB594" s="99" t="s">
        <v>2949</v>
      </c>
      <c r="BC594" s="125">
        <v>60</v>
      </c>
      <c r="BD594" s="99" t="s">
        <v>3135</v>
      </c>
      <c r="BE594" s="99" t="s">
        <v>3136</v>
      </c>
    </row>
    <row r="595" spans="1:57" ht="12.95" customHeight="1">
      <c r="A595" s="124">
        <v>15</v>
      </c>
      <c r="B595" s="124">
        <v>2117</v>
      </c>
      <c r="C595" s="99" t="s">
        <v>165</v>
      </c>
      <c r="D595" s="99" t="s">
        <v>1477</v>
      </c>
      <c r="E595" s="99" t="s">
        <v>1478</v>
      </c>
      <c r="F595" s="99" t="s">
        <v>2127</v>
      </c>
      <c r="G595" s="99" t="s">
        <v>11</v>
      </c>
      <c r="H595" s="99" t="s">
        <v>4682</v>
      </c>
      <c r="I595" s="99" t="s">
        <v>2172</v>
      </c>
      <c r="J595" s="99" t="s">
        <v>2200</v>
      </c>
      <c r="K595" s="99" t="s">
        <v>212</v>
      </c>
      <c r="L595" s="99" t="s">
        <v>2201</v>
      </c>
      <c r="M595" s="99" t="s">
        <v>1</v>
      </c>
      <c r="N595" s="99" t="s">
        <v>3454</v>
      </c>
      <c r="O595" s="99" t="s">
        <v>70</v>
      </c>
      <c r="P595" s="99" t="s">
        <v>3455</v>
      </c>
      <c r="Q595" s="99" t="s">
        <v>247</v>
      </c>
      <c r="R595" s="99" t="s">
        <v>71</v>
      </c>
      <c r="S595" s="99" t="s">
        <v>2691</v>
      </c>
      <c r="T595" s="99" t="s">
        <v>49</v>
      </c>
      <c r="U595" s="99" t="s">
        <v>1620</v>
      </c>
      <c r="V595" s="99" t="s">
        <v>59</v>
      </c>
      <c r="W595" s="99" t="s">
        <v>4703</v>
      </c>
      <c r="X595" s="99" t="s">
        <v>4703</v>
      </c>
      <c r="Y595" s="99" t="s">
        <v>4704</v>
      </c>
      <c r="Z595" s="99" t="s">
        <v>172</v>
      </c>
      <c r="AA595" s="99" t="s">
        <v>173</v>
      </c>
      <c r="AB595" s="99" t="s">
        <v>174</v>
      </c>
      <c r="AC595" s="99" t="s">
        <v>3411</v>
      </c>
      <c r="AD595" s="99" t="s">
        <v>175</v>
      </c>
      <c r="AE595" s="99" t="s">
        <v>3411</v>
      </c>
      <c r="AF595" s="99" t="s">
        <v>3411</v>
      </c>
      <c r="AG595" s="124">
        <v>487</v>
      </c>
      <c r="AH595" s="99" t="s">
        <v>3413</v>
      </c>
      <c r="AI595" s="125">
        <v>100</v>
      </c>
      <c r="AJ595" s="99" t="s">
        <v>176</v>
      </c>
      <c r="AK595" s="99" t="s">
        <v>4703</v>
      </c>
      <c r="AL595" s="99" t="s">
        <v>3411</v>
      </c>
      <c r="AM595" s="99" t="s">
        <v>177</v>
      </c>
      <c r="AN595" s="99" t="s">
        <v>3411</v>
      </c>
      <c r="AO595" s="99" t="s">
        <v>1009</v>
      </c>
      <c r="AP595" s="99" t="s">
        <v>2570</v>
      </c>
      <c r="AQ595" s="99" t="s">
        <v>3411</v>
      </c>
      <c r="AR595" s="99" t="s">
        <v>3411</v>
      </c>
      <c r="AS595" s="99" t="s">
        <v>2202</v>
      </c>
      <c r="AT595" s="99" t="s">
        <v>190</v>
      </c>
      <c r="AU595" s="99" t="s">
        <v>191</v>
      </c>
      <c r="AV595" s="99" t="s">
        <v>3581</v>
      </c>
      <c r="AW595" s="99" t="s">
        <v>529</v>
      </c>
      <c r="AX595" s="99" t="s">
        <v>3420</v>
      </c>
      <c r="AY595" s="99" t="s">
        <v>252</v>
      </c>
      <c r="AZ595" s="99" t="s">
        <v>3416</v>
      </c>
      <c r="BA595" s="99" t="s">
        <v>4685</v>
      </c>
      <c r="BB595" s="99" t="s">
        <v>2949</v>
      </c>
      <c r="BC595" s="125">
        <v>51</v>
      </c>
      <c r="BD595" s="99" t="s">
        <v>3135</v>
      </c>
      <c r="BE595" s="99" t="s">
        <v>3136</v>
      </c>
    </row>
    <row r="596" spans="1:57" ht="12.95" customHeight="1">
      <c r="A596" s="124">
        <v>15</v>
      </c>
      <c r="B596" s="124">
        <v>1472</v>
      </c>
      <c r="C596" s="99" t="s">
        <v>165</v>
      </c>
      <c r="D596" s="99" t="s">
        <v>1477</v>
      </c>
      <c r="E596" s="99" t="s">
        <v>1478</v>
      </c>
      <c r="F596" s="99" t="s">
        <v>2127</v>
      </c>
      <c r="G596" s="99" t="s">
        <v>11</v>
      </c>
      <c r="H596" s="99" t="s">
        <v>4682</v>
      </c>
      <c r="I596" s="99" t="s">
        <v>2172</v>
      </c>
      <c r="J596" s="99" t="s">
        <v>2203</v>
      </c>
      <c r="K596" s="99" t="s">
        <v>370</v>
      </c>
      <c r="L596" s="99" t="s">
        <v>2204</v>
      </c>
      <c r="M596" s="99" t="s">
        <v>5</v>
      </c>
      <c r="N596" s="99" t="s">
        <v>3454</v>
      </c>
      <c r="O596" s="99" t="s">
        <v>70</v>
      </c>
      <c r="P596" s="99" t="s">
        <v>3455</v>
      </c>
      <c r="Q596" s="99" t="s">
        <v>247</v>
      </c>
      <c r="R596" s="99" t="s">
        <v>71</v>
      </c>
      <c r="S596" s="99" t="s">
        <v>2691</v>
      </c>
      <c r="T596" s="99" t="s">
        <v>49</v>
      </c>
      <c r="U596" s="99" t="s">
        <v>1511</v>
      </c>
      <c r="V596" s="99" t="s">
        <v>54</v>
      </c>
      <c r="W596" s="99" t="s">
        <v>3812</v>
      </c>
      <c r="X596" s="99" t="s">
        <v>3812</v>
      </c>
      <c r="Y596" s="99" t="s">
        <v>4705</v>
      </c>
      <c r="Z596" s="99" t="s">
        <v>172</v>
      </c>
      <c r="AA596" s="99" t="s">
        <v>173</v>
      </c>
      <c r="AB596" s="99" t="s">
        <v>174</v>
      </c>
      <c r="AC596" s="99" t="s">
        <v>3411</v>
      </c>
      <c r="AD596" s="99" t="s">
        <v>175</v>
      </c>
      <c r="AE596" s="99" t="s">
        <v>3411</v>
      </c>
      <c r="AF596" s="99" t="s">
        <v>3411</v>
      </c>
      <c r="AG596" s="124">
        <v>301</v>
      </c>
      <c r="AH596" s="99" t="s">
        <v>3413</v>
      </c>
      <c r="AI596" s="125">
        <v>100</v>
      </c>
      <c r="AJ596" s="99" t="s">
        <v>176</v>
      </c>
      <c r="AK596" s="99" t="s">
        <v>3812</v>
      </c>
      <c r="AL596" s="99" t="s">
        <v>3411</v>
      </c>
      <c r="AM596" s="99" t="s">
        <v>177</v>
      </c>
      <c r="AN596" s="99" t="s">
        <v>3411</v>
      </c>
      <c r="AO596" s="99" t="s">
        <v>1009</v>
      </c>
      <c r="AP596" s="99" t="s">
        <v>2570</v>
      </c>
      <c r="AQ596" s="99" t="s">
        <v>3411</v>
      </c>
      <c r="AR596" s="99" t="s">
        <v>3411</v>
      </c>
      <c r="AS596" s="99" t="s">
        <v>2205</v>
      </c>
      <c r="AT596" s="99" t="s">
        <v>190</v>
      </c>
      <c r="AU596" s="99" t="s">
        <v>191</v>
      </c>
      <c r="AV596" s="99" t="s">
        <v>3928</v>
      </c>
      <c r="AW596" s="99" t="s">
        <v>519</v>
      </c>
      <c r="AX596" s="99" t="s">
        <v>3420</v>
      </c>
      <c r="AY596" s="99" t="s">
        <v>252</v>
      </c>
      <c r="AZ596" s="99" t="s">
        <v>3416</v>
      </c>
      <c r="BA596" s="99" t="s">
        <v>4685</v>
      </c>
      <c r="BB596" s="99" t="s">
        <v>2949</v>
      </c>
      <c r="BC596" s="125">
        <v>54</v>
      </c>
      <c r="BD596" s="99" t="s">
        <v>3135</v>
      </c>
      <c r="BE596" s="99" t="s">
        <v>3136</v>
      </c>
    </row>
    <row r="597" spans="1:57" ht="12.95" customHeight="1">
      <c r="A597" s="124">
        <v>15</v>
      </c>
      <c r="B597" s="124">
        <v>1421</v>
      </c>
      <c r="C597" s="99" t="s">
        <v>165</v>
      </c>
      <c r="D597" s="99" t="s">
        <v>1477</v>
      </c>
      <c r="E597" s="99" t="s">
        <v>1478</v>
      </c>
      <c r="F597" s="99" t="s">
        <v>2127</v>
      </c>
      <c r="G597" s="99" t="s">
        <v>11</v>
      </c>
      <c r="H597" s="99" t="s">
        <v>4706</v>
      </c>
      <c r="I597" s="99" t="s">
        <v>2206</v>
      </c>
      <c r="J597" s="99" t="s">
        <v>2208</v>
      </c>
      <c r="K597" s="99" t="s">
        <v>741</v>
      </c>
      <c r="L597" s="99" t="s">
        <v>2209</v>
      </c>
      <c r="M597" s="99" t="s">
        <v>1</v>
      </c>
      <c r="N597" s="99" t="s">
        <v>3454</v>
      </c>
      <c r="O597" s="99" t="s">
        <v>70</v>
      </c>
      <c r="P597" s="99" t="s">
        <v>3904</v>
      </c>
      <c r="Q597" s="99" t="s">
        <v>247</v>
      </c>
      <c r="R597" s="99" t="s">
        <v>71</v>
      </c>
      <c r="S597" s="99" t="s">
        <v>2691</v>
      </c>
      <c r="T597" s="99" t="s">
        <v>49</v>
      </c>
      <c r="U597" s="99" t="s">
        <v>1008</v>
      </c>
      <c r="V597" s="99" t="s">
        <v>53</v>
      </c>
      <c r="W597" s="99" t="s">
        <v>4189</v>
      </c>
      <c r="X597" s="99" t="s">
        <v>4189</v>
      </c>
      <c r="Y597" s="99" t="s">
        <v>4707</v>
      </c>
      <c r="Z597" s="99" t="s">
        <v>172</v>
      </c>
      <c r="AA597" s="99" t="s">
        <v>173</v>
      </c>
      <c r="AB597" s="99" t="s">
        <v>174</v>
      </c>
      <c r="AC597" s="99" t="s">
        <v>3411</v>
      </c>
      <c r="AD597" s="99" t="s">
        <v>175</v>
      </c>
      <c r="AE597" s="99" t="s">
        <v>3411</v>
      </c>
      <c r="AF597" s="99" t="s">
        <v>3411</v>
      </c>
      <c r="AG597" s="124">
        <v>292</v>
      </c>
      <c r="AH597" s="99" t="s">
        <v>3413</v>
      </c>
      <c r="AI597" s="125">
        <v>100</v>
      </c>
      <c r="AJ597" s="99" t="s">
        <v>176</v>
      </c>
      <c r="AK597" s="99" t="s">
        <v>4189</v>
      </c>
      <c r="AL597" s="99" t="s">
        <v>3411</v>
      </c>
      <c r="AM597" s="99" t="s">
        <v>177</v>
      </c>
      <c r="AN597" s="99" t="s">
        <v>3411</v>
      </c>
      <c r="AO597" s="99" t="s">
        <v>2207</v>
      </c>
      <c r="AP597" s="99" t="s">
        <v>2570</v>
      </c>
      <c r="AQ597" s="99" t="s">
        <v>3411</v>
      </c>
      <c r="AR597" s="99" t="s">
        <v>3411</v>
      </c>
      <c r="AS597" s="99" t="s">
        <v>2210</v>
      </c>
      <c r="AT597" s="99" t="s">
        <v>190</v>
      </c>
      <c r="AU597" s="99" t="s">
        <v>191</v>
      </c>
      <c r="AV597" s="99" t="s">
        <v>3928</v>
      </c>
      <c r="AW597" s="99" t="s">
        <v>519</v>
      </c>
      <c r="AX597" s="99" t="s">
        <v>3420</v>
      </c>
      <c r="AY597" s="99" t="s">
        <v>252</v>
      </c>
      <c r="AZ597" s="99" t="s">
        <v>3416</v>
      </c>
      <c r="BA597" s="99" t="s">
        <v>4685</v>
      </c>
      <c r="BB597" s="99" t="s">
        <v>2949</v>
      </c>
      <c r="BC597" s="125">
        <v>57</v>
      </c>
      <c r="BD597" s="99" t="s">
        <v>3135</v>
      </c>
      <c r="BE597" s="99" t="s">
        <v>3136</v>
      </c>
    </row>
    <row r="598" spans="1:57" ht="12.95" customHeight="1">
      <c r="A598" s="124">
        <v>15</v>
      </c>
      <c r="B598" s="124">
        <v>1373</v>
      </c>
      <c r="C598" s="99" t="s">
        <v>165</v>
      </c>
      <c r="D598" s="99" t="s">
        <v>1477</v>
      </c>
      <c r="E598" s="99" t="s">
        <v>1478</v>
      </c>
      <c r="F598" s="99" t="s">
        <v>2127</v>
      </c>
      <c r="G598" s="99" t="s">
        <v>11</v>
      </c>
      <c r="H598" s="99" t="s">
        <v>4706</v>
      </c>
      <c r="I598" s="99" t="s">
        <v>2206</v>
      </c>
      <c r="J598" s="99" t="s">
        <v>2211</v>
      </c>
      <c r="K598" s="99" t="s">
        <v>1890</v>
      </c>
      <c r="L598" s="99" t="s">
        <v>2212</v>
      </c>
      <c r="M598" s="99" t="s">
        <v>5</v>
      </c>
      <c r="N598" s="99" t="s">
        <v>3454</v>
      </c>
      <c r="O598" s="99" t="s">
        <v>70</v>
      </c>
      <c r="P598" s="99" t="s">
        <v>3904</v>
      </c>
      <c r="Q598" s="99" t="s">
        <v>247</v>
      </c>
      <c r="R598" s="99" t="s">
        <v>71</v>
      </c>
      <c r="S598" s="99" t="s">
        <v>2691</v>
      </c>
      <c r="T598" s="99" t="s">
        <v>49</v>
      </c>
      <c r="U598" s="99" t="s">
        <v>1519</v>
      </c>
      <c r="V598" s="99" t="s">
        <v>56</v>
      </c>
      <c r="W598" s="99" t="s">
        <v>4345</v>
      </c>
      <c r="X598" s="99" t="s">
        <v>4345</v>
      </c>
      <c r="Y598" s="99" t="s">
        <v>4708</v>
      </c>
      <c r="Z598" s="99" t="s">
        <v>172</v>
      </c>
      <c r="AA598" s="99" t="s">
        <v>173</v>
      </c>
      <c r="AB598" s="99" t="s">
        <v>174</v>
      </c>
      <c r="AC598" s="99" t="s">
        <v>3411</v>
      </c>
      <c r="AD598" s="99" t="s">
        <v>175</v>
      </c>
      <c r="AE598" s="99" t="s">
        <v>3411</v>
      </c>
      <c r="AF598" s="99" t="s">
        <v>3411</v>
      </c>
      <c r="AG598" s="124">
        <v>281</v>
      </c>
      <c r="AH598" s="99" t="s">
        <v>3413</v>
      </c>
      <c r="AI598" s="125">
        <v>100</v>
      </c>
      <c r="AJ598" s="99" t="s">
        <v>176</v>
      </c>
      <c r="AK598" s="99" t="s">
        <v>4345</v>
      </c>
      <c r="AL598" s="99" t="s">
        <v>3411</v>
      </c>
      <c r="AM598" s="99" t="s">
        <v>177</v>
      </c>
      <c r="AN598" s="99" t="s">
        <v>3411</v>
      </c>
      <c r="AO598" s="99" t="s">
        <v>2207</v>
      </c>
      <c r="AP598" s="99" t="s">
        <v>2570</v>
      </c>
      <c r="AQ598" s="99" t="s">
        <v>3411</v>
      </c>
      <c r="AR598" s="99" t="s">
        <v>3411</v>
      </c>
      <c r="AS598" s="99" t="s">
        <v>2213</v>
      </c>
      <c r="AT598" s="99" t="s">
        <v>190</v>
      </c>
      <c r="AU598" s="99" t="s">
        <v>191</v>
      </c>
      <c r="AV598" s="99" t="s">
        <v>3928</v>
      </c>
      <c r="AW598" s="99" t="s">
        <v>519</v>
      </c>
      <c r="AX598" s="99" t="s">
        <v>3420</v>
      </c>
      <c r="AY598" s="99" t="s">
        <v>252</v>
      </c>
      <c r="AZ598" s="99" t="s">
        <v>3416</v>
      </c>
      <c r="BA598" s="99" t="s">
        <v>4685</v>
      </c>
      <c r="BB598" s="99" t="s">
        <v>2949</v>
      </c>
      <c r="BC598" s="125">
        <v>63</v>
      </c>
      <c r="BD598" s="99" t="s">
        <v>3135</v>
      </c>
      <c r="BE598" s="99" t="s">
        <v>3136</v>
      </c>
    </row>
    <row r="599" spans="1:57" ht="12.95" customHeight="1">
      <c r="A599" s="124">
        <v>15</v>
      </c>
      <c r="B599" s="124">
        <v>917</v>
      </c>
      <c r="C599" s="99" t="s">
        <v>165</v>
      </c>
      <c r="D599" s="99" t="s">
        <v>1477</v>
      </c>
      <c r="E599" s="99" t="s">
        <v>1478</v>
      </c>
      <c r="F599" s="99" t="s">
        <v>2127</v>
      </c>
      <c r="G599" s="99" t="s">
        <v>11</v>
      </c>
      <c r="H599" s="99" t="s">
        <v>4706</v>
      </c>
      <c r="I599" s="99" t="s">
        <v>2206</v>
      </c>
      <c r="J599" s="99" t="s">
        <v>1027</v>
      </c>
      <c r="K599" s="99" t="s">
        <v>2214</v>
      </c>
      <c r="L599" s="99" t="s">
        <v>2215</v>
      </c>
      <c r="M599" s="99" t="s">
        <v>5</v>
      </c>
      <c r="N599" s="99" t="s">
        <v>3454</v>
      </c>
      <c r="O599" s="99" t="s">
        <v>70</v>
      </c>
      <c r="P599" s="99" t="s">
        <v>3904</v>
      </c>
      <c r="Q599" s="99" t="s">
        <v>247</v>
      </c>
      <c r="R599" s="99" t="s">
        <v>71</v>
      </c>
      <c r="S599" s="99" t="s">
        <v>2691</v>
      </c>
      <c r="T599" s="99" t="s">
        <v>49</v>
      </c>
      <c r="U599" s="99" t="s">
        <v>1492</v>
      </c>
      <c r="V599" s="99" t="s">
        <v>55</v>
      </c>
      <c r="W599" s="99" t="s">
        <v>4237</v>
      </c>
      <c r="X599" s="99" t="s">
        <v>4237</v>
      </c>
      <c r="Y599" s="99" t="s">
        <v>4709</v>
      </c>
      <c r="Z599" s="99" t="s">
        <v>172</v>
      </c>
      <c r="AA599" s="99" t="s">
        <v>173</v>
      </c>
      <c r="AB599" s="99" t="s">
        <v>174</v>
      </c>
      <c r="AC599" s="99" t="s">
        <v>3411</v>
      </c>
      <c r="AD599" s="99" t="s">
        <v>175</v>
      </c>
      <c r="AE599" s="99" t="s">
        <v>3411</v>
      </c>
      <c r="AF599" s="99" t="s">
        <v>3411</v>
      </c>
      <c r="AG599" s="124">
        <v>706</v>
      </c>
      <c r="AH599" s="99" t="s">
        <v>3413</v>
      </c>
      <c r="AI599" s="125">
        <v>100</v>
      </c>
      <c r="AJ599" s="99" t="s">
        <v>176</v>
      </c>
      <c r="AK599" s="99" t="s">
        <v>4710</v>
      </c>
      <c r="AL599" s="99" t="s">
        <v>3411</v>
      </c>
      <c r="AM599" s="99" t="s">
        <v>177</v>
      </c>
      <c r="AN599" s="99" t="s">
        <v>3411</v>
      </c>
      <c r="AO599" s="99" t="s">
        <v>2207</v>
      </c>
      <c r="AP599" s="99" t="s">
        <v>2570</v>
      </c>
      <c r="AQ599" s="99" t="s">
        <v>3411</v>
      </c>
      <c r="AR599" s="99" t="s">
        <v>1010</v>
      </c>
      <c r="AS599" s="99" t="s">
        <v>2216</v>
      </c>
      <c r="AT599" s="99" t="s">
        <v>190</v>
      </c>
      <c r="AU599" s="99" t="s">
        <v>191</v>
      </c>
      <c r="AV599" s="99" t="s">
        <v>3928</v>
      </c>
      <c r="AW599" s="99" t="s">
        <v>519</v>
      </c>
      <c r="AX599" s="99" t="s">
        <v>3420</v>
      </c>
      <c r="AY599" s="99" t="s">
        <v>252</v>
      </c>
      <c r="AZ599" s="99" t="s">
        <v>3416</v>
      </c>
      <c r="BA599" s="99" t="s">
        <v>4685</v>
      </c>
      <c r="BB599" s="99" t="s">
        <v>2949</v>
      </c>
      <c r="BC599" s="125">
        <v>57</v>
      </c>
      <c r="BD599" s="99" t="s">
        <v>3135</v>
      </c>
      <c r="BE599" s="99" t="s">
        <v>3136</v>
      </c>
    </row>
    <row r="600" spans="1:57" ht="12.95" customHeight="1">
      <c r="A600" s="124">
        <v>15</v>
      </c>
      <c r="B600" s="124">
        <v>1406</v>
      </c>
      <c r="C600" s="99" t="s">
        <v>165</v>
      </c>
      <c r="D600" s="99" t="s">
        <v>1477</v>
      </c>
      <c r="E600" s="99" t="s">
        <v>1478</v>
      </c>
      <c r="F600" s="99" t="s">
        <v>2127</v>
      </c>
      <c r="G600" s="99" t="s">
        <v>11</v>
      </c>
      <c r="H600" s="99" t="s">
        <v>4706</v>
      </c>
      <c r="I600" s="99" t="s">
        <v>2206</v>
      </c>
      <c r="J600" s="99" t="s">
        <v>1326</v>
      </c>
      <c r="K600" s="99" t="s">
        <v>212</v>
      </c>
      <c r="L600" s="99" t="s">
        <v>2217</v>
      </c>
      <c r="M600" s="99" t="s">
        <v>1</v>
      </c>
      <c r="N600" s="99" t="s">
        <v>3454</v>
      </c>
      <c r="O600" s="99" t="s">
        <v>70</v>
      </c>
      <c r="P600" s="99" t="s">
        <v>3904</v>
      </c>
      <c r="Q600" s="99" t="s">
        <v>247</v>
      </c>
      <c r="R600" s="99" t="s">
        <v>71</v>
      </c>
      <c r="S600" s="99" t="s">
        <v>2691</v>
      </c>
      <c r="T600" s="99" t="s">
        <v>49</v>
      </c>
      <c r="U600" s="99" t="s">
        <v>1511</v>
      </c>
      <c r="V600" s="99" t="s">
        <v>54</v>
      </c>
      <c r="W600" s="99" t="s">
        <v>4143</v>
      </c>
      <c r="X600" s="99" t="s">
        <v>4143</v>
      </c>
      <c r="Y600" s="99" t="s">
        <v>4711</v>
      </c>
      <c r="Z600" s="99" t="s">
        <v>172</v>
      </c>
      <c r="AA600" s="99" t="s">
        <v>173</v>
      </c>
      <c r="AB600" s="99" t="s">
        <v>174</v>
      </c>
      <c r="AC600" s="99" t="s">
        <v>3411</v>
      </c>
      <c r="AD600" s="99" t="s">
        <v>175</v>
      </c>
      <c r="AE600" s="99" t="s">
        <v>3411</v>
      </c>
      <c r="AF600" s="99" t="s">
        <v>3411</v>
      </c>
      <c r="AG600" s="124">
        <v>287</v>
      </c>
      <c r="AH600" s="99" t="s">
        <v>3413</v>
      </c>
      <c r="AI600" s="125">
        <v>100</v>
      </c>
      <c r="AJ600" s="99" t="s">
        <v>176</v>
      </c>
      <c r="AK600" s="99" t="s">
        <v>4143</v>
      </c>
      <c r="AL600" s="99" t="s">
        <v>3411</v>
      </c>
      <c r="AM600" s="99" t="s">
        <v>177</v>
      </c>
      <c r="AN600" s="99" t="s">
        <v>3411</v>
      </c>
      <c r="AO600" s="99" t="s">
        <v>2207</v>
      </c>
      <c r="AP600" s="99" t="s">
        <v>2570</v>
      </c>
      <c r="AQ600" s="99" t="s">
        <v>3411</v>
      </c>
      <c r="AR600" s="99" t="s">
        <v>3411</v>
      </c>
      <c r="AS600" s="99" t="s">
        <v>2218</v>
      </c>
      <c r="AT600" s="99" t="s">
        <v>190</v>
      </c>
      <c r="AU600" s="99" t="s">
        <v>191</v>
      </c>
      <c r="AV600" s="99" t="s">
        <v>3928</v>
      </c>
      <c r="AW600" s="99" t="s">
        <v>519</v>
      </c>
      <c r="AX600" s="99" t="s">
        <v>3420</v>
      </c>
      <c r="AY600" s="99" t="s">
        <v>252</v>
      </c>
      <c r="AZ600" s="99" t="s">
        <v>3416</v>
      </c>
      <c r="BA600" s="99" t="s">
        <v>4685</v>
      </c>
      <c r="BB600" s="99" t="s">
        <v>2949</v>
      </c>
      <c r="BC600" s="125">
        <v>59</v>
      </c>
      <c r="BD600" s="99" t="s">
        <v>3135</v>
      </c>
      <c r="BE600" s="99" t="s">
        <v>3136</v>
      </c>
    </row>
    <row r="601" spans="1:57" ht="12.95" customHeight="1">
      <c r="A601" s="124">
        <v>15</v>
      </c>
      <c r="B601" s="124">
        <v>1597</v>
      </c>
      <c r="C601" s="99" t="s">
        <v>165</v>
      </c>
      <c r="D601" s="99" t="s">
        <v>1477</v>
      </c>
      <c r="E601" s="99" t="s">
        <v>1478</v>
      </c>
      <c r="F601" s="99" t="s">
        <v>2127</v>
      </c>
      <c r="G601" s="99" t="s">
        <v>11</v>
      </c>
      <c r="H601" s="99" t="s">
        <v>4706</v>
      </c>
      <c r="I601" s="99" t="s">
        <v>2206</v>
      </c>
      <c r="J601" s="99" t="s">
        <v>2219</v>
      </c>
      <c r="K601" s="99" t="s">
        <v>820</v>
      </c>
      <c r="L601" s="99" t="s">
        <v>2220</v>
      </c>
      <c r="M601" s="99" t="s">
        <v>5</v>
      </c>
      <c r="N601" s="99" t="s">
        <v>3454</v>
      </c>
      <c r="O601" s="99" t="s">
        <v>70</v>
      </c>
      <c r="P601" s="99" t="s">
        <v>3904</v>
      </c>
      <c r="Q601" s="99" t="s">
        <v>247</v>
      </c>
      <c r="R601" s="99" t="s">
        <v>71</v>
      </c>
      <c r="S601" s="99" t="s">
        <v>2691</v>
      </c>
      <c r="T601" s="99" t="s">
        <v>49</v>
      </c>
      <c r="U601" s="99" t="s">
        <v>1492</v>
      </c>
      <c r="V601" s="99" t="s">
        <v>55</v>
      </c>
      <c r="W601" s="99" t="s">
        <v>3716</v>
      </c>
      <c r="X601" s="99" t="s">
        <v>3716</v>
      </c>
      <c r="Y601" s="99" t="s">
        <v>3634</v>
      </c>
      <c r="Z601" s="99" t="s">
        <v>172</v>
      </c>
      <c r="AA601" s="99" t="s">
        <v>173</v>
      </c>
      <c r="AB601" s="99" t="s">
        <v>174</v>
      </c>
      <c r="AC601" s="99" t="s">
        <v>3411</v>
      </c>
      <c r="AD601" s="99" t="s">
        <v>175</v>
      </c>
      <c r="AE601" s="99" t="s">
        <v>3411</v>
      </c>
      <c r="AF601" s="99" t="s">
        <v>3411</v>
      </c>
      <c r="AG601" s="124">
        <v>553</v>
      </c>
      <c r="AH601" s="99" t="s">
        <v>3413</v>
      </c>
      <c r="AI601" s="125">
        <v>100</v>
      </c>
      <c r="AJ601" s="99" t="s">
        <v>176</v>
      </c>
      <c r="AK601" s="99" t="s">
        <v>3716</v>
      </c>
      <c r="AL601" s="99" t="s">
        <v>3411</v>
      </c>
      <c r="AM601" s="99" t="s">
        <v>177</v>
      </c>
      <c r="AN601" s="99" t="s">
        <v>3411</v>
      </c>
      <c r="AO601" s="99" t="s">
        <v>2207</v>
      </c>
      <c r="AP601" s="99" t="s">
        <v>2570</v>
      </c>
      <c r="AQ601" s="99" t="s">
        <v>3411</v>
      </c>
      <c r="AR601" s="99" t="s">
        <v>3411</v>
      </c>
      <c r="AS601" s="99" t="s">
        <v>2221</v>
      </c>
      <c r="AT601" s="99" t="s">
        <v>190</v>
      </c>
      <c r="AU601" s="99" t="s">
        <v>191</v>
      </c>
      <c r="AV601" s="99" t="s">
        <v>3928</v>
      </c>
      <c r="AW601" s="99" t="s">
        <v>519</v>
      </c>
      <c r="AX601" s="99" t="s">
        <v>3420</v>
      </c>
      <c r="AY601" s="99" t="s">
        <v>252</v>
      </c>
      <c r="AZ601" s="99" t="s">
        <v>3416</v>
      </c>
      <c r="BA601" s="99" t="s">
        <v>4685</v>
      </c>
      <c r="BB601" s="99" t="s">
        <v>2949</v>
      </c>
      <c r="BC601" s="125">
        <v>54</v>
      </c>
      <c r="BD601" s="99" t="s">
        <v>3135</v>
      </c>
      <c r="BE601" s="99" t="s">
        <v>3136</v>
      </c>
    </row>
    <row r="602" spans="1:57" ht="12.95" customHeight="1">
      <c r="A602" s="124">
        <v>15</v>
      </c>
      <c r="B602" s="124">
        <v>1873</v>
      </c>
      <c r="C602" s="99" t="s">
        <v>165</v>
      </c>
      <c r="D602" s="99" t="s">
        <v>1477</v>
      </c>
      <c r="E602" s="99" t="s">
        <v>1478</v>
      </c>
      <c r="F602" s="99" t="s">
        <v>2127</v>
      </c>
      <c r="G602" s="99" t="s">
        <v>11</v>
      </c>
      <c r="H602" s="99" t="s">
        <v>4706</v>
      </c>
      <c r="I602" s="99" t="s">
        <v>2206</v>
      </c>
      <c r="J602" s="99" t="s">
        <v>2222</v>
      </c>
      <c r="K602" s="99" t="s">
        <v>2223</v>
      </c>
      <c r="L602" s="99" t="s">
        <v>2224</v>
      </c>
      <c r="M602" s="99" t="s">
        <v>5</v>
      </c>
      <c r="N602" s="99" t="s">
        <v>3454</v>
      </c>
      <c r="O602" s="99" t="s">
        <v>70</v>
      </c>
      <c r="P602" s="99" t="s">
        <v>3904</v>
      </c>
      <c r="Q602" s="99" t="s">
        <v>247</v>
      </c>
      <c r="R602" s="99" t="s">
        <v>71</v>
      </c>
      <c r="S602" s="99" t="s">
        <v>2691</v>
      </c>
      <c r="T602" s="99" t="s">
        <v>49</v>
      </c>
      <c r="U602" s="99" t="s">
        <v>1492</v>
      </c>
      <c r="V602" s="99" t="s">
        <v>55</v>
      </c>
      <c r="W602" s="99" t="s">
        <v>4712</v>
      </c>
      <c r="X602" s="99" t="s">
        <v>4712</v>
      </c>
      <c r="Y602" s="99" t="s">
        <v>4713</v>
      </c>
      <c r="Z602" s="99" t="s">
        <v>172</v>
      </c>
      <c r="AA602" s="99" t="s">
        <v>173</v>
      </c>
      <c r="AB602" s="99" t="s">
        <v>174</v>
      </c>
      <c r="AC602" s="99" t="s">
        <v>3411</v>
      </c>
      <c r="AD602" s="99" t="s">
        <v>175</v>
      </c>
      <c r="AE602" s="99" t="s">
        <v>3411</v>
      </c>
      <c r="AF602" s="99" t="s">
        <v>3411</v>
      </c>
      <c r="AG602" s="124">
        <v>363</v>
      </c>
      <c r="AH602" s="99" t="s">
        <v>3413</v>
      </c>
      <c r="AI602" s="125">
        <v>100</v>
      </c>
      <c r="AJ602" s="99" t="s">
        <v>176</v>
      </c>
      <c r="AK602" s="99" t="s">
        <v>4712</v>
      </c>
      <c r="AL602" s="99" t="s">
        <v>3411</v>
      </c>
      <c r="AM602" s="99" t="s">
        <v>177</v>
      </c>
      <c r="AN602" s="99" t="s">
        <v>3411</v>
      </c>
      <c r="AO602" s="99" t="s">
        <v>2207</v>
      </c>
      <c r="AP602" s="99" t="s">
        <v>2570</v>
      </c>
      <c r="AQ602" s="99" t="s">
        <v>3411</v>
      </c>
      <c r="AR602" s="99" t="s">
        <v>3411</v>
      </c>
      <c r="AS602" s="99" t="s">
        <v>2225</v>
      </c>
      <c r="AT602" s="99" t="s">
        <v>190</v>
      </c>
      <c r="AU602" s="99" t="s">
        <v>191</v>
      </c>
      <c r="AV602" s="99" t="s">
        <v>3928</v>
      </c>
      <c r="AW602" s="99" t="s">
        <v>519</v>
      </c>
      <c r="AX602" s="99" t="s">
        <v>3420</v>
      </c>
      <c r="AY602" s="99" t="s">
        <v>252</v>
      </c>
      <c r="AZ602" s="99" t="s">
        <v>3416</v>
      </c>
      <c r="BA602" s="99" t="s">
        <v>4685</v>
      </c>
      <c r="BB602" s="99" t="s">
        <v>2949</v>
      </c>
      <c r="BC602" s="125">
        <v>53</v>
      </c>
      <c r="BD602" s="99" t="s">
        <v>3135</v>
      </c>
      <c r="BE602" s="99" t="s">
        <v>3136</v>
      </c>
    </row>
    <row r="603" spans="1:57" ht="12.95" customHeight="1">
      <c r="A603" s="124">
        <v>15</v>
      </c>
      <c r="B603" s="124">
        <v>1393</v>
      </c>
      <c r="C603" s="99" t="s">
        <v>165</v>
      </c>
      <c r="D603" s="99" t="s">
        <v>1477</v>
      </c>
      <c r="E603" s="99" t="s">
        <v>1478</v>
      </c>
      <c r="F603" s="99" t="s">
        <v>2127</v>
      </c>
      <c r="G603" s="99" t="s">
        <v>11</v>
      </c>
      <c r="H603" s="99" t="s">
        <v>4706</v>
      </c>
      <c r="I603" s="99" t="s">
        <v>2206</v>
      </c>
      <c r="J603" s="99" t="s">
        <v>477</v>
      </c>
      <c r="K603" s="99" t="s">
        <v>695</v>
      </c>
      <c r="L603" s="99" t="s">
        <v>2226</v>
      </c>
      <c r="M603" s="99" t="s">
        <v>1</v>
      </c>
      <c r="N603" s="99" t="s">
        <v>3454</v>
      </c>
      <c r="O603" s="99" t="s">
        <v>70</v>
      </c>
      <c r="P603" s="99" t="s">
        <v>3904</v>
      </c>
      <c r="Q603" s="99" t="s">
        <v>247</v>
      </c>
      <c r="R603" s="99" t="s">
        <v>71</v>
      </c>
      <c r="S603" s="99" t="s">
        <v>2691</v>
      </c>
      <c r="T603" s="99" t="s">
        <v>49</v>
      </c>
      <c r="U603" s="99" t="s">
        <v>1492</v>
      </c>
      <c r="V603" s="99" t="s">
        <v>55</v>
      </c>
      <c r="W603" s="99" t="s">
        <v>4714</v>
      </c>
      <c r="X603" s="99" t="s">
        <v>4714</v>
      </c>
      <c r="Y603" s="99" t="s">
        <v>4715</v>
      </c>
      <c r="Z603" s="99" t="s">
        <v>172</v>
      </c>
      <c r="AA603" s="99" t="s">
        <v>173</v>
      </c>
      <c r="AB603" s="99" t="s">
        <v>174</v>
      </c>
      <c r="AC603" s="99" t="s">
        <v>3411</v>
      </c>
      <c r="AD603" s="99" t="s">
        <v>175</v>
      </c>
      <c r="AE603" s="99" t="s">
        <v>3411</v>
      </c>
      <c r="AF603" s="99" t="s">
        <v>3411</v>
      </c>
      <c r="AG603" s="124">
        <v>283</v>
      </c>
      <c r="AH603" s="99" t="s">
        <v>3413</v>
      </c>
      <c r="AI603" s="125">
        <v>100</v>
      </c>
      <c r="AJ603" s="99" t="s">
        <v>176</v>
      </c>
      <c r="AK603" s="99" t="s">
        <v>4714</v>
      </c>
      <c r="AL603" s="99" t="s">
        <v>3411</v>
      </c>
      <c r="AM603" s="99" t="s">
        <v>177</v>
      </c>
      <c r="AN603" s="99" t="s">
        <v>3411</v>
      </c>
      <c r="AO603" s="99" t="s">
        <v>2207</v>
      </c>
      <c r="AP603" s="99" t="s">
        <v>2570</v>
      </c>
      <c r="AQ603" s="99" t="s">
        <v>3411</v>
      </c>
      <c r="AR603" s="99" t="s">
        <v>1010</v>
      </c>
      <c r="AS603" s="99" t="s">
        <v>2227</v>
      </c>
      <c r="AT603" s="99" t="s">
        <v>190</v>
      </c>
      <c r="AU603" s="99" t="s">
        <v>191</v>
      </c>
      <c r="AV603" s="99" t="s">
        <v>3928</v>
      </c>
      <c r="AW603" s="99" t="s">
        <v>519</v>
      </c>
      <c r="AX603" s="99" t="s">
        <v>3771</v>
      </c>
      <c r="AY603" s="99" t="s">
        <v>252</v>
      </c>
      <c r="AZ603" s="99" t="s">
        <v>3416</v>
      </c>
      <c r="BA603" s="99" t="s">
        <v>4685</v>
      </c>
      <c r="BB603" s="99" t="s">
        <v>2949</v>
      </c>
      <c r="BC603" s="125">
        <v>61</v>
      </c>
      <c r="BD603" s="99" t="s">
        <v>3135</v>
      </c>
      <c r="BE603" s="99" t="s">
        <v>3136</v>
      </c>
    </row>
    <row r="604" spans="1:57" ht="12.95" customHeight="1">
      <c r="A604" s="124">
        <v>15</v>
      </c>
      <c r="B604" s="124">
        <v>1423</v>
      </c>
      <c r="C604" s="99" t="s">
        <v>165</v>
      </c>
      <c r="D604" s="99" t="s">
        <v>1477</v>
      </c>
      <c r="E604" s="99" t="s">
        <v>1478</v>
      </c>
      <c r="F604" s="99" t="s">
        <v>2127</v>
      </c>
      <c r="G604" s="99" t="s">
        <v>11</v>
      </c>
      <c r="H604" s="99" t="s">
        <v>2228</v>
      </c>
      <c r="I604" s="99" t="s">
        <v>2229</v>
      </c>
      <c r="J604" s="99" t="s">
        <v>2230</v>
      </c>
      <c r="K604" s="99" t="s">
        <v>257</v>
      </c>
      <c r="L604" s="99" t="s">
        <v>2231</v>
      </c>
      <c r="M604" s="99" t="s">
        <v>5</v>
      </c>
      <c r="N604" s="99" t="s">
        <v>3454</v>
      </c>
      <c r="O604" s="99" t="s">
        <v>70</v>
      </c>
      <c r="P604" s="99" t="s">
        <v>3904</v>
      </c>
      <c r="Q604" s="99" t="s">
        <v>247</v>
      </c>
      <c r="R604" s="99" t="s">
        <v>71</v>
      </c>
      <c r="S604" s="99" t="s">
        <v>2691</v>
      </c>
      <c r="T604" s="99" t="s">
        <v>49</v>
      </c>
      <c r="U604" s="99" t="s">
        <v>1511</v>
      </c>
      <c r="V604" s="99" t="s">
        <v>54</v>
      </c>
      <c r="W604" s="99" t="s">
        <v>4189</v>
      </c>
      <c r="X604" s="99" t="s">
        <v>4189</v>
      </c>
      <c r="Y604" s="99" t="s">
        <v>4716</v>
      </c>
      <c r="Z604" s="99" t="s">
        <v>172</v>
      </c>
      <c r="AA604" s="99" t="s">
        <v>173</v>
      </c>
      <c r="AB604" s="99" t="s">
        <v>174</v>
      </c>
      <c r="AC604" s="99" t="s">
        <v>3411</v>
      </c>
      <c r="AD604" s="99" t="s">
        <v>175</v>
      </c>
      <c r="AE604" s="99" t="s">
        <v>3411</v>
      </c>
      <c r="AF604" s="99" t="s">
        <v>3411</v>
      </c>
      <c r="AG604" s="124">
        <v>294</v>
      </c>
      <c r="AH604" s="99" t="s">
        <v>3413</v>
      </c>
      <c r="AI604" s="125">
        <v>100</v>
      </c>
      <c r="AJ604" s="99" t="s">
        <v>176</v>
      </c>
      <c r="AK604" s="99" t="s">
        <v>4189</v>
      </c>
      <c r="AL604" s="99" t="s">
        <v>3411</v>
      </c>
      <c r="AM604" s="99" t="s">
        <v>177</v>
      </c>
      <c r="AN604" s="99" t="s">
        <v>3411</v>
      </c>
      <c r="AO604" s="99" t="s">
        <v>2232</v>
      </c>
      <c r="AP604" s="99" t="s">
        <v>2570</v>
      </c>
      <c r="AQ604" s="99" t="s">
        <v>3411</v>
      </c>
      <c r="AR604" s="99" t="s">
        <v>3411</v>
      </c>
      <c r="AS604" s="99" t="s">
        <v>2233</v>
      </c>
      <c r="AT604" s="99" t="s">
        <v>190</v>
      </c>
      <c r="AU604" s="99" t="s">
        <v>191</v>
      </c>
      <c r="AV604" s="99" t="s">
        <v>3414</v>
      </c>
      <c r="AW604" s="99" t="s">
        <v>180</v>
      </c>
      <c r="AX604" s="99" t="s">
        <v>3420</v>
      </c>
      <c r="AY604" s="99" t="s">
        <v>252</v>
      </c>
      <c r="AZ604" s="99" t="s">
        <v>3416</v>
      </c>
      <c r="BA604" s="99" t="s">
        <v>4685</v>
      </c>
      <c r="BB604" s="99" t="s">
        <v>2949</v>
      </c>
      <c r="BC604" s="125">
        <v>56</v>
      </c>
      <c r="BD604" s="99" t="s">
        <v>3135</v>
      </c>
      <c r="BE604" s="99" t="s">
        <v>3136</v>
      </c>
    </row>
    <row r="605" spans="1:57" ht="12.95" customHeight="1">
      <c r="A605" s="124">
        <v>15</v>
      </c>
      <c r="B605" s="124">
        <v>1267</v>
      </c>
      <c r="C605" s="99" t="s">
        <v>165</v>
      </c>
      <c r="D605" s="99" t="s">
        <v>1477</v>
      </c>
      <c r="E605" s="99" t="s">
        <v>1478</v>
      </c>
      <c r="F605" s="99" t="s">
        <v>2127</v>
      </c>
      <c r="G605" s="99" t="s">
        <v>11</v>
      </c>
      <c r="H605" s="99" t="s">
        <v>2228</v>
      </c>
      <c r="I605" s="99" t="s">
        <v>2229</v>
      </c>
      <c r="J605" s="99" t="s">
        <v>2234</v>
      </c>
      <c r="K605" s="99" t="s">
        <v>2235</v>
      </c>
      <c r="L605" s="99" t="s">
        <v>2236</v>
      </c>
      <c r="M605" s="99" t="s">
        <v>5</v>
      </c>
      <c r="N605" s="99" t="s">
        <v>3454</v>
      </c>
      <c r="O605" s="99" t="s">
        <v>70</v>
      </c>
      <c r="P605" s="99" t="s">
        <v>3904</v>
      </c>
      <c r="Q605" s="99" t="s">
        <v>247</v>
      </c>
      <c r="R605" s="99" t="s">
        <v>71</v>
      </c>
      <c r="S605" s="99" t="s">
        <v>2691</v>
      </c>
      <c r="T605" s="99" t="s">
        <v>49</v>
      </c>
      <c r="U605" s="99" t="s">
        <v>1511</v>
      </c>
      <c r="V605" s="99" t="s">
        <v>54</v>
      </c>
      <c r="W605" s="99" t="s">
        <v>4698</v>
      </c>
      <c r="X605" s="99" t="s">
        <v>4698</v>
      </c>
      <c r="Y605" s="99" t="s">
        <v>4717</v>
      </c>
      <c r="Z605" s="99" t="s">
        <v>172</v>
      </c>
      <c r="AA605" s="99" t="s">
        <v>173</v>
      </c>
      <c r="AB605" s="99" t="s">
        <v>174</v>
      </c>
      <c r="AC605" s="99" t="s">
        <v>3411</v>
      </c>
      <c r="AD605" s="99" t="s">
        <v>175</v>
      </c>
      <c r="AE605" s="99" t="s">
        <v>3411</v>
      </c>
      <c r="AF605" s="99" t="s">
        <v>3411</v>
      </c>
      <c r="AG605" s="124">
        <v>269</v>
      </c>
      <c r="AH605" s="99" t="s">
        <v>3413</v>
      </c>
      <c r="AI605" s="125">
        <v>100</v>
      </c>
      <c r="AJ605" s="99" t="s">
        <v>176</v>
      </c>
      <c r="AK605" s="99" t="s">
        <v>4698</v>
      </c>
      <c r="AL605" s="99" t="s">
        <v>3411</v>
      </c>
      <c r="AM605" s="99" t="s">
        <v>177</v>
      </c>
      <c r="AN605" s="99" t="s">
        <v>3411</v>
      </c>
      <c r="AO605" s="99" t="s">
        <v>2232</v>
      </c>
      <c r="AP605" s="99" t="s">
        <v>2570</v>
      </c>
      <c r="AQ605" s="99" t="s">
        <v>3411</v>
      </c>
      <c r="AR605" s="99" t="s">
        <v>1010</v>
      </c>
      <c r="AS605" s="99" t="s">
        <v>2237</v>
      </c>
      <c r="AT605" s="99" t="s">
        <v>190</v>
      </c>
      <c r="AU605" s="99" t="s">
        <v>191</v>
      </c>
      <c r="AV605" s="99" t="s">
        <v>3581</v>
      </c>
      <c r="AW605" s="99" t="s">
        <v>529</v>
      </c>
      <c r="AX605" s="99" t="s">
        <v>3420</v>
      </c>
      <c r="AY605" s="99" t="s">
        <v>252</v>
      </c>
      <c r="AZ605" s="99" t="s">
        <v>3416</v>
      </c>
      <c r="BA605" s="99" t="s">
        <v>4685</v>
      </c>
      <c r="BB605" s="99" t="s">
        <v>2949</v>
      </c>
      <c r="BC605" s="125">
        <v>58</v>
      </c>
      <c r="BD605" s="99" t="s">
        <v>3135</v>
      </c>
      <c r="BE605" s="99" t="s">
        <v>3136</v>
      </c>
    </row>
    <row r="606" spans="1:57" ht="12.95" customHeight="1">
      <c r="A606" s="124">
        <v>15</v>
      </c>
      <c r="B606" s="124">
        <v>1510</v>
      </c>
      <c r="C606" s="99" t="s">
        <v>165</v>
      </c>
      <c r="D606" s="99" t="s">
        <v>1477</v>
      </c>
      <c r="E606" s="99" t="s">
        <v>1478</v>
      </c>
      <c r="F606" s="99" t="s">
        <v>2127</v>
      </c>
      <c r="G606" s="99" t="s">
        <v>11</v>
      </c>
      <c r="H606" s="99" t="s">
        <v>2228</v>
      </c>
      <c r="I606" s="99" t="s">
        <v>2229</v>
      </c>
      <c r="J606" s="99" t="s">
        <v>2238</v>
      </c>
      <c r="K606" s="99" t="s">
        <v>483</v>
      </c>
      <c r="L606" s="99" t="s">
        <v>2239</v>
      </c>
      <c r="M606" s="99" t="s">
        <v>5</v>
      </c>
      <c r="N606" s="99" t="s">
        <v>3454</v>
      </c>
      <c r="O606" s="99" t="s">
        <v>70</v>
      </c>
      <c r="P606" s="99" t="s">
        <v>3904</v>
      </c>
      <c r="Q606" s="99" t="s">
        <v>247</v>
      </c>
      <c r="R606" s="99" t="s">
        <v>71</v>
      </c>
      <c r="S606" s="99" t="s">
        <v>2691</v>
      </c>
      <c r="T606" s="99" t="s">
        <v>49</v>
      </c>
      <c r="U606" s="99" t="s">
        <v>1492</v>
      </c>
      <c r="V606" s="99" t="s">
        <v>55</v>
      </c>
      <c r="W606" s="99" t="s">
        <v>4255</v>
      </c>
      <c r="X606" s="99" t="s">
        <v>4255</v>
      </c>
      <c r="Y606" s="99" t="s">
        <v>4718</v>
      </c>
      <c r="Z606" s="99" t="s">
        <v>172</v>
      </c>
      <c r="AA606" s="99" t="s">
        <v>173</v>
      </c>
      <c r="AB606" s="99" t="s">
        <v>174</v>
      </c>
      <c r="AC606" s="99" t="s">
        <v>3411</v>
      </c>
      <c r="AD606" s="99" t="s">
        <v>175</v>
      </c>
      <c r="AE606" s="99" t="s">
        <v>3411</v>
      </c>
      <c r="AF606" s="99" t="s">
        <v>3411</v>
      </c>
      <c r="AG606" s="124">
        <v>309</v>
      </c>
      <c r="AH606" s="99" t="s">
        <v>3413</v>
      </c>
      <c r="AI606" s="125">
        <v>100</v>
      </c>
      <c r="AJ606" s="99" t="s">
        <v>176</v>
      </c>
      <c r="AK606" s="99" t="s">
        <v>4255</v>
      </c>
      <c r="AL606" s="99" t="s">
        <v>3411</v>
      </c>
      <c r="AM606" s="99" t="s">
        <v>177</v>
      </c>
      <c r="AN606" s="99" t="s">
        <v>3411</v>
      </c>
      <c r="AO606" s="99" t="s">
        <v>2232</v>
      </c>
      <c r="AP606" s="99" t="s">
        <v>2570</v>
      </c>
      <c r="AQ606" s="99" t="s">
        <v>3411</v>
      </c>
      <c r="AR606" s="99" t="s">
        <v>3411</v>
      </c>
      <c r="AS606" s="99" t="s">
        <v>2240</v>
      </c>
      <c r="AT606" s="99" t="s">
        <v>190</v>
      </c>
      <c r="AU606" s="99" t="s">
        <v>191</v>
      </c>
      <c r="AV606" s="99" t="s">
        <v>3581</v>
      </c>
      <c r="AW606" s="99" t="s">
        <v>529</v>
      </c>
      <c r="AX606" s="99" t="s">
        <v>3420</v>
      </c>
      <c r="AY606" s="99" t="s">
        <v>252</v>
      </c>
      <c r="AZ606" s="99" t="s">
        <v>3416</v>
      </c>
      <c r="BA606" s="99" t="s">
        <v>4685</v>
      </c>
      <c r="BB606" s="99" t="s">
        <v>2949</v>
      </c>
      <c r="BC606" s="125">
        <v>61</v>
      </c>
      <c r="BD606" s="99" t="s">
        <v>3135</v>
      </c>
      <c r="BE606" s="99" t="s">
        <v>3136</v>
      </c>
    </row>
    <row r="607" spans="1:57" ht="12.95" customHeight="1">
      <c r="A607" s="124">
        <v>15</v>
      </c>
      <c r="B607" s="124">
        <v>1747</v>
      </c>
      <c r="C607" s="99" t="s">
        <v>165</v>
      </c>
      <c r="D607" s="99" t="s">
        <v>1477</v>
      </c>
      <c r="E607" s="99" t="s">
        <v>1478</v>
      </c>
      <c r="F607" s="99" t="s">
        <v>2127</v>
      </c>
      <c r="G607" s="99" t="s">
        <v>11</v>
      </c>
      <c r="H607" s="99" t="s">
        <v>2228</v>
      </c>
      <c r="I607" s="99" t="s">
        <v>2229</v>
      </c>
      <c r="J607" s="99" t="s">
        <v>2241</v>
      </c>
      <c r="K607" s="99" t="s">
        <v>402</v>
      </c>
      <c r="L607" s="99" t="s">
        <v>2242</v>
      </c>
      <c r="M607" s="99" t="s">
        <v>1</v>
      </c>
      <c r="N607" s="99" t="s">
        <v>3454</v>
      </c>
      <c r="O607" s="99" t="s">
        <v>70</v>
      </c>
      <c r="P607" s="99" t="s">
        <v>3904</v>
      </c>
      <c r="Q607" s="99" t="s">
        <v>247</v>
      </c>
      <c r="R607" s="99" t="s">
        <v>71</v>
      </c>
      <c r="S607" s="99" t="s">
        <v>2691</v>
      </c>
      <c r="T607" s="99" t="s">
        <v>49</v>
      </c>
      <c r="U607" s="99" t="s">
        <v>1511</v>
      </c>
      <c r="V607" s="99" t="s">
        <v>54</v>
      </c>
      <c r="W607" s="99" t="s">
        <v>3668</v>
      </c>
      <c r="X607" s="99" t="s">
        <v>3668</v>
      </c>
      <c r="Y607" s="99" t="s">
        <v>4719</v>
      </c>
      <c r="Z607" s="99" t="s">
        <v>172</v>
      </c>
      <c r="AA607" s="99" t="s">
        <v>173</v>
      </c>
      <c r="AB607" s="99" t="s">
        <v>174</v>
      </c>
      <c r="AC607" s="99" t="s">
        <v>3411</v>
      </c>
      <c r="AD607" s="99" t="s">
        <v>175</v>
      </c>
      <c r="AE607" s="99" t="s">
        <v>3411</v>
      </c>
      <c r="AF607" s="99" t="s">
        <v>3411</v>
      </c>
      <c r="AG607" s="124">
        <v>343</v>
      </c>
      <c r="AH607" s="99" t="s">
        <v>3413</v>
      </c>
      <c r="AI607" s="125">
        <v>100</v>
      </c>
      <c r="AJ607" s="99" t="s">
        <v>176</v>
      </c>
      <c r="AK607" s="99" t="s">
        <v>3668</v>
      </c>
      <c r="AL607" s="99" t="s">
        <v>3411</v>
      </c>
      <c r="AM607" s="99" t="s">
        <v>177</v>
      </c>
      <c r="AN607" s="99" t="s">
        <v>3411</v>
      </c>
      <c r="AO607" s="99" t="s">
        <v>2232</v>
      </c>
      <c r="AP607" s="99" t="s">
        <v>2570</v>
      </c>
      <c r="AQ607" s="99" t="s">
        <v>3411</v>
      </c>
      <c r="AR607" s="99" t="s">
        <v>1010</v>
      </c>
      <c r="AS607" s="99" t="s">
        <v>2243</v>
      </c>
      <c r="AT607" s="99" t="s">
        <v>190</v>
      </c>
      <c r="AU607" s="99" t="s">
        <v>191</v>
      </c>
      <c r="AV607" s="99" t="s">
        <v>3581</v>
      </c>
      <c r="AW607" s="99" t="s">
        <v>529</v>
      </c>
      <c r="AX607" s="99" t="s">
        <v>3420</v>
      </c>
      <c r="AY607" s="99" t="s">
        <v>252</v>
      </c>
      <c r="AZ607" s="99" t="s">
        <v>3416</v>
      </c>
      <c r="BA607" s="99" t="s">
        <v>4685</v>
      </c>
      <c r="BB607" s="99" t="s">
        <v>2949</v>
      </c>
      <c r="BC607" s="125">
        <v>55</v>
      </c>
      <c r="BD607" s="99" t="s">
        <v>3135</v>
      </c>
      <c r="BE607" s="99" t="s">
        <v>3136</v>
      </c>
    </row>
    <row r="608" spans="1:57" ht="12.95" customHeight="1">
      <c r="A608" s="124">
        <v>15</v>
      </c>
      <c r="B608" s="124">
        <v>1119</v>
      </c>
      <c r="C608" s="99" t="s">
        <v>165</v>
      </c>
      <c r="D608" s="99" t="s">
        <v>1477</v>
      </c>
      <c r="E608" s="99" t="s">
        <v>1478</v>
      </c>
      <c r="F608" s="99" t="s">
        <v>2127</v>
      </c>
      <c r="G608" s="99" t="s">
        <v>11</v>
      </c>
      <c r="H608" s="99" t="s">
        <v>2228</v>
      </c>
      <c r="I608" s="99" t="s">
        <v>2229</v>
      </c>
      <c r="J608" s="99" t="s">
        <v>2244</v>
      </c>
      <c r="K608" s="99" t="s">
        <v>278</v>
      </c>
      <c r="L608" s="99" t="s">
        <v>2245</v>
      </c>
      <c r="M608" s="99" t="s">
        <v>5</v>
      </c>
      <c r="N608" s="99" t="s">
        <v>3454</v>
      </c>
      <c r="O608" s="99" t="s">
        <v>70</v>
      </c>
      <c r="P608" s="99" t="s">
        <v>3904</v>
      </c>
      <c r="Q608" s="99" t="s">
        <v>247</v>
      </c>
      <c r="R608" s="99" t="s">
        <v>71</v>
      </c>
      <c r="S608" s="99" t="s">
        <v>2691</v>
      </c>
      <c r="T608" s="99" t="s">
        <v>49</v>
      </c>
      <c r="U608" s="99" t="s">
        <v>1492</v>
      </c>
      <c r="V608" s="99" t="s">
        <v>55</v>
      </c>
      <c r="W608" s="99" t="s">
        <v>4720</v>
      </c>
      <c r="X608" s="99" t="s">
        <v>4720</v>
      </c>
      <c r="Y608" s="99" t="s">
        <v>4721</v>
      </c>
      <c r="Z608" s="99" t="s">
        <v>172</v>
      </c>
      <c r="AA608" s="99" t="s">
        <v>173</v>
      </c>
      <c r="AB608" s="99" t="s">
        <v>174</v>
      </c>
      <c r="AC608" s="99" t="s">
        <v>3411</v>
      </c>
      <c r="AD608" s="99" t="s">
        <v>175</v>
      </c>
      <c r="AE608" s="99" t="s">
        <v>3411</v>
      </c>
      <c r="AF608" s="99" t="s">
        <v>3411</v>
      </c>
      <c r="AG608" s="124">
        <v>240</v>
      </c>
      <c r="AH608" s="99" t="s">
        <v>3413</v>
      </c>
      <c r="AI608" s="125">
        <v>100</v>
      </c>
      <c r="AJ608" s="99" t="s">
        <v>176</v>
      </c>
      <c r="AK608" s="99" t="s">
        <v>4720</v>
      </c>
      <c r="AL608" s="99" t="s">
        <v>3411</v>
      </c>
      <c r="AM608" s="99" t="s">
        <v>177</v>
      </c>
      <c r="AN608" s="99" t="s">
        <v>3411</v>
      </c>
      <c r="AO608" s="99" t="s">
        <v>2232</v>
      </c>
      <c r="AP608" s="99" t="s">
        <v>2570</v>
      </c>
      <c r="AQ608" s="99" t="s">
        <v>3411</v>
      </c>
      <c r="AR608" s="99" t="s">
        <v>1010</v>
      </c>
      <c r="AS608" s="99" t="s">
        <v>2246</v>
      </c>
      <c r="AT608" s="99" t="s">
        <v>190</v>
      </c>
      <c r="AU608" s="99" t="s">
        <v>191</v>
      </c>
      <c r="AV608" s="99" t="s">
        <v>3928</v>
      </c>
      <c r="AW608" s="99" t="s">
        <v>519</v>
      </c>
      <c r="AX608" s="99" t="s">
        <v>3420</v>
      </c>
      <c r="AY608" s="99" t="s">
        <v>252</v>
      </c>
      <c r="AZ608" s="99" t="s">
        <v>3416</v>
      </c>
      <c r="BA608" s="99" t="s">
        <v>4685</v>
      </c>
      <c r="BB608" s="99" t="s">
        <v>2949</v>
      </c>
      <c r="BC608" s="125">
        <v>55</v>
      </c>
      <c r="BD608" s="99" t="s">
        <v>3135</v>
      </c>
      <c r="BE608" s="99" t="s">
        <v>3136</v>
      </c>
    </row>
    <row r="609" spans="1:57" ht="12.95" customHeight="1">
      <c r="A609" s="124">
        <v>15</v>
      </c>
      <c r="B609" s="124">
        <v>1454</v>
      </c>
      <c r="C609" s="99" t="s">
        <v>165</v>
      </c>
      <c r="D609" s="99" t="s">
        <v>1477</v>
      </c>
      <c r="E609" s="99" t="s">
        <v>1478</v>
      </c>
      <c r="F609" s="99" t="s">
        <v>2127</v>
      </c>
      <c r="G609" s="99" t="s">
        <v>11</v>
      </c>
      <c r="H609" s="99" t="s">
        <v>2228</v>
      </c>
      <c r="I609" s="99" t="s">
        <v>2229</v>
      </c>
      <c r="J609" s="99" t="s">
        <v>2247</v>
      </c>
      <c r="K609" s="99" t="s">
        <v>2248</v>
      </c>
      <c r="L609" s="99" t="s">
        <v>2249</v>
      </c>
      <c r="M609" s="99" t="s">
        <v>1</v>
      </c>
      <c r="N609" s="99" t="s">
        <v>3454</v>
      </c>
      <c r="O609" s="99" t="s">
        <v>70</v>
      </c>
      <c r="P609" s="99" t="s">
        <v>3904</v>
      </c>
      <c r="Q609" s="99" t="s">
        <v>247</v>
      </c>
      <c r="R609" s="99" t="s">
        <v>71</v>
      </c>
      <c r="S609" s="99" t="s">
        <v>2691</v>
      </c>
      <c r="T609" s="99" t="s">
        <v>49</v>
      </c>
      <c r="U609" s="99" t="s">
        <v>1492</v>
      </c>
      <c r="V609" s="99" t="s">
        <v>55</v>
      </c>
      <c r="W609" s="99" t="s">
        <v>4722</v>
      </c>
      <c r="X609" s="99" t="s">
        <v>4722</v>
      </c>
      <c r="Y609" s="99" t="s">
        <v>4723</v>
      </c>
      <c r="Z609" s="99" t="s">
        <v>172</v>
      </c>
      <c r="AA609" s="99" t="s">
        <v>173</v>
      </c>
      <c r="AB609" s="99" t="s">
        <v>174</v>
      </c>
      <c r="AC609" s="99" t="s">
        <v>3411</v>
      </c>
      <c r="AD609" s="99" t="s">
        <v>175</v>
      </c>
      <c r="AE609" s="99" t="s">
        <v>3411</v>
      </c>
      <c r="AF609" s="99" t="s">
        <v>3411</v>
      </c>
      <c r="AG609" s="124">
        <v>299</v>
      </c>
      <c r="AH609" s="99" t="s">
        <v>3413</v>
      </c>
      <c r="AI609" s="125">
        <v>100</v>
      </c>
      <c r="AJ609" s="99" t="s">
        <v>176</v>
      </c>
      <c r="AK609" s="99" t="s">
        <v>4722</v>
      </c>
      <c r="AL609" s="99" t="s">
        <v>3411</v>
      </c>
      <c r="AM609" s="99" t="s">
        <v>177</v>
      </c>
      <c r="AN609" s="99" t="s">
        <v>3411</v>
      </c>
      <c r="AO609" s="99" t="s">
        <v>2232</v>
      </c>
      <c r="AP609" s="99" t="s">
        <v>2570</v>
      </c>
      <c r="AQ609" s="99" t="s">
        <v>3411</v>
      </c>
      <c r="AR609" s="99" t="s">
        <v>3411</v>
      </c>
      <c r="AS609" s="99" t="s">
        <v>2250</v>
      </c>
      <c r="AT609" s="99" t="s">
        <v>190</v>
      </c>
      <c r="AU609" s="99" t="s">
        <v>191</v>
      </c>
      <c r="AV609" s="99" t="s">
        <v>3928</v>
      </c>
      <c r="AW609" s="99" t="s">
        <v>519</v>
      </c>
      <c r="AX609" s="99" t="s">
        <v>3420</v>
      </c>
      <c r="AY609" s="99" t="s">
        <v>252</v>
      </c>
      <c r="AZ609" s="99" t="s">
        <v>3416</v>
      </c>
      <c r="BA609" s="99" t="s">
        <v>4685</v>
      </c>
      <c r="BB609" s="99" t="s">
        <v>2949</v>
      </c>
      <c r="BC609" s="125">
        <v>55</v>
      </c>
      <c r="BD609" s="99" t="s">
        <v>3135</v>
      </c>
      <c r="BE609" s="99" t="s">
        <v>3136</v>
      </c>
    </row>
    <row r="610" spans="1:57" ht="12.95" customHeight="1">
      <c r="A610" s="124">
        <v>15</v>
      </c>
      <c r="B610" s="124">
        <v>1730</v>
      </c>
      <c r="C610" s="99" t="s">
        <v>165</v>
      </c>
      <c r="D610" s="99" t="s">
        <v>1477</v>
      </c>
      <c r="E610" s="99" t="s">
        <v>1478</v>
      </c>
      <c r="F610" s="99" t="s">
        <v>2127</v>
      </c>
      <c r="G610" s="99" t="s">
        <v>11</v>
      </c>
      <c r="H610" s="99" t="s">
        <v>2228</v>
      </c>
      <c r="I610" s="99" t="s">
        <v>2229</v>
      </c>
      <c r="J610" s="99" t="s">
        <v>2251</v>
      </c>
      <c r="K610" s="99" t="s">
        <v>668</v>
      </c>
      <c r="L610" s="99" t="s">
        <v>2252</v>
      </c>
      <c r="M610" s="99" t="s">
        <v>1</v>
      </c>
      <c r="N610" s="99" t="s">
        <v>3454</v>
      </c>
      <c r="O610" s="99" t="s">
        <v>70</v>
      </c>
      <c r="P610" s="99" t="s">
        <v>3904</v>
      </c>
      <c r="Q610" s="99" t="s">
        <v>247</v>
      </c>
      <c r="R610" s="99" t="s">
        <v>71</v>
      </c>
      <c r="S610" s="99" t="s">
        <v>2691</v>
      </c>
      <c r="T610" s="99" t="s">
        <v>49</v>
      </c>
      <c r="U610" s="99" t="s">
        <v>1492</v>
      </c>
      <c r="V610" s="99" t="s">
        <v>55</v>
      </c>
      <c r="W610" s="99" t="s">
        <v>3563</v>
      </c>
      <c r="X610" s="99" t="s">
        <v>3563</v>
      </c>
      <c r="Y610" s="99" t="s">
        <v>4724</v>
      </c>
      <c r="Z610" s="99" t="s">
        <v>172</v>
      </c>
      <c r="AA610" s="99" t="s">
        <v>173</v>
      </c>
      <c r="AB610" s="99" t="s">
        <v>174</v>
      </c>
      <c r="AC610" s="99" t="s">
        <v>3411</v>
      </c>
      <c r="AD610" s="99" t="s">
        <v>175</v>
      </c>
      <c r="AE610" s="99" t="s">
        <v>3411</v>
      </c>
      <c r="AF610" s="99" t="s">
        <v>3411</v>
      </c>
      <c r="AG610" s="124">
        <v>335</v>
      </c>
      <c r="AH610" s="99" t="s">
        <v>3413</v>
      </c>
      <c r="AI610" s="125">
        <v>100</v>
      </c>
      <c r="AJ610" s="99" t="s">
        <v>176</v>
      </c>
      <c r="AK610" s="99" t="s">
        <v>4725</v>
      </c>
      <c r="AL610" s="99" t="s">
        <v>3411</v>
      </c>
      <c r="AM610" s="99" t="s">
        <v>177</v>
      </c>
      <c r="AN610" s="99" t="s">
        <v>3411</v>
      </c>
      <c r="AO610" s="99" t="s">
        <v>2232</v>
      </c>
      <c r="AP610" s="99" t="s">
        <v>2570</v>
      </c>
      <c r="AQ610" s="99" t="s">
        <v>3411</v>
      </c>
      <c r="AR610" s="99" t="s">
        <v>3411</v>
      </c>
      <c r="AS610" s="99" t="s">
        <v>2253</v>
      </c>
      <c r="AT610" s="99" t="s">
        <v>190</v>
      </c>
      <c r="AU610" s="99" t="s">
        <v>191</v>
      </c>
      <c r="AV610" s="99" t="s">
        <v>3928</v>
      </c>
      <c r="AW610" s="99" t="s">
        <v>519</v>
      </c>
      <c r="AX610" s="99" t="s">
        <v>3420</v>
      </c>
      <c r="AY610" s="99" t="s">
        <v>252</v>
      </c>
      <c r="AZ610" s="99" t="s">
        <v>3416</v>
      </c>
      <c r="BA610" s="99" t="s">
        <v>4685</v>
      </c>
      <c r="BB610" s="99" t="s">
        <v>2949</v>
      </c>
      <c r="BC610" s="125">
        <v>52</v>
      </c>
      <c r="BD610" s="99" t="s">
        <v>3135</v>
      </c>
      <c r="BE610" s="99" t="s">
        <v>3136</v>
      </c>
    </row>
    <row r="611" spans="1:57" ht="12.95" customHeight="1">
      <c r="A611" s="124">
        <v>15</v>
      </c>
      <c r="B611" s="124">
        <v>2084</v>
      </c>
      <c r="C611" s="99" t="s">
        <v>165</v>
      </c>
      <c r="D611" s="99" t="s">
        <v>1477</v>
      </c>
      <c r="E611" s="99" t="s">
        <v>1478</v>
      </c>
      <c r="F611" s="99" t="s">
        <v>2127</v>
      </c>
      <c r="G611" s="99" t="s">
        <v>11</v>
      </c>
      <c r="H611" s="99" t="s">
        <v>2228</v>
      </c>
      <c r="I611" s="99" t="s">
        <v>2229</v>
      </c>
      <c r="J611" s="99" t="s">
        <v>2254</v>
      </c>
      <c r="K611" s="99" t="s">
        <v>798</v>
      </c>
      <c r="L611" s="99" t="s">
        <v>2255</v>
      </c>
      <c r="M611" s="99" t="s">
        <v>5</v>
      </c>
      <c r="N611" s="99" t="s">
        <v>3454</v>
      </c>
      <c r="O611" s="99" t="s">
        <v>70</v>
      </c>
      <c r="P611" s="99" t="s">
        <v>3904</v>
      </c>
      <c r="Q611" s="99" t="s">
        <v>247</v>
      </c>
      <c r="R611" s="99" t="s">
        <v>71</v>
      </c>
      <c r="S611" s="99" t="s">
        <v>2691</v>
      </c>
      <c r="T611" s="99" t="s">
        <v>49</v>
      </c>
      <c r="U611" s="99" t="s">
        <v>1492</v>
      </c>
      <c r="V611" s="99" t="s">
        <v>55</v>
      </c>
      <c r="W611" s="99" t="s">
        <v>4726</v>
      </c>
      <c r="X611" s="99" t="s">
        <v>4726</v>
      </c>
      <c r="Y611" s="99" t="s">
        <v>4727</v>
      </c>
      <c r="Z611" s="99" t="s">
        <v>172</v>
      </c>
      <c r="AA611" s="99" t="s">
        <v>173</v>
      </c>
      <c r="AB611" s="99" t="s">
        <v>174</v>
      </c>
      <c r="AC611" s="99" t="s">
        <v>3411</v>
      </c>
      <c r="AD611" s="99" t="s">
        <v>175</v>
      </c>
      <c r="AE611" s="99" t="s">
        <v>3411</v>
      </c>
      <c r="AF611" s="99" t="s">
        <v>3411</v>
      </c>
      <c r="AG611" s="124">
        <v>481</v>
      </c>
      <c r="AH611" s="99" t="s">
        <v>3413</v>
      </c>
      <c r="AI611" s="125">
        <v>100</v>
      </c>
      <c r="AJ611" s="99" t="s">
        <v>176</v>
      </c>
      <c r="AK611" s="99" t="s">
        <v>4726</v>
      </c>
      <c r="AL611" s="99" t="s">
        <v>3411</v>
      </c>
      <c r="AM611" s="99" t="s">
        <v>177</v>
      </c>
      <c r="AN611" s="99" t="s">
        <v>3411</v>
      </c>
      <c r="AO611" s="99" t="s">
        <v>2232</v>
      </c>
      <c r="AP611" s="99" t="s">
        <v>2570</v>
      </c>
      <c r="AQ611" s="99" t="s">
        <v>3411</v>
      </c>
      <c r="AR611" s="99" t="s">
        <v>1010</v>
      </c>
      <c r="AS611" s="99" t="s">
        <v>2256</v>
      </c>
      <c r="AT611" s="99" t="s">
        <v>190</v>
      </c>
      <c r="AU611" s="99" t="s">
        <v>191</v>
      </c>
      <c r="AV611" s="99" t="s">
        <v>3928</v>
      </c>
      <c r="AW611" s="99" t="s">
        <v>519</v>
      </c>
      <c r="AX611" s="99" t="s">
        <v>3420</v>
      </c>
      <c r="AY611" s="99" t="s">
        <v>252</v>
      </c>
      <c r="AZ611" s="99" t="s">
        <v>3416</v>
      </c>
      <c r="BA611" s="99" t="s">
        <v>4685</v>
      </c>
      <c r="BB611" s="99" t="s">
        <v>2949</v>
      </c>
      <c r="BC611" s="125">
        <v>50</v>
      </c>
      <c r="BD611" s="99" t="s">
        <v>3135</v>
      </c>
      <c r="BE611" s="99" t="s">
        <v>3136</v>
      </c>
    </row>
    <row r="612" spans="1:57" ht="12.95" customHeight="1">
      <c r="A612" s="124">
        <v>15</v>
      </c>
      <c r="B612" s="124">
        <v>1208</v>
      </c>
      <c r="C612" s="99" t="s">
        <v>165</v>
      </c>
      <c r="D612" s="99" t="s">
        <v>1477</v>
      </c>
      <c r="E612" s="99" t="s">
        <v>1478</v>
      </c>
      <c r="F612" s="99" t="s">
        <v>2127</v>
      </c>
      <c r="G612" s="99" t="s">
        <v>11</v>
      </c>
      <c r="H612" s="99" t="s">
        <v>2228</v>
      </c>
      <c r="I612" s="99" t="s">
        <v>2229</v>
      </c>
      <c r="J612" s="99" t="s">
        <v>2257</v>
      </c>
      <c r="K612" s="99" t="s">
        <v>472</v>
      </c>
      <c r="L612" s="99" t="s">
        <v>2258</v>
      </c>
      <c r="M612" s="99" t="s">
        <v>5</v>
      </c>
      <c r="N612" s="99" t="s">
        <v>3454</v>
      </c>
      <c r="O612" s="99" t="s">
        <v>70</v>
      </c>
      <c r="P612" s="99" t="s">
        <v>3904</v>
      </c>
      <c r="Q612" s="99" t="s">
        <v>247</v>
      </c>
      <c r="R612" s="99" t="s">
        <v>71</v>
      </c>
      <c r="S612" s="99" t="s">
        <v>2691</v>
      </c>
      <c r="T612" s="99" t="s">
        <v>49</v>
      </c>
      <c r="U612" s="99" t="s">
        <v>1008</v>
      </c>
      <c r="V612" s="99" t="s">
        <v>53</v>
      </c>
      <c r="W612" s="99" t="s">
        <v>4728</v>
      </c>
      <c r="X612" s="99" t="s">
        <v>4728</v>
      </c>
      <c r="Y612" s="99" t="s">
        <v>4729</v>
      </c>
      <c r="Z612" s="99" t="s">
        <v>172</v>
      </c>
      <c r="AA612" s="99" t="s">
        <v>173</v>
      </c>
      <c r="AB612" s="99" t="s">
        <v>174</v>
      </c>
      <c r="AC612" s="99" t="s">
        <v>3411</v>
      </c>
      <c r="AD612" s="99" t="s">
        <v>175</v>
      </c>
      <c r="AE612" s="99" t="s">
        <v>3411</v>
      </c>
      <c r="AF612" s="99" t="s">
        <v>3411</v>
      </c>
      <c r="AG612" s="124">
        <v>257</v>
      </c>
      <c r="AH612" s="99" t="s">
        <v>3413</v>
      </c>
      <c r="AI612" s="125">
        <v>100</v>
      </c>
      <c r="AJ612" s="99" t="s">
        <v>176</v>
      </c>
      <c r="AK612" s="99" t="s">
        <v>4728</v>
      </c>
      <c r="AL612" s="99" t="s">
        <v>3411</v>
      </c>
      <c r="AM612" s="99" t="s">
        <v>177</v>
      </c>
      <c r="AN612" s="99" t="s">
        <v>3411</v>
      </c>
      <c r="AO612" s="99" t="s">
        <v>2232</v>
      </c>
      <c r="AP612" s="99" t="s">
        <v>2570</v>
      </c>
      <c r="AQ612" s="99" t="s">
        <v>3411</v>
      </c>
      <c r="AR612" s="99" t="s">
        <v>3411</v>
      </c>
      <c r="AS612" s="99" t="s">
        <v>2259</v>
      </c>
      <c r="AT612" s="99" t="s">
        <v>190</v>
      </c>
      <c r="AU612" s="99" t="s">
        <v>191</v>
      </c>
      <c r="AV612" s="99" t="s">
        <v>3581</v>
      </c>
      <c r="AW612" s="99" t="s">
        <v>529</v>
      </c>
      <c r="AX612" s="99" t="s">
        <v>3420</v>
      </c>
      <c r="AY612" s="99" t="s">
        <v>252</v>
      </c>
      <c r="AZ612" s="99" t="s">
        <v>3416</v>
      </c>
      <c r="BA612" s="99" t="s">
        <v>4685</v>
      </c>
      <c r="BB612" s="99" t="s">
        <v>2949</v>
      </c>
      <c r="BC612" s="125">
        <v>53</v>
      </c>
      <c r="BD612" s="99" t="s">
        <v>3135</v>
      </c>
      <c r="BE612" s="99" t="s">
        <v>3136</v>
      </c>
    </row>
    <row r="613" spans="1:57" ht="12.95" customHeight="1">
      <c r="A613" s="124">
        <v>15</v>
      </c>
      <c r="B613" s="124">
        <v>3158</v>
      </c>
      <c r="C613" s="99" t="s">
        <v>165</v>
      </c>
      <c r="D613" s="99" t="s">
        <v>1477</v>
      </c>
      <c r="E613" s="99" t="s">
        <v>1478</v>
      </c>
      <c r="F613" s="99" t="s">
        <v>3341</v>
      </c>
      <c r="G613" s="99" t="s">
        <v>3342</v>
      </c>
      <c r="H613" s="99" t="s">
        <v>4730</v>
      </c>
      <c r="I613" s="99" t="s">
        <v>3343</v>
      </c>
      <c r="J613" s="99" t="s">
        <v>3344</v>
      </c>
      <c r="K613" s="99" t="s">
        <v>186</v>
      </c>
      <c r="L613" s="99" t="s">
        <v>3345</v>
      </c>
      <c r="M613" s="99" t="s">
        <v>5</v>
      </c>
      <c r="N613" s="99" t="s">
        <v>3407</v>
      </c>
      <c r="O613" s="99" t="s">
        <v>114</v>
      </c>
      <c r="P613" s="99" t="s">
        <v>4506</v>
      </c>
      <c r="Q613" s="99" t="s">
        <v>169</v>
      </c>
      <c r="R613" s="99" t="s">
        <v>71</v>
      </c>
      <c r="S613" s="99" t="s">
        <v>2691</v>
      </c>
      <c r="T613" s="99" t="s">
        <v>49</v>
      </c>
      <c r="U613" s="99" t="s">
        <v>1480</v>
      </c>
      <c r="V613" s="99" t="s">
        <v>50</v>
      </c>
      <c r="W613" s="99" t="s">
        <v>4506</v>
      </c>
      <c r="X613" s="99" t="s">
        <v>4506</v>
      </c>
      <c r="Y613" s="99" t="s">
        <v>4731</v>
      </c>
      <c r="Z613" s="99" t="s">
        <v>172</v>
      </c>
      <c r="AA613" s="99" t="s">
        <v>173</v>
      </c>
      <c r="AB613" s="99" t="s">
        <v>174</v>
      </c>
      <c r="AC613" s="99" t="s">
        <v>3411</v>
      </c>
      <c r="AD613" s="99" t="s">
        <v>175</v>
      </c>
      <c r="AE613" s="99" t="s">
        <v>3411</v>
      </c>
      <c r="AF613" s="99" t="s">
        <v>3411</v>
      </c>
      <c r="AG613" s="124">
        <v>3158</v>
      </c>
      <c r="AH613" s="99" t="s">
        <v>3413</v>
      </c>
      <c r="AI613" s="125">
        <v>100</v>
      </c>
      <c r="AJ613" s="99" t="s">
        <v>176</v>
      </c>
      <c r="AK613" s="99" t="s">
        <v>4506</v>
      </c>
      <c r="AL613" s="99" t="s">
        <v>3411</v>
      </c>
      <c r="AM613" s="99" t="s">
        <v>177</v>
      </c>
      <c r="AN613" s="99" t="s">
        <v>3411</v>
      </c>
      <c r="AO613" s="99" t="s">
        <v>1481</v>
      </c>
      <c r="AP613" s="99" t="s">
        <v>2570</v>
      </c>
      <c r="AQ613" s="99" t="s">
        <v>3411</v>
      </c>
      <c r="AR613" s="99" t="s">
        <v>3411</v>
      </c>
      <c r="AS613" s="99" t="s">
        <v>3346</v>
      </c>
      <c r="AT613" s="99" t="s">
        <v>190</v>
      </c>
      <c r="AU613" s="99" t="s">
        <v>191</v>
      </c>
      <c r="AV613" s="99" t="s">
        <v>3581</v>
      </c>
      <c r="AW613" s="99" t="s">
        <v>529</v>
      </c>
      <c r="AX613" s="99" t="s">
        <v>3411</v>
      </c>
      <c r="AY613" s="99" t="s">
        <v>3411</v>
      </c>
      <c r="AZ613" s="99" t="s">
        <v>3411</v>
      </c>
      <c r="BA613" s="99" t="s">
        <v>520</v>
      </c>
      <c r="BB613" s="99" t="s">
        <v>3411</v>
      </c>
      <c r="BC613" s="125">
        <v>49</v>
      </c>
      <c r="BD613" s="99" t="s">
        <v>3135</v>
      </c>
      <c r="BE613" s="99" t="s">
        <v>3136</v>
      </c>
    </row>
    <row r="614" spans="1:57" ht="12.95" customHeight="1">
      <c r="A614" s="124">
        <v>15</v>
      </c>
      <c r="B614" s="124">
        <v>2029</v>
      </c>
      <c r="C614" s="99" t="s">
        <v>165</v>
      </c>
      <c r="D614" s="99" t="s">
        <v>2260</v>
      </c>
      <c r="E614" s="99" t="s">
        <v>2910</v>
      </c>
      <c r="F614" s="99" t="s">
        <v>2262</v>
      </c>
      <c r="G614" s="99" t="s">
        <v>2261</v>
      </c>
      <c r="H614" s="99" t="s">
        <v>4732</v>
      </c>
      <c r="I614" s="99" t="s">
        <v>2263</v>
      </c>
      <c r="J614" s="99" t="s">
        <v>2264</v>
      </c>
      <c r="K614" s="99" t="s">
        <v>2265</v>
      </c>
      <c r="L614" s="99" t="s">
        <v>2266</v>
      </c>
      <c r="M614" s="99" t="s">
        <v>1</v>
      </c>
      <c r="N614" s="99" t="s">
        <v>3407</v>
      </c>
      <c r="O614" s="99" t="s">
        <v>114</v>
      </c>
      <c r="P614" s="99" t="s">
        <v>3422</v>
      </c>
      <c r="Q614" s="99" t="s">
        <v>169</v>
      </c>
      <c r="R614" s="99" t="s">
        <v>3409</v>
      </c>
      <c r="S614" s="99" t="s">
        <v>2636</v>
      </c>
      <c r="T614" s="99" t="s">
        <v>48</v>
      </c>
      <c r="U614" s="99" t="s">
        <v>170</v>
      </c>
      <c r="V614" s="99" t="s">
        <v>171</v>
      </c>
      <c r="W614" s="99" t="s">
        <v>4733</v>
      </c>
      <c r="X614" s="99" t="s">
        <v>4733</v>
      </c>
      <c r="Y614" s="99" t="s">
        <v>4734</v>
      </c>
      <c r="Z614" s="99" t="s">
        <v>172</v>
      </c>
      <c r="AA614" s="99" t="s">
        <v>173</v>
      </c>
      <c r="AB614" s="99" t="s">
        <v>174</v>
      </c>
      <c r="AC614" s="99" t="s">
        <v>3411</v>
      </c>
      <c r="AD614" s="99" t="s">
        <v>175</v>
      </c>
      <c r="AE614" s="99" t="s">
        <v>3411</v>
      </c>
      <c r="AF614" s="99" t="s">
        <v>3411</v>
      </c>
      <c r="AG614" s="124">
        <v>1555</v>
      </c>
      <c r="AH614" s="99" t="s">
        <v>3413</v>
      </c>
      <c r="AI614" s="125">
        <v>100</v>
      </c>
      <c r="AJ614" s="99" t="s">
        <v>176</v>
      </c>
      <c r="AK614" s="99" t="s">
        <v>4733</v>
      </c>
      <c r="AL614" s="99" t="s">
        <v>3411</v>
      </c>
      <c r="AM614" s="99" t="s">
        <v>177</v>
      </c>
      <c r="AN614" s="99" t="s">
        <v>3411</v>
      </c>
      <c r="AO614" s="99" t="s">
        <v>178</v>
      </c>
      <c r="AP614" s="99" t="s">
        <v>2570</v>
      </c>
      <c r="AQ614" s="99" t="s">
        <v>3411</v>
      </c>
      <c r="AR614" s="99" t="s">
        <v>3411</v>
      </c>
      <c r="AS614" s="99" t="s">
        <v>2267</v>
      </c>
      <c r="AT614" s="99" t="s">
        <v>1</v>
      </c>
      <c r="AU614" s="99" t="s">
        <v>179</v>
      </c>
      <c r="AV614" s="99" t="s">
        <v>3414</v>
      </c>
      <c r="AW614" s="99" t="s">
        <v>180</v>
      </c>
      <c r="AX614" s="99" t="s">
        <v>3420</v>
      </c>
      <c r="AY614" s="99" t="s">
        <v>252</v>
      </c>
      <c r="AZ614" s="99" t="s">
        <v>3416</v>
      </c>
      <c r="BA614" s="99" t="s">
        <v>3421</v>
      </c>
      <c r="BB614" s="99" t="s">
        <v>381</v>
      </c>
      <c r="BC614" s="125">
        <v>63</v>
      </c>
      <c r="BD614" s="99" t="s">
        <v>3135</v>
      </c>
      <c r="BE614" s="99" t="s">
        <v>3136</v>
      </c>
    </row>
    <row r="615" spans="1:57" ht="12.95" customHeight="1">
      <c r="A615" s="124">
        <v>15</v>
      </c>
      <c r="B615" s="124">
        <v>2960</v>
      </c>
      <c r="C615" s="99" t="s">
        <v>165</v>
      </c>
      <c r="D615" s="99" t="s">
        <v>2260</v>
      </c>
      <c r="E615" s="99" t="s">
        <v>2910</v>
      </c>
      <c r="F615" s="99" t="s">
        <v>2262</v>
      </c>
      <c r="G615" s="99" t="s">
        <v>2261</v>
      </c>
      <c r="H615" s="99" t="s">
        <v>4732</v>
      </c>
      <c r="I615" s="99" t="s">
        <v>2263</v>
      </c>
      <c r="J615" s="99" t="s">
        <v>2268</v>
      </c>
      <c r="K615" s="99" t="s">
        <v>398</v>
      </c>
      <c r="L615" s="99" t="s">
        <v>2269</v>
      </c>
      <c r="M615" s="99" t="s">
        <v>5</v>
      </c>
      <c r="N615" s="99" t="s">
        <v>3407</v>
      </c>
      <c r="O615" s="99" t="s">
        <v>114</v>
      </c>
      <c r="P615" s="99" t="s">
        <v>3422</v>
      </c>
      <c r="Q615" s="99" t="s">
        <v>169</v>
      </c>
      <c r="R615" s="99" t="s">
        <v>3427</v>
      </c>
      <c r="S615" s="99" t="s">
        <v>2635</v>
      </c>
      <c r="T615" s="99" t="s">
        <v>58</v>
      </c>
      <c r="U615" s="99" t="s">
        <v>187</v>
      </c>
      <c r="V615" s="99" t="s">
        <v>188</v>
      </c>
      <c r="W615" s="99" t="s">
        <v>4515</v>
      </c>
      <c r="X615" s="99" t="s">
        <v>4515</v>
      </c>
      <c r="Y615" s="99" t="s">
        <v>4735</v>
      </c>
      <c r="Z615" s="99" t="s">
        <v>172</v>
      </c>
      <c r="AA615" s="99" t="s">
        <v>173</v>
      </c>
      <c r="AB615" s="99" t="s">
        <v>174</v>
      </c>
      <c r="AC615" s="99" t="s">
        <v>3411</v>
      </c>
      <c r="AD615" s="99" t="s">
        <v>175</v>
      </c>
      <c r="AE615" s="99" t="s">
        <v>3411</v>
      </c>
      <c r="AF615" s="99" t="s">
        <v>3411</v>
      </c>
      <c r="AG615" s="124">
        <v>2960</v>
      </c>
      <c r="AH615" s="99" t="s">
        <v>3413</v>
      </c>
      <c r="AI615" s="125">
        <v>100</v>
      </c>
      <c r="AJ615" s="99" t="s">
        <v>176</v>
      </c>
      <c r="AK615" s="99" t="s">
        <v>4515</v>
      </c>
      <c r="AL615" s="99" t="s">
        <v>3411</v>
      </c>
      <c r="AM615" s="99" t="s">
        <v>177</v>
      </c>
      <c r="AN615" s="99" t="s">
        <v>3411</v>
      </c>
      <c r="AO615" s="99" t="s">
        <v>189</v>
      </c>
      <c r="AP615" s="99" t="s">
        <v>2570</v>
      </c>
      <c r="AQ615" s="99" t="s">
        <v>3411</v>
      </c>
      <c r="AR615" s="99" t="s">
        <v>3411</v>
      </c>
      <c r="AS615" s="99" t="s">
        <v>2270</v>
      </c>
      <c r="AT615" s="99" t="s">
        <v>190</v>
      </c>
      <c r="AU615" s="99" t="s">
        <v>191</v>
      </c>
      <c r="AV615" s="99" t="s">
        <v>3414</v>
      </c>
      <c r="AW615" s="99" t="s">
        <v>180</v>
      </c>
      <c r="AX615" s="99" t="s">
        <v>3411</v>
      </c>
      <c r="AY615" s="99" t="s">
        <v>3411</v>
      </c>
      <c r="AZ615" s="99" t="s">
        <v>3411</v>
      </c>
      <c r="BA615" s="99" t="s">
        <v>520</v>
      </c>
      <c r="BB615" s="99" t="s">
        <v>3411</v>
      </c>
      <c r="BC615" s="125">
        <v>55</v>
      </c>
      <c r="BD615" s="99" t="s">
        <v>3135</v>
      </c>
      <c r="BE615" s="99" t="s">
        <v>3136</v>
      </c>
    </row>
    <row r="616" spans="1:57" ht="12.95" customHeight="1">
      <c r="A616" s="124">
        <v>15</v>
      </c>
      <c r="B616" s="124">
        <v>2591</v>
      </c>
      <c r="C616" s="99" t="s">
        <v>165</v>
      </c>
      <c r="D616" s="99" t="s">
        <v>2260</v>
      </c>
      <c r="E616" s="99" t="s">
        <v>2910</v>
      </c>
      <c r="F616" s="99" t="s">
        <v>2602</v>
      </c>
      <c r="G616" s="99" t="s">
        <v>3300</v>
      </c>
      <c r="H616" s="99" t="s">
        <v>4736</v>
      </c>
      <c r="I616" s="99" t="s">
        <v>2333</v>
      </c>
      <c r="J616" s="99" t="s">
        <v>2334</v>
      </c>
      <c r="K616" s="99" t="s">
        <v>2335</v>
      </c>
      <c r="L616" s="99" t="s">
        <v>2336</v>
      </c>
      <c r="M616" s="99" t="s">
        <v>1</v>
      </c>
      <c r="N616" s="99" t="s">
        <v>3407</v>
      </c>
      <c r="O616" s="99" t="s">
        <v>114</v>
      </c>
      <c r="P616" s="99" t="s">
        <v>3422</v>
      </c>
      <c r="Q616" s="99" t="s">
        <v>169</v>
      </c>
      <c r="R616" s="99" t="s">
        <v>3409</v>
      </c>
      <c r="S616" s="99" t="s">
        <v>2636</v>
      </c>
      <c r="T616" s="99" t="s">
        <v>48</v>
      </c>
      <c r="U616" s="99" t="s">
        <v>410</v>
      </c>
      <c r="V616" s="99" t="s">
        <v>411</v>
      </c>
      <c r="W616" s="99" t="s">
        <v>3933</v>
      </c>
      <c r="X616" s="99" t="s">
        <v>4737</v>
      </c>
      <c r="Y616" s="99" t="s">
        <v>4738</v>
      </c>
      <c r="Z616" s="99" t="s">
        <v>172</v>
      </c>
      <c r="AA616" s="99" t="s">
        <v>173</v>
      </c>
      <c r="AB616" s="99" t="s">
        <v>400</v>
      </c>
      <c r="AC616" s="99" t="s">
        <v>3411</v>
      </c>
      <c r="AD616" s="99" t="s">
        <v>175</v>
      </c>
      <c r="AE616" s="99" t="s">
        <v>3411</v>
      </c>
      <c r="AF616" s="99" t="s">
        <v>3411</v>
      </c>
      <c r="AG616" s="124">
        <v>2591</v>
      </c>
      <c r="AH616" s="99" t="s">
        <v>3413</v>
      </c>
      <c r="AI616" s="125">
        <v>100</v>
      </c>
      <c r="AJ616" s="99" t="s">
        <v>176</v>
      </c>
      <c r="AK616" s="99" t="s">
        <v>4737</v>
      </c>
      <c r="AL616" s="99" t="s">
        <v>3411</v>
      </c>
      <c r="AM616" s="99" t="s">
        <v>177</v>
      </c>
      <c r="AN616" s="99" t="s">
        <v>3411</v>
      </c>
      <c r="AO616" s="99" t="s">
        <v>178</v>
      </c>
      <c r="AP616" s="99" t="s">
        <v>2570</v>
      </c>
      <c r="AQ616" s="99" t="s">
        <v>3411</v>
      </c>
      <c r="AR616" s="99" t="s">
        <v>242</v>
      </c>
      <c r="AS616" s="99" t="s">
        <v>2337</v>
      </c>
      <c r="AT616" s="99" t="s">
        <v>1</v>
      </c>
      <c r="AU616" s="99" t="s">
        <v>179</v>
      </c>
      <c r="AV616" s="99" t="s">
        <v>3414</v>
      </c>
      <c r="AW616" s="99" t="s">
        <v>180</v>
      </c>
      <c r="AX616" s="99" t="s">
        <v>3420</v>
      </c>
      <c r="AY616" s="99" t="s">
        <v>252</v>
      </c>
      <c r="AZ616" s="99" t="s">
        <v>3416</v>
      </c>
      <c r="BA616" s="99" t="s">
        <v>4739</v>
      </c>
      <c r="BB616" s="99" t="s">
        <v>2348</v>
      </c>
      <c r="BC616" s="125">
        <v>56</v>
      </c>
      <c r="BD616" s="99" t="s">
        <v>3135</v>
      </c>
      <c r="BE616" s="99" t="s">
        <v>3136</v>
      </c>
    </row>
    <row r="617" spans="1:57" ht="12.95" customHeight="1">
      <c r="A617" s="124">
        <v>15</v>
      </c>
      <c r="B617" s="124">
        <v>500</v>
      </c>
      <c r="C617" s="99" t="s">
        <v>165</v>
      </c>
      <c r="D617" s="99" t="s">
        <v>2260</v>
      </c>
      <c r="E617" s="99" t="s">
        <v>2910</v>
      </c>
      <c r="F617" s="99" t="s">
        <v>2602</v>
      </c>
      <c r="G617" s="99" t="s">
        <v>3300</v>
      </c>
      <c r="H617" s="99" t="s">
        <v>4740</v>
      </c>
      <c r="I617" s="99" t="s">
        <v>3301</v>
      </c>
      <c r="J617" s="99" t="s">
        <v>2355</v>
      </c>
      <c r="K617" s="99" t="s">
        <v>2356</v>
      </c>
      <c r="L617" s="99" t="s">
        <v>2357</v>
      </c>
      <c r="M617" s="99" t="s">
        <v>1</v>
      </c>
      <c r="N617" s="99" t="s">
        <v>3407</v>
      </c>
      <c r="O617" s="99" t="s">
        <v>114</v>
      </c>
      <c r="P617" s="99" t="s">
        <v>3422</v>
      </c>
      <c r="Q617" s="99" t="s">
        <v>169</v>
      </c>
      <c r="R617" s="99" t="s">
        <v>3409</v>
      </c>
      <c r="S617" s="99" t="s">
        <v>2636</v>
      </c>
      <c r="T617" s="99" t="s">
        <v>48</v>
      </c>
      <c r="U617" s="99" t="s">
        <v>410</v>
      </c>
      <c r="V617" s="99" t="s">
        <v>411</v>
      </c>
      <c r="W617" s="99" t="s">
        <v>4741</v>
      </c>
      <c r="X617" s="99" t="s">
        <v>4741</v>
      </c>
      <c r="Y617" s="99" t="s">
        <v>4742</v>
      </c>
      <c r="Z617" s="99" t="s">
        <v>172</v>
      </c>
      <c r="AA617" s="99" t="s">
        <v>173</v>
      </c>
      <c r="AB617" s="99" t="s">
        <v>174</v>
      </c>
      <c r="AC617" s="99" t="s">
        <v>3411</v>
      </c>
      <c r="AD617" s="99" t="s">
        <v>175</v>
      </c>
      <c r="AE617" s="99" t="s">
        <v>3411</v>
      </c>
      <c r="AF617" s="99" t="s">
        <v>3411</v>
      </c>
      <c r="AG617" s="124">
        <v>350</v>
      </c>
      <c r="AH617" s="99" t="s">
        <v>3413</v>
      </c>
      <c r="AI617" s="125">
        <v>100</v>
      </c>
      <c r="AJ617" s="99" t="s">
        <v>176</v>
      </c>
      <c r="AK617" s="99" t="s">
        <v>4741</v>
      </c>
      <c r="AL617" s="99" t="s">
        <v>3411</v>
      </c>
      <c r="AM617" s="99" t="s">
        <v>177</v>
      </c>
      <c r="AN617" s="99" t="s">
        <v>3411</v>
      </c>
      <c r="AO617" s="99" t="s">
        <v>178</v>
      </c>
      <c r="AP617" s="99" t="s">
        <v>2570</v>
      </c>
      <c r="AQ617" s="99" t="s">
        <v>3411</v>
      </c>
      <c r="AR617" s="99" t="s">
        <v>207</v>
      </c>
      <c r="AS617" s="99" t="s">
        <v>2358</v>
      </c>
      <c r="AT617" s="99" t="s">
        <v>235</v>
      </c>
      <c r="AU617" s="99" t="s">
        <v>236</v>
      </c>
      <c r="AV617" s="99" t="s">
        <v>3414</v>
      </c>
      <c r="AW617" s="99" t="s">
        <v>180</v>
      </c>
      <c r="AX617" s="99" t="s">
        <v>3420</v>
      </c>
      <c r="AY617" s="99" t="s">
        <v>252</v>
      </c>
      <c r="AZ617" s="99" t="s">
        <v>3416</v>
      </c>
      <c r="BA617" s="99" t="s">
        <v>4739</v>
      </c>
      <c r="BB617" s="99" t="s">
        <v>2348</v>
      </c>
      <c r="BC617" s="125">
        <v>57</v>
      </c>
      <c r="BD617" s="99" t="s">
        <v>3135</v>
      </c>
      <c r="BE617" s="99" t="s">
        <v>3136</v>
      </c>
    </row>
    <row r="618" spans="1:57" ht="12.95" customHeight="1">
      <c r="A618" s="124">
        <v>15</v>
      </c>
      <c r="B618" s="124">
        <v>406</v>
      </c>
      <c r="C618" s="99" t="s">
        <v>165</v>
      </c>
      <c r="D618" s="99" t="s">
        <v>2260</v>
      </c>
      <c r="E618" s="99" t="s">
        <v>2910</v>
      </c>
      <c r="F618" s="99" t="s">
        <v>2602</v>
      </c>
      <c r="G618" s="99" t="s">
        <v>3300</v>
      </c>
      <c r="H618" s="99" t="s">
        <v>4740</v>
      </c>
      <c r="I618" s="99" t="s">
        <v>3301</v>
      </c>
      <c r="J618" s="99" t="s">
        <v>2349</v>
      </c>
      <c r="K618" s="99" t="s">
        <v>278</v>
      </c>
      <c r="L618" s="99" t="s">
        <v>2350</v>
      </c>
      <c r="M618" s="99" t="s">
        <v>5</v>
      </c>
      <c r="N618" s="99" t="s">
        <v>3454</v>
      </c>
      <c r="O618" s="99" t="s">
        <v>70</v>
      </c>
      <c r="P618" s="99" t="s">
        <v>3989</v>
      </c>
      <c r="Q618" s="99" t="s">
        <v>247</v>
      </c>
      <c r="R618" s="99" t="s">
        <v>3409</v>
      </c>
      <c r="S618" s="99" t="s">
        <v>2636</v>
      </c>
      <c r="T618" s="99" t="s">
        <v>48</v>
      </c>
      <c r="U618" s="99" t="s">
        <v>440</v>
      </c>
      <c r="V618" s="99" t="s">
        <v>441</v>
      </c>
      <c r="W618" s="99" t="s">
        <v>4743</v>
      </c>
      <c r="X618" s="99" t="s">
        <v>4743</v>
      </c>
      <c r="Y618" s="99" t="s">
        <v>4744</v>
      </c>
      <c r="Z618" s="99" t="s">
        <v>172</v>
      </c>
      <c r="AA618" s="99" t="s">
        <v>173</v>
      </c>
      <c r="AB618" s="99" t="s">
        <v>174</v>
      </c>
      <c r="AC618" s="99" t="s">
        <v>3411</v>
      </c>
      <c r="AD618" s="99" t="s">
        <v>175</v>
      </c>
      <c r="AE618" s="99" t="s">
        <v>3411</v>
      </c>
      <c r="AF618" s="99" t="s">
        <v>3411</v>
      </c>
      <c r="AG618" s="124">
        <v>292</v>
      </c>
      <c r="AH618" s="99" t="s">
        <v>3413</v>
      </c>
      <c r="AI618" s="125">
        <v>100</v>
      </c>
      <c r="AJ618" s="99" t="s">
        <v>176</v>
      </c>
      <c r="AK618" s="99" t="s">
        <v>4743</v>
      </c>
      <c r="AL618" s="99" t="s">
        <v>3411</v>
      </c>
      <c r="AM618" s="99" t="s">
        <v>177</v>
      </c>
      <c r="AN618" s="99" t="s">
        <v>3411</v>
      </c>
      <c r="AO618" s="99" t="s">
        <v>178</v>
      </c>
      <c r="AP618" s="99" t="s">
        <v>2570</v>
      </c>
      <c r="AQ618" s="99" t="s">
        <v>3411</v>
      </c>
      <c r="AR618" s="99" t="s">
        <v>3411</v>
      </c>
      <c r="AS618" s="99" t="s">
        <v>2351</v>
      </c>
      <c r="AT618" s="99" t="s">
        <v>235</v>
      </c>
      <c r="AU618" s="99" t="s">
        <v>236</v>
      </c>
      <c r="AV618" s="99" t="s">
        <v>3414</v>
      </c>
      <c r="AW618" s="99" t="s">
        <v>180</v>
      </c>
      <c r="AX618" s="99" t="s">
        <v>3420</v>
      </c>
      <c r="AY618" s="99" t="s">
        <v>252</v>
      </c>
      <c r="AZ618" s="99" t="s">
        <v>3416</v>
      </c>
      <c r="BA618" s="99" t="s">
        <v>4739</v>
      </c>
      <c r="BB618" s="99" t="s">
        <v>2348</v>
      </c>
      <c r="BC618" s="125">
        <v>57</v>
      </c>
      <c r="BD618" s="99" t="s">
        <v>3135</v>
      </c>
      <c r="BE618" s="99" t="s">
        <v>3136</v>
      </c>
    </row>
    <row r="619" spans="1:57" ht="12.95" customHeight="1">
      <c r="A619" s="124">
        <v>15</v>
      </c>
      <c r="B619" s="124">
        <v>1164</v>
      </c>
      <c r="C619" s="99" t="s">
        <v>165</v>
      </c>
      <c r="D619" s="99" t="s">
        <v>2260</v>
      </c>
      <c r="E619" s="99" t="s">
        <v>2910</v>
      </c>
      <c r="F619" s="99" t="s">
        <v>2602</v>
      </c>
      <c r="G619" s="99" t="s">
        <v>3300</v>
      </c>
      <c r="H619" s="99" t="s">
        <v>4740</v>
      </c>
      <c r="I619" s="99" t="s">
        <v>3301</v>
      </c>
      <c r="J619" s="99" t="s">
        <v>719</v>
      </c>
      <c r="K619" s="99" t="s">
        <v>304</v>
      </c>
      <c r="L619" s="99" t="s">
        <v>720</v>
      </c>
      <c r="M619" s="99" t="s">
        <v>5</v>
      </c>
      <c r="N619" s="99" t="s">
        <v>3407</v>
      </c>
      <c r="O619" s="99" t="s">
        <v>114</v>
      </c>
      <c r="P619" s="99" t="s">
        <v>3422</v>
      </c>
      <c r="Q619" s="99" t="s">
        <v>169</v>
      </c>
      <c r="R619" s="99" t="s">
        <v>3409</v>
      </c>
      <c r="S619" s="99" t="s">
        <v>2636</v>
      </c>
      <c r="T619" s="99" t="s">
        <v>52</v>
      </c>
      <c r="U619" s="99" t="s">
        <v>427</v>
      </c>
      <c r="V619" s="99" t="s">
        <v>428</v>
      </c>
      <c r="W619" s="99" t="s">
        <v>3966</v>
      </c>
      <c r="X619" s="99" t="s">
        <v>3966</v>
      </c>
      <c r="Y619" s="99" t="s">
        <v>4745</v>
      </c>
      <c r="Z619" s="99" t="s">
        <v>172</v>
      </c>
      <c r="AA619" s="99" t="s">
        <v>173</v>
      </c>
      <c r="AB619" s="99" t="s">
        <v>174</v>
      </c>
      <c r="AC619" s="99" t="s">
        <v>3411</v>
      </c>
      <c r="AD619" s="99" t="s">
        <v>175</v>
      </c>
      <c r="AE619" s="99" t="s">
        <v>3411</v>
      </c>
      <c r="AF619" s="99" t="s">
        <v>3411</v>
      </c>
      <c r="AG619" s="124">
        <v>917</v>
      </c>
      <c r="AH619" s="99" t="s">
        <v>3413</v>
      </c>
      <c r="AI619" s="125">
        <v>100</v>
      </c>
      <c r="AJ619" s="99" t="s">
        <v>176</v>
      </c>
      <c r="AK619" s="99" t="s">
        <v>3966</v>
      </c>
      <c r="AL619" s="99" t="s">
        <v>3411</v>
      </c>
      <c r="AM619" s="99" t="s">
        <v>177</v>
      </c>
      <c r="AN619" s="99" t="s">
        <v>3411</v>
      </c>
      <c r="AO619" s="99" t="s">
        <v>178</v>
      </c>
      <c r="AP619" s="99" t="s">
        <v>2570</v>
      </c>
      <c r="AQ619" s="99" t="s">
        <v>3411</v>
      </c>
      <c r="AR619" s="99" t="s">
        <v>3411</v>
      </c>
      <c r="AS619" s="99" t="s">
        <v>721</v>
      </c>
      <c r="AT619" s="99" t="s">
        <v>1</v>
      </c>
      <c r="AU619" s="99" t="s">
        <v>179</v>
      </c>
      <c r="AV619" s="99" t="s">
        <v>3414</v>
      </c>
      <c r="AW619" s="99" t="s">
        <v>180</v>
      </c>
      <c r="AX619" s="99" t="s">
        <v>3420</v>
      </c>
      <c r="AY619" s="99" t="s">
        <v>252</v>
      </c>
      <c r="AZ619" s="99" t="s">
        <v>3416</v>
      </c>
      <c r="BA619" s="99" t="s">
        <v>3421</v>
      </c>
      <c r="BB619" s="99" t="s">
        <v>381</v>
      </c>
      <c r="BC619" s="125">
        <v>57</v>
      </c>
      <c r="BD619" s="99" t="s">
        <v>3135</v>
      </c>
      <c r="BE619" s="99" t="s">
        <v>3136</v>
      </c>
    </row>
    <row r="620" spans="1:57" ht="12.95" customHeight="1">
      <c r="A620" s="124">
        <v>15</v>
      </c>
      <c r="B620" s="124">
        <v>3129</v>
      </c>
      <c r="C620" s="99" t="s">
        <v>165</v>
      </c>
      <c r="D620" s="99" t="s">
        <v>2260</v>
      </c>
      <c r="E620" s="99" t="s">
        <v>2910</v>
      </c>
      <c r="F620" s="99" t="s">
        <v>2602</v>
      </c>
      <c r="G620" s="99" t="s">
        <v>3300</v>
      </c>
      <c r="H620" s="99" t="s">
        <v>4740</v>
      </c>
      <c r="I620" s="99" t="s">
        <v>3301</v>
      </c>
      <c r="J620" s="99" t="s">
        <v>3124</v>
      </c>
      <c r="K620" s="99" t="s">
        <v>948</v>
      </c>
      <c r="L620" s="99" t="s">
        <v>3125</v>
      </c>
      <c r="M620" s="99" t="s">
        <v>1</v>
      </c>
      <c r="N620" s="99" t="s">
        <v>3407</v>
      </c>
      <c r="O620" s="99" t="s">
        <v>114</v>
      </c>
      <c r="P620" s="99" t="s">
        <v>3866</v>
      </c>
      <c r="Q620" s="99" t="s">
        <v>169</v>
      </c>
      <c r="R620" s="99" t="s">
        <v>3409</v>
      </c>
      <c r="S620" s="99" t="s">
        <v>2636</v>
      </c>
      <c r="T620" s="99" t="s">
        <v>48</v>
      </c>
      <c r="U620" s="99" t="s">
        <v>410</v>
      </c>
      <c r="V620" s="99" t="s">
        <v>411</v>
      </c>
      <c r="W620" s="99" t="s">
        <v>3866</v>
      </c>
      <c r="X620" s="99" t="s">
        <v>3866</v>
      </c>
      <c r="Y620" s="99" t="s">
        <v>4746</v>
      </c>
      <c r="Z620" s="99" t="s">
        <v>172</v>
      </c>
      <c r="AA620" s="99" t="s">
        <v>173</v>
      </c>
      <c r="AB620" s="99" t="s">
        <v>174</v>
      </c>
      <c r="AC620" s="99" t="s">
        <v>3411</v>
      </c>
      <c r="AD620" s="99" t="s">
        <v>175</v>
      </c>
      <c r="AE620" s="99" t="s">
        <v>3411</v>
      </c>
      <c r="AF620" s="99" t="s">
        <v>3411</v>
      </c>
      <c r="AG620" s="124">
        <v>3129</v>
      </c>
      <c r="AH620" s="99" t="s">
        <v>3413</v>
      </c>
      <c r="AI620" s="125">
        <v>100</v>
      </c>
      <c r="AJ620" s="99" t="s">
        <v>176</v>
      </c>
      <c r="AK620" s="99" t="s">
        <v>3866</v>
      </c>
      <c r="AL620" s="99" t="s">
        <v>3411</v>
      </c>
      <c r="AM620" s="99" t="s">
        <v>177</v>
      </c>
      <c r="AN620" s="99" t="s">
        <v>3411</v>
      </c>
      <c r="AO620" s="99" t="s">
        <v>412</v>
      </c>
      <c r="AP620" s="99" t="s">
        <v>2570</v>
      </c>
      <c r="AQ620" s="99" t="s">
        <v>3411</v>
      </c>
      <c r="AR620" s="99" t="s">
        <v>3411</v>
      </c>
      <c r="AS620" s="99" t="s">
        <v>3126</v>
      </c>
      <c r="AT620" s="99" t="s">
        <v>1</v>
      </c>
      <c r="AU620" s="99" t="s">
        <v>179</v>
      </c>
      <c r="AV620" s="99" t="s">
        <v>3414</v>
      </c>
      <c r="AW620" s="99" t="s">
        <v>180</v>
      </c>
      <c r="AX620" s="99" t="s">
        <v>3420</v>
      </c>
      <c r="AY620" s="99" t="s">
        <v>252</v>
      </c>
      <c r="AZ620" s="99" t="s">
        <v>3416</v>
      </c>
      <c r="BA620" s="99" t="s">
        <v>4739</v>
      </c>
      <c r="BB620" s="99" t="s">
        <v>2348</v>
      </c>
      <c r="BC620" s="125">
        <v>33</v>
      </c>
      <c r="BD620" s="99" t="s">
        <v>3135</v>
      </c>
      <c r="BE620" s="99" t="s">
        <v>3136</v>
      </c>
    </row>
    <row r="621" spans="1:57" ht="12.95" customHeight="1">
      <c r="A621" s="124">
        <v>15</v>
      </c>
      <c r="B621" s="124">
        <v>2258</v>
      </c>
      <c r="C621" s="99" t="s">
        <v>165</v>
      </c>
      <c r="D621" s="99" t="s">
        <v>2260</v>
      </c>
      <c r="E621" s="99" t="s">
        <v>2910</v>
      </c>
      <c r="F621" s="99" t="s">
        <v>2602</v>
      </c>
      <c r="G621" s="99" t="s">
        <v>3300</v>
      </c>
      <c r="H621" s="99" t="s">
        <v>4740</v>
      </c>
      <c r="I621" s="99" t="s">
        <v>3301</v>
      </c>
      <c r="J621" s="99" t="s">
        <v>2341</v>
      </c>
      <c r="K621" s="99" t="s">
        <v>2342</v>
      </c>
      <c r="L621" s="99" t="s">
        <v>2343</v>
      </c>
      <c r="M621" s="99" t="s">
        <v>1</v>
      </c>
      <c r="N621" s="99" t="s">
        <v>3407</v>
      </c>
      <c r="O621" s="99" t="s">
        <v>114</v>
      </c>
      <c r="P621" s="99" t="s">
        <v>3422</v>
      </c>
      <c r="Q621" s="99" t="s">
        <v>169</v>
      </c>
      <c r="R621" s="99" t="s">
        <v>3409</v>
      </c>
      <c r="S621" s="99" t="s">
        <v>2636</v>
      </c>
      <c r="T621" s="99" t="s">
        <v>52</v>
      </c>
      <c r="U621" s="99" t="s">
        <v>427</v>
      </c>
      <c r="V621" s="99" t="s">
        <v>428</v>
      </c>
      <c r="W621" s="99" t="s">
        <v>4351</v>
      </c>
      <c r="X621" s="99" t="s">
        <v>4351</v>
      </c>
      <c r="Y621" s="99" t="s">
        <v>4747</v>
      </c>
      <c r="Z621" s="99" t="s">
        <v>172</v>
      </c>
      <c r="AA621" s="99" t="s">
        <v>173</v>
      </c>
      <c r="AB621" s="99" t="s">
        <v>174</v>
      </c>
      <c r="AC621" s="99" t="s">
        <v>3411</v>
      </c>
      <c r="AD621" s="99" t="s">
        <v>175</v>
      </c>
      <c r="AE621" s="99" t="s">
        <v>3411</v>
      </c>
      <c r="AF621" s="99" t="s">
        <v>3411</v>
      </c>
      <c r="AG621" s="124">
        <v>1692</v>
      </c>
      <c r="AH621" s="99" t="s">
        <v>3413</v>
      </c>
      <c r="AI621" s="125">
        <v>100</v>
      </c>
      <c r="AJ621" s="99" t="s">
        <v>176</v>
      </c>
      <c r="AK621" s="99" t="s">
        <v>4351</v>
      </c>
      <c r="AL621" s="99" t="s">
        <v>3411</v>
      </c>
      <c r="AM621" s="99" t="s">
        <v>177</v>
      </c>
      <c r="AN621" s="99" t="s">
        <v>3411</v>
      </c>
      <c r="AO621" s="99" t="s">
        <v>178</v>
      </c>
      <c r="AP621" s="99" t="s">
        <v>2570</v>
      </c>
      <c r="AQ621" s="99" t="s">
        <v>3411</v>
      </c>
      <c r="AR621" s="99" t="s">
        <v>3411</v>
      </c>
      <c r="AS621" s="99" t="s">
        <v>2344</v>
      </c>
      <c r="AT621" s="99" t="s">
        <v>1</v>
      </c>
      <c r="AU621" s="99" t="s">
        <v>179</v>
      </c>
      <c r="AV621" s="99" t="s">
        <v>3414</v>
      </c>
      <c r="AW621" s="99" t="s">
        <v>180</v>
      </c>
      <c r="AX621" s="99" t="s">
        <v>3420</v>
      </c>
      <c r="AY621" s="99" t="s">
        <v>252</v>
      </c>
      <c r="AZ621" s="99" t="s">
        <v>3416</v>
      </c>
      <c r="BA621" s="99" t="s">
        <v>3421</v>
      </c>
      <c r="BB621" s="99" t="s">
        <v>381</v>
      </c>
      <c r="BC621" s="125">
        <v>47</v>
      </c>
      <c r="BD621" s="99" t="s">
        <v>3135</v>
      </c>
      <c r="BE621" s="99" t="s">
        <v>3136</v>
      </c>
    </row>
    <row r="622" spans="1:57" ht="12.95" customHeight="1">
      <c r="A622" s="124">
        <v>15</v>
      </c>
      <c r="B622" s="124">
        <v>269</v>
      </c>
      <c r="C622" s="99" t="s">
        <v>165</v>
      </c>
      <c r="D622" s="99" t="s">
        <v>2260</v>
      </c>
      <c r="E622" s="99" t="s">
        <v>2910</v>
      </c>
      <c r="F622" s="99" t="s">
        <v>2602</v>
      </c>
      <c r="G622" s="99" t="s">
        <v>3300</v>
      </c>
      <c r="H622" s="99" t="s">
        <v>4740</v>
      </c>
      <c r="I622" s="99" t="s">
        <v>3301</v>
      </c>
      <c r="J622" s="99" t="s">
        <v>2359</v>
      </c>
      <c r="K622" s="99" t="s">
        <v>267</v>
      </c>
      <c r="L622" s="99" t="s">
        <v>2360</v>
      </c>
      <c r="M622" s="99" t="s">
        <v>1</v>
      </c>
      <c r="N622" s="99" t="s">
        <v>3407</v>
      </c>
      <c r="O622" s="99" t="s">
        <v>114</v>
      </c>
      <c r="P622" s="99" t="s">
        <v>3422</v>
      </c>
      <c r="Q622" s="99" t="s">
        <v>169</v>
      </c>
      <c r="R622" s="99" t="s">
        <v>3409</v>
      </c>
      <c r="S622" s="99" t="s">
        <v>2636</v>
      </c>
      <c r="T622" s="99" t="s">
        <v>48</v>
      </c>
      <c r="U622" s="99" t="s">
        <v>170</v>
      </c>
      <c r="V622" s="99" t="s">
        <v>171</v>
      </c>
      <c r="W622" s="99" t="s">
        <v>4748</v>
      </c>
      <c r="X622" s="99" t="s">
        <v>4748</v>
      </c>
      <c r="Y622" s="99" t="s">
        <v>4749</v>
      </c>
      <c r="Z622" s="99" t="s">
        <v>172</v>
      </c>
      <c r="AA622" s="99" t="s">
        <v>173</v>
      </c>
      <c r="AB622" s="99" t="s">
        <v>174</v>
      </c>
      <c r="AC622" s="99" t="s">
        <v>3411</v>
      </c>
      <c r="AD622" s="99" t="s">
        <v>175</v>
      </c>
      <c r="AE622" s="99" t="s">
        <v>3411</v>
      </c>
      <c r="AF622" s="99" t="s">
        <v>3411</v>
      </c>
      <c r="AG622" s="124">
        <v>191</v>
      </c>
      <c r="AH622" s="99" t="s">
        <v>3413</v>
      </c>
      <c r="AI622" s="125">
        <v>100</v>
      </c>
      <c r="AJ622" s="99" t="s">
        <v>176</v>
      </c>
      <c r="AK622" s="99" t="s">
        <v>4748</v>
      </c>
      <c r="AL622" s="99" t="s">
        <v>3411</v>
      </c>
      <c r="AM622" s="99" t="s">
        <v>177</v>
      </c>
      <c r="AN622" s="99" t="s">
        <v>3411</v>
      </c>
      <c r="AO622" s="99" t="s">
        <v>178</v>
      </c>
      <c r="AP622" s="99" t="s">
        <v>2570</v>
      </c>
      <c r="AQ622" s="99" t="s">
        <v>3411</v>
      </c>
      <c r="AR622" s="99" t="s">
        <v>3411</v>
      </c>
      <c r="AS622" s="99" t="s">
        <v>2361</v>
      </c>
      <c r="AT622" s="99" t="s">
        <v>1</v>
      </c>
      <c r="AU622" s="99" t="s">
        <v>179</v>
      </c>
      <c r="AV622" s="99" t="s">
        <v>3414</v>
      </c>
      <c r="AW622" s="99" t="s">
        <v>180</v>
      </c>
      <c r="AX622" s="99" t="s">
        <v>3420</v>
      </c>
      <c r="AY622" s="99" t="s">
        <v>252</v>
      </c>
      <c r="AZ622" s="99" t="s">
        <v>3416</v>
      </c>
      <c r="BA622" s="99" t="s">
        <v>4739</v>
      </c>
      <c r="BB622" s="99" t="s">
        <v>2348</v>
      </c>
      <c r="BC622" s="125">
        <v>60</v>
      </c>
      <c r="BD622" s="99" t="s">
        <v>3135</v>
      </c>
      <c r="BE622" s="99" t="s">
        <v>3136</v>
      </c>
    </row>
    <row r="623" spans="1:57" ht="12.95" customHeight="1">
      <c r="A623" s="124">
        <v>15</v>
      </c>
      <c r="B623" s="124">
        <v>593</v>
      </c>
      <c r="C623" s="99" t="s">
        <v>165</v>
      </c>
      <c r="D623" s="99" t="s">
        <v>2260</v>
      </c>
      <c r="E623" s="99" t="s">
        <v>2910</v>
      </c>
      <c r="F623" s="99" t="s">
        <v>2602</v>
      </c>
      <c r="G623" s="99" t="s">
        <v>3300</v>
      </c>
      <c r="H623" s="99" t="s">
        <v>4740</v>
      </c>
      <c r="I623" s="99" t="s">
        <v>3301</v>
      </c>
      <c r="J623" s="99" t="s">
        <v>2345</v>
      </c>
      <c r="K623" s="99" t="s">
        <v>1031</v>
      </c>
      <c r="L623" s="99" t="s">
        <v>2346</v>
      </c>
      <c r="M623" s="99" t="s">
        <v>5</v>
      </c>
      <c r="N623" s="99" t="s">
        <v>3407</v>
      </c>
      <c r="O623" s="99" t="s">
        <v>114</v>
      </c>
      <c r="P623" s="99" t="s">
        <v>3422</v>
      </c>
      <c r="Q623" s="99" t="s">
        <v>169</v>
      </c>
      <c r="R623" s="99" t="s">
        <v>3409</v>
      </c>
      <c r="S623" s="99" t="s">
        <v>2636</v>
      </c>
      <c r="T623" s="99" t="s">
        <v>48</v>
      </c>
      <c r="U623" s="99" t="s">
        <v>184</v>
      </c>
      <c r="V623" s="99" t="s">
        <v>185</v>
      </c>
      <c r="W623" s="99" t="s">
        <v>4750</v>
      </c>
      <c r="X623" s="99" t="s">
        <v>4750</v>
      </c>
      <c r="Y623" s="99" t="s">
        <v>4751</v>
      </c>
      <c r="Z623" s="99" t="s">
        <v>172</v>
      </c>
      <c r="AA623" s="99" t="s">
        <v>173</v>
      </c>
      <c r="AB623" s="99" t="s">
        <v>174</v>
      </c>
      <c r="AC623" s="99" t="s">
        <v>3411</v>
      </c>
      <c r="AD623" s="99" t="s">
        <v>175</v>
      </c>
      <c r="AE623" s="99" t="s">
        <v>3411</v>
      </c>
      <c r="AF623" s="99" t="s">
        <v>3411</v>
      </c>
      <c r="AG623" s="124">
        <v>424</v>
      </c>
      <c r="AH623" s="99" t="s">
        <v>3413</v>
      </c>
      <c r="AI623" s="125">
        <v>100</v>
      </c>
      <c r="AJ623" s="99" t="s">
        <v>176</v>
      </c>
      <c r="AK623" s="99" t="s">
        <v>4750</v>
      </c>
      <c r="AL623" s="99" t="s">
        <v>3411</v>
      </c>
      <c r="AM623" s="99" t="s">
        <v>177</v>
      </c>
      <c r="AN623" s="99" t="s">
        <v>3411</v>
      </c>
      <c r="AO623" s="99" t="s">
        <v>178</v>
      </c>
      <c r="AP623" s="99" t="s">
        <v>2570</v>
      </c>
      <c r="AQ623" s="99" t="s">
        <v>3411</v>
      </c>
      <c r="AR623" s="99" t="s">
        <v>3411</v>
      </c>
      <c r="AS623" s="99" t="s">
        <v>2347</v>
      </c>
      <c r="AT623" s="99" t="s">
        <v>1</v>
      </c>
      <c r="AU623" s="99" t="s">
        <v>179</v>
      </c>
      <c r="AV623" s="99" t="s">
        <v>3414</v>
      </c>
      <c r="AW623" s="99" t="s">
        <v>180</v>
      </c>
      <c r="AX623" s="99" t="s">
        <v>3420</v>
      </c>
      <c r="AY623" s="99" t="s">
        <v>252</v>
      </c>
      <c r="AZ623" s="99" t="s">
        <v>3416</v>
      </c>
      <c r="BA623" s="99" t="s">
        <v>4739</v>
      </c>
      <c r="BB623" s="99" t="s">
        <v>2348</v>
      </c>
      <c r="BC623" s="125">
        <v>60</v>
      </c>
      <c r="BD623" s="99" t="s">
        <v>3135</v>
      </c>
      <c r="BE623" s="99" t="s">
        <v>3136</v>
      </c>
    </row>
    <row r="624" spans="1:57" ht="12.95" customHeight="1">
      <c r="A624" s="124">
        <v>15</v>
      </c>
      <c r="B624" s="124">
        <v>3050</v>
      </c>
      <c r="C624" s="99" t="s">
        <v>165</v>
      </c>
      <c r="D624" s="99" t="s">
        <v>2260</v>
      </c>
      <c r="E624" s="99" t="s">
        <v>2910</v>
      </c>
      <c r="F624" s="99" t="s">
        <v>2602</v>
      </c>
      <c r="G624" s="99" t="s">
        <v>3300</v>
      </c>
      <c r="H624" s="99" t="s">
        <v>2377</v>
      </c>
      <c r="I624" s="99" t="s">
        <v>2378</v>
      </c>
      <c r="J624" s="99" t="s">
        <v>2737</v>
      </c>
      <c r="K624" s="99" t="s">
        <v>370</v>
      </c>
      <c r="L624" s="99" t="s">
        <v>2738</v>
      </c>
      <c r="M624" s="99" t="s">
        <v>5</v>
      </c>
      <c r="N624" s="99" t="s">
        <v>3407</v>
      </c>
      <c r="O624" s="99" t="s">
        <v>114</v>
      </c>
      <c r="P624" s="99" t="s">
        <v>4018</v>
      </c>
      <c r="Q624" s="99" t="s">
        <v>169</v>
      </c>
      <c r="R624" s="99" t="s">
        <v>3409</v>
      </c>
      <c r="S624" s="99" t="s">
        <v>2636</v>
      </c>
      <c r="T624" s="99" t="s">
        <v>48</v>
      </c>
      <c r="U624" s="99" t="s">
        <v>697</v>
      </c>
      <c r="V624" s="99" t="s">
        <v>698</v>
      </c>
      <c r="W624" s="99" t="s">
        <v>4018</v>
      </c>
      <c r="X624" s="99" t="s">
        <v>4018</v>
      </c>
      <c r="Y624" s="99" t="s">
        <v>4752</v>
      </c>
      <c r="Z624" s="99" t="s">
        <v>172</v>
      </c>
      <c r="AA624" s="99" t="s">
        <v>173</v>
      </c>
      <c r="AB624" s="99" t="s">
        <v>174</v>
      </c>
      <c r="AC624" s="99" t="s">
        <v>3411</v>
      </c>
      <c r="AD624" s="99" t="s">
        <v>175</v>
      </c>
      <c r="AE624" s="99" t="s">
        <v>3411</v>
      </c>
      <c r="AF624" s="99" t="s">
        <v>3411</v>
      </c>
      <c r="AG624" s="124">
        <v>3050</v>
      </c>
      <c r="AH624" s="99" t="s">
        <v>3413</v>
      </c>
      <c r="AI624" s="125">
        <v>100</v>
      </c>
      <c r="AJ624" s="99" t="s">
        <v>176</v>
      </c>
      <c r="AK624" s="99" t="s">
        <v>4018</v>
      </c>
      <c r="AL624" s="99" t="s">
        <v>3411</v>
      </c>
      <c r="AM624" s="99" t="s">
        <v>3480</v>
      </c>
      <c r="AN624" s="99" t="s">
        <v>233</v>
      </c>
      <c r="AO624" s="99" t="s">
        <v>412</v>
      </c>
      <c r="AP624" s="99" t="s">
        <v>2570</v>
      </c>
      <c r="AQ624" s="99" t="s">
        <v>3411</v>
      </c>
      <c r="AR624" s="99" t="s">
        <v>3411</v>
      </c>
      <c r="AS624" s="99" t="s">
        <v>2739</v>
      </c>
      <c r="AT624" s="99" t="s">
        <v>1</v>
      </c>
      <c r="AU624" s="99" t="s">
        <v>179</v>
      </c>
      <c r="AV624" s="99" t="s">
        <v>3414</v>
      </c>
      <c r="AW624" s="99" t="s">
        <v>180</v>
      </c>
      <c r="AX624" s="99" t="s">
        <v>3420</v>
      </c>
      <c r="AY624" s="99" t="s">
        <v>252</v>
      </c>
      <c r="AZ624" s="99" t="s">
        <v>3416</v>
      </c>
      <c r="BA624" s="99" t="s">
        <v>4739</v>
      </c>
      <c r="BB624" s="99" t="s">
        <v>2348</v>
      </c>
      <c r="BC624" s="125">
        <v>33</v>
      </c>
      <c r="BD624" s="99" t="s">
        <v>3135</v>
      </c>
      <c r="BE624" s="99" t="s">
        <v>3136</v>
      </c>
    </row>
    <row r="625" spans="1:57" ht="12.95" customHeight="1">
      <c r="A625" s="124">
        <v>15</v>
      </c>
      <c r="B625" s="124">
        <v>1288</v>
      </c>
      <c r="C625" s="99" t="s">
        <v>165</v>
      </c>
      <c r="D625" s="99" t="s">
        <v>2260</v>
      </c>
      <c r="E625" s="99" t="s">
        <v>2910</v>
      </c>
      <c r="F625" s="99" t="s">
        <v>2602</v>
      </c>
      <c r="G625" s="99" t="s">
        <v>3300</v>
      </c>
      <c r="H625" s="99" t="s">
        <v>2377</v>
      </c>
      <c r="I625" s="99" t="s">
        <v>2378</v>
      </c>
      <c r="J625" s="99" t="s">
        <v>687</v>
      </c>
      <c r="K625" s="99" t="s">
        <v>668</v>
      </c>
      <c r="L625" s="99" t="s">
        <v>688</v>
      </c>
      <c r="M625" s="99" t="s">
        <v>1</v>
      </c>
      <c r="N625" s="99" t="s">
        <v>3407</v>
      </c>
      <c r="O625" s="99" t="s">
        <v>114</v>
      </c>
      <c r="P625" s="99" t="s">
        <v>3422</v>
      </c>
      <c r="Q625" s="99" t="s">
        <v>169</v>
      </c>
      <c r="R625" s="99" t="s">
        <v>3409</v>
      </c>
      <c r="S625" s="99" t="s">
        <v>2636</v>
      </c>
      <c r="T625" s="99" t="s">
        <v>48</v>
      </c>
      <c r="U625" s="99" t="s">
        <v>170</v>
      </c>
      <c r="V625" s="99" t="s">
        <v>171</v>
      </c>
      <c r="W625" s="99" t="s">
        <v>3762</v>
      </c>
      <c r="X625" s="99" t="s">
        <v>3762</v>
      </c>
      <c r="Y625" s="99" t="s">
        <v>4753</v>
      </c>
      <c r="Z625" s="99" t="s">
        <v>172</v>
      </c>
      <c r="AA625" s="99" t="s">
        <v>173</v>
      </c>
      <c r="AB625" s="99" t="s">
        <v>174</v>
      </c>
      <c r="AC625" s="99" t="s">
        <v>3411</v>
      </c>
      <c r="AD625" s="99" t="s">
        <v>175</v>
      </c>
      <c r="AE625" s="99" t="s">
        <v>3411</v>
      </c>
      <c r="AF625" s="99" t="s">
        <v>3411</v>
      </c>
      <c r="AG625" s="124">
        <v>1017</v>
      </c>
      <c r="AH625" s="99" t="s">
        <v>3413</v>
      </c>
      <c r="AI625" s="125">
        <v>100</v>
      </c>
      <c r="AJ625" s="99" t="s">
        <v>176</v>
      </c>
      <c r="AK625" s="99" t="s">
        <v>3762</v>
      </c>
      <c r="AL625" s="99" t="s">
        <v>3411</v>
      </c>
      <c r="AM625" s="99" t="s">
        <v>177</v>
      </c>
      <c r="AN625" s="99" t="s">
        <v>3411</v>
      </c>
      <c r="AO625" s="99" t="s">
        <v>178</v>
      </c>
      <c r="AP625" s="99" t="s">
        <v>2570</v>
      </c>
      <c r="AQ625" s="99" t="s">
        <v>3411</v>
      </c>
      <c r="AR625" s="99" t="s">
        <v>3411</v>
      </c>
      <c r="AS625" s="99" t="s">
        <v>689</v>
      </c>
      <c r="AT625" s="99" t="s">
        <v>1</v>
      </c>
      <c r="AU625" s="99" t="s">
        <v>179</v>
      </c>
      <c r="AV625" s="99" t="s">
        <v>3414</v>
      </c>
      <c r="AW625" s="99" t="s">
        <v>180</v>
      </c>
      <c r="AX625" s="99" t="s">
        <v>3420</v>
      </c>
      <c r="AY625" s="99" t="s">
        <v>252</v>
      </c>
      <c r="AZ625" s="99" t="s">
        <v>3416</v>
      </c>
      <c r="BA625" s="99" t="s">
        <v>4739</v>
      </c>
      <c r="BB625" s="99" t="s">
        <v>2348</v>
      </c>
      <c r="BC625" s="125">
        <v>60</v>
      </c>
      <c r="BD625" s="99" t="s">
        <v>3135</v>
      </c>
      <c r="BE625" s="99" t="s">
        <v>3136</v>
      </c>
    </row>
    <row r="626" spans="1:57" ht="12.95" customHeight="1">
      <c r="A626" s="124">
        <v>15</v>
      </c>
      <c r="B626" s="124">
        <v>3008</v>
      </c>
      <c r="C626" s="99" t="s">
        <v>165</v>
      </c>
      <c r="D626" s="99" t="s">
        <v>2260</v>
      </c>
      <c r="E626" s="99" t="s">
        <v>2910</v>
      </c>
      <c r="F626" s="99" t="s">
        <v>2602</v>
      </c>
      <c r="G626" s="99" t="s">
        <v>3300</v>
      </c>
      <c r="H626" s="99" t="s">
        <v>2377</v>
      </c>
      <c r="I626" s="99" t="s">
        <v>2378</v>
      </c>
      <c r="J626" s="99" t="s">
        <v>2379</v>
      </c>
      <c r="K626" s="99" t="s">
        <v>671</v>
      </c>
      <c r="L626" s="99" t="s">
        <v>2380</v>
      </c>
      <c r="M626" s="99" t="s">
        <v>5</v>
      </c>
      <c r="N626" s="99" t="s">
        <v>3407</v>
      </c>
      <c r="O626" s="99" t="s">
        <v>114</v>
      </c>
      <c r="P626" s="99" t="s">
        <v>3422</v>
      </c>
      <c r="Q626" s="99" t="s">
        <v>169</v>
      </c>
      <c r="R626" s="99" t="s">
        <v>3409</v>
      </c>
      <c r="S626" s="99" t="s">
        <v>2636</v>
      </c>
      <c r="T626" s="99" t="s">
        <v>48</v>
      </c>
      <c r="U626" s="99" t="s">
        <v>410</v>
      </c>
      <c r="V626" s="99" t="s">
        <v>411</v>
      </c>
      <c r="W626" s="99" t="s">
        <v>4754</v>
      </c>
      <c r="X626" s="99" t="s">
        <v>4754</v>
      </c>
      <c r="Y626" s="99" t="s">
        <v>4755</v>
      </c>
      <c r="Z626" s="99" t="s">
        <v>172</v>
      </c>
      <c r="AA626" s="99" t="s">
        <v>173</v>
      </c>
      <c r="AB626" s="99" t="s">
        <v>174</v>
      </c>
      <c r="AC626" s="99" t="s">
        <v>3411</v>
      </c>
      <c r="AD626" s="99" t="s">
        <v>175</v>
      </c>
      <c r="AE626" s="99" t="s">
        <v>3411</v>
      </c>
      <c r="AF626" s="99" t="s">
        <v>3411</v>
      </c>
      <c r="AG626" s="124">
        <v>3008</v>
      </c>
      <c r="AH626" s="99" t="s">
        <v>3413</v>
      </c>
      <c r="AI626" s="125">
        <v>100</v>
      </c>
      <c r="AJ626" s="99" t="s">
        <v>176</v>
      </c>
      <c r="AK626" s="99" t="s">
        <v>4754</v>
      </c>
      <c r="AL626" s="99" t="s">
        <v>3411</v>
      </c>
      <c r="AM626" s="99" t="s">
        <v>3480</v>
      </c>
      <c r="AN626" s="99" t="s">
        <v>233</v>
      </c>
      <c r="AO626" s="99" t="s">
        <v>412</v>
      </c>
      <c r="AP626" s="99" t="s">
        <v>2570</v>
      </c>
      <c r="AQ626" s="99" t="s">
        <v>3411</v>
      </c>
      <c r="AR626" s="99" t="s">
        <v>242</v>
      </c>
      <c r="AS626" s="99" t="s">
        <v>2381</v>
      </c>
      <c r="AT626" s="99" t="s">
        <v>1</v>
      </c>
      <c r="AU626" s="99" t="s">
        <v>179</v>
      </c>
      <c r="AV626" s="99" t="s">
        <v>3414</v>
      </c>
      <c r="AW626" s="99" t="s">
        <v>180</v>
      </c>
      <c r="AX626" s="99" t="s">
        <v>3420</v>
      </c>
      <c r="AY626" s="99" t="s">
        <v>252</v>
      </c>
      <c r="AZ626" s="99" t="s">
        <v>3416</v>
      </c>
      <c r="BA626" s="99" t="s">
        <v>4739</v>
      </c>
      <c r="BB626" s="99" t="s">
        <v>2348</v>
      </c>
      <c r="BC626" s="125">
        <v>49</v>
      </c>
      <c r="BD626" s="99" t="s">
        <v>3135</v>
      </c>
      <c r="BE626" s="99" t="s">
        <v>3136</v>
      </c>
    </row>
    <row r="627" spans="1:57" ht="12.95" customHeight="1">
      <c r="A627" s="124">
        <v>15</v>
      </c>
      <c r="B627" s="124">
        <v>707</v>
      </c>
      <c r="C627" s="99" t="s">
        <v>165</v>
      </c>
      <c r="D627" s="99" t="s">
        <v>2260</v>
      </c>
      <c r="E627" s="99" t="s">
        <v>2910</v>
      </c>
      <c r="F627" s="99" t="s">
        <v>2602</v>
      </c>
      <c r="G627" s="99" t="s">
        <v>3300</v>
      </c>
      <c r="H627" s="99" t="s">
        <v>2377</v>
      </c>
      <c r="I627" s="99" t="s">
        <v>2378</v>
      </c>
      <c r="J627" s="99" t="s">
        <v>2352</v>
      </c>
      <c r="K627" s="99" t="s">
        <v>2335</v>
      </c>
      <c r="L627" s="99" t="s">
        <v>2353</v>
      </c>
      <c r="M627" s="99" t="s">
        <v>1</v>
      </c>
      <c r="N627" s="99" t="s">
        <v>3454</v>
      </c>
      <c r="O627" s="99" t="s">
        <v>70</v>
      </c>
      <c r="P627" s="99" t="s">
        <v>3989</v>
      </c>
      <c r="Q627" s="99" t="s">
        <v>247</v>
      </c>
      <c r="R627" s="99" t="s">
        <v>3409</v>
      </c>
      <c r="S627" s="99" t="s">
        <v>2636</v>
      </c>
      <c r="T627" s="99" t="s">
        <v>48</v>
      </c>
      <c r="U627" s="99" t="s">
        <v>410</v>
      </c>
      <c r="V627" s="99" t="s">
        <v>411</v>
      </c>
      <c r="W627" s="99" t="s">
        <v>4585</v>
      </c>
      <c r="X627" s="99" t="s">
        <v>4585</v>
      </c>
      <c r="Y627" s="99" t="s">
        <v>4756</v>
      </c>
      <c r="Z627" s="99" t="s">
        <v>5</v>
      </c>
      <c r="AA627" s="99" t="s">
        <v>3384</v>
      </c>
      <c r="AB627" s="99" t="s">
        <v>174</v>
      </c>
      <c r="AC627" s="99" t="s">
        <v>4757</v>
      </c>
      <c r="AD627" s="99" t="s">
        <v>175</v>
      </c>
      <c r="AE627" s="99" t="s">
        <v>3411</v>
      </c>
      <c r="AF627" s="99" t="s">
        <v>3411</v>
      </c>
      <c r="AG627" s="124">
        <v>522</v>
      </c>
      <c r="AH627" s="99" t="s">
        <v>3413</v>
      </c>
      <c r="AI627" s="125">
        <v>100</v>
      </c>
      <c r="AJ627" s="99" t="s">
        <v>176</v>
      </c>
      <c r="AK627" s="99" t="s">
        <v>3976</v>
      </c>
      <c r="AL627" s="99" t="s">
        <v>3411</v>
      </c>
      <c r="AM627" s="99" t="s">
        <v>3480</v>
      </c>
      <c r="AN627" s="99" t="s">
        <v>233</v>
      </c>
      <c r="AO627" s="99" t="s">
        <v>178</v>
      </c>
      <c r="AP627" s="99" t="s">
        <v>2570</v>
      </c>
      <c r="AQ627" s="99" t="s">
        <v>3411</v>
      </c>
      <c r="AR627" s="99" t="s">
        <v>3411</v>
      </c>
      <c r="AS627" s="99" t="s">
        <v>2354</v>
      </c>
      <c r="AT627" s="99" t="s">
        <v>1</v>
      </c>
      <c r="AU627" s="99" t="s">
        <v>179</v>
      </c>
      <c r="AV627" s="99" t="s">
        <v>3414</v>
      </c>
      <c r="AW627" s="99" t="s">
        <v>180</v>
      </c>
      <c r="AX627" s="99" t="s">
        <v>3420</v>
      </c>
      <c r="AY627" s="99" t="s">
        <v>252</v>
      </c>
      <c r="AZ627" s="99" t="s">
        <v>3416</v>
      </c>
      <c r="BA627" s="99" t="s">
        <v>4739</v>
      </c>
      <c r="BB627" s="99" t="s">
        <v>2348</v>
      </c>
      <c r="BC627" s="125">
        <v>65</v>
      </c>
      <c r="BD627" s="99" t="s">
        <v>3135</v>
      </c>
      <c r="BE627" s="99" t="s">
        <v>3136</v>
      </c>
    </row>
    <row r="628" spans="1:57" ht="12.95" customHeight="1">
      <c r="A628" s="124">
        <v>15</v>
      </c>
      <c r="B628" s="124">
        <v>2159</v>
      </c>
      <c r="C628" s="99" t="s">
        <v>165</v>
      </c>
      <c r="D628" s="99" t="s">
        <v>2260</v>
      </c>
      <c r="E628" s="99" t="s">
        <v>2910</v>
      </c>
      <c r="F628" s="99" t="s">
        <v>2271</v>
      </c>
      <c r="G628" s="99" t="s">
        <v>3193</v>
      </c>
      <c r="H628" s="99" t="s">
        <v>4758</v>
      </c>
      <c r="I628" s="99" t="s">
        <v>3067</v>
      </c>
      <c r="J628" s="99" t="s">
        <v>2272</v>
      </c>
      <c r="K628" s="99" t="s">
        <v>393</v>
      </c>
      <c r="L628" s="99" t="s">
        <v>2273</v>
      </c>
      <c r="M628" s="99" t="s">
        <v>1</v>
      </c>
      <c r="N628" s="99" t="s">
        <v>3407</v>
      </c>
      <c r="O628" s="99" t="s">
        <v>114</v>
      </c>
      <c r="P628" s="99" t="s">
        <v>3422</v>
      </c>
      <c r="Q628" s="99" t="s">
        <v>169</v>
      </c>
      <c r="R628" s="99" t="s">
        <v>3409</v>
      </c>
      <c r="S628" s="99" t="s">
        <v>2636</v>
      </c>
      <c r="T628" s="99" t="s">
        <v>52</v>
      </c>
      <c r="U628" s="99" t="s">
        <v>427</v>
      </c>
      <c r="V628" s="99" t="s">
        <v>428</v>
      </c>
      <c r="W628" s="99" t="s">
        <v>4759</v>
      </c>
      <c r="X628" s="99" t="s">
        <v>4759</v>
      </c>
      <c r="Y628" s="99" t="s">
        <v>4760</v>
      </c>
      <c r="Z628" s="99" t="s">
        <v>172</v>
      </c>
      <c r="AA628" s="99" t="s">
        <v>173</v>
      </c>
      <c r="AB628" s="99" t="s">
        <v>174</v>
      </c>
      <c r="AC628" s="99" t="s">
        <v>3411</v>
      </c>
      <c r="AD628" s="99" t="s">
        <v>175</v>
      </c>
      <c r="AE628" s="99" t="s">
        <v>3411</v>
      </c>
      <c r="AF628" s="99" t="s">
        <v>3411</v>
      </c>
      <c r="AG628" s="124">
        <v>1628</v>
      </c>
      <c r="AH628" s="99" t="s">
        <v>3413</v>
      </c>
      <c r="AI628" s="125">
        <v>100</v>
      </c>
      <c r="AJ628" s="99" t="s">
        <v>176</v>
      </c>
      <c r="AK628" s="99" t="s">
        <v>4759</v>
      </c>
      <c r="AL628" s="99" t="s">
        <v>3411</v>
      </c>
      <c r="AM628" s="99" t="s">
        <v>177</v>
      </c>
      <c r="AN628" s="99" t="s">
        <v>3411</v>
      </c>
      <c r="AO628" s="99" t="s">
        <v>403</v>
      </c>
      <c r="AP628" s="99" t="s">
        <v>2570</v>
      </c>
      <c r="AQ628" s="99" t="s">
        <v>3411</v>
      </c>
      <c r="AR628" s="99" t="s">
        <v>3411</v>
      </c>
      <c r="AS628" s="99" t="s">
        <v>2274</v>
      </c>
      <c r="AT628" s="99" t="s">
        <v>1</v>
      </c>
      <c r="AU628" s="99" t="s">
        <v>179</v>
      </c>
      <c r="AV628" s="99" t="s">
        <v>3414</v>
      </c>
      <c r="AW628" s="99" t="s">
        <v>180</v>
      </c>
      <c r="AX628" s="99" t="s">
        <v>3420</v>
      </c>
      <c r="AY628" s="99" t="s">
        <v>252</v>
      </c>
      <c r="AZ628" s="99" t="s">
        <v>3416</v>
      </c>
      <c r="BA628" s="99" t="s">
        <v>4761</v>
      </c>
      <c r="BB628" s="99" t="s">
        <v>3197</v>
      </c>
      <c r="BC628" s="125">
        <v>48</v>
      </c>
      <c r="BD628" s="99" t="s">
        <v>3135</v>
      </c>
      <c r="BE628" s="99" t="s">
        <v>3136</v>
      </c>
    </row>
    <row r="629" spans="1:57" ht="12.95" customHeight="1">
      <c r="A629" s="124">
        <v>15</v>
      </c>
      <c r="B629" s="124">
        <v>1158</v>
      </c>
      <c r="C629" s="99" t="s">
        <v>165</v>
      </c>
      <c r="D629" s="99" t="s">
        <v>2260</v>
      </c>
      <c r="E629" s="99" t="s">
        <v>2910</v>
      </c>
      <c r="F629" s="99" t="s">
        <v>2271</v>
      </c>
      <c r="G629" s="99" t="s">
        <v>3193</v>
      </c>
      <c r="H629" s="99" t="s">
        <v>4758</v>
      </c>
      <c r="I629" s="99" t="s">
        <v>3067</v>
      </c>
      <c r="J629" s="99" t="s">
        <v>2275</v>
      </c>
      <c r="K629" s="99" t="s">
        <v>2276</v>
      </c>
      <c r="L629" s="99" t="s">
        <v>2277</v>
      </c>
      <c r="M629" s="99" t="s">
        <v>1</v>
      </c>
      <c r="N629" s="99" t="s">
        <v>3407</v>
      </c>
      <c r="O629" s="99" t="s">
        <v>114</v>
      </c>
      <c r="P629" s="99" t="s">
        <v>3422</v>
      </c>
      <c r="Q629" s="99" t="s">
        <v>169</v>
      </c>
      <c r="R629" s="99" t="s">
        <v>3409</v>
      </c>
      <c r="S629" s="99" t="s">
        <v>2636</v>
      </c>
      <c r="T629" s="99" t="s">
        <v>48</v>
      </c>
      <c r="U629" s="99" t="s">
        <v>184</v>
      </c>
      <c r="V629" s="99" t="s">
        <v>185</v>
      </c>
      <c r="W629" s="99" t="s">
        <v>4762</v>
      </c>
      <c r="X629" s="99" t="s">
        <v>4762</v>
      </c>
      <c r="Y629" s="99" t="s">
        <v>4763</v>
      </c>
      <c r="Z629" s="99" t="s">
        <v>172</v>
      </c>
      <c r="AA629" s="99" t="s">
        <v>173</v>
      </c>
      <c r="AB629" s="99" t="s">
        <v>174</v>
      </c>
      <c r="AC629" s="99" t="s">
        <v>3411</v>
      </c>
      <c r="AD629" s="99" t="s">
        <v>175</v>
      </c>
      <c r="AE629" s="99" t="s">
        <v>3411</v>
      </c>
      <c r="AF629" s="99" t="s">
        <v>3411</v>
      </c>
      <c r="AG629" s="124">
        <v>913</v>
      </c>
      <c r="AH629" s="99" t="s">
        <v>3413</v>
      </c>
      <c r="AI629" s="125">
        <v>100</v>
      </c>
      <c r="AJ629" s="99" t="s">
        <v>176</v>
      </c>
      <c r="AK629" s="99" t="s">
        <v>4762</v>
      </c>
      <c r="AL629" s="99" t="s">
        <v>3411</v>
      </c>
      <c r="AM629" s="99" t="s">
        <v>177</v>
      </c>
      <c r="AN629" s="99" t="s">
        <v>3411</v>
      </c>
      <c r="AO629" s="99" t="s">
        <v>178</v>
      </c>
      <c r="AP629" s="99" t="s">
        <v>2570</v>
      </c>
      <c r="AQ629" s="99" t="s">
        <v>3411</v>
      </c>
      <c r="AR629" s="99" t="s">
        <v>3411</v>
      </c>
      <c r="AS629" s="99" t="s">
        <v>2278</v>
      </c>
      <c r="AT629" s="99" t="s">
        <v>1</v>
      </c>
      <c r="AU629" s="99" t="s">
        <v>179</v>
      </c>
      <c r="AV629" s="99" t="s">
        <v>3414</v>
      </c>
      <c r="AW629" s="99" t="s">
        <v>180</v>
      </c>
      <c r="AX629" s="99" t="s">
        <v>3420</v>
      </c>
      <c r="AY629" s="99" t="s">
        <v>252</v>
      </c>
      <c r="AZ629" s="99" t="s">
        <v>3416</v>
      </c>
      <c r="BA629" s="99" t="s">
        <v>4761</v>
      </c>
      <c r="BB629" s="99" t="s">
        <v>3197</v>
      </c>
      <c r="BC629" s="125">
        <v>58</v>
      </c>
      <c r="BD629" s="99" t="s">
        <v>3135</v>
      </c>
      <c r="BE629" s="99" t="s">
        <v>3136</v>
      </c>
    </row>
    <row r="630" spans="1:57" ht="12.95" customHeight="1">
      <c r="A630" s="124">
        <v>15</v>
      </c>
      <c r="B630" s="124">
        <v>1714</v>
      </c>
      <c r="C630" s="99" t="s">
        <v>165</v>
      </c>
      <c r="D630" s="99" t="s">
        <v>2260</v>
      </c>
      <c r="E630" s="99" t="s">
        <v>2910</v>
      </c>
      <c r="F630" s="99" t="s">
        <v>2271</v>
      </c>
      <c r="G630" s="99" t="s">
        <v>3193</v>
      </c>
      <c r="H630" s="99" t="s">
        <v>4758</v>
      </c>
      <c r="I630" s="99" t="s">
        <v>3067</v>
      </c>
      <c r="J630" s="99" t="s">
        <v>2241</v>
      </c>
      <c r="K630" s="99" t="s">
        <v>341</v>
      </c>
      <c r="L630" s="99" t="s">
        <v>2279</v>
      </c>
      <c r="M630" s="99" t="s">
        <v>1</v>
      </c>
      <c r="N630" s="99" t="s">
        <v>3407</v>
      </c>
      <c r="O630" s="99" t="s">
        <v>114</v>
      </c>
      <c r="P630" s="99" t="s">
        <v>3422</v>
      </c>
      <c r="Q630" s="99" t="s">
        <v>169</v>
      </c>
      <c r="R630" s="99" t="s">
        <v>3409</v>
      </c>
      <c r="S630" s="99" t="s">
        <v>2636</v>
      </c>
      <c r="T630" s="99" t="s">
        <v>52</v>
      </c>
      <c r="U630" s="99" t="s">
        <v>427</v>
      </c>
      <c r="V630" s="99" t="s">
        <v>428</v>
      </c>
      <c r="W630" s="99" t="s">
        <v>4764</v>
      </c>
      <c r="X630" s="99" t="s">
        <v>4764</v>
      </c>
      <c r="Y630" s="99" t="s">
        <v>4765</v>
      </c>
      <c r="Z630" s="99" t="s">
        <v>172</v>
      </c>
      <c r="AA630" s="99" t="s">
        <v>173</v>
      </c>
      <c r="AB630" s="99" t="s">
        <v>174</v>
      </c>
      <c r="AC630" s="99" t="s">
        <v>3411</v>
      </c>
      <c r="AD630" s="99" t="s">
        <v>175</v>
      </c>
      <c r="AE630" s="99" t="s">
        <v>3411</v>
      </c>
      <c r="AF630" s="99" t="s">
        <v>3411</v>
      </c>
      <c r="AG630" s="124">
        <v>1360</v>
      </c>
      <c r="AH630" s="99" t="s">
        <v>3413</v>
      </c>
      <c r="AI630" s="125">
        <v>100</v>
      </c>
      <c r="AJ630" s="99" t="s">
        <v>176</v>
      </c>
      <c r="AK630" s="99" t="s">
        <v>4764</v>
      </c>
      <c r="AL630" s="99" t="s">
        <v>3411</v>
      </c>
      <c r="AM630" s="99" t="s">
        <v>177</v>
      </c>
      <c r="AN630" s="99" t="s">
        <v>3411</v>
      </c>
      <c r="AO630" s="99" t="s">
        <v>178</v>
      </c>
      <c r="AP630" s="99" t="s">
        <v>2570</v>
      </c>
      <c r="AQ630" s="99" t="s">
        <v>3411</v>
      </c>
      <c r="AR630" s="99" t="s">
        <v>3411</v>
      </c>
      <c r="AS630" s="99" t="s">
        <v>2280</v>
      </c>
      <c r="AT630" s="99" t="s">
        <v>1</v>
      </c>
      <c r="AU630" s="99" t="s">
        <v>179</v>
      </c>
      <c r="AV630" s="99" t="s">
        <v>3414</v>
      </c>
      <c r="AW630" s="99" t="s">
        <v>180</v>
      </c>
      <c r="AX630" s="99" t="s">
        <v>3420</v>
      </c>
      <c r="AY630" s="99" t="s">
        <v>252</v>
      </c>
      <c r="AZ630" s="99" t="s">
        <v>3416</v>
      </c>
      <c r="BA630" s="99" t="s">
        <v>4761</v>
      </c>
      <c r="BB630" s="99" t="s">
        <v>3197</v>
      </c>
      <c r="BC630" s="125">
        <v>52</v>
      </c>
      <c r="BD630" s="99" t="s">
        <v>3135</v>
      </c>
      <c r="BE630" s="99" t="s">
        <v>3136</v>
      </c>
    </row>
    <row r="631" spans="1:57" ht="12.95" customHeight="1">
      <c r="A631" s="124">
        <v>15</v>
      </c>
      <c r="B631" s="124">
        <v>3166</v>
      </c>
      <c r="C631" s="99" t="s">
        <v>165</v>
      </c>
      <c r="D631" s="99" t="s">
        <v>2260</v>
      </c>
      <c r="E631" s="99" t="s">
        <v>2910</v>
      </c>
      <c r="F631" s="99" t="s">
        <v>2271</v>
      </c>
      <c r="G631" s="99" t="s">
        <v>3193</v>
      </c>
      <c r="H631" s="99" t="s">
        <v>4758</v>
      </c>
      <c r="I631" s="99" t="s">
        <v>3067</v>
      </c>
      <c r="J631" s="99" t="s">
        <v>5068</v>
      </c>
      <c r="K631" s="99" t="s">
        <v>5069</v>
      </c>
      <c r="L631" s="99" t="s">
        <v>5070</v>
      </c>
      <c r="M631" s="99" t="s">
        <v>1</v>
      </c>
      <c r="N631" s="99" t="s">
        <v>3407</v>
      </c>
      <c r="O631" s="99" t="s">
        <v>114</v>
      </c>
      <c r="P631" s="99" t="s">
        <v>5042</v>
      </c>
      <c r="Q631" s="99" t="s">
        <v>169</v>
      </c>
      <c r="R631" s="99" t="s">
        <v>3409</v>
      </c>
      <c r="S631" s="99" t="s">
        <v>2636</v>
      </c>
      <c r="T631" s="99" t="s">
        <v>48</v>
      </c>
      <c r="U631" s="99" t="s">
        <v>184</v>
      </c>
      <c r="V631" s="99" t="s">
        <v>185</v>
      </c>
      <c r="W631" s="99" t="s">
        <v>5042</v>
      </c>
      <c r="X631" s="99" t="s">
        <v>5042</v>
      </c>
      <c r="Y631" s="99" t="s">
        <v>5071</v>
      </c>
      <c r="Z631" s="99" t="s">
        <v>172</v>
      </c>
      <c r="AA631" s="99" t="s">
        <v>173</v>
      </c>
      <c r="AB631" s="99" t="s">
        <v>174</v>
      </c>
      <c r="AC631" s="99" t="s">
        <v>3411</v>
      </c>
      <c r="AD631" s="99" t="s">
        <v>175</v>
      </c>
      <c r="AE631" s="99" t="s">
        <v>3411</v>
      </c>
      <c r="AF631" s="99" t="s">
        <v>3411</v>
      </c>
      <c r="AG631" s="124">
        <v>3166</v>
      </c>
      <c r="AH631" s="99" t="s">
        <v>3413</v>
      </c>
      <c r="AI631" s="125">
        <v>100</v>
      </c>
      <c r="AJ631" s="99" t="s">
        <v>176</v>
      </c>
      <c r="AK631" s="99" t="s">
        <v>5042</v>
      </c>
      <c r="AL631" s="99" t="s">
        <v>3411</v>
      </c>
      <c r="AM631" s="99" t="s">
        <v>177</v>
      </c>
      <c r="AN631" s="99" t="s">
        <v>3411</v>
      </c>
      <c r="AO631" s="99" t="s">
        <v>412</v>
      </c>
      <c r="AP631" s="99" t="s">
        <v>2570</v>
      </c>
      <c r="AQ631" s="99" t="s">
        <v>3411</v>
      </c>
      <c r="AR631" s="99" t="s">
        <v>3411</v>
      </c>
      <c r="AS631" s="99" t="s">
        <v>5072</v>
      </c>
      <c r="AT631" s="99" t="s">
        <v>1</v>
      </c>
      <c r="AU631" s="99" t="s">
        <v>179</v>
      </c>
      <c r="AV631" s="99" t="s">
        <v>3414</v>
      </c>
      <c r="AW631" s="99" t="s">
        <v>180</v>
      </c>
      <c r="AX631" s="99" t="s">
        <v>3411</v>
      </c>
      <c r="AY631" s="99" t="s">
        <v>3411</v>
      </c>
      <c r="AZ631" s="99" t="s">
        <v>3411</v>
      </c>
      <c r="BA631" s="99" t="s">
        <v>4761</v>
      </c>
      <c r="BB631" s="99" t="s">
        <v>3197</v>
      </c>
      <c r="BC631" s="125">
        <v>41</v>
      </c>
      <c r="BD631" s="99" t="s">
        <v>3135</v>
      </c>
      <c r="BE631" s="99" t="s">
        <v>3136</v>
      </c>
    </row>
    <row r="632" spans="1:57" ht="12.95" customHeight="1">
      <c r="A632" s="124">
        <v>15</v>
      </c>
      <c r="B632" s="124">
        <v>3148</v>
      </c>
      <c r="C632" s="99" t="s">
        <v>165</v>
      </c>
      <c r="D632" s="99" t="s">
        <v>2260</v>
      </c>
      <c r="E632" s="99" t="s">
        <v>2910</v>
      </c>
      <c r="F632" s="99" t="s">
        <v>2271</v>
      </c>
      <c r="G632" s="99" t="s">
        <v>3193</v>
      </c>
      <c r="H632" s="99" t="s">
        <v>4758</v>
      </c>
      <c r="I632" s="99" t="s">
        <v>3067</v>
      </c>
      <c r="J632" s="99" t="s">
        <v>3269</v>
      </c>
      <c r="K632" s="99" t="s">
        <v>3270</v>
      </c>
      <c r="L632" s="99" t="s">
        <v>3271</v>
      </c>
      <c r="M632" s="99" t="s">
        <v>1</v>
      </c>
      <c r="N632" s="99" t="s">
        <v>3407</v>
      </c>
      <c r="O632" s="99" t="s">
        <v>114</v>
      </c>
      <c r="P632" s="99" t="s">
        <v>3792</v>
      </c>
      <c r="Q632" s="99" t="s">
        <v>169</v>
      </c>
      <c r="R632" s="99" t="s">
        <v>3409</v>
      </c>
      <c r="S632" s="99" t="s">
        <v>2636</v>
      </c>
      <c r="T632" s="99" t="s">
        <v>48</v>
      </c>
      <c r="U632" s="99" t="s">
        <v>697</v>
      </c>
      <c r="V632" s="99" t="s">
        <v>698</v>
      </c>
      <c r="W632" s="99" t="s">
        <v>3792</v>
      </c>
      <c r="X632" s="99" t="s">
        <v>3792</v>
      </c>
      <c r="Y632" s="99" t="s">
        <v>4766</v>
      </c>
      <c r="Z632" s="99" t="s">
        <v>172</v>
      </c>
      <c r="AA632" s="99" t="s">
        <v>173</v>
      </c>
      <c r="AB632" s="99" t="s">
        <v>316</v>
      </c>
      <c r="AC632" s="99" t="s">
        <v>3411</v>
      </c>
      <c r="AD632" s="99" t="s">
        <v>175</v>
      </c>
      <c r="AE632" s="99" t="s">
        <v>3411</v>
      </c>
      <c r="AF632" s="99" t="s">
        <v>3411</v>
      </c>
      <c r="AG632" s="124">
        <v>3148</v>
      </c>
      <c r="AH632" s="99" t="s">
        <v>3413</v>
      </c>
      <c r="AI632" s="125">
        <v>100</v>
      </c>
      <c r="AJ632" s="99" t="s">
        <v>176</v>
      </c>
      <c r="AK632" s="99" t="s">
        <v>3792</v>
      </c>
      <c r="AL632" s="99" t="s">
        <v>3411</v>
      </c>
      <c r="AM632" s="99" t="s">
        <v>177</v>
      </c>
      <c r="AN632" s="99" t="s">
        <v>3411</v>
      </c>
      <c r="AO632" s="99" t="s">
        <v>412</v>
      </c>
      <c r="AP632" s="99" t="s">
        <v>2570</v>
      </c>
      <c r="AQ632" s="99" t="s">
        <v>3411</v>
      </c>
      <c r="AR632" s="99" t="s">
        <v>3411</v>
      </c>
      <c r="AS632" s="99" t="s">
        <v>3272</v>
      </c>
      <c r="AT632" s="99" t="s">
        <v>235</v>
      </c>
      <c r="AU632" s="99" t="s">
        <v>236</v>
      </c>
      <c r="AV632" s="99" t="s">
        <v>3414</v>
      </c>
      <c r="AW632" s="99" t="s">
        <v>180</v>
      </c>
      <c r="AX632" s="99" t="s">
        <v>3420</v>
      </c>
      <c r="AY632" s="99" t="s">
        <v>252</v>
      </c>
      <c r="AZ632" s="99" t="s">
        <v>3416</v>
      </c>
      <c r="BA632" s="99" t="s">
        <v>4761</v>
      </c>
      <c r="BB632" s="99" t="s">
        <v>3197</v>
      </c>
      <c r="BC632" s="125">
        <v>24</v>
      </c>
      <c r="BD632" s="99" t="s">
        <v>3135</v>
      </c>
      <c r="BE632" s="99" t="s">
        <v>3136</v>
      </c>
    </row>
    <row r="633" spans="1:57" ht="12.95" customHeight="1">
      <c r="A633" s="124">
        <v>15</v>
      </c>
      <c r="B633" s="124">
        <v>2978</v>
      </c>
      <c r="C633" s="99" t="s">
        <v>165</v>
      </c>
      <c r="D633" s="99" t="s">
        <v>2260</v>
      </c>
      <c r="E633" s="99" t="s">
        <v>2910</v>
      </c>
      <c r="F633" s="99" t="s">
        <v>2271</v>
      </c>
      <c r="G633" s="99" t="s">
        <v>3193</v>
      </c>
      <c r="H633" s="99" t="s">
        <v>4758</v>
      </c>
      <c r="I633" s="99" t="s">
        <v>3067</v>
      </c>
      <c r="J633" s="99" t="s">
        <v>303</v>
      </c>
      <c r="K633" s="99" t="s">
        <v>304</v>
      </c>
      <c r="L633" s="99" t="s">
        <v>305</v>
      </c>
      <c r="M633" s="99" t="s">
        <v>5</v>
      </c>
      <c r="N633" s="99" t="s">
        <v>3407</v>
      </c>
      <c r="O633" s="99" t="s">
        <v>114</v>
      </c>
      <c r="P633" s="99" t="s">
        <v>3422</v>
      </c>
      <c r="Q633" s="99" t="s">
        <v>169</v>
      </c>
      <c r="R633" s="99" t="s">
        <v>3409</v>
      </c>
      <c r="S633" s="99" t="s">
        <v>2636</v>
      </c>
      <c r="T633" s="99" t="s">
        <v>48</v>
      </c>
      <c r="U633" s="99" t="s">
        <v>410</v>
      </c>
      <c r="V633" s="99" t="s">
        <v>411</v>
      </c>
      <c r="W633" s="99" t="s">
        <v>4767</v>
      </c>
      <c r="X633" s="99" t="s">
        <v>4767</v>
      </c>
      <c r="Y633" s="99" t="s">
        <v>4768</v>
      </c>
      <c r="Z633" s="99" t="s">
        <v>172</v>
      </c>
      <c r="AA633" s="99" t="s">
        <v>173</v>
      </c>
      <c r="AB633" s="99" t="s">
        <v>174</v>
      </c>
      <c r="AC633" s="99" t="s">
        <v>3411</v>
      </c>
      <c r="AD633" s="99" t="s">
        <v>175</v>
      </c>
      <c r="AE633" s="99" t="s">
        <v>3411</v>
      </c>
      <c r="AF633" s="99" t="s">
        <v>3411</v>
      </c>
      <c r="AG633" s="124">
        <v>2978</v>
      </c>
      <c r="AH633" s="99" t="s">
        <v>3413</v>
      </c>
      <c r="AI633" s="125">
        <v>100</v>
      </c>
      <c r="AJ633" s="99" t="s">
        <v>176</v>
      </c>
      <c r="AK633" s="99" t="s">
        <v>4767</v>
      </c>
      <c r="AL633" s="99" t="s">
        <v>3411</v>
      </c>
      <c r="AM633" s="99" t="s">
        <v>177</v>
      </c>
      <c r="AN633" s="99" t="s">
        <v>3411</v>
      </c>
      <c r="AO633" s="99" t="s">
        <v>412</v>
      </c>
      <c r="AP633" s="99" t="s">
        <v>2570</v>
      </c>
      <c r="AQ633" s="99" t="s">
        <v>3411</v>
      </c>
      <c r="AR633" s="99" t="s">
        <v>3411</v>
      </c>
      <c r="AS633" s="99" t="s">
        <v>3213</v>
      </c>
      <c r="AT633" s="99" t="s">
        <v>235</v>
      </c>
      <c r="AU633" s="99" t="s">
        <v>236</v>
      </c>
      <c r="AV633" s="99" t="s">
        <v>3414</v>
      </c>
      <c r="AW633" s="99" t="s">
        <v>180</v>
      </c>
      <c r="AX633" s="99" t="s">
        <v>3420</v>
      </c>
      <c r="AY633" s="99" t="s">
        <v>252</v>
      </c>
      <c r="AZ633" s="99" t="s">
        <v>3416</v>
      </c>
      <c r="BA633" s="99" t="s">
        <v>4761</v>
      </c>
      <c r="BB633" s="99" t="s">
        <v>3197</v>
      </c>
      <c r="BC633" s="125">
        <v>36</v>
      </c>
      <c r="BD633" s="99" t="s">
        <v>3135</v>
      </c>
      <c r="BE633" s="99" t="s">
        <v>3136</v>
      </c>
    </row>
    <row r="634" spans="1:57" ht="12.95" customHeight="1">
      <c r="A634" s="124">
        <v>15</v>
      </c>
      <c r="B634" s="124">
        <v>982</v>
      </c>
      <c r="C634" s="99" t="s">
        <v>165</v>
      </c>
      <c r="D634" s="99" t="s">
        <v>2260</v>
      </c>
      <c r="E634" s="99" t="s">
        <v>2910</v>
      </c>
      <c r="F634" s="99" t="s">
        <v>2271</v>
      </c>
      <c r="G634" s="99" t="s">
        <v>3193</v>
      </c>
      <c r="H634" s="99" t="s">
        <v>4758</v>
      </c>
      <c r="I634" s="99" t="s">
        <v>3067</v>
      </c>
      <c r="J634" s="99" t="s">
        <v>2284</v>
      </c>
      <c r="K634" s="99" t="s">
        <v>327</v>
      </c>
      <c r="L634" s="99" t="s">
        <v>2285</v>
      </c>
      <c r="M634" s="99" t="s">
        <v>1</v>
      </c>
      <c r="N634" s="99" t="s">
        <v>3407</v>
      </c>
      <c r="O634" s="99" t="s">
        <v>114</v>
      </c>
      <c r="P634" s="99" t="s">
        <v>3422</v>
      </c>
      <c r="Q634" s="99" t="s">
        <v>169</v>
      </c>
      <c r="R634" s="99" t="s">
        <v>3409</v>
      </c>
      <c r="S634" s="99" t="s">
        <v>2636</v>
      </c>
      <c r="T634" s="99" t="s">
        <v>48</v>
      </c>
      <c r="U634" s="99" t="s">
        <v>410</v>
      </c>
      <c r="V634" s="99" t="s">
        <v>411</v>
      </c>
      <c r="W634" s="99" t="s">
        <v>4769</v>
      </c>
      <c r="X634" s="99" t="s">
        <v>4770</v>
      </c>
      <c r="Y634" s="99" t="s">
        <v>4771</v>
      </c>
      <c r="Z634" s="99" t="s">
        <v>172</v>
      </c>
      <c r="AA634" s="99" t="s">
        <v>173</v>
      </c>
      <c r="AB634" s="99" t="s">
        <v>174</v>
      </c>
      <c r="AC634" s="99" t="s">
        <v>3411</v>
      </c>
      <c r="AD634" s="99" t="s">
        <v>175</v>
      </c>
      <c r="AE634" s="99" t="s">
        <v>3411</v>
      </c>
      <c r="AF634" s="99" t="s">
        <v>3411</v>
      </c>
      <c r="AG634" s="124">
        <v>758</v>
      </c>
      <c r="AH634" s="99" t="s">
        <v>3413</v>
      </c>
      <c r="AI634" s="125">
        <v>100</v>
      </c>
      <c r="AJ634" s="99" t="s">
        <v>176</v>
      </c>
      <c r="AK634" s="99" t="s">
        <v>3435</v>
      </c>
      <c r="AL634" s="99" t="s">
        <v>3411</v>
      </c>
      <c r="AM634" s="99" t="s">
        <v>177</v>
      </c>
      <c r="AN634" s="99" t="s">
        <v>3411</v>
      </c>
      <c r="AO634" s="99" t="s">
        <v>178</v>
      </c>
      <c r="AP634" s="99" t="s">
        <v>2570</v>
      </c>
      <c r="AQ634" s="99" t="s">
        <v>3411</v>
      </c>
      <c r="AR634" s="99" t="s">
        <v>3411</v>
      </c>
      <c r="AS634" s="99" t="s">
        <v>2286</v>
      </c>
      <c r="AT634" s="99" t="s">
        <v>1</v>
      </c>
      <c r="AU634" s="99" t="s">
        <v>179</v>
      </c>
      <c r="AV634" s="99" t="s">
        <v>3414</v>
      </c>
      <c r="AW634" s="99" t="s">
        <v>180</v>
      </c>
      <c r="AX634" s="99" t="s">
        <v>3420</v>
      </c>
      <c r="AY634" s="99" t="s">
        <v>252</v>
      </c>
      <c r="AZ634" s="99" t="s">
        <v>3416</v>
      </c>
      <c r="BA634" s="99" t="s">
        <v>4761</v>
      </c>
      <c r="BB634" s="99" t="s">
        <v>3197</v>
      </c>
      <c r="BC634" s="125">
        <v>53</v>
      </c>
      <c r="BD634" s="99" t="s">
        <v>3135</v>
      </c>
      <c r="BE634" s="99" t="s">
        <v>3136</v>
      </c>
    </row>
    <row r="635" spans="1:57" ht="12.95" customHeight="1">
      <c r="A635" s="124">
        <v>15</v>
      </c>
      <c r="B635" s="124">
        <v>470</v>
      </c>
      <c r="C635" s="99" t="s">
        <v>165</v>
      </c>
      <c r="D635" s="99" t="s">
        <v>2260</v>
      </c>
      <c r="E635" s="99" t="s">
        <v>2910</v>
      </c>
      <c r="F635" s="99" t="s">
        <v>2271</v>
      </c>
      <c r="G635" s="99" t="s">
        <v>3193</v>
      </c>
      <c r="H635" s="99" t="s">
        <v>4758</v>
      </c>
      <c r="I635" s="99" t="s">
        <v>3067</v>
      </c>
      <c r="J635" s="99" t="s">
        <v>2425</v>
      </c>
      <c r="K635" s="99" t="s">
        <v>2426</v>
      </c>
      <c r="L635" s="99" t="s">
        <v>2427</v>
      </c>
      <c r="M635" s="99" t="s">
        <v>1</v>
      </c>
      <c r="N635" s="99" t="s">
        <v>3407</v>
      </c>
      <c r="O635" s="99" t="s">
        <v>114</v>
      </c>
      <c r="P635" s="99" t="s">
        <v>3422</v>
      </c>
      <c r="Q635" s="99" t="s">
        <v>169</v>
      </c>
      <c r="R635" s="99" t="s">
        <v>3409</v>
      </c>
      <c r="S635" s="99" t="s">
        <v>2636</v>
      </c>
      <c r="T635" s="99" t="s">
        <v>48</v>
      </c>
      <c r="U635" s="99" t="s">
        <v>170</v>
      </c>
      <c r="V635" s="99" t="s">
        <v>171</v>
      </c>
      <c r="W635" s="99" t="s">
        <v>4772</v>
      </c>
      <c r="X635" s="99" t="s">
        <v>4772</v>
      </c>
      <c r="Y635" s="99" t="s">
        <v>4773</v>
      </c>
      <c r="Z635" s="99" t="s">
        <v>172</v>
      </c>
      <c r="AA635" s="99" t="s">
        <v>173</v>
      </c>
      <c r="AB635" s="99" t="s">
        <v>174</v>
      </c>
      <c r="AC635" s="99" t="s">
        <v>3411</v>
      </c>
      <c r="AD635" s="99" t="s">
        <v>175</v>
      </c>
      <c r="AE635" s="99" t="s">
        <v>3411</v>
      </c>
      <c r="AF635" s="99" t="s">
        <v>3411</v>
      </c>
      <c r="AG635" s="124">
        <v>334</v>
      </c>
      <c r="AH635" s="99" t="s">
        <v>3413</v>
      </c>
      <c r="AI635" s="125">
        <v>100</v>
      </c>
      <c r="AJ635" s="99" t="s">
        <v>176</v>
      </c>
      <c r="AK635" s="99" t="s">
        <v>4772</v>
      </c>
      <c r="AL635" s="99" t="s">
        <v>3411</v>
      </c>
      <c r="AM635" s="99" t="s">
        <v>3480</v>
      </c>
      <c r="AN635" s="99" t="s">
        <v>233</v>
      </c>
      <c r="AO635" s="99" t="s">
        <v>403</v>
      </c>
      <c r="AP635" s="99" t="s">
        <v>2570</v>
      </c>
      <c r="AQ635" s="99" t="s">
        <v>3411</v>
      </c>
      <c r="AR635" s="99" t="s">
        <v>3411</v>
      </c>
      <c r="AS635" s="99" t="s">
        <v>2428</v>
      </c>
      <c r="AT635" s="99" t="s">
        <v>1</v>
      </c>
      <c r="AU635" s="99" t="s">
        <v>179</v>
      </c>
      <c r="AV635" s="99" t="s">
        <v>3414</v>
      </c>
      <c r="AW635" s="99" t="s">
        <v>180</v>
      </c>
      <c r="AX635" s="99" t="s">
        <v>3420</v>
      </c>
      <c r="AY635" s="99" t="s">
        <v>252</v>
      </c>
      <c r="AZ635" s="99" t="s">
        <v>3416</v>
      </c>
      <c r="BA635" s="99" t="s">
        <v>4761</v>
      </c>
      <c r="BB635" s="99" t="s">
        <v>3197</v>
      </c>
      <c r="BC635" s="125">
        <v>60</v>
      </c>
      <c r="BD635" s="99" t="s">
        <v>3135</v>
      </c>
      <c r="BE635" s="99" t="s">
        <v>3136</v>
      </c>
    </row>
    <row r="636" spans="1:57" ht="12.95" customHeight="1">
      <c r="A636" s="124">
        <v>15</v>
      </c>
      <c r="B636" s="124">
        <v>3098</v>
      </c>
      <c r="C636" s="99" t="s">
        <v>165</v>
      </c>
      <c r="D636" s="99" t="s">
        <v>2260</v>
      </c>
      <c r="E636" s="99" t="s">
        <v>2910</v>
      </c>
      <c r="F636" s="99" t="s">
        <v>2271</v>
      </c>
      <c r="G636" s="99" t="s">
        <v>3193</v>
      </c>
      <c r="H636" s="99" t="s">
        <v>4774</v>
      </c>
      <c r="I636" s="99" t="s">
        <v>2287</v>
      </c>
      <c r="J636" s="99" t="s">
        <v>2986</v>
      </c>
      <c r="K636" s="99" t="s">
        <v>2987</v>
      </c>
      <c r="L636" s="99" t="s">
        <v>2988</v>
      </c>
      <c r="M636" s="99" t="s">
        <v>5</v>
      </c>
      <c r="N636" s="99" t="s">
        <v>3407</v>
      </c>
      <c r="O636" s="99" t="s">
        <v>114</v>
      </c>
      <c r="P636" s="99" t="s">
        <v>4690</v>
      </c>
      <c r="Q636" s="99" t="s">
        <v>169</v>
      </c>
      <c r="R636" s="99" t="s">
        <v>3409</v>
      </c>
      <c r="S636" s="99" t="s">
        <v>2636</v>
      </c>
      <c r="T636" s="99" t="s">
        <v>52</v>
      </c>
      <c r="U636" s="99" t="s">
        <v>427</v>
      </c>
      <c r="V636" s="99" t="s">
        <v>428</v>
      </c>
      <c r="W636" s="99" t="s">
        <v>4690</v>
      </c>
      <c r="X636" s="99" t="s">
        <v>4690</v>
      </c>
      <c r="Y636" s="99" t="s">
        <v>4775</v>
      </c>
      <c r="Z636" s="99" t="s">
        <v>172</v>
      </c>
      <c r="AA636" s="99" t="s">
        <v>173</v>
      </c>
      <c r="AB636" s="99" t="s">
        <v>174</v>
      </c>
      <c r="AC636" s="99" t="s">
        <v>3411</v>
      </c>
      <c r="AD636" s="99" t="s">
        <v>175</v>
      </c>
      <c r="AE636" s="99" t="s">
        <v>3411</v>
      </c>
      <c r="AF636" s="99" t="s">
        <v>3411</v>
      </c>
      <c r="AG636" s="124">
        <v>3098</v>
      </c>
      <c r="AH636" s="99" t="s">
        <v>3413</v>
      </c>
      <c r="AI636" s="125">
        <v>100</v>
      </c>
      <c r="AJ636" s="99" t="s">
        <v>176</v>
      </c>
      <c r="AK636" s="99" t="s">
        <v>4690</v>
      </c>
      <c r="AL636" s="99" t="s">
        <v>3411</v>
      </c>
      <c r="AM636" s="99" t="s">
        <v>177</v>
      </c>
      <c r="AN636" s="99" t="s">
        <v>3411</v>
      </c>
      <c r="AO636" s="99" t="s">
        <v>412</v>
      </c>
      <c r="AP636" s="99" t="s">
        <v>2570</v>
      </c>
      <c r="AQ636" s="99" t="s">
        <v>3411</v>
      </c>
      <c r="AR636" s="99" t="s">
        <v>3411</v>
      </c>
      <c r="AS636" s="99" t="s">
        <v>2989</v>
      </c>
      <c r="AT636" s="99" t="s">
        <v>1</v>
      </c>
      <c r="AU636" s="99" t="s">
        <v>179</v>
      </c>
      <c r="AV636" s="99" t="s">
        <v>3414</v>
      </c>
      <c r="AW636" s="99" t="s">
        <v>180</v>
      </c>
      <c r="AX636" s="99" t="s">
        <v>3420</v>
      </c>
      <c r="AY636" s="99" t="s">
        <v>252</v>
      </c>
      <c r="AZ636" s="99" t="s">
        <v>3416</v>
      </c>
      <c r="BA636" s="99" t="s">
        <v>4761</v>
      </c>
      <c r="BB636" s="99" t="s">
        <v>3197</v>
      </c>
      <c r="BC636" s="125">
        <v>42</v>
      </c>
      <c r="BD636" s="99" t="s">
        <v>3135</v>
      </c>
      <c r="BE636" s="99" t="s">
        <v>3136</v>
      </c>
    </row>
    <row r="637" spans="1:57" ht="12.95" customHeight="1">
      <c r="A637" s="124">
        <v>15</v>
      </c>
      <c r="B637" s="124">
        <v>931</v>
      </c>
      <c r="C637" s="99" t="s">
        <v>165</v>
      </c>
      <c r="D637" s="99" t="s">
        <v>2260</v>
      </c>
      <c r="E637" s="99" t="s">
        <v>2910</v>
      </c>
      <c r="F637" s="99" t="s">
        <v>2271</v>
      </c>
      <c r="G637" s="99" t="s">
        <v>3193</v>
      </c>
      <c r="H637" s="99" t="s">
        <v>4774</v>
      </c>
      <c r="I637" s="99" t="s">
        <v>2287</v>
      </c>
      <c r="J637" s="99" t="s">
        <v>2288</v>
      </c>
      <c r="K637" s="99" t="s">
        <v>402</v>
      </c>
      <c r="L637" s="99" t="s">
        <v>2289</v>
      </c>
      <c r="M637" s="99" t="s">
        <v>1</v>
      </c>
      <c r="N637" s="99" t="s">
        <v>3407</v>
      </c>
      <c r="O637" s="99" t="s">
        <v>114</v>
      </c>
      <c r="P637" s="99" t="s">
        <v>3422</v>
      </c>
      <c r="Q637" s="99" t="s">
        <v>169</v>
      </c>
      <c r="R637" s="99" t="s">
        <v>3409</v>
      </c>
      <c r="S637" s="99" t="s">
        <v>2636</v>
      </c>
      <c r="T637" s="99" t="s">
        <v>48</v>
      </c>
      <c r="U637" s="99" t="s">
        <v>184</v>
      </c>
      <c r="V637" s="99" t="s">
        <v>185</v>
      </c>
      <c r="W637" s="99" t="s">
        <v>4776</v>
      </c>
      <c r="X637" s="99" t="s">
        <v>4776</v>
      </c>
      <c r="Y637" s="99" t="s">
        <v>3725</v>
      </c>
      <c r="Z637" s="99" t="s">
        <v>172</v>
      </c>
      <c r="AA637" s="99" t="s">
        <v>173</v>
      </c>
      <c r="AB637" s="99" t="s">
        <v>174</v>
      </c>
      <c r="AC637" s="99" t="s">
        <v>3411</v>
      </c>
      <c r="AD637" s="99" t="s">
        <v>175</v>
      </c>
      <c r="AE637" s="99" t="s">
        <v>3411</v>
      </c>
      <c r="AF637" s="99" t="s">
        <v>3411</v>
      </c>
      <c r="AG637" s="124">
        <v>712</v>
      </c>
      <c r="AH637" s="99" t="s">
        <v>3413</v>
      </c>
      <c r="AI637" s="125">
        <v>100</v>
      </c>
      <c r="AJ637" s="99" t="s">
        <v>176</v>
      </c>
      <c r="AK637" s="99" t="s">
        <v>4776</v>
      </c>
      <c r="AL637" s="99" t="s">
        <v>3411</v>
      </c>
      <c r="AM637" s="99" t="s">
        <v>177</v>
      </c>
      <c r="AN637" s="99" t="s">
        <v>3411</v>
      </c>
      <c r="AO637" s="99" t="s">
        <v>178</v>
      </c>
      <c r="AP637" s="99" t="s">
        <v>2570</v>
      </c>
      <c r="AQ637" s="99" t="s">
        <v>3411</v>
      </c>
      <c r="AR637" s="99" t="s">
        <v>3411</v>
      </c>
      <c r="AS637" s="99" t="s">
        <v>2290</v>
      </c>
      <c r="AT637" s="99" t="s">
        <v>1</v>
      </c>
      <c r="AU637" s="99" t="s">
        <v>179</v>
      </c>
      <c r="AV637" s="99" t="s">
        <v>3414</v>
      </c>
      <c r="AW637" s="99" t="s">
        <v>180</v>
      </c>
      <c r="AX637" s="99" t="s">
        <v>3420</v>
      </c>
      <c r="AY637" s="99" t="s">
        <v>252</v>
      </c>
      <c r="AZ637" s="99" t="s">
        <v>3416</v>
      </c>
      <c r="BA637" s="99" t="s">
        <v>4761</v>
      </c>
      <c r="BB637" s="99" t="s">
        <v>3197</v>
      </c>
      <c r="BC637" s="125">
        <v>56</v>
      </c>
      <c r="BD637" s="99" t="s">
        <v>3135</v>
      </c>
      <c r="BE637" s="99" t="s">
        <v>3136</v>
      </c>
    </row>
    <row r="638" spans="1:57" ht="12.95" customHeight="1">
      <c r="A638" s="124">
        <v>15</v>
      </c>
      <c r="B638" s="124">
        <v>2038</v>
      </c>
      <c r="C638" s="99" t="s">
        <v>165</v>
      </c>
      <c r="D638" s="99" t="s">
        <v>2260</v>
      </c>
      <c r="E638" s="99" t="s">
        <v>2910</v>
      </c>
      <c r="F638" s="99" t="s">
        <v>2271</v>
      </c>
      <c r="G638" s="99" t="s">
        <v>3193</v>
      </c>
      <c r="H638" s="99" t="s">
        <v>4774</v>
      </c>
      <c r="I638" s="99" t="s">
        <v>2287</v>
      </c>
      <c r="J638" s="99" t="s">
        <v>2291</v>
      </c>
      <c r="K638" s="99" t="s">
        <v>386</v>
      </c>
      <c r="L638" s="99" t="s">
        <v>2292</v>
      </c>
      <c r="M638" s="99" t="s">
        <v>1</v>
      </c>
      <c r="N638" s="99" t="s">
        <v>3407</v>
      </c>
      <c r="O638" s="99" t="s">
        <v>114</v>
      </c>
      <c r="P638" s="99" t="s">
        <v>3422</v>
      </c>
      <c r="Q638" s="99" t="s">
        <v>169</v>
      </c>
      <c r="R638" s="99" t="s">
        <v>3409</v>
      </c>
      <c r="S638" s="99" t="s">
        <v>2636</v>
      </c>
      <c r="T638" s="99" t="s">
        <v>48</v>
      </c>
      <c r="U638" s="99" t="s">
        <v>170</v>
      </c>
      <c r="V638" s="99" t="s">
        <v>171</v>
      </c>
      <c r="W638" s="99" t="s">
        <v>4222</v>
      </c>
      <c r="X638" s="99" t="s">
        <v>4222</v>
      </c>
      <c r="Y638" s="99" t="s">
        <v>4777</v>
      </c>
      <c r="Z638" s="99" t="s">
        <v>172</v>
      </c>
      <c r="AA638" s="99" t="s">
        <v>173</v>
      </c>
      <c r="AB638" s="99" t="s">
        <v>174</v>
      </c>
      <c r="AC638" s="99" t="s">
        <v>3411</v>
      </c>
      <c r="AD638" s="99" t="s">
        <v>175</v>
      </c>
      <c r="AE638" s="99" t="s">
        <v>3411</v>
      </c>
      <c r="AF638" s="99" t="s">
        <v>3411</v>
      </c>
      <c r="AG638" s="124">
        <v>1559</v>
      </c>
      <c r="AH638" s="99" t="s">
        <v>3413</v>
      </c>
      <c r="AI638" s="125">
        <v>100</v>
      </c>
      <c r="AJ638" s="99" t="s">
        <v>176</v>
      </c>
      <c r="AK638" s="99" t="s">
        <v>4222</v>
      </c>
      <c r="AL638" s="99" t="s">
        <v>3411</v>
      </c>
      <c r="AM638" s="99" t="s">
        <v>177</v>
      </c>
      <c r="AN638" s="99" t="s">
        <v>3411</v>
      </c>
      <c r="AO638" s="99" t="s">
        <v>178</v>
      </c>
      <c r="AP638" s="99" t="s">
        <v>2570</v>
      </c>
      <c r="AQ638" s="99" t="s">
        <v>3411</v>
      </c>
      <c r="AR638" s="99" t="s">
        <v>3411</v>
      </c>
      <c r="AS638" s="99" t="s">
        <v>2293</v>
      </c>
      <c r="AT638" s="99" t="s">
        <v>1</v>
      </c>
      <c r="AU638" s="99" t="s">
        <v>179</v>
      </c>
      <c r="AV638" s="99" t="s">
        <v>3414</v>
      </c>
      <c r="AW638" s="99" t="s">
        <v>180</v>
      </c>
      <c r="AX638" s="99" t="s">
        <v>3420</v>
      </c>
      <c r="AY638" s="99" t="s">
        <v>252</v>
      </c>
      <c r="AZ638" s="99" t="s">
        <v>3416</v>
      </c>
      <c r="BA638" s="99" t="s">
        <v>4761</v>
      </c>
      <c r="BB638" s="99" t="s">
        <v>3197</v>
      </c>
      <c r="BC638" s="125">
        <v>52</v>
      </c>
      <c r="BD638" s="99" t="s">
        <v>3135</v>
      </c>
      <c r="BE638" s="99" t="s">
        <v>3136</v>
      </c>
    </row>
    <row r="639" spans="1:57" ht="12.95" customHeight="1">
      <c r="A639" s="124">
        <v>15</v>
      </c>
      <c r="B639" s="124">
        <v>2039</v>
      </c>
      <c r="C639" s="99" t="s">
        <v>165</v>
      </c>
      <c r="D639" s="99" t="s">
        <v>2260</v>
      </c>
      <c r="E639" s="99" t="s">
        <v>2910</v>
      </c>
      <c r="F639" s="99" t="s">
        <v>2271</v>
      </c>
      <c r="G639" s="99" t="s">
        <v>3193</v>
      </c>
      <c r="H639" s="99" t="s">
        <v>4774</v>
      </c>
      <c r="I639" s="99" t="s">
        <v>2287</v>
      </c>
      <c r="J639" s="99" t="s">
        <v>2294</v>
      </c>
      <c r="K639" s="99" t="s">
        <v>1257</v>
      </c>
      <c r="L639" s="99" t="s">
        <v>2295</v>
      </c>
      <c r="M639" s="99" t="s">
        <v>1</v>
      </c>
      <c r="N639" s="99" t="s">
        <v>3407</v>
      </c>
      <c r="O639" s="99" t="s">
        <v>114</v>
      </c>
      <c r="P639" s="99" t="s">
        <v>3422</v>
      </c>
      <c r="Q639" s="99" t="s">
        <v>169</v>
      </c>
      <c r="R639" s="99" t="s">
        <v>3409</v>
      </c>
      <c r="S639" s="99" t="s">
        <v>2636</v>
      </c>
      <c r="T639" s="99" t="s">
        <v>48</v>
      </c>
      <c r="U639" s="99" t="s">
        <v>170</v>
      </c>
      <c r="V639" s="99" t="s">
        <v>171</v>
      </c>
      <c r="W639" s="99" t="s">
        <v>4222</v>
      </c>
      <c r="X639" s="99" t="s">
        <v>4222</v>
      </c>
      <c r="Y639" s="99" t="s">
        <v>4778</v>
      </c>
      <c r="Z639" s="99" t="s">
        <v>172</v>
      </c>
      <c r="AA639" s="99" t="s">
        <v>173</v>
      </c>
      <c r="AB639" s="99" t="s">
        <v>174</v>
      </c>
      <c r="AC639" s="99" t="s">
        <v>3411</v>
      </c>
      <c r="AD639" s="99" t="s">
        <v>175</v>
      </c>
      <c r="AE639" s="99" t="s">
        <v>3411</v>
      </c>
      <c r="AF639" s="99" t="s">
        <v>3411</v>
      </c>
      <c r="AG639" s="124">
        <v>1560</v>
      </c>
      <c r="AH639" s="99" t="s">
        <v>3413</v>
      </c>
      <c r="AI639" s="125">
        <v>100</v>
      </c>
      <c r="AJ639" s="99" t="s">
        <v>176</v>
      </c>
      <c r="AK639" s="99" t="s">
        <v>4222</v>
      </c>
      <c r="AL639" s="99" t="s">
        <v>3411</v>
      </c>
      <c r="AM639" s="99" t="s">
        <v>177</v>
      </c>
      <c r="AN639" s="99" t="s">
        <v>3411</v>
      </c>
      <c r="AO639" s="99" t="s">
        <v>178</v>
      </c>
      <c r="AP639" s="99" t="s">
        <v>2570</v>
      </c>
      <c r="AQ639" s="99" t="s">
        <v>3411</v>
      </c>
      <c r="AR639" s="99" t="s">
        <v>3411</v>
      </c>
      <c r="AS639" s="99" t="s">
        <v>2296</v>
      </c>
      <c r="AT639" s="99" t="s">
        <v>1</v>
      </c>
      <c r="AU639" s="99" t="s">
        <v>179</v>
      </c>
      <c r="AV639" s="99" t="s">
        <v>3414</v>
      </c>
      <c r="AW639" s="99" t="s">
        <v>180</v>
      </c>
      <c r="AX639" s="99" t="s">
        <v>3420</v>
      </c>
      <c r="AY639" s="99" t="s">
        <v>252</v>
      </c>
      <c r="AZ639" s="99" t="s">
        <v>3416</v>
      </c>
      <c r="BA639" s="99" t="s">
        <v>4761</v>
      </c>
      <c r="BB639" s="99" t="s">
        <v>3197</v>
      </c>
      <c r="BC639" s="125">
        <v>48</v>
      </c>
      <c r="BD639" s="99" t="s">
        <v>3135</v>
      </c>
      <c r="BE639" s="99" t="s">
        <v>3136</v>
      </c>
    </row>
    <row r="640" spans="1:57" ht="12.95" customHeight="1">
      <c r="A640" s="124">
        <v>15</v>
      </c>
      <c r="B640" s="124">
        <v>992</v>
      </c>
      <c r="C640" s="99" t="s">
        <v>165</v>
      </c>
      <c r="D640" s="99" t="s">
        <v>2260</v>
      </c>
      <c r="E640" s="99" t="s">
        <v>2910</v>
      </c>
      <c r="F640" s="99" t="s">
        <v>2297</v>
      </c>
      <c r="G640" s="99" t="s">
        <v>3302</v>
      </c>
      <c r="H640" s="99" t="s">
        <v>4779</v>
      </c>
      <c r="I640" s="99" t="s">
        <v>2298</v>
      </c>
      <c r="J640" s="99" t="s">
        <v>2300</v>
      </c>
      <c r="K640" s="99" t="s">
        <v>2301</v>
      </c>
      <c r="L640" s="99" t="s">
        <v>2302</v>
      </c>
      <c r="M640" s="99" t="s">
        <v>5</v>
      </c>
      <c r="N640" s="99" t="s">
        <v>3407</v>
      </c>
      <c r="O640" s="99" t="s">
        <v>114</v>
      </c>
      <c r="P640" s="99" t="s">
        <v>3422</v>
      </c>
      <c r="Q640" s="99" t="s">
        <v>169</v>
      </c>
      <c r="R640" s="99" t="s">
        <v>3409</v>
      </c>
      <c r="S640" s="99" t="s">
        <v>2636</v>
      </c>
      <c r="T640" s="99" t="s">
        <v>48</v>
      </c>
      <c r="U640" s="99" t="s">
        <v>410</v>
      </c>
      <c r="V640" s="99" t="s">
        <v>411</v>
      </c>
      <c r="W640" s="99" t="s">
        <v>3584</v>
      </c>
      <c r="X640" s="99" t="s">
        <v>4780</v>
      </c>
      <c r="Y640" s="99" t="s">
        <v>4781</v>
      </c>
      <c r="Z640" s="99" t="s">
        <v>172</v>
      </c>
      <c r="AA640" s="99" t="s">
        <v>173</v>
      </c>
      <c r="AB640" s="99" t="s">
        <v>174</v>
      </c>
      <c r="AC640" s="99" t="s">
        <v>3411</v>
      </c>
      <c r="AD640" s="99" t="s">
        <v>175</v>
      </c>
      <c r="AE640" s="99" t="s">
        <v>3411</v>
      </c>
      <c r="AF640" s="99" t="s">
        <v>3411</v>
      </c>
      <c r="AG640" s="124">
        <v>768</v>
      </c>
      <c r="AH640" s="99" t="s">
        <v>3413</v>
      </c>
      <c r="AI640" s="125">
        <v>100</v>
      </c>
      <c r="AJ640" s="99" t="s">
        <v>176</v>
      </c>
      <c r="AK640" s="99" t="s">
        <v>3584</v>
      </c>
      <c r="AL640" s="99" t="s">
        <v>3411</v>
      </c>
      <c r="AM640" s="99" t="s">
        <v>177</v>
      </c>
      <c r="AN640" s="99" t="s">
        <v>3411</v>
      </c>
      <c r="AO640" s="99" t="s">
        <v>403</v>
      </c>
      <c r="AP640" s="99" t="s">
        <v>2570</v>
      </c>
      <c r="AQ640" s="99" t="s">
        <v>3411</v>
      </c>
      <c r="AR640" s="99" t="s">
        <v>242</v>
      </c>
      <c r="AS640" s="99" t="s">
        <v>2303</v>
      </c>
      <c r="AT640" s="99" t="s">
        <v>1</v>
      </c>
      <c r="AU640" s="99" t="s">
        <v>179</v>
      </c>
      <c r="AV640" s="99" t="s">
        <v>3414</v>
      </c>
      <c r="AW640" s="99" t="s">
        <v>180</v>
      </c>
      <c r="AX640" s="99" t="s">
        <v>3420</v>
      </c>
      <c r="AY640" s="99" t="s">
        <v>252</v>
      </c>
      <c r="AZ640" s="99" t="s">
        <v>3416</v>
      </c>
      <c r="BA640" s="99" t="s">
        <v>4782</v>
      </c>
      <c r="BB640" s="99" t="s">
        <v>2299</v>
      </c>
      <c r="BC640" s="125">
        <v>57</v>
      </c>
      <c r="BD640" s="99" t="s">
        <v>3135</v>
      </c>
      <c r="BE640" s="99" t="s">
        <v>3136</v>
      </c>
    </row>
    <row r="641" spans="1:57" ht="12.95" customHeight="1">
      <c r="A641" s="124">
        <v>15</v>
      </c>
      <c r="B641" s="124">
        <v>2037</v>
      </c>
      <c r="C641" s="99" t="s">
        <v>165</v>
      </c>
      <c r="D641" s="99" t="s">
        <v>2260</v>
      </c>
      <c r="E641" s="99" t="s">
        <v>2910</v>
      </c>
      <c r="F641" s="99" t="s">
        <v>2297</v>
      </c>
      <c r="G641" s="99" t="s">
        <v>3302</v>
      </c>
      <c r="H641" s="99" t="s">
        <v>4779</v>
      </c>
      <c r="I641" s="99" t="s">
        <v>2298</v>
      </c>
      <c r="J641" s="99" t="s">
        <v>1617</v>
      </c>
      <c r="K641" s="99" t="s">
        <v>668</v>
      </c>
      <c r="L641" s="99" t="s">
        <v>2304</v>
      </c>
      <c r="M641" s="99" t="s">
        <v>1</v>
      </c>
      <c r="N641" s="99" t="s">
        <v>3407</v>
      </c>
      <c r="O641" s="99" t="s">
        <v>114</v>
      </c>
      <c r="P641" s="99" t="s">
        <v>3422</v>
      </c>
      <c r="Q641" s="99" t="s">
        <v>169</v>
      </c>
      <c r="R641" s="99" t="s">
        <v>3409</v>
      </c>
      <c r="S641" s="99" t="s">
        <v>2636</v>
      </c>
      <c r="T641" s="99" t="s">
        <v>48</v>
      </c>
      <c r="U641" s="99" t="s">
        <v>440</v>
      </c>
      <c r="V641" s="99" t="s">
        <v>441</v>
      </c>
      <c r="W641" s="99" t="s">
        <v>4222</v>
      </c>
      <c r="X641" s="99" t="s">
        <v>4222</v>
      </c>
      <c r="Y641" s="99" t="s">
        <v>4783</v>
      </c>
      <c r="Z641" s="99" t="s">
        <v>172</v>
      </c>
      <c r="AA641" s="99" t="s">
        <v>173</v>
      </c>
      <c r="AB641" s="99" t="s">
        <v>174</v>
      </c>
      <c r="AC641" s="99" t="s">
        <v>3411</v>
      </c>
      <c r="AD641" s="99" t="s">
        <v>175</v>
      </c>
      <c r="AE641" s="99" t="s">
        <v>3411</v>
      </c>
      <c r="AF641" s="99" t="s">
        <v>3411</v>
      </c>
      <c r="AG641" s="124">
        <v>1558</v>
      </c>
      <c r="AH641" s="99" t="s">
        <v>3413</v>
      </c>
      <c r="AI641" s="125">
        <v>100</v>
      </c>
      <c r="AJ641" s="99" t="s">
        <v>176</v>
      </c>
      <c r="AK641" s="99" t="s">
        <v>4222</v>
      </c>
      <c r="AL641" s="99" t="s">
        <v>3411</v>
      </c>
      <c r="AM641" s="99" t="s">
        <v>177</v>
      </c>
      <c r="AN641" s="99" t="s">
        <v>3411</v>
      </c>
      <c r="AO641" s="99" t="s">
        <v>178</v>
      </c>
      <c r="AP641" s="99" t="s">
        <v>2570</v>
      </c>
      <c r="AQ641" s="99" t="s">
        <v>3411</v>
      </c>
      <c r="AR641" s="99" t="s">
        <v>3411</v>
      </c>
      <c r="AS641" s="99" t="s">
        <v>2305</v>
      </c>
      <c r="AT641" s="99" t="s">
        <v>235</v>
      </c>
      <c r="AU641" s="99" t="s">
        <v>236</v>
      </c>
      <c r="AV641" s="99" t="s">
        <v>3414</v>
      </c>
      <c r="AW641" s="99" t="s">
        <v>180</v>
      </c>
      <c r="AX641" s="99" t="s">
        <v>3420</v>
      </c>
      <c r="AY641" s="99" t="s">
        <v>252</v>
      </c>
      <c r="AZ641" s="99" t="s">
        <v>3416</v>
      </c>
      <c r="BA641" s="99" t="s">
        <v>4782</v>
      </c>
      <c r="BB641" s="99" t="s">
        <v>2299</v>
      </c>
      <c r="BC641" s="125">
        <v>49</v>
      </c>
      <c r="BD641" s="99" t="s">
        <v>3135</v>
      </c>
      <c r="BE641" s="99" t="s">
        <v>3136</v>
      </c>
    </row>
    <row r="642" spans="1:57" ht="12.95" customHeight="1">
      <c r="A642" s="124">
        <v>15</v>
      </c>
      <c r="B642" s="124">
        <v>1661</v>
      </c>
      <c r="C642" s="99" t="s">
        <v>165</v>
      </c>
      <c r="D642" s="99" t="s">
        <v>2260</v>
      </c>
      <c r="E642" s="99" t="s">
        <v>2910</v>
      </c>
      <c r="F642" s="99" t="s">
        <v>2297</v>
      </c>
      <c r="G642" s="99" t="s">
        <v>3302</v>
      </c>
      <c r="H642" s="99" t="s">
        <v>4779</v>
      </c>
      <c r="I642" s="99" t="s">
        <v>2298</v>
      </c>
      <c r="J642" s="99" t="s">
        <v>2309</v>
      </c>
      <c r="K642" s="99" t="s">
        <v>902</v>
      </c>
      <c r="L642" s="99" t="s">
        <v>2310</v>
      </c>
      <c r="M642" s="99" t="s">
        <v>1</v>
      </c>
      <c r="N642" s="99" t="s">
        <v>3407</v>
      </c>
      <c r="O642" s="99" t="s">
        <v>114</v>
      </c>
      <c r="P642" s="99" t="s">
        <v>3422</v>
      </c>
      <c r="Q642" s="99" t="s">
        <v>169</v>
      </c>
      <c r="R642" s="99" t="s">
        <v>3409</v>
      </c>
      <c r="S642" s="99" t="s">
        <v>2636</v>
      </c>
      <c r="T642" s="99" t="s">
        <v>48</v>
      </c>
      <c r="U642" s="99" t="s">
        <v>410</v>
      </c>
      <c r="V642" s="99" t="s">
        <v>411</v>
      </c>
      <c r="W642" s="99" t="s">
        <v>3423</v>
      </c>
      <c r="X642" s="99" t="s">
        <v>3423</v>
      </c>
      <c r="Y642" s="99" t="s">
        <v>4784</v>
      </c>
      <c r="Z642" s="99" t="s">
        <v>172</v>
      </c>
      <c r="AA642" s="99" t="s">
        <v>173</v>
      </c>
      <c r="AB642" s="99" t="s">
        <v>174</v>
      </c>
      <c r="AC642" s="99" t="s">
        <v>3411</v>
      </c>
      <c r="AD642" s="99" t="s">
        <v>175</v>
      </c>
      <c r="AE642" s="99" t="s">
        <v>3411</v>
      </c>
      <c r="AF642" s="99" t="s">
        <v>3411</v>
      </c>
      <c r="AG642" s="124">
        <v>1322</v>
      </c>
      <c r="AH642" s="99" t="s">
        <v>3413</v>
      </c>
      <c r="AI642" s="125">
        <v>100</v>
      </c>
      <c r="AJ642" s="99" t="s">
        <v>176</v>
      </c>
      <c r="AK642" s="99" t="s">
        <v>3423</v>
      </c>
      <c r="AL642" s="99" t="s">
        <v>3411</v>
      </c>
      <c r="AM642" s="99" t="s">
        <v>177</v>
      </c>
      <c r="AN642" s="99" t="s">
        <v>3411</v>
      </c>
      <c r="AO642" s="99" t="s">
        <v>178</v>
      </c>
      <c r="AP642" s="99" t="s">
        <v>2570</v>
      </c>
      <c r="AQ642" s="99" t="s">
        <v>3411</v>
      </c>
      <c r="AR642" s="99" t="s">
        <v>242</v>
      </c>
      <c r="AS642" s="99" t="s">
        <v>2311</v>
      </c>
      <c r="AT642" s="99" t="s">
        <v>1</v>
      </c>
      <c r="AU642" s="99" t="s">
        <v>179</v>
      </c>
      <c r="AV642" s="99" t="s">
        <v>3414</v>
      </c>
      <c r="AW642" s="99" t="s">
        <v>180</v>
      </c>
      <c r="AX642" s="99" t="s">
        <v>3420</v>
      </c>
      <c r="AY642" s="99" t="s">
        <v>252</v>
      </c>
      <c r="AZ642" s="99" t="s">
        <v>3416</v>
      </c>
      <c r="BA642" s="99" t="s">
        <v>4782</v>
      </c>
      <c r="BB642" s="99" t="s">
        <v>2299</v>
      </c>
      <c r="BC642" s="125">
        <v>55</v>
      </c>
      <c r="BD642" s="99" t="s">
        <v>3135</v>
      </c>
      <c r="BE642" s="99" t="s">
        <v>3136</v>
      </c>
    </row>
    <row r="643" spans="1:57" ht="12.95" customHeight="1">
      <c r="A643" s="124">
        <v>15</v>
      </c>
      <c r="B643" s="124">
        <v>1230</v>
      </c>
      <c r="C643" s="99" t="s">
        <v>165</v>
      </c>
      <c r="D643" s="99" t="s">
        <v>2260</v>
      </c>
      <c r="E643" s="99" t="s">
        <v>2910</v>
      </c>
      <c r="F643" s="99" t="s">
        <v>2297</v>
      </c>
      <c r="G643" s="99" t="s">
        <v>3302</v>
      </c>
      <c r="H643" s="99" t="s">
        <v>4779</v>
      </c>
      <c r="I643" s="99" t="s">
        <v>2298</v>
      </c>
      <c r="J643" s="99" t="s">
        <v>2312</v>
      </c>
      <c r="K643" s="99" t="s">
        <v>1121</v>
      </c>
      <c r="L643" s="99" t="s">
        <v>2313</v>
      </c>
      <c r="M643" s="99" t="s">
        <v>1</v>
      </c>
      <c r="N643" s="99" t="s">
        <v>3407</v>
      </c>
      <c r="O643" s="99" t="s">
        <v>114</v>
      </c>
      <c r="P643" s="99" t="s">
        <v>3422</v>
      </c>
      <c r="Q643" s="99" t="s">
        <v>169</v>
      </c>
      <c r="R643" s="99" t="s">
        <v>3409</v>
      </c>
      <c r="S643" s="99" t="s">
        <v>2636</v>
      </c>
      <c r="T643" s="99" t="s">
        <v>48</v>
      </c>
      <c r="U643" s="99" t="s">
        <v>170</v>
      </c>
      <c r="V643" s="99" t="s">
        <v>171</v>
      </c>
      <c r="W643" s="99" t="s">
        <v>4785</v>
      </c>
      <c r="X643" s="99" t="s">
        <v>4785</v>
      </c>
      <c r="Y643" s="99" t="s">
        <v>4786</v>
      </c>
      <c r="Z643" s="99" t="s">
        <v>172</v>
      </c>
      <c r="AA643" s="99" t="s">
        <v>173</v>
      </c>
      <c r="AB643" s="99" t="s">
        <v>174</v>
      </c>
      <c r="AC643" s="99" t="s">
        <v>3411</v>
      </c>
      <c r="AD643" s="99" t="s">
        <v>175</v>
      </c>
      <c r="AE643" s="99" t="s">
        <v>3411</v>
      </c>
      <c r="AF643" s="99" t="s">
        <v>3411</v>
      </c>
      <c r="AG643" s="124">
        <v>970</v>
      </c>
      <c r="AH643" s="99" t="s">
        <v>3413</v>
      </c>
      <c r="AI643" s="125">
        <v>100</v>
      </c>
      <c r="AJ643" s="99" t="s">
        <v>176</v>
      </c>
      <c r="AK643" s="99" t="s">
        <v>4785</v>
      </c>
      <c r="AL643" s="99" t="s">
        <v>3411</v>
      </c>
      <c r="AM643" s="99" t="s">
        <v>177</v>
      </c>
      <c r="AN643" s="99" t="s">
        <v>3411</v>
      </c>
      <c r="AO643" s="99" t="s">
        <v>178</v>
      </c>
      <c r="AP643" s="99" t="s">
        <v>2570</v>
      </c>
      <c r="AQ643" s="99" t="s">
        <v>3411</v>
      </c>
      <c r="AR643" s="99" t="s">
        <v>242</v>
      </c>
      <c r="AS643" s="99" t="s">
        <v>2314</v>
      </c>
      <c r="AT643" s="99" t="s">
        <v>1</v>
      </c>
      <c r="AU643" s="99" t="s">
        <v>179</v>
      </c>
      <c r="AV643" s="99" t="s">
        <v>3414</v>
      </c>
      <c r="AW643" s="99" t="s">
        <v>180</v>
      </c>
      <c r="AX643" s="99" t="s">
        <v>3420</v>
      </c>
      <c r="AY643" s="99" t="s">
        <v>252</v>
      </c>
      <c r="AZ643" s="99" t="s">
        <v>3416</v>
      </c>
      <c r="BA643" s="99" t="s">
        <v>4782</v>
      </c>
      <c r="BB643" s="99" t="s">
        <v>2299</v>
      </c>
      <c r="BC643" s="125">
        <v>50</v>
      </c>
      <c r="BD643" s="99" t="s">
        <v>3135</v>
      </c>
      <c r="BE643" s="99" t="s">
        <v>3136</v>
      </c>
    </row>
    <row r="644" spans="1:57" ht="12.95" customHeight="1">
      <c r="A644" s="124">
        <v>15</v>
      </c>
      <c r="B644" s="124">
        <v>3043</v>
      </c>
      <c r="C644" s="99" t="s">
        <v>165</v>
      </c>
      <c r="D644" s="99" t="s">
        <v>2260</v>
      </c>
      <c r="E644" s="99" t="s">
        <v>2910</v>
      </c>
      <c r="F644" s="99" t="s">
        <v>2297</v>
      </c>
      <c r="G644" s="99" t="s">
        <v>3302</v>
      </c>
      <c r="H644" s="99" t="s">
        <v>4779</v>
      </c>
      <c r="I644" s="99" t="s">
        <v>2298</v>
      </c>
      <c r="J644" s="99" t="s">
        <v>2733</v>
      </c>
      <c r="K644" s="99" t="s">
        <v>953</v>
      </c>
      <c r="L644" s="99" t="s">
        <v>2734</v>
      </c>
      <c r="M644" s="99" t="s">
        <v>1</v>
      </c>
      <c r="N644" s="99" t="s">
        <v>3407</v>
      </c>
      <c r="O644" s="99" t="s">
        <v>114</v>
      </c>
      <c r="P644" s="99" t="s">
        <v>4787</v>
      </c>
      <c r="Q644" s="99" t="s">
        <v>169</v>
      </c>
      <c r="R644" s="99" t="s">
        <v>3409</v>
      </c>
      <c r="S644" s="99" t="s">
        <v>2636</v>
      </c>
      <c r="T644" s="99" t="s">
        <v>48</v>
      </c>
      <c r="U644" s="99" t="s">
        <v>440</v>
      </c>
      <c r="V644" s="99" t="s">
        <v>441</v>
      </c>
      <c r="W644" s="99" t="s">
        <v>4787</v>
      </c>
      <c r="X644" s="99" t="s">
        <v>4787</v>
      </c>
      <c r="Y644" s="99" t="s">
        <v>4788</v>
      </c>
      <c r="Z644" s="99" t="s">
        <v>172</v>
      </c>
      <c r="AA644" s="99" t="s">
        <v>173</v>
      </c>
      <c r="AB644" s="99" t="s">
        <v>174</v>
      </c>
      <c r="AC644" s="99" t="s">
        <v>3411</v>
      </c>
      <c r="AD644" s="99" t="s">
        <v>175</v>
      </c>
      <c r="AE644" s="99" t="s">
        <v>3411</v>
      </c>
      <c r="AF644" s="99" t="s">
        <v>3411</v>
      </c>
      <c r="AG644" s="124">
        <v>3043</v>
      </c>
      <c r="AH644" s="99" t="s">
        <v>3413</v>
      </c>
      <c r="AI644" s="125">
        <v>100</v>
      </c>
      <c r="AJ644" s="99" t="s">
        <v>176</v>
      </c>
      <c r="AK644" s="99" t="s">
        <v>4787</v>
      </c>
      <c r="AL644" s="99" t="s">
        <v>3411</v>
      </c>
      <c r="AM644" s="99" t="s">
        <v>177</v>
      </c>
      <c r="AN644" s="99" t="s">
        <v>3411</v>
      </c>
      <c r="AO644" s="99" t="s">
        <v>412</v>
      </c>
      <c r="AP644" s="99" t="s">
        <v>2570</v>
      </c>
      <c r="AQ644" s="99" t="s">
        <v>3411</v>
      </c>
      <c r="AR644" s="99" t="s">
        <v>242</v>
      </c>
      <c r="AS644" s="99" t="s">
        <v>2735</v>
      </c>
      <c r="AT644" s="99" t="s">
        <v>1</v>
      </c>
      <c r="AU644" s="99" t="s">
        <v>179</v>
      </c>
      <c r="AV644" s="99" t="s">
        <v>3414</v>
      </c>
      <c r="AW644" s="99" t="s">
        <v>180</v>
      </c>
      <c r="AX644" s="99" t="s">
        <v>3420</v>
      </c>
      <c r="AY644" s="99" t="s">
        <v>252</v>
      </c>
      <c r="AZ644" s="99" t="s">
        <v>3416</v>
      </c>
      <c r="BA644" s="99" t="s">
        <v>4782</v>
      </c>
      <c r="BB644" s="99" t="s">
        <v>2299</v>
      </c>
      <c r="BC644" s="125">
        <v>50</v>
      </c>
      <c r="BD644" s="99" t="s">
        <v>3135</v>
      </c>
      <c r="BE644" s="99" t="s">
        <v>3136</v>
      </c>
    </row>
    <row r="645" spans="1:57" ht="12.95" customHeight="1">
      <c r="A645" s="124">
        <v>15</v>
      </c>
      <c r="B645" s="124">
        <v>1586</v>
      </c>
      <c r="C645" s="99" t="s">
        <v>165</v>
      </c>
      <c r="D645" s="99" t="s">
        <v>2260</v>
      </c>
      <c r="E645" s="99" t="s">
        <v>2910</v>
      </c>
      <c r="F645" s="99" t="s">
        <v>2297</v>
      </c>
      <c r="G645" s="99" t="s">
        <v>3302</v>
      </c>
      <c r="H645" s="99" t="s">
        <v>4789</v>
      </c>
      <c r="I645" s="99" t="s">
        <v>2315</v>
      </c>
      <c r="J645" s="99" t="s">
        <v>2316</v>
      </c>
      <c r="K645" s="99" t="s">
        <v>2317</v>
      </c>
      <c r="L645" s="99" t="s">
        <v>2318</v>
      </c>
      <c r="M645" s="99" t="s">
        <v>1</v>
      </c>
      <c r="N645" s="99" t="s">
        <v>3407</v>
      </c>
      <c r="O645" s="99" t="s">
        <v>114</v>
      </c>
      <c r="P645" s="99" t="s">
        <v>3422</v>
      </c>
      <c r="Q645" s="99" t="s">
        <v>169</v>
      </c>
      <c r="R645" s="99" t="s">
        <v>3409</v>
      </c>
      <c r="S645" s="99" t="s">
        <v>2636</v>
      </c>
      <c r="T645" s="99" t="s">
        <v>52</v>
      </c>
      <c r="U645" s="99" t="s">
        <v>427</v>
      </c>
      <c r="V645" s="99" t="s">
        <v>428</v>
      </c>
      <c r="W645" s="99" t="s">
        <v>3541</v>
      </c>
      <c r="X645" s="99" t="s">
        <v>3541</v>
      </c>
      <c r="Y645" s="99" t="s">
        <v>4790</v>
      </c>
      <c r="Z645" s="99" t="s">
        <v>172</v>
      </c>
      <c r="AA645" s="99" t="s">
        <v>173</v>
      </c>
      <c r="AB645" s="99" t="s">
        <v>174</v>
      </c>
      <c r="AC645" s="99" t="s">
        <v>3411</v>
      </c>
      <c r="AD645" s="99" t="s">
        <v>175</v>
      </c>
      <c r="AE645" s="99" t="s">
        <v>3411</v>
      </c>
      <c r="AF645" s="99" t="s">
        <v>3411</v>
      </c>
      <c r="AG645" s="124">
        <v>1256</v>
      </c>
      <c r="AH645" s="99" t="s">
        <v>3413</v>
      </c>
      <c r="AI645" s="125">
        <v>100</v>
      </c>
      <c r="AJ645" s="99" t="s">
        <v>176</v>
      </c>
      <c r="AK645" s="99" t="s">
        <v>3541</v>
      </c>
      <c r="AL645" s="99" t="s">
        <v>3411</v>
      </c>
      <c r="AM645" s="99" t="s">
        <v>177</v>
      </c>
      <c r="AN645" s="99" t="s">
        <v>3411</v>
      </c>
      <c r="AO645" s="99" t="s">
        <v>178</v>
      </c>
      <c r="AP645" s="99" t="s">
        <v>2570</v>
      </c>
      <c r="AQ645" s="99" t="s">
        <v>3411</v>
      </c>
      <c r="AR645" s="99" t="s">
        <v>3411</v>
      </c>
      <c r="AS645" s="99" t="s">
        <v>2319</v>
      </c>
      <c r="AT645" s="99" t="s">
        <v>1</v>
      </c>
      <c r="AU645" s="99" t="s">
        <v>179</v>
      </c>
      <c r="AV645" s="99" t="s">
        <v>3414</v>
      </c>
      <c r="AW645" s="99" t="s">
        <v>180</v>
      </c>
      <c r="AX645" s="99" t="s">
        <v>4791</v>
      </c>
      <c r="AY645" s="99" t="s">
        <v>252</v>
      </c>
      <c r="AZ645" s="99" t="s">
        <v>3416</v>
      </c>
      <c r="BA645" s="99" t="s">
        <v>4792</v>
      </c>
      <c r="BB645" s="99" t="s">
        <v>2387</v>
      </c>
      <c r="BC645" s="125">
        <v>57</v>
      </c>
      <c r="BD645" s="99" t="s">
        <v>3135</v>
      </c>
      <c r="BE645" s="99" t="s">
        <v>3136</v>
      </c>
    </row>
    <row r="646" spans="1:57" ht="12.95" customHeight="1">
      <c r="A646" s="124">
        <v>15</v>
      </c>
      <c r="B646" s="124">
        <v>1963</v>
      </c>
      <c r="C646" s="99" t="s">
        <v>165</v>
      </c>
      <c r="D646" s="99" t="s">
        <v>2260</v>
      </c>
      <c r="E646" s="99" t="s">
        <v>2910</v>
      </c>
      <c r="F646" s="99" t="s">
        <v>2297</v>
      </c>
      <c r="G646" s="99" t="s">
        <v>3302</v>
      </c>
      <c r="H646" s="99" t="s">
        <v>4793</v>
      </c>
      <c r="I646" s="99" t="s">
        <v>2321</v>
      </c>
      <c r="J646" s="99" t="s">
        <v>2322</v>
      </c>
      <c r="K646" s="99" t="s">
        <v>2323</v>
      </c>
      <c r="L646" s="99" t="s">
        <v>2324</v>
      </c>
      <c r="M646" s="99" t="s">
        <v>1</v>
      </c>
      <c r="N646" s="99" t="s">
        <v>3407</v>
      </c>
      <c r="O646" s="99" t="s">
        <v>114</v>
      </c>
      <c r="P646" s="99" t="s">
        <v>3422</v>
      </c>
      <c r="Q646" s="99" t="s">
        <v>169</v>
      </c>
      <c r="R646" s="99" t="s">
        <v>3409</v>
      </c>
      <c r="S646" s="99" t="s">
        <v>2636</v>
      </c>
      <c r="T646" s="99" t="s">
        <v>48</v>
      </c>
      <c r="U646" s="99" t="s">
        <v>410</v>
      </c>
      <c r="V646" s="99" t="s">
        <v>411</v>
      </c>
      <c r="W646" s="99" t="s">
        <v>3926</v>
      </c>
      <c r="X646" s="99" t="s">
        <v>3926</v>
      </c>
      <c r="Y646" s="99" t="s">
        <v>4794</v>
      </c>
      <c r="Z646" s="99" t="s">
        <v>172</v>
      </c>
      <c r="AA646" s="99" t="s">
        <v>173</v>
      </c>
      <c r="AB646" s="99" t="s">
        <v>174</v>
      </c>
      <c r="AC646" s="99" t="s">
        <v>3411</v>
      </c>
      <c r="AD646" s="99" t="s">
        <v>175</v>
      </c>
      <c r="AE646" s="99" t="s">
        <v>3411</v>
      </c>
      <c r="AF646" s="99" t="s">
        <v>3411</v>
      </c>
      <c r="AG646" s="124">
        <v>1530</v>
      </c>
      <c r="AH646" s="99" t="s">
        <v>3413</v>
      </c>
      <c r="AI646" s="125">
        <v>100</v>
      </c>
      <c r="AJ646" s="99" t="s">
        <v>176</v>
      </c>
      <c r="AK646" s="99" t="s">
        <v>3926</v>
      </c>
      <c r="AL646" s="99" t="s">
        <v>3411</v>
      </c>
      <c r="AM646" s="99" t="s">
        <v>177</v>
      </c>
      <c r="AN646" s="99" t="s">
        <v>3411</v>
      </c>
      <c r="AO646" s="99" t="s">
        <v>178</v>
      </c>
      <c r="AP646" s="99" t="s">
        <v>2570</v>
      </c>
      <c r="AQ646" s="99" t="s">
        <v>3411</v>
      </c>
      <c r="AR646" s="99" t="s">
        <v>242</v>
      </c>
      <c r="AS646" s="99" t="s">
        <v>2325</v>
      </c>
      <c r="AT646" s="99" t="s">
        <v>1</v>
      </c>
      <c r="AU646" s="99" t="s">
        <v>179</v>
      </c>
      <c r="AV646" s="99" t="s">
        <v>3414</v>
      </c>
      <c r="AW646" s="99" t="s">
        <v>180</v>
      </c>
      <c r="AX646" s="99" t="s">
        <v>3420</v>
      </c>
      <c r="AY646" s="99" t="s">
        <v>252</v>
      </c>
      <c r="AZ646" s="99" t="s">
        <v>3416</v>
      </c>
      <c r="BA646" s="99" t="s">
        <v>4782</v>
      </c>
      <c r="BB646" s="99" t="s">
        <v>2299</v>
      </c>
      <c r="BC646" s="125">
        <v>58</v>
      </c>
      <c r="BD646" s="99" t="s">
        <v>3135</v>
      </c>
      <c r="BE646" s="99" t="s">
        <v>3136</v>
      </c>
    </row>
    <row r="647" spans="1:57" ht="12.95" customHeight="1">
      <c r="A647" s="124">
        <v>15</v>
      </c>
      <c r="B647" s="124">
        <v>321</v>
      </c>
      <c r="C647" s="99" t="s">
        <v>165</v>
      </c>
      <c r="D647" s="99" t="s">
        <v>2260</v>
      </c>
      <c r="E647" s="99" t="s">
        <v>2910</v>
      </c>
      <c r="F647" s="99" t="s">
        <v>2297</v>
      </c>
      <c r="G647" s="99" t="s">
        <v>3302</v>
      </c>
      <c r="H647" s="99" t="s">
        <v>4793</v>
      </c>
      <c r="I647" s="99" t="s">
        <v>2321</v>
      </c>
      <c r="J647" s="99" t="s">
        <v>2326</v>
      </c>
      <c r="K647" s="99" t="s">
        <v>2327</v>
      </c>
      <c r="L647" s="99" t="s">
        <v>2328</v>
      </c>
      <c r="M647" s="99" t="s">
        <v>1</v>
      </c>
      <c r="N647" s="99" t="s">
        <v>3407</v>
      </c>
      <c r="O647" s="99" t="s">
        <v>114</v>
      </c>
      <c r="P647" s="99" t="s">
        <v>3422</v>
      </c>
      <c r="Q647" s="99" t="s">
        <v>169</v>
      </c>
      <c r="R647" s="99" t="s">
        <v>3409</v>
      </c>
      <c r="S647" s="99" t="s">
        <v>2636</v>
      </c>
      <c r="T647" s="99" t="s">
        <v>48</v>
      </c>
      <c r="U647" s="99" t="s">
        <v>410</v>
      </c>
      <c r="V647" s="99" t="s">
        <v>411</v>
      </c>
      <c r="W647" s="99" t="s">
        <v>4795</v>
      </c>
      <c r="X647" s="99" t="s">
        <v>4795</v>
      </c>
      <c r="Y647" s="99" t="s">
        <v>4796</v>
      </c>
      <c r="Z647" s="99" t="s">
        <v>172</v>
      </c>
      <c r="AA647" s="99" t="s">
        <v>173</v>
      </c>
      <c r="AB647" s="99" t="s">
        <v>174</v>
      </c>
      <c r="AC647" s="99" t="s">
        <v>3411</v>
      </c>
      <c r="AD647" s="99" t="s">
        <v>175</v>
      </c>
      <c r="AE647" s="99" t="s">
        <v>3411</v>
      </c>
      <c r="AF647" s="99" t="s">
        <v>3411</v>
      </c>
      <c r="AG647" s="124">
        <v>227</v>
      </c>
      <c r="AH647" s="99" t="s">
        <v>3413</v>
      </c>
      <c r="AI647" s="125">
        <v>100</v>
      </c>
      <c r="AJ647" s="99" t="s">
        <v>176</v>
      </c>
      <c r="AK647" s="99" t="s">
        <v>4795</v>
      </c>
      <c r="AL647" s="99" t="s">
        <v>3411</v>
      </c>
      <c r="AM647" s="99" t="s">
        <v>177</v>
      </c>
      <c r="AN647" s="99" t="s">
        <v>3411</v>
      </c>
      <c r="AO647" s="99" t="s">
        <v>178</v>
      </c>
      <c r="AP647" s="99" t="s">
        <v>2570</v>
      </c>
      <c r="AQ647" s="99" t="s">
        <v>3411</v>
      </c>
      <c r="AR647" s="99" t="s">
        <v>3411</v>
      </c>
      <c r="AS647" s="99" t="s">
        <v>2329</v>
      </c>
      <c r="AT647" s="99" t="s">
        <v>1</v>
      </c>
      <c r="AU647" s="99" t="s">
        <v>179</v>
      </c>
      <c r="AV647" s="99" t="s">
        <v>3414</v>
      </c>
      <c r="AW647" s="99" t="s">
        <v>180</v>
      </c>
      <c r="AX647" s="99" t="s">
        <v>3420</v>
      </c>
      <c r="AY647" s="99" t="s">
        <v>252</v>
      </c>
      <c r="AZ647" s="99" t="s">
        <v>3416</v>
      </c>
      <c r="BA647" s="99" t="s">
        <v>4782</v>
      </c>
      <c r="BB647" s="99" t="s">
        <v>2299</v>
      </c>
      <c r="BC647" s="125">
        <v>58</v>
      </c>
      <c r="BD647" s="99" t="s">
        <v>3135</v>
      </c>
      <c r="BE647" s="99" t="s">
        <v>3136</v>
      </c>
    </row>
    <row r="648" spans="1:57" ht="12.95" customHeight="1">
      <c r="A648" s="124">
        <v>15</v>
      </c>
      <c r="B648" s="124">
        <v>752</v>
      </c>
      <c r="C648" s="99" t="s">
        <v>165</v>
      </c>
      <c r="D648" s="99" t="s">
        <v>2260</v>
      </c>
      <c r="E648" s="99" t="s">
        <v>2910</v>
      </c>
      <c r="F648" s="99" t="s">
        <v>2297</v>
      </c>
      <c r="G648" s="99" t="s">
        <v>3302</v>
      </c>
      <c r="H648" s="99" t="s">
        <v>4793</v>
      </c>
      <c r="I648" s="99" t="s">
        <v>2321</v>
      </c>
      <c r="J648" s="99" t="s">
        <v>2330</v>
      </c>
      <c r="K648" s="99" t="s">
        <v>1846</v>
      </c>
      <c r="L648" s="99" t="s">
        <v>2331</v>
      </c>
      <c r="M648" s="99" t="s">
        <v>1</v>
      </c>
      <c r="N648" s="99" t="s">
        <v>3407</v>
      </c>
      <c r="O648" s="99" t="s">
        <v>114</v>
      </c>
      <c r="P648" s="99" t="s">
        <v>3422</v>
      </c>
      <c r="Q648" s="99" t="s">
        <v>169</v>
      </c>
      <c r="R648" s="99" t="s">
        <v>3409</v>
      </c>
      <c r="S648" s="99" t="s">
        <v>2636</v>
      </c>
      <c r="T648" s="99" t="s">
        <v>48</v>
      </c>
      <c r="U648" s="99" t="s">
        <v>410</v>
      </c>
      <c r="V648" s="99" t="s">
        <v>411</v>
      </c>
      <c r="W648" s="99" t="s">
        <v>4797</v>
      </c>
      <c r="X648" s="99" t="s">
        <v>4797</v>
      </c>
      <c r="Y648" s="99" t="s">
        <v>4798</v>
      </c>
      <c r="Z648" s="99" t="s">
        <v>172</v>
      </c>
      <c r="AA648" s="99" t="s">
        <v>173</v>
      </c>
      <c r="AB648" s="99" t="s">
        <v>174</v>
      </c>
      <c r="AC648" s="99" t="s">
        <v>3411</v>
      </c>
      <c r="AD648" s="99" t="s">
        <v>175</v>
      </c>
      <c r="AE648" s="99" t="s">
        <v>3411</v>
      </c>
      <c r="AF648" s="99" t="s">
        <v>3411</v>
      </c>
      <c r="AG648" s="124">
        <v>563</v>
      </c>
      <c r="AH648" s="99" t="s">
        <v>3413</v>
      </c>
      <c r="AI648" s="125">
        <v>100</v>
      </c>
      <c r="AJ648" s="99" t="s">
        <v>176</v>
      </c>
      <c r="AK648" s="99" t="s">
        <v>4797</v>
      </c>
      <c r="AL648" s="99" t="s">
        <v>3411</v>
      </c>
      <c r="AM648" s="99" t="s">
        <v>177</v>
      </c>
      <c r="AN648" s="99" t="s">
        <v>3411</v>
      </c>
      <c r="AO648" s="99" t="s">
        <v>178</v>
      </c>
      <c r="AP648" s="99" t="s">
        <v>2570</v>
      </c>
      <c r="AQ648" s="99" t="s">
        <v>3411</v>
      </c>
      <c r="AR648" s="99" t="s">
        <v>207</v>
      </c>
      <c r="AS648" s="99" t="s">
        <v>2332</v>
      </c>
      <c r="AT648" s="99" t="s">
        <v>235</v>
      </c>
      <c r="AU648" s="99" t="s">
        <v>236</v>
      </c>
      <c r="AV648" s="99" t="s">
        <v>3414</v>
      </c>
      <c r="AW648" s="99" t="s">
        <v>180</v>
      </c>
      <c r="AX648" s="99" t="s">
        <v>3420</v>
      </c>
      <c r="AY648" s="99" t="s">
        <v>252</v>
      </c>
      <c r="AZ648" s="99" t="s">
        <v>3416</v>
      </c>
      <c r="BA648" s="99" t="s">
        <v>4782</v>
      </c>
      <c r="BB648" s="99" t="s">
        <v>2299</v>
      </c>
      <c r="BC648" s="125">
        <v>58</v>
      </c>
      <c r="BD648" s="99" t="s">
        <v>3135</v>
      </c>
      <c r="BE648" s="99" t="s">
        <v>3136</v>
      </c>
    </row>
    <row r="649" spans="1:57" ht="12.95" customHeight="1">
      <c r="A649" s="124">
        <v>15</v>
      </c>
      <c r="B649" s="124">
        <v>549</v>
      </c>
      <c r="C649" s="99" t="s">
        <v>165</v>
      </c>
      <c r="D649" s="99" t="s">
        <v>2260</v>
      </c>
      <c r="E649" s="99" t="s">
        <v>2910</v>
      </c>
      <c r="F649" s="99" t="s">
        <v>2382</v>
      </c>
      <c r="G649" s="99" t="s">
        <v>3302</v>
      </c>
      <c r="H649" s="99" t="s">
        <v>4799</v>
      </c>
      <c r="I649" s="99" t="s">
        <v>2383</v>
      </c>
      <c r="J649" s="99" t="s">
        <v>2384</v>
      </c>
      <c r="K649" s="99" t="s">
        <v>1121</v>
      </c>
      <c r="L649" s="99" t="s">
        <v>2385</v>
      </c>
      <c r="M649" s="99" t="s">
        <v>1</v>
      </c>
      <c r="N649" s="99" t="s">
        <v>3407</v>
      </c>
      <c r="O649" s="99" t="s">
        <v>114</v>
      </c>
      <c r="P649" s="99" t="s">
        <v>3422</v>
      </c>
      <c r="Q649" s="99" t="s">
        <v>169</v>
      </c>
      <c r="R649" s="99" t="s">
        <v>3409</v>
      </c>
      <c r="S649" s="99" t="s">
        <v>2636</v>
      </c>
      <c r="T649" s="99" t="s">
        <v>48</v>
      </c>
      <c r="U649" s="99" t="s">
        <v>410</v>
      </c>
      <c r="V649" s="99" t="s">
        <v>411</v>
      </c>
      <c r="W649" s="99" t="s">
        <v>4166</v>
      </c>
      <c r="X649" s="99" t="s">
        <v>4166</v>
      </c>
      <c r="Y649" s="99" t="s">
        <v>4218</v>
      </c>
      <c r="Z649" s="99" t="s">
        <v>172</v>
      </c>
      <c r="AA649" s="99" t="s">
        <v>173</v>
      </c>
      <c r="AB649" s="99" t="s">
        <v>174</v>
      </c>
      <c r="AC649" s="99" t="s">
        <v>3411</v>
      </c>
      <c r="AD649" s="99" t="s">
        <v>175</v>
      </c>
      <c r="AE649" s="99" t="s">
        <v>3411</v>
      </c>
      <c r="AF649" s="99" t="s">
        <v>3411</v>
      </c>
      <c r="AG649" s="124">
        <v>385</v>
      </c>
      <c r="AH649" s="99" t="s">
        <v>3413</v>
      </c>
      <c r="AI649" s="125">
        <v>100</v>
      </c>
      <c r="AJ649" s="99" t="s">
        <v>176</v>
      </c>
      <c r="AK649" s="99" t="s">
        <v>4166</v>
      </c>
      <c r="AL649" s="99" t="s">
        <v>3411</v>
      </c>
      <c r="AM649" s="99" t="s">
        <v>177</v>
      </c>
      <c r="AN649" s="99" t="s">
        <v>3411</v>
      </c>
      <c r="AO649" s="99" t="s">
        <v>178</v>
      </c>
      <c r="AP649" s="99" t="s">
        <v>2570</v>
      </c>
      <c r="AQ649" s="99" t="s">
        <v>3411</v>
      </c>
      <c r="AR649" s="99" t="s">
        <v>3411</v>
      </c>
      <c r="AS649" s="99" t="s">
        <v>2386</v>
      </c>
      <c r="AT649" s="99" t="s">
        <v>235</v>
      </c>
      <c r="AU649" s="99" t="s">
        <v>236</v>
      </c>
      <c r="AV649" s="99" t="s">
        <v>3414</v>
      </c>
      <c r="AW649" s="99" t="s">
        <v>180</v>
      </c>
      <c r="AX649" s="99" t="s">
        <v>3420</v>
      </c>
      <c r="AY649" s="99" t="s">
        <v>252</v>
      </c>
      <c r="AZ649" s="99" t="s">
        <v>3416</v>
      </c>
      <c r="BA649" s="99" t="s">
        <v>4792</v>
      </c>
      <c r="BB649" s="99" t="s">
        <v>2387</v>
      </c>
      <c r="BC649" s="125">
        <v>57</v>
      </c>
      <c r="BD649" s="99" t="s">
        <v>3135</v>
      </c>
      <c r="BE649" s="99" t="s">
        <v>3136</v>
      </c>
    </row>
    <row r="650" spans="1:57" ht="12.95" customHeight="1">
      <c r="A650" s="124">
        <v>15</v>
      </c>
      <c r="B650" s="124">
        <v>2036</v>
      </c>
      <c r="C650" s="99" t="s">
        <v>165</v>
      </c>
      <c r="D650" s="99" t="s">
        <v>2260</v>
      </c>
      <c r="E650" s="99" t="s">
        <v>2910</v>
      </c>
      <c r="F650" s="99" t="s">
        <v>2382</v>
      </c>
      <c r="G650" s="99" t="s">
        <v>3302</v>
      </c>
      <c r="H650" s="99" t="s">
        <v>4799</v>
      </c>
      <c r="I650" s="99" t="s">
        <v>2383</v>
      </c>
      <c r="J650" s="99" t="s">
        <v>1670</v>
      </c>
      <c r="K650" s="99" t="s">
        <v>2388</v>
      </c>
      <c r="L650" s="99" t="s">
        <v>2389</v>
      </c>
      <c r="M650" s="99" t="s">
        <v>1</v>
      </c>
      <c r="N650" s="99" t="s">
        <v>3407</v>
      </c>
      <c r="O650" s="99" t="s">
        <v>114</v>
      </c>
      <c r="P650" s="99" t="s">
        <v>3422</v>
      </c>
      <c r="Q650" s="99" t="s">
        <v>169</v>
      </c>
      <c r="R650" s="99" t="s">
        <v>3409</v>
      </c>
      <c r="S650" s="99" t="s">
        <v>2636</v>
      </c>
      <c r="T650" s="99" t="s">
        <v>52</v>
      </c>
      <c r="U650" s="99" t="s">
        <v>427</v>
      </c>
      <c r="V650" s="99" t="s">
        <v>428</v>
      </c>
      <c r="W650" s="99" t="s">
        <v>4222</v>
      </c>
      <c r="X650" s="99" t="s">
        <v>4222</v>
      </c>
      <c r="Y650" s="99" t="s">
        <v>4800</v>
      </c>
      <c r="Z650" s="99" t="s">
        <v>172</v>
      </c>
      <c r="AA650" s="99" t="s">
        <v>173</v>
      </c>
      <c r="AB650" s="99" t="s">
        <v>174</v>
      </c>
      <c r="AC650" s="99" t="s">
        <v>3411</v>
      </c>
      <c r="AD650" s="99" t="s">
        <v>175</v>
      </c>
      <c r="AE650" s="99" t="s">
        <v>3411</v>
      </c>
      <c r="AF650" s="99" t="s">
        <v>3411</v>
      </c>
      <c r="AG650" s="124">
        <v>1557</v>
      </c>
      <c r="AH650" s="99" t="s">
        <v>3413</v>
      </c>
      <c r="AI650" s="125">
        <v>100</v>
      </c>
      <c r="AJ650" s="99" t="s">
        <v>176</v>
      </c>
      <c r="AK650" s="99" t="s">
        <v>4222</v>
      </c>
      <c r="AL650" s="99" t="s">
        <v>3411</v>
      </c>
      <c r="AM650" s="99" t="s">
        <v>177</v>
      </c>
      <c r="AN650" s="99" t="s">
        <v>3411</v>
      </c>
      <c r="AO650" s="99" t="s">
        <v>178</v>
      </c>
      <c r="AP650" s="99" t="s">
        <v>2570</v>
      </c>
      <c r="AQ650" s="99" t="s">
        <v>3411</v>
      </c>
      <c r="AR650" s="99" t="s">
        <v>3411</v>
      </c>
      <c r="AS650" s="99" t="s">
        <v>2390</v>
      </c>
      <c r="AT650" s="99" t="s">
        <v>1</v>
      </c>
      <c r="AU650" s="99" t="s">
        <v>179</v>
      </c>
      <c r="AV650" s="99" t="s">
        <v>3414</v>
      </c>
      <c r="AW650" s="99" t="s">
        <v>180</v>
      </c>
      <c r="AX650" s="99" t="s">
        <v>3420</v>
      </c>
      <c r="AY650" s="99" t="s">
        <v>252</v>
      </c>
      <c r="AZ650" s="99" t="s">
        <v>3416</v>
      </c>
      <c r="BA650" s="99" t="s">
        <v>4792</v>
      </c>
      <c r="BB650" s="99" t="s">
        <v>2387</v>
      </c>
      <c r="BC650" s="125">
        <v>49</v>
      </c>
      <c r="BD650" s="99" t="s">
        <v>3135</v>
      </c>
      <c r="BE650" s="99" t="s">
        <v>3136</v>
      </c>
    </row>
    <row r="651" spans="1:57" ht="12.95" customHeight="1">
      <c r="A651" s="124">
        <v>15</v>
      </c>
      <c r="B651" s="124">
        <v>2964</v>
      </c>
      <c r="C651" s="99" t="s">
        <v>165</v>
      </c>
      <c r="D651" s="99" t="s">
        <v>2260</v>
      </c>
      <c r="E651" s="99" t="s">
        <v>2910</v>
      </c>
      <c r="F651" s="99" t="s">
        <v>2382</v>
      </c>
      <c r="G651" s="99" t="s">
        <v>3302</v>
      </c>
      <c r="H651" s="99" t="s">
        <v>4801</v>
      </c>
      <c r="I651" s="99" t="s">
        <v>2391</v>
      </c>
      <c r="J651" s="99" t="s">
        <v>2392</v>
      </c>
      <c r="K651" s="99" t="s">
        <v>2393</v>
      </c>
      <c r="L651" s="99" t="s">
        <v>2394</v>
      </c>
      <c r="M651" s="99" t="s">
        <v>5</v>
      </c>
      <c r="N651" s="99" t="s">
        <v>3407</v>
      </c>
      <c r="O651" s="99" t="s">
        <v>114</v>
      </c>
      <c r="P651" s="99" t="s">
        <v>3422</v>
      </c>
      <c r="Q651" s="99" t="s">
        <v>169</v>
      </c>
      <c r="R651" s="99" t="s">
        <v>3427</v>
      </c>
      <c r="S651" s="99" t="s">
        <v>2635</v>
      </c>
      <c r="T651" s="99" t="s">
        <v>58</v>
      </c>
      <c r="U651" s="99" t="s">
        <v>187</v>
      </c>
      <c r="V651" s="99" t="s">
        <v>188</v>
      </c>
      <c r="W651" s="99" t="s">
        <v>4802</v>
      </c>
      <c r="X651" s="99" t="s">
        <v>4802</v>
      </c>
      <c r="Y651" s="99" t="s">
        <v>4803</v>
      </c>
      <c r="Z651" s="99" t="s">
        <v>172</v>
      </c>
      <c r="AA651" s="99" t="s">
        <v>173</v>
      </c>
      <c r="AB651" s="99" t="s">
        <v>174</v>
      </c>
      <c r="AC651" s="99" t="s">
        <v>3411</v>
      </c>
      <c r="AD651" s="99" t="s">
        <v>175</v>
      </c>
      <c r="AE651" s="99" t="s">
        <v>3411</v>
      </c>
      <c r="AF651" s="99" t="s">
        <v>3411</v>
      </c>
      <c r="AG651" s="124">
        <v>2964</v>
      </c>
      <c r="AH651" s="99" t="s">
        <v>3413</v>
      </c>
      <c r="AI651" s="125">
        <v>100</v>
      </c>
      <c r="AJ651" s="99" t="s">
        <v>176</v>
      </c>
      <c r="AK651" s="99" t="s">
        <v>4802</v>
      </c>
      <c r="AL651" s="99" t="s">
        <v>3411</v>
      </c>
      <c r="AM651" s="99" t="s">
        <v>177</v>
      </c>
      <c r="AN651" s="99" t="s">
        <v>3411</v>
      </c>
      <c r="AO651" s="99" t="s">
        <v>189</v>
      </c>
      <c r="AP651" s="99" t="s">
        <v>2570</v>
      </c>
      <c r="AQ651" s="99" t="s">
        <v>3411</v>
      </c>
      <c r="AR651" s="99" t="s">
        <v>3411</v>
      </c>
      <c r="AS651" s="99" t="s">
        <v>2395</v>
      </c>
      <c r="AT651" s="99" t="s">
        <v>1</v>
      </c>
      <c r="AU651" s="99" t="s">
        <v>179</v>
      </c>
      <c r="AV651" s="99" t="s">
        <v>3414</v>
      </c>
      <c r="AW651" s="99" t="s">
        <v>180</v>
      </c>
      <c r="AX651" s="99" t="s">
        <v>3411</v>
      </c>
      <c r="AY651" s="99" t="s">
        <v>3411</v>
      </c>
      <c r="AZ651" s="99" t="s">
        <v>3411</v>
      </c>
      <c r="BA651" s="99" t="s">
        <v>3421</v>
      </c>
      <c r="BB651" s="99" t="s">
        <v>381</v>
      </c>
      <c r="BC651" s="125">
        <v>60</v>
      </c>
      <c r="BD651" s="99" t="s">
        <v>3135</v>
      </c>
      <c r="BE651" s="99" t="s">
        <v>3136</v>
      </c>
    </row>
    <row r="652" spans="1:57" ht="12.95" customHeight="1">
      <c r="A652" s="124">
        <v>15</v>
      </c>
      <c r="B652" s="124">
        <v>3140</v>
      </c>
      <c r="C652" s="99" t="s">
        <v>165</v>
      </c>
      <c r="D652" s="99" t="s">
        <v>2260</v>
      </c>
      <c r="E652" s="99" t="s">
        <v>2910</v>
      </c>
      <c r="F652" s="99" t="s">
        <v>2382</v>
      </c>
      <c r="G652" s="99" t="s">
        <v>3302</v>
      </c>
      <c r="H652" s="99" t="s">
        <v>4801</v>
      </c>
      <c r="I652" s="99" t="s">
        <v>2391</v>
      </c>
      <c r="J652" s="99" t="s">
        <v>3204</v>
      </c>
      <c r="K652" s="99" t="s">
        <v>3205</v>
      </c>
      <c r="L652" s="99" t="s">
        <v>3206</v>
      </c>
      <c r="M652" s="99" t="s">
        <v>1</v>
      </c>
      <c r="N652" s="99" t="s">
        <v>3407</v>
      </c>
      <c r="O652" s="99" t="s">
        <v>114</v>
      </c>
      <c r="P652" s="99" t="s">
        <v>4804</v>
      </c>
      <c r="Q652" s="99" t="s">
        <v>169</v>
      </c>
      <c r="R652" s="99" t="s">
        <v>3409</v>
      </c>
      <c r="S652" s="99" t="s">
        <v>2636</v>
      </c>
      <c r="T652" s="99" t="s">
        <v>48</v>
      </c>
      <c r="U652" s="99" t="s">
        <v>184</v>
      </c>
      <c r="V652" s="99" t="s">
        <v>185</v>
      </c>
      <c r="W652" s="99" t="s">
        <v>4804</v>
      </c>
      <c r="X652" s="99" t="s">
        <v>4804</v>
      </c>
      <c r="Y652" s="99" t="s">
        <v>4805</v>
      </c>
      <c r="Z652" s="99" t="s">
        <v>172</v>
      </c>
      <c r="AA652" s="99" t="s">
        <v>173</v>
      </c>
      <c r="AB652" s="99" t="s">
        <v>174</v>
      </c>
      <c r="AC652" s="99" t="s">
        <v>3411</v>
      </c>
      <c r="AD652" s="99" t="s">
        <v>175</v>
      </c>
      <c r="AE652" s="99" t="s">
        <v>3411</v>
      </c>
      <c r="AF652" s="99" t="s">
        <v>3411</v>
      </c>
      <c r="AG652" s="124">
        <v>3140</v>
      </c>
      <c r="AH652" s="99" t="s">
        <v>3413</v>
      </c>
      <c r="AI652" s="125">
        <v>100</v>
      </c>
      <c r="AJ652" s="99" t="s">
        <v>176</v>
      </c>
      <c r="AK652" s="99" t="s">
        <v>4804</v>
      </c>
      <c r="AL652" s="99" t="s">
        <v>3411</v>
      </c>
      <c r="AM652" s="99" t="s">
        <v>177</v>
      </c>
      <c r="AN652" s="99" t="s">
        <v>3411</v>
      </c>
      <c r="AO652" s="99" t="s">
        <v>412</v>
      </c>
      <c r="AP652" s="99" t="s">
        <v>2570</v>
      </c>
      <c r="AQ652" s="99" t="s">
        <v>3411</v>
      </c>
      <c r="AR652" s="99" t="s">
        <v>3411</v>
      </c>
      <c r="AS652" s="99" t="s">
        <v>3207</v>
      </c>
      <c r="AT652" s="99" t="s">
        <v>1</v>
      </c>
      <c r="AU652" s="99" t="s">
        <v>179</v>
      </c>
      <c r="AV652" s="99" t="s">
        <v>3414</v>
      </c>
      <c r="AW652" s="99" t="s">
        <v>180</v>
      </c>
      <c r="AX652" s="99" t="s">
        <v>3420</v>
      </c>
      <c r="AY652" s="99" t="s">
        <v>252</v>
      </c>
      <c r="AZ652" s="99" t="s">
        <v>3416</v>
      </c>
      <c r="BA652" s="99" t="s">
        <v>4792</v>
      </c>
      <c r="BB652" s="99" t="s">
        <v>2387</v>
      </c>
      <c r="BC652" s="125">
        <v>40</v>
      </c>
      <c r="BD652" s="99" t="s">
        <v>3135</v>
      </c>
      <c r="BE652" s="99" t="s">
        <v>3136</v>
      </c>
    </row>
    <row r="653" spans="1:57" ht="12.95" customHeight="1">
      <c r="A653" s="124">
        <v>15</v>
      </c>
      <c r="B653" s="124">
        <v>1833</v>
      </c>
      <c r="C653" s="99" t="s">
        <v>165</v>
      </c>
      <c r="D653" s="99" t="s">
        <v>2260</v>
      </c>
      <c r="E653" s="99" t="s">
        <v>2910</v>
      </c>
      <c r="F653" s="99" t="s">
        <v>2382</v>
      </c>
      <c r="G653" s="99" t="s">
        <v>3302</v>
      </c>
      <c r="H653" s="99" t="s">
        <v>4806</v>
      </c>
      <c r="I653" s="99" t="s">
        <v>2396</v>
      </c>
      <c r="J653" s="99" t="s">
        <v>2397</v>
      </c>
      <c r="K653" s="99" t="s">
        <v>2398</v>
      </c>
      <c r="L653" s="99" t="s">
        <v>2399</v>
      </c>
      <c r="M653" s="99" t="s">
        <v>1</v>
      </c>
      <c r="N653" s="99" t="s">
        <v>3407</v>
      </c>
      <c r="O653" s="99" t="s">
        <v>114</v>
      </c>
      <c r="P653" s="99" t="s">
        <v>3422</v>
      </c>
      <c r="Q653" s="99" t="s">
        <v>169</v>
      </c>
      <c r="R653" s="99" t="s">
        <v>3409</v>
      </c>
      <c r="S653" s="99" t="s">
        <v>2636</v>
      </c>
      <c r="T653" s="99" t="s">
        <v>48</v>
      </c>
      <c r="U653" s="99" t="s">
        <v>184</v>
      </c>
      <c r="V653" s="99" t="s">
        <v>185</v>
      </c>
      <c r="W653" s="99" t="s">
        <v>3563</v>
      </c>
      <c r="X653" s="99" t="s">
        <v>3724</v>
      </c>
      <c r="Y653" s="99" t="s">
        <v>4807</v>
      </c>
      <c r="Z653" s="99" t="s">
        <v>172</v>
      </c>
      <c r="AA653" s="99" t="s">
        <v>173</v>
      </c>
      <c r="AB653" s="99" t="s">
        <v>400</v>
      </c>
      <c r="AC653" s="99" t="s">
        <v>3411</v>
      </c>
      <c r="AD653" s="99" t="s">
        <v>175</v>
      </c>
      <c r="AE653" s="99" t="s">
        <v>3411</v>
      </c>
      <c r="AF653" s="99" t="s">
        <v>3411</v>
      </c>
      <c r="AG653" s="124">
        <v>1453</v>
      </c>
      <c r="AH653" s="99" t="s">
        <v>3413</v>
      </c>
      <c r="AI653" s="125">
        <v>100</v>
      </c>
      <c r="AJ653" s="99" t="s">
        <v>176</v>
      </c>
      <c r="AK653" s="99" t="s">
        <v>3914</v>
      </c>
      <c r="AL653" s="99" t="s">
        <v>3411</v>
      </c>
      <c r="AM653" s="99" t="s">
        <v>177</v>
      </c>
      <c r="AN653" s="99" t="s">
        <v>3411</v>
      </c>
      <c r="AO653" s="99" t="s">
        <v>178</v>
      </c>
      <c r="AP653" s="99" t="s">
        <v>2570</v>
      </c>
      <c r="AQ653" s="99" t="s">
        <v>3411</v>
      </c>
      <c r="AR653" s="99" t="s">
        <v>3411</v>
      </c>
      <c r="AS653" s="99" t="s">
        <v>2400</v>
      </c>
      <c r="AT653" s="99" t="s">
        <v>1</v>
      </c>
      <c r="AU653" s="99" t="s">
        <v>179</v>
      </c>
      <c r="AV653" s="99" t="s">
        <v>3414</v>
      </c>
      <c r="AW653" s="99" t="s">
        <v>180</v>
      </c>
      <c r="AX653" s="99" t="s">
        <v>3420</v>
      </c>
      <c r="AY653" s="99" t="s">
        <v>252</v>
      </c>
      <c r="AZ653" s="99" t="s">
        <v>3416</v>
      </c>
      <c r="BA653" s="99" t="s">
        <v>4792</v>
      </c>
      <c r="BB653" s="99" t="s">
        <v>2387</v>
      </c>
      <c r="BC653" s="125">
        <v>51</v>
      </c>
      <c r="BD653" s="99" t="s">
        <v>3135</v>
      </c>
      <c r="BE653" s="99" t="s">
        <v>3136</v>
      </c>
    </row>
    <row r="654" spans="1:57" ht="12.95" customHeight="1">
      <c r="A654" s="124">
        <v>15</v>
      </c>
      <c r="B654" s="124">
        <v>3137</v>
      </c>
      <c r="C654" s="99" t="s">
        <v>165</v>
      </c>
      <c r="D654" s="99" t="s">
        <v>2260</v>
      </c>
      <c r="E654" s="99" t="s">
        <v>2910</v>
      </c>
      <c r="F654" s="99" t="s">
        <v>2598</v>
      </c>
      <c r="G654" s="99" t="s">
        <v>3303</v>
      </c>
      <c r="H654" s="99" t="s">
        <v>4808</v>
      </c>
      <c r="I654" s="99" t="s">
        <v>3250</v>
      </c>
      <c r="J654" s="99" t="s">
        <v>3194</v>
      </c>
      <c r="K654" s="99" t="s">
        <v>586</v>
      </c>
      <c r="L654" s="99" t="s">
        <v>3195</v>
      </c>
      <c r="M654" s="99" t="s">
        <v>1</v>
      </c>
      <c r="N654" s="99" t="s">
        <v>3407</v>
      </c>
      <c r="O654" s="99" t="s">
        <v>114</v>
      </c>
      <c r="P654" s="99" t="s">
        <v>4809</v>
      </c>
      <c r="Q654" s="99" t="s">
        <v>169</v>
      </c>
      <c r="R654" s="99" t="s">
        <v>3409</v>
      </c>
      <c r="S654" s="99" t="s">
        <v>2636</v>
      </c>
      <c r="T654" s="99" t="s">
        <v>52</v>
      </c>
      <c r="U654" s="99" t="s">
        <v>427</v>
      </c>
      <c r="V654" s="99" t="s">
        <v>428</v>
      </c>
      <c r="W654" s="99" t="s">
        <v>4809</v>
      </c>
      <c r="X654" s="99" t="s">
        <v>4809</v>
      </c>
      <c r="Y654" s="99" t="s">
        <v>4810</v>
      </c>
      <c r="Z654" s="99" t="s">
        <v>172</v>
      </c>
      <c r="AA654" s="99" t="s">
        <v>173</v>
      </c>
      <c r="AB654" s="99" t="s">
        <v>174</v>
      </c>
      <c r="AC654" s="99" t="s">
        <v>3411</v>
      </c>
      <c r="AD654" s="99" t="s">
        <v>175</v>
      </c>
      <c r="AE654" s="99" t="s">
        <v>3411</v>
      </c>
      <c r="AF654" s="99" t="s">
        <v>3411</v>
      </c>
      <c r="AG654" s="124">
        <v>3137</v>
      </c>
      <c r="AH654" s="99" t="s">
        <v>3413</v>
      </c>
      <c r="AI654" s="125">
        <v>100</v>
      </c>
      <c r="AJ654" s="99" t="s">
        <v>176</v>
      </c>
      <c r="AK654" s="99" t="s">
        <v>4809</v>
      </c>
      <c r="AL654" s="99" t="s">
        <v>3411</v>
      </c>
      <c r="AM654" s="99" t="s">
        <v>177</v>
      </c>
      <c r="AN654" s="99" t="s">
        <v>3411</v>
      </c>
      <c r="AO654" s="99" t="s">
        <v>412</v>
      </c>
      <c r="AP654" s="99" t="s">
        <v>2570</v>
      </c>
      <c r="AQ654" s="99" t="s">
        <v>3411</v>
      </c>
      <c r="AR654" s="99" t="s">
        <v>3411</v>
      </c>
      <c r="AS654" s="99" t="s">
        <v>3196</v>
      </c>
      <c r="AT654" s="99" t="s">
        <v>1</v>
      </c>
      <c r="AU654" s="99" t="s">
        <v>179</v>
      </c>
      <c r="AV654" s="99" t="s">
        <v>3414</v>
      </c>
      <c r="AW654" s="99" t="s">
        <v>180</v>
      </c>
      <c r="AX654" s="99" t="s">
        <v>3420</v>
      </c>
      <c r="AY654" s="99" t="s">
        <v>252</v>
      </c>
      <c r="AZ654" s="99" t="s">
        <v>3416</v>
      </c>
      <c r="BA654" s="99" t="s">
        <v>4761</v>
      </c>
      <c r="BB654" s="99" t="s">
        <v>3197</v>
      </c>
      <c r="BC654" s="125">
        <v>55</v>
      </c>
      <c r="BD654" s="99" t="s">
        <v>3135</v>
      </c>
      <c r="BE654" s="99" t="s">
        <v>3136</v>
      </c>
    </row>
    <row r="655" spans="1:57" ht="12.95" customHeight="1">
      <c r="A655" s="124">
        <v>15</v>
      </c>
      <c r="B655" s="124">
        <v>3047</v>
      </c>
      <c r="C655" s="99" t="s">
        <v>165</v>
      </c>
      <c r="D655" s="99" t="s">
        <v>2260</v>
      </c>
      <c r="E655" s="99" t="s">
        <v>2910</v>
      </c>
      <c r="F655" s="99" t="s">
        <v>2598</v>
      </c>
      <c r="G655" s="99" t="s">
        <v>3303</v>
      </c>
      <c r="H655" s="99" t="s">
        <v>4808</v>
      </c>
      <c r="I655" s="99" t="s">
        <v>3250</v>
      </c>
      <c r="J655" s="99" t="s">
        <v>1081</v>
      </c>
      <c r="K655" s="99" t="s">
        <v>275</v>
      </c>
      <c r="L655" s="99" t="s">
        <v>2740</v>
      </c>
      <c r="M655" s="99" t="s">
        <v>5</v>
      </c>
      <c r="N655" s="99" t="s">
        <v>3407</v>
      </c>
      <c r="O655" s="99" t="s">
        <v>114</v>
      </c>
      <c r="P655" s="99" t="s">
        <v>3681</v>
      </c>
      <c r="Q655" s="99" t="s">
        <v>169</v>
      </c>
      <c r="R655" s="99" t="s">
        <v>3427</v>
      </c>
      <c r="S655" s="99" t="s">
        <v>2635</v>
      </c>
      <c r="T655" s="99" t="s">
        <v>58</v>
      </c>
      <c r="U655" s="99" t="s">
        <v>187</v>
      </c>
      <c r="V655" s="99" t="s">
        <v>188</v>
      </c>
      <c r="W655" s="99" t="s">
        <v>3681</v>
      </c>
      <c r="X655" s="99" t="s">
        <v>3681</v>
      </c>
      <c r="Y655" s="99" t="s">
        <v>4811</v>
      </c>
      <c r="Z655" s="99" t="s">
        <v>172</v>
      </c>
      <c r="AA655" s="99" t="s">
        <v>173</v>
      </c>
      <c r="AB655" s="99" t="s">
        <v>174</v>
      </c>
      <c r="AC655" s="99" t="s">
        <v>3411</v>
      </c>
      <c r="AD655" s="99" t="s">
        <v>175</v>
      </c>
      <c r="AE655" s="99" t="s">
        <v>3411</v>
      </c>
      <c r="AF655" s="99" t="s">
        <v>3411</v>
      </c>
      <c r="AG655" s="124">
        <v>3047</v>
      </c>
      <c r="AH655" s="99" t="s">
        <v>3413</v>
      </c>
      <c r="AI655" s="125">
        <v>100</v>
      </c>
      <c r="AJ655" s="99" t="s">
        <v>176</v>
      </c>
      <c r="AK655" s="99" t="s">
        <v>3681</v>
      </c>
      <c r="AL655" s="99" t="s">
        <v>3411</v>
      </c>
      <c r="AM655" s="99" t="s">
        <v>177</v>
      </c>
      <c r="AN655" s="99" t="s">
        <v>3411</v>
      </c>
      <c r="AO655" s="99" t="s">
        <v>189</v>
      </c>
      <c r="AP655" s="99" t="s">
        <v>2570</v>
      </c>
      <c r="AQ655" s="99" t="s">
        <v>3411</v>
      </c>
      <c r="AR655" s="99" t="s">
        <v>3411</v>
      </c>
      <c r="AS655" s="99" t="s">
        <v>2741</v>
      </c>
      <c r="AT655" s="99" t="s">
        <v>175</v>
      </c>
      <c r="AU655" s="99" t="s">
        <v>3411</v>
      </c>
      <c r="AV655" s="99" t="s">
        <v>177</v>
      </c>
      <c r="AW655" s="99" t="s">
        <v>3411</v>
      </c>
      <c r="AX655" s="99" t="s">
        <v>3420</v>
      </c>
      <c r="AY655" s="99" t="s">
        <v>252</v>
      </c>
      <c r="AZ655" s="99" t="s">
        <v>3430</v>
      </c>
      <c r="BA655" s="99" t="s">
        <v>3421</v>
      </c>
      <c r="BB655" s="99" t="s">
        <v>381</v>
      </c>
      <c r="BC655" s="125">
        <v>41</v>
      </c>
      <c r="BD655" s="99" t="s">
        <v>3135</v>
      </c>
      <c r="BE655" s="99" t="s">
        <v>3136</v>
      </c>
    </row>
    <row r="656" spans="1:57" ht="12.95" customHeight="1">
      <c r="A656" s="124">
        <v>15</v>
      </c>
      <c r="B656" s="124">
        <v>3004</v>
      </c>
      <c r="C656" s="99" t="s">
        <v>165</v>
      </c>
      <c r="D656" s="99" t="s">
        <v>2260</v>
      </c>
      <c r="E656" s="99" t="s">
        <v>2910</v>
      </c>
      <c r="F656" s="99" t="s">
        <v>2599</v>
      </c>
      <c r="G656" s="99" t="s">
        <v>3303</v>
      </c>
      <c r="H656" s="99" t="s">
        <v>4812</v>
      </c>
      <c r="I656" s="99" t="s">
        <v>2362</v>
      </c>
      <c r="J656" s="99" t="s">
        <v>2363</v>
      </c>
      <c r="K656" s="99" t="s">
        <v>1195</v>
      </c>
      <c r="L656" s="99" t="s">
        <v>2364</v>
      </c>
      <c r="M656" s="99" t="s">
        <v>5</v>
      </c>
      <c r="N656" s="99" t="s">
        <v>3407</v>
      </c>
      <c r="O656" s="99" t="s">
        <v>114</v>
      </c>
      <c r="P656" s="99" t="s">
        <v>3422</v>
      </c>
      <c r="Q656" s="99" t="s">
        <v>169</v>
      </c>
      <c r="R656" s="99" t="s">
        <v>3409</v>
      </c>
      <c r="S656" s="99" t="s">
        <v>2636</v>
      </c>
      <c r="T656" s="99" t="s">
        <v>48</v>
      </c>
      <c r="U656" s="99" t="s">
        <v>170</v>
      </c>
      <c r="V656" s="99" t="s">
        <v>171</v>
      </c>
      <c r="W656" s="99" t="s">
        <v>4813</v>
      </c>
      <c r="X656" s="99" t="s">
        <v>4813</v>
      </c>
      <c r="Y656" s="99" t="s">
        <v>4814</v>
      </c>
      <c r="Z656" s="99" t="s">
        <v>172</v>
      </c>
      <c r="AA656" s="99" t="s">
        <v>173</v>
      </c>
      <c r="AB656" s="99" t="s">
        <v>174</v>
      </c>
      <c r="AC656" s="99" t="s">
        <v>3411</v>
      </c>
      <c r="AD656" s="99" t="s">
        <v>175</v>
      </c>
      <c r="AE656" s="99" t="s">
        <v>3411</v>
      </c>
      <c r="AF656" s="99" t="s">
        <v>3411</v>
      </c>
      <c r="AG656" s="124">
        <v>3004</v>
      </c>
      <c r="AH656" s="99" t="s">
        <v>3413</v>
      </c>
      <c r="AI656" s="125">
        <v>100</v>
      </c>
      <c r="AJ656" s="99" t="s">
        <v>176</v>
      </c>
      <c r="AK656" s="99" t="s">
        <v>4813</v>
      </c>
      <c r="AL656" s="99" t="s">
        <v>3411</v>
      </c>
      <c r="AM656" s="99" t="s">
        <v>177</v>
      </c>
      <c r="AN656" s="99" t="s">
        <v>3411</v>
      </c>
      <c r="AO656" s="99" t="s">
        <v>178</v>
      </c>
      <c r="AP656" s="99" t="s">
        <v>2570</v>
      </c>
      <c r="AQ656" s="99" t="s">
        <v>3411</v>
      </c>
      <c r="AR656" s="99" t="s">
        <v>3411</v>
      </c>
      <c r="AS656" s="99" t="s">
        <v>2365</v>
      </c>
      <c r="AT656" s="99" t="s">
        <v>1</v>
      </c>
      <c r="AU656" s="99" t="s">
        <v>179</v>
      </c>
      <c r="AV656" s="99" t="s">
        <v>3414</v>
      </c>
      <c r="AW656" s="99" t="s">
        <v>180</v>
      </c>
      <c r="AX656" s="99" t="s">
        <v>3626</v>
      </c>
      <c r="AY656" s="99" t="s">
        <v>252</v>
      </c>
      <c r="AZ656" s="99" t="s">
        <v>3416</v>
      </c>
      <c r="BA656" s="99" t="s">
        <v>4815</v>
      </c>
      <c r="BB656" s="99" t="s">
        <v>2736</v>
      </c>
      <c r="BC656" s="125">
        <v>45</v>
      </c>
      <c r="BD656" s="99" t="s">
        <v>3135</v>
      </c>
      <c r="BE656" s="99" t="s">
        <v>3136</v>
      </c>
    </row>
    <row r="657" spans="1:57" ht="12.95" customHeight="1">
      <c r="A657" s="124">
        <v>15</v>
      </c>
      <c r="B657" s="124">
        <v>2869</v>
      </c>
      <c r="C657" s="99" t="s">
        <v>165</v>
      </c>
      <c r="D657" s="99" t="s">
        <v>2260</v>
      </c>
      <c r="E657" s="99" t="s">
        <v>2910</v>
      </c>
      <c r="F657" s="99" t="s">
        <v>2599</v>
      </c>
      <c r="G657" s="99" t="s">
        <v>3303</v>
      </c>
      <c r="H657" s="99" t="s">
        <v>4812</v>
      </c>
      <c r="I657" s="99" t="s">
        <v>2362</v>
      </c>
      <c r="J657" s="99" t="s">
        <v>2366</v>
      </c>
      <c r="K657" s="99" t="s">
        <v>825</v>
      </c>
      <c r="L657" s="99" t="s">
        <v>2367</v>
      </c>
      <c r="M657" s="99" t="s">
        <v>5</v>
      </c>
      <c r="N657" s="99" t="s">
        <v>3407</v>
      </c>
      <c r="O657" s="99" t="s">
        <v>114</v>
      </c>
      <c r="P657" s="99" t="s">
        <v>3422</v>
      </c>
      <c r="Q657" s="99" t="s">
        <v>169</v>
      </c>
      <c r="R657" s="99" t="s">
        <v>3409</v>
      </c>
      <c r="S657" s="99" t="s">
        <v>2636</v>
      </c>
      <c r="T657" s="99" t="s">
        <v>48</v>
      </c>
      <c r="U657" s="99" t="s">
        <v>184</v>
      </c>
      <c r="V657" s="99" t="s">
        <v>185</v>
      </c>
      <c r="W657" s="99" t="s">
        <v>3493</v>
      </c>
      <c r="X657" s="99" t="s">
        <v>4816</v>
      </c>
      <c r="Y657" s="99" t="s">
        <v>4817</v>
      </c>
      <c r="Z657" s="99" t="s">
        <v>172</v>
      </c>
      <c r="AA657" s="99" t="s">
        <v>173</v>
      </c>
      <c r="AB657" s="99" t="s">
        <v>174</v>
      </c>
      <c r="AC657" s="99" t="s">
        <v>3411</v>
      </c>
      <c r="AD657" s="99" t="s">
        <v>175</v>
      </c>
      <c r="AE657" s="99" t="s">
        <v>3411</v>
      </c>
      <c r="AF657" s="99" t="s">
        <v>3411</v>
      </c>
      <c r="AG657" s="124">
        <v>2869</v>
      </c>
      <c r="AH657" s="99" t="s">
        <v>3413</v>
      </c>
      <c r="AI657" s="125">
        <v>100</v>
      </c>
      <c r="AJ657" s="99" t="s">
        <v>176</v>
      </c>
      <c r="AK657" s="99" t="s">
        <v>4816</v>
      </c>
      <c r="AL657" s="99" t="s">
        <v>3411</v>
      </c>
      <c r="AM657" s="99" t="s">
        <v>177</v>
      </c>
      <c r="AN657" s="99" t="s">
        <v>3411</v>
      </c>
      <c r="AO657" s="99" t="s">
        <v>178</v>
      </c>
      <c r="AP657" s="99" t="s">
        <v>2570</v>
      </c>
      <c r="AQ657" s="99" t="s">
        <v>3411</v>
      </c>
      <c r="AR657" s="99" t="s">
        <v>3411</v>
      </c>
      <c r="AS657" s="99" t="s">
        <v>2368</v>
      </c>
      <c r="AT657" s="99" t="s">
        <v>1</v>
      </c>
      <c r="AU657" s="99" t="s">
        <v>179</v>
      </c>
      <c r="AV657" s="99" t="s">
        <v>3414</v>
      </c>
      <c r="AW657" s="99" t="s">
        <v>180</v>
      </c>
      <c r="AX657" s="99" t="s">
        <v>3420</v>
      </c>
      <c r="AY657" s="99" t="s">
        <v>252</v>
      </c>
      <c r="AZ657" s="99" t="s">
        <v>3416</v>
      </c>
      <c r="BA657" s="99" t="s">
        <v>4761</v>
      </c>
      <c r="BB657" s="99" t="s">
        <v>3197</v>
      </c>
      <c r="BC657" s="125">
        <v>38</v>
      </c>
      <c r="BD657" s="99" t="s">
        <v>3135</v>
      </c>
      <c r="BE657" s="99" t="s">
        <v>3136</v>
      </c>
    </row>
    <row r="658" spans="1:57" ht="12.95" customHeight="1">
      <c r="A658" s="124">
        <v>15</v>
      </c>
      <c r="B658" s="124">
        <v>2298</v>
      </c>
      <c r="C658" s="99" t="s">
        <v>165</v>
      </c>
      <c r="D658" s="99" t="s">
        <v>2260</v>
      </c>
      <c r="E658" s="99" t="s">
        <v>2910</v>
      </c>
      <c r="F658" s="99" t="s">
        <v>2599</v>
      </c>
      <c r="G658" s="99" t="s">
        <v>3303</v>
      </c>
      <c r="H658" s="99" t="s">
        <v>4812</v>
      </c>
      <c r="I658" s="99" t="s">
        <v>2362</v>
      </c>
      <c r="J658" s="99" t="s">
        <v>2369</v>
      </c>
      <c r="K658" s="99" t="s">
        <v>2370</v>
      </c>
      <c r="L658" s="99" t="s">
        <v>2371</v>
      </c>
      <c r="M658" s="99" t="s">
        <v>5</v>
      </c>
      <c r="N658" s="99" t="s">
        <v>3407</v>
      </c>
      <c r="O658" s="99" t="s">
        <v>114</v>
      </c>
      <c r="P658" s="99" t="s">
        <v>3422</v>
      </c>
      <c r="Q658" s="99" t="s">
        <v>169</v>
      </c>
      <c r="R658" s="99" t="s">
        <v>3409</v>
      </c>
      <c r="S658" s="99" t="s">
        <v>2636</v>
      </c>
      <c r="T658" s="99" t="s">
        <v>48</v>
      </c>
      <c r="U658" s="99" t="s">
        <v>410</v>
      </c>
      <c r="V658" s="99" t="s">
        <v>411</v>
      </c>
      <c r="W658" s="99" t="s">
        <v>4818</v>
      </c>
      <c r="X658" s="99" t="s">
        <v>4818</v>
      </c>
      <c r="Y658" s="99" t="s">
        <v>4819</v>
      </c>
      <c r="Z658" s="99" t="s">
        <v>172</v>
      </c>
      <c r="AA658" s="99" t="s">
        <v>173</v>
      </c>
      <c r="AB658" s="99" t="s">
        <v>174</v>
      </c>
      <c r="AC658" s="99" t="s">
        <v>3411</v>
      </c>
      <c r="AD658" s="99" t="s">
        <v>175</v>
      </c>
      <c r="AE658" s="99" t="s">
        <v>3411</v>
      </c>
      <c r="AF658" s="99" t="s">
        <v>3411</v>
      </c>
      <c r="AG658" s="124">
        <v>1720</v>
      </c>
      <c r="AH658" s="99" t="s">
        <v>3413</v>
      </c>
      <c r="AI658" s="125">
        <v>100</v>
      </c>
      <c r="AJ658" s="99" t="s">
        <v>176</v>
      </c>
      <c r="AK658" s="99" t="s">
        <v>4818</v>
      </c>
      <c r="AL658" s="99" t="s">
        <v>3411</v>
      </c>
      <c r="AM658" s="99" t="s">
        <v>177</v>
      </c>
      <c r="AN658" s="99" t="s">
        <v>3411</v>
      </c>
      <c r="AO658" s="99" t="s">
        <v>178</v>
      </c>
      <c r="AP658" s="99" t="s">
        <v>2570</v>
      </c>
      <c r="AQ658" s="99" t="s">
        <v>3411</v>
      </c>
      <c r="AR658" s="99" t="s">
        <v>242</v>
      </c>
      <c r="AS658" s="99" t="s">
        <v>2372</v>
      </c>
      <c r="AT658" s="99" t="s">
        <v>1</v>
      </c>
      <c r="AU658" s="99" t="s">
        <v>179</v>
      </c>
      <c r="AV658" s="99" t="s">
        <v>3414</v>
      </c>
      <c r="AW658" s="99" t="s">
        <v>180</v>
      </c>
      <c r="AX658" s="99" t="s">
        <v>3420</v>
      </c>
      <c r="AY658" s="99" t="s">
        <v>252</v>
      </c>
      <c r="AZ658" s="99" t="s">
        <v>3416</v>
      </c>
      <c r="BA658" s="99" t="s">
        <v>4815</v>
      </c>
      <c r="BB658" s="99" t="s">
        <v>2736</v>
      </c>
      <c r="BC658" s="125">
        <v>47</v>
      </c>
      <c r="BD658" s="99" t="s">
        <v>3135</v>
      </c>
      <c r="BE658" s="99" t="s">
        <v>3136</v>
      </c>
    </row>
    <row r="659" spans="1:57" ht="12.95" customHeight="1">
      <c r="A659" s="124">
        <v>15</v>
      </c>
      <c r="B659" s="124">
        <v>3095</v>
      </c>
      <c r="C659" s="99" t="s">
        <v>165</v>
      </c>
      <c r="D659" s="99" t="s">
        <v>2260</v>
      </c>
      <c r="E659" s="99" t="s">
        <v>2910</v>
      </c>
      <c r="F659" s="99" t="s">
        <v>2599</v>
      </c>
      <c r="G659" s="99" t="s">
        <v>3303</v>
      </c>
      <c r="H659" s="99" t="s">
        <v>4812</v>
      </c>
      <c r="I659" s="99" t="s">
        <v>2362</v>
      </c>
      <c r="J659" s="99" t="s">
        <v>2990</v>
      </c>
      <c r="K659" s="99" t="s">
        <v>2991</v>
      </c>
      <c r="L659" s="99" t="s">
        <v>2992</v>
      </c>
      <c r="M659" s="99" t="s">
        <v>1</v>
      </c>
      <c r="N659" s="99" t="s">
        <v>3407</v>
      </c>
      <c r="O659" s="99" t="s">
        <v>114</v>
      </c>
      <c r="P659" s="99" t="s">
        <v>4016</v>
      </c>
      <c r="Q659" s="99" t="s">
        <v>169</v>
      </c>
      <c r="R659" s="99" t="s">
        <v>3409</v>
      </c>
      <c r="S659" s="99" t="s">
        <v>2636</v>
      </c>
      <c r="T659" s="99" t="s">
        <v>48</v>
      </c>
      <c r="U659" s="99" t="s">
        <v>410</v>
      </c>
      <c r="V659" s="99" t="s">
        <v>411</v>
      </c>
      <c r="W659" s="99" t="s">
        <v>4016</v>
      </c>
      <c r="X659" s="99" t="s">
        <v>4016</v>
      </c>
      <c r="Y659" s="99" t="s">
        <v>4820</v>
      </c>
      <c r="Z659" s="99" t="s">
        <v>172</v>
      </c>
      <c r="AA659" s="99" t="s">
        <v>173</v>
      </c>
      <c r="AB659" s="99" t="s">
        <v>174</v>
      </c>
      <c r="AC659" s="99" t="s">
        <v>3411</v>
      </c>
      <c r="AD659" s="99" t="s">
        <v>175</v>
      </c>
      <c r="AE659" s="99" t="s">
        <v>3411</v>
      </c>
      <c r="AF659" s="99" t="s">
        <v>3411</v>
      </c>
      <c r="AG659" s="124">
        <v>3095</v>
      </c>
      <c r="AH659" s="99" t="s">
        <v>3413</v>
      </c>
      <c r="AI659" s="125">
        <v>100</v>
      </c>
      <c r="AJ659" s="99" t="s">
        <v>176</v>
      </c>
      <c r="AK659" s="99" t="s">
        <v>4016</v>
      </c>
      <c r="AL659" s="99" t="s">
        <v>3411</v>
      </c>
      <c r="AM659" s="99" t="s">
        <v>177</v>
      </c>
      <c r="AN659" s="99" t="s">
        <v>3411</v>
      </c>
      <c r="AO659" s="99" t="s">
        <v>412</v>
      </c>
      <c r="AP659" s="99" t="s">
        <v>2570</v>
      </c>
      <c r="AQ659" s="99" t="s">
        <v>3411</v>
      </c>
      <c r="AR659" s="99" t="s">
        <v>3411</v>
      </c>
      <c r="AS659" s="99" t="s">
        <v>2993</v>
      </c>
      <c r="AT659" s="99" t="s">
        <v>1</v>
      </c>
      <c r="AU659" s="99" t="s">
        <v>179</v>
      </c>
      <c r="AV659" s="99" t="s">
        <v>3414</v>
      </c>
      <c r="AW659" s="99" t="s">
        <v>180</v>
      </c>
      <c r="AX659" s="99" t="s">
        <v>3420</v>
      </c>
      <c r="AY659" s="99" t="s">
        <v>252</v>
      </c>
      <c r="AZ659" s="99" t="s">
        <v>3416</v>
      </c>
      <c r="BA659" s="99" t="s">
        <v>4815</v>
      </c>
      <c r="BB659" s="99" t="s">
        <v>2736</v>
      </c>
      <c r="BC659" s="125">
        <v>35</v>
      </c>
      <c r="BD659" s="99" t="s">
        <v>3135</v>
      </c>
      <c r="BE659" s="99" t="s">
        <v>3136</v>
      </c>
    </row>
    <row r="660" spans="1:57" ht="12.95" customHeight="1">
      <c r="A660" s="124">
        <v>15</v>
      </c>
      <c r="B660" s="124">
        <v>1430</v>
      </c>
      <c r="C660" s="99" t="s">
        <v>165</v>
      </c>
      <c r="D660" s="99" t="s">
        <v>2260</v>
      </c>
      <c r="E660" s="99" t="s">
        <v>2910</v>
      </c>
      <c r="F660" s="99" t="s">
        <v>2599</v>
      </c>
      <c r="G660" s="99" t="s">
        <v>3303</v>
      </c>
      <c r="H660" s="99" t="s">
        <v>4821</v>
      </c>
      <c r="I660" s="99" t="s">
        <v>2373</v>
      </c>
      <c r="J660" s="99" t="s">
        <v>2374</v>
      </c>
      <c r="K660" s="99" t="s">
        <v>367</v>
      </c>
      <c r="L660" s="99" t="s">
        <v>2375</v>
      </c>
      <c r="M660" s="99" t="s">
        <v>5</v>
      </c>
      <c r="N660" s="99" t="s">
        <v>3407</v>
      </c>
      <c r="O660" s="99" t="s">
        <v>114</v>
      </c>
      <c r="P660" s="99" t="s">
        <v>3422</v>
      </c>
      <c r="Q660" s="99" t="s">
        <v>169</v>
      </c>
      <c r="R660" s="99" t="s">
        <v>3409</v>
      </c>
      <c r="S660" s="99" t="s">
        <v>2636</v>
      </c>
      <c r="T660" s="99" t="s">
        <v>48</v>
      </c>
      <c r="U660" s="99" t="s">
        <v>170</v>
      </c>
      <c r="V660" s="99" t="s">
        <v>171</v>
      </c>
      <c r="W660" s="99" t="s">
        <v>4822</v>
      </c>
      <c r="X660" s="99" t="s">
        <v>4822</v>
      </c>
      <c r="Y660" s="99" t="s">
        <v>4823</v>
      </c>
      <c r="Z660" s="99" t="s">
        <v>172</v>
      </c>
      <c r="AA660" s="99" t="s">
        <v>173</v>
      </c>
      <c r="AB660" s="99" t="s">
        <v>174</v>
      </c>
      <c r="AC660" s="99" t="s">
        <v>3411</v>
      </c>
      <c r="AD660" s="99" t="s">
        <v>175</v>
      </c>
      <c r="AE660" s="99" t="s">
        <v>3411</v>
      </c>
      <c r="AF660" s="99" t="s">
        <v>3411</v>
      </c>
      <c r="AG660" s="124">
        <v>1132</v>
      </c>
      <c r="AH660" s="99" t="s">
        <v>3413</v>
      </c>
      <c r="AI660" s="125">
        <v>100</v>
      </c>
      <c r="AJ660" s="99" t="s">
        <v>176</v>
      </c>
      <c r="AK660" s="99" t="s">
        <v>4822</v>
      </c>
      <c r="AL660" s="99" t="s">
        <v>3411</v>
      </c>
      <c r="AM660" s="99" t="s">
        <v>177</v>
      </c>
      <c r="AN660" s="99" t="s">
        <v>3411</v>
      </c>
      <c r="AO660" s="99" t="s">
        <v>178</v>
      </c>
      <c r="AP660" s="99" t="s">
        <v>2570</v>
      </c>
      <c r="AQ660" s="99" t="s">
        <v>3411</v>
      </c>
      <c r="AR660" s="99" t="s">
        <v>3411</v>
      </c>
      <c r="AS660" s="99" t="s">
        <v>2376</v>
      </c>
      <c r="AT660" s="99" t="s">
        <v>1</v>
      </c>
      <c r="AU660" s="99" t="s">
        <v>179</v>
      </c>
      <c r="AV660" s="99" t="s">
        <v>3414</v>
      </c>
      <c r="AW660" s="99" t="s">
        <v>180</v>
      </c>
      <c r="AX660" s="99" t="s">
        <v>3420</v>
      </c>
      <c r="AY660" s="99" t="s">
        <v>252</v>
      </c>
      <c r="AZ660" s="99" t="s">
        <v>3416</v>
      </c>
      <c r="BA660" s="99" t="s">
        <v>4815</v>
      </c>
      <c r="BB660" s="99" t="s">
        <v>2736</v>
      </c>
      <c r="BC660" s="125">
        <v>54</v>
      </c>
      <c r="BD660" s="99" t="s">
        <v>3135</v>
      </c>
      <c r="BE660" s="99" t="s">
        <v>3136</v>
      </c>
    </row>
    <row r="661" spans="1:57" ht="12.95" customHeight="1">
      <c r="A661" s="124">
        <v>15</v>
      </c>
      <c r="B661" s="124">
        <v>3152</v>
      </c>
      <c r="C661" s="99" t="s">
        <v>165</v>
      </c>
      <c r="D661" s="99" t="s">
        <v>2260</v>
      </c>
      <c r="E661" s="99" t="s">
        <v>2910</v>
      </c>
      <c r="F661" s="99" t="s">
        <v>2401</v>
      </c>
      <c r="G661" s="99" t="s">
        <v>3198</v>
      </c>
      <c r="H661" s="99" t="s">
        <v>4824</v>
      </c>
      <c r="I661" s="99" t="s">
        <v>3251</v>
      </c>
      <c r="J661" s="99" t="s">
        <v>757</v>
      </c>
      <c r="K661" s="99" t="s">
        <v>1173</v>
      </c>
      <c r="L661" s="99" t="s">
        <v>3062</v>
      </c>
      <c r="M661" s="99" t="s">
        <v>1</v>
      </c>
      <c r="N661" s="99" t="s">
        <v>3407</v>
      </c>
      <c r="O661" s="99" t="s">
        <v>114</v>
      </c>
      <c r="P661" s="99" t="s">
        <v>4825</v>
      </c>
      <c r="Q661" s="99" t="s">
        <v>169</v>
      </c>
      <c r="R661" s="99" t="s">
        <v>3409</v>
      </c>
      <c r="S661" s="99" t="s">
        <v>2636</v>
      </c>
      <c r="T661" s="99" t="s">
        <v>48</v>
      </c>
      <c r="U661" s="99" t="s">
        <v>410</v>
      </c>
      <c r="V661" s="99" t="s">
        <v>411</v>
      </c>
      <c r="W661" s="99" t="s">
        <v>4825</v>
      </c>
      <c r="X661" s="99" t="s">
        <v>4825</v>
      </c>
      <c r="Y661" s="99" t="s">
        <v>4826</v>
      </c>
      <c r="Z661" s="99" t="s">
        <v>172</v>
      </c>
      <c r="AA661" s="99" t="s">
        <v>173</v>
      </c>
      <c r="AB661" s="99" t="s">
        <v>263</v>
      </c>
      <c r="AC661" s="99" t="s">
        <v>3411</v>
      </c>
      <c r="AD661" s="99" t="s">
        <v>264</v>
      </c>
      <c r="AE661" s="99" t="s">
        <v>4827</v>
      </c>
      <c r="AF661" s="99" t="s">
        <v>3411</v>
      </c>
      <c r="AG661" s="124">
        <v>3152</v>
      </c>
      <c r="AH661" s="99" t="s">
        <v>3413</v>
      </c>
      <c r="AI661" s="125">
        <v>100</v>
      </c>
      <c r="AJ661" s="99" t="s">
        <v>176</v>
      </c>
      <c r="AK661" s="99" t="s">
        <v>4825</v>
      </c>
      <c r="AL661" s="99" t="s">
        <v>3411</v>
      </c>
      <c r="AM661" s="99" t="s">
        <v>177</v>
      </c>
      <c r="AN661" s="99" t="s">
        <v>3411</v>
      </c>
      <c r="AO661" s="99" t="s">
        <v>412</v>
      </c>
      <c r="AP661" s="99" t="s">
        <v>2570</v>
      </c>
      <c r="AQ661" s="99" t="s">
        <v>3411</v>
      </c>
      <c r="AR661" s="99" t="s">
        <v>3411</v>
      </c>
      <c r="AS661" s="99" t="s">
        <v>3063</v>
      </c>
      <c r="AT661" s="99" t="s">
        <v>1</v>
      </c>
      <c r="AU661" s="99" t="s">
        <v>179</v>
      </c>
      <c r="AV661" s="99" t="s">
        <v>3414</v>
      </c>
      <c r="AW661" s="99" t="s">
        <v>180</v>
      </c>
      <c r="AX661" s="99" t="s">
        <v>3420</v>
      </c>
      <c r="AY661" s="99" t="s">
        <v>252</v>
      </c>
      <c r="AZ661" s="99" t="s">
        <v>3416</v>
      </c>
      <c r="BA661" s="99" t="s">
        <v>4828</v>
      </c>
      <c r="BB661" s="99" t="s">
        <v>2742</v>
      </c>
      <c r="BC661" s="125">
        <v>39</v>
      </c>
      <c r="BD661" s="99" t="s">
        <v>3135</v>
      </c>
      <c r="BE661" s="99" t="s">
        <v>3136</v>
      </c>
    </row>
    <row r="662" spans="1:57" ht="12.95" customHeight="1">
      <c r="A662" s="124">
        <v>15</v>
      </c>
      <c r="B662" s="124">
        <v>2642</v>
      </c>
      <c r="C662" s="99" t="s">
        <v>165</v>
      </c>
      <c r="D662" s="99" t="s">
        <v>2260</v>
      </c>
      <c r="E662" s="99" t="s">
        <v>2910</v>
      </c>
      <c r="F662" s="99" t="s">
        <v>2401</v>
      </c>
      <c r="G662" s="99" t="s">
        <v>3198</v>
      </c>
      <c r="H662" s="99" t="s">
        <v>4824</v>
      </c>
      <c r="I662" s="99" t="s">
        <v>3251</v>
      </c>
      <c r="J662" s="99" t="s">
        <v>2402</v>
      </c>
      <c r="K662" s="99" t="s">
        <v>527</v>
      </c>
      <c r="L662" s="99" t="s">
        <v>2403</v>
      </c>
      <c r="M662" s="99" t="s">
        <v>5</v>
      </c>
      <c r="N662" s="99" t="s">
        <v>3407</v>
      </c>
      <c r="O662" s="99" t="s">
        <v>114</v>
      </c>
      <c r="P662" s="99" t="s">
        <v>3422</v>
      </c>
      <c r="Q662" s="99" t="s">
        <v>169</v>
      </c>
      <c r="R662" s="99" t="s">
        <v>3409</v>
      </c>
      <c r="S662" s="99" t="s">
        <v>2636</v>
      </c>
      <c r="T662" s="99" t="s">
        <v>48</v>
      </c>
      <c r="U662" s="99" t="s">
        <v>170</v>
      </c>
      <c r="V662" s="99" t="s">
        <v>171</v>
      </c>
      <c r="W662" s="99" t="s">
        <v>4829</v>
      </c>
      <c r="X662" s="99" t="s">
        <v>4829</v>
      </c>
      <c r="Y662" s="99" t="s">
        <v>4830</v>
      </c>
      <c r="Z662" s="99" t="s">
        <v>172</v>
      </c>
      <c r="AA662" s="99" t="s">
        <v>173</v>
      </c>
      <c r="AB662" s="99" t="s">
        <v>174</v>
      </c>
      <c r="AC662" s="99" t="s">
        <v>3411</v>
      </c>
      <c r="AD662" s="99" t="s">
        <v>175</v>
      </c>
      <c r="AE662" s="99" t="s">
        <v>3411</v>
      </c>
      <c r="AF662" s="99" t="s">
        <v>3411</v>
      </c>
      <c r="AG662" s="124">
        <v>2642</v>
      </c>
      <c r="AH662" s="99" t="s">
        <v>3413</v>
      </c>
      <c r="AI662" s="125">
        <v>100</v>
      </c>
      <c r="AJ662" s="99" t="s">
        <v>176</v>
      </c>
      <c r="AK662" s="99" t="s">
        <v>4829</v>
      </c>
      <c r="AL662" s="99" t="s">
        <v>3411</v>
      </c>
      <c r="AM662" s="99" t="s">
        <v>177</v>
      </c>
      <c r="AN662" s="99" t="s">
        <v>3411</v>
      </c>
      <c r="AO662" s="99" t="s">
        <v>178</v>
      </c>
      <c r="AP662" s="99" t="s">
        <v>2570</v>
      </c>
      <c r="AQ662" s="99" t="s">
        <v>3411</v>
      </c>
      <c r="AR662" s="99" t="s">
        <v>3411</v>
      </c>
      <c r="AS662" s="99" t="s">
        <v>2404</v>
      </c>
      <c r="AT662" s="99" t="s">
        <v>1</v>
      </c>
      <c r="AU662" s="99" t="s">
        <v>179</v>
      </c>
      <c r="AV662" s="99" t="s">
        <v>3414</v>
      </c>
      <c r="AW662" s="99" t="s">
        <v>180</v>
      </c>
      <c r="AX662" s="99" t="s">
        <v>3420</v>
      </c>
      <c r="AY662" s="99" t="s">
        <v>252</v>
      </c>
      <c r="AZ662" s="99" t="s">
        <v>3416</v>
      </c>
      <c r="BA662" s="99" t="s">
        <v>4828</v>
      </c>
      <c r="BB662" s="99" t="s">
        <v>2742</v>
      </c>
      <c r="BC662" s="125">
        <v>43</v>
      </c>
      <c r="BD662" s="99" t="s">
        <v>3135</v>
      </c>
      <c r="BE662" s="99" t="s">
        <v>3136</v>
      </c>
    </row>
    <row r="663" spans="1:57" ht="12.95" customHeight="1">
      <c r="A663" s="124">
        <v>15</v>
      </c>
      <c r="B663" s="124">
        <v>2647</v>
      </c>
      <c r="C663" s="99" t="s">
        <v>165</v>
      </c>
      <c r="D663" s="99" t="s">
        <v>2260</v>
      </c>
      <c r="E663" s="99" t="s">
        <v>2910</v>
      </c>
      <c r="F663" s="99" t="s">
        <v>2401</v>
      </c>
      <c r="G663" s="99" t="s">
        <v>3198</v>
      </c>
      <c r="H663" s="99" t="s">
        <v>4824</v>
      </c>
      <c r="I663" s="99" t="s">
        <v>3251</v>
      </c>
      <c r="J663" s="99" t="s">
        <v>2405</v>
      </c>
      <c r="K663" s="99" t="s">
        <v>711</v>
      </c>
      <c r="L663" s="99" t="s">
        <v>2406</v>
      </c>
      <c r="M663" s="99" t="s">
        <v>1</v>
      </c>
      <c r="N663" s="99" t="s">
        <v>3407</v>
      </c>
      <c r="O663" s="99" t="s">
        <v>114</v>
      </c>
      <c r="P663" s="99" t="s">
        <v>3422</v>
      </c>
      <c r="Q663" s="99" t="s">
        <v>169</v>
      </c>
      <c r="R663" s="99" t="s">
        <v>3409</v>
      </c>
      <c r="S663" s="99" t="s">
        <v>2636</v>
      </c>
      <c r="T663" s="99" t="s">
        <v>52</v>
      </c>
      <c r="U663" s="99" t="s">
        <v>427</v>
      </c>
      <c r="V663" s="99" t="s">
        <v>428</v>
      </c>
      <c r="W663" s="99" t="s">
        <v>3754</v>
      </c>
      <c r="X663" s="99" t="s">
        <v>4831</v>
      </c>
      <c r="Y663" s="99" t="s">
        <v>4832</v>
      </c>
      <c r="Z663" s="99" t="s">
        <v>172</v>
      </c>
      <c r="AA663" s="99" t="s">
        <v>173</v>
      </c>
      <c r="AB663" s="99" t="s">
        <v>400</v>
      </c>
      <c r="AC663" s="99" t="s">
        <v>3411</v>
      </c>
      <c r="AD663" s="99" t="s">
        <v>175</v>
      </c>
      <c r="AE663" s="99" t="s">
        <v>3411</v>
      </c>
      <c r="AF663" s="99" t="s">
        <v>3411</v>
      </c>
      <c r="AG663" s="124">
        <v>2647</v>
      </c>
      <c r="AH663" s="99" t="s">
        <v>3413</v>
      </c>
      <c r="AI663" s="125">
        <v>100</v>
      </c>
      <c r="AJ663" s="99" t="s">
        <v>176</v>
      </c>
      <c r="AK663" s="99" t="s">
        <v>4831</v>
      </c>
      <c r="AL663" s="99" t="s">
        <v>3411</v>
      </c>
      <c r="AM663" s="99" t="s">
        <v>177</v>
      </c>
      <c r="AN663" s="99" t="s">
        <v>3411</v>
      </c>
      <c r="AO663" s="99" t="s">
        <v>178</v>
      </c>
      <c r="AP663" s="99" t="s">
        <v>2570</v>
      </c>
      <c r="AQ663" s="99" t="s">
        <v>3411</v>
      </c>
      <c r="AR663" s="99" t="s">
        <v>3411</v>
      </c>
      <c r="AS663" s="99" t="s">
        <v>2407</v>
      </c>
      <c r="AT663" s="99" t="s">
        <v>1</v>
      </c>
      <c r="AU663" s="99" t="s">
        <v>179</v>
      </c>
      <c r="AV663" s="99" t="s">
        <v>3414</v>
      </c>
      <c r="AW663" s="99" t="s">
        <v>180</v>
      </c>
      <c r="AX663" s="99" t="s">
        <v>3420</v>
      </c>
      <c r="AY663" s="99" t="s">
        <v>252</v>
      </c>
      <c r="AZ663" s="99" t="s">
        <v>3416</v>
      </c>
      <c r="BA663" s="99" t="s">
        <v>3421</v>
      </c>
      <c r="BB663" s="99" t="s">
        <v>381</v>
      </c>
      <c r="BC663" s="125">
        <v>49</v>
      </c>
      <c r="BD663" s="99" t="s">
        <v>3135</v>
      </c>
      <c r="BE663" s="99" t="s">
        <v>3136</v>
      </c>
    </row>
    <row r="664" spans="1:57" ht="12.95" customHeight="1">
      <c r="A664" s="124">
        <v>15</v>
      </c>
      <c r="B664" s="124">
        <v>2882</v>
      </c>
      <c r="C664" s="99" t="s">
        <v>165</v>
      </c>
      <c r="D664" s="99" t="s">
        <v>2260</v>
      </c>
      <c r="E664" s="99" t="s">
        <v>2910</v>
      </c>
      <c r="F664" s="99" t="s">
        <v>2401</v>
      </c>
      <c r="G664" s="99" t="s">
        <v>3198</v>
      </c>
      <c r="H664" s="99" t="s">
        <v>4824</v>
      </c>
      <c r="I664" s="99" t="s">
        <v>3251</v>
      </c>
      <c r="J664" s="99" t="s">
        <v>2408</v>
      </c>
      <c r="K664" s="99" t="s">
        <v>950</v>
      </c>
      <c r="L664" s="99" t="s">
        <v>2409</v>
      </c>
      <c r="M664" s="99" t="s">
        <v>1</v>
      </c>
      <c r="N664" s="99" t="s">
        <v>3407</v>
      </c>
      <c r="O664" s="99" t="s">
        <v>114</v>
      </c>
      <c r="P664" s="99" t="s">
        <v>3422</v>
      </c>
      <c r="Q664" s="99" t="s">
        <v>169</v>
      </c>
      <c r="R664" s="99" t="s">
        <v>3409</v>
      </c>
      <c r="S664" s="99" t="s">
        <v>2636</v>
      </c>
      <c r="T664" s="99" t="s">
        <v>48</v>
      </c>
      <c r="U664" s="99" t="s">
        <v>170</v>
      </c>
      <c r="V664" s="99" t="s">
        <v>171</v>
      </c>
      <c r="W664" s="99" t="s">
        <v>4833</v>
      </c>
      <c r="X664" s="99" t="s">
        <v>4833</v>
      </c>
      <c r="Y664" s="99" t="s">
        <v>4834</v>
      </c>
      <c r="Z664" s="99" t="s">
        <v>172</v>
      </c>
      <c r="AA664" s="99" t="s">
        <v>173</v>
      </c>
      <c r="AB664" s="99" t="s">
        <v>174</v>
      </c>
      <c r="AC664" s="99" t="s">
        <v>3411</v>
      </c>
      <c r="AD664" s="99" t="s">
        <v>175</v>
      </c>
      <c r="AE664" s="99" t="s">
        <v>3411</v>
      </c>
      <c r="AF664" s="99" t="s">
        <v>3411</v>
      </c>
      <c r="AG664" s="124">
        <v>2882</v>
      </c>
      <c r="AH664" s="99" t="s">
        <v>3413</v>
      </c>
      <c r="AI664" s="125">
        <v>100</v>
      </c>
      <c r="AJ664" s="99" t="s">
        <v>176</v>
      </c>
      <c r="AK664" s="99" t="s">
        <v>4833</v>
      </c>
      <c r="AL664" s="99" t="s">
        <v>3411</v>
      </c>
      <c r="AM664" s="99" t="s">
        <v>177</v>
      </c>
      <c r="AN664" s="99" t="s">
        <v>3411</v>
      </c>
      <c r="AO664" s="99" t="s">
        <v>178</v>
      </c>
      <c r="AP664" s="99" t="s">
        <v>2570</v>
      </c>
      <c r="AQ664" s="99" t="s">
        <v>3411</v>
      </c>
      <c r="AR664" s="99" t="s">
        <v>3411</v>
      </c>
      <c r="AS664" s="99" t="s">
        <v>2410</v>
      </c>
      <c r="AT664" s="99" t="s">
        <v>1</v>
      </c>
      <c r="AU664" s="99" t="s">
        <v>179</v>
      </c>
      <c r="AV664" s="99" t="s">
        <v>3414</v>
      </c>
      <c r="AW664" s="99" t="s">
        <v>180</v>
      </c>
      <c r="AX664" s="99" t="s">
        <v>3420</v>
      </c>
      <c r="AY664" s="99" t="s">
        <v>252</v>
      </c>
      <c r="AZ664" s="99" t="s">
        <v>3416</v>
      </c>
      <c r="BA664" s="99" t="s">
        <v>4828</v>
      </c>
      <c r="BB664" s="99" t="s">
        <v>2742</v>
      </c>
      <c r="BC664" s="125">
        <v>41</v>
      </c>
      <c r="BD664" s="99" t="s">
        <v>3135</v>
      </c>
      <c r="BE664" s="99" t="s">
        <v>3136</v>
      </c>
    </row>
    <row r="665" spans="1:57" ht="12.95" customHeight="1">
      <c r="A665" s="124">
        <v>15</v>
      </c>
      <c r="B665" s="124">
        <v>2166</v>
      </c>
      <c r="C665" s="99" t="s">
        <v>165</v>
      </c>
      <c r="D665" s="99" t="s">
        <v>2260</v>
      </c>
      <c r="E665" s="99" t="s">
        <v>2910</v>
      </c>
      <c r="F665" s="99" t="s">
        <v>2401</v>
      </c>
      <c r="G665" s="99" t="s">
        <v>3198</v>
      </c>
      <c r="H665" s="99" t="s">
        <v>4824</v>
      </c>
      <c r="I665" s="99" t="s">
        <v>3251</v>
      </c>
      <c r="J665" s="99" t="s">
        <v>2411</v>
      </c>
      <c r="K665" s="99" t="s">
        <v>275</v>
      </c>
      <c r="L665" s="99" t="s">
        <v>2412</v>
      </c>
      <c r="M665" s="99" t="s">
        <v>5</v>
      </c>
      <c r="N665" s="99" t="s">
        <v>3407</v>
      </c>
      <c r="O665" s="99" t="s">
        <v>114</v>
      </c>
      <c r="P665" s="99" t="s">
        <v>3422</v>
      </c>
      <c r="Q665" s="99" t="s">
        <v>169</v>
      </c>
      <c r="R665" s="99" t="s">
        <v>3409</v>
      </c>
      <c r="S665" s="99" t="s">
        <v>2636</v>
      </c>
      <c r="T665" s="99" t="s">
        <v>48</v>
      </c>
      <c r="U665" s="99" t="s">
        <v>184</v>
      </c>
      <c r="V665" s="99" t="s">
        <v>185</v>
      </c>
      <c r="W665" s="99" t="s">
        <v>4835</v>
      </c>
      <c r="X665" s="99" t="s">
        <v>4835</v>
      </c>
      <c r="Y665" s="99" t="s">
        <v>4836</v>
      </c>
      <c r="Z665" s="99" t="s">
        <v>172</v>
      </c>
      <c r="AA665" s="99" t="s">
        <v>173</v>
      </c>
      <c r="AB665" s="99" t="s">
        <v>174</v>
      </c>
      <c r="AC665" s="99" t="s">
        <v>3411</v>
      </c>
      <c r="AD665" s="99" t="s">
        <v>175</v>
      </c>
      <c r="AE665" s="99" t="s">
        <v>3411</v>
      </c>
      <c r="AF665" s="99" t="s">
        <v>3411</v>
      </c>
      <c r="AG665" s="124">
        <v>1633</v>
      </c>
      <c r="AH665" s="99" t="s">
        <v>3413</v>
      </c>
      <c r="AI665" s="125">
        <v>100</v>
      </c>
      <c r="AJ665" s="99" t="s">
        <v>176</v>
      </c>
      <c r="AK665" s="99" t="s">
        <v>4835</v>
      </c>
      <c r="AL665" s="99" t="s">
        <v>3411</v>
      </c>
      <c r="AM665" s="99" t="s">
        <v>177</v>
      </c>
      <c r="AN665" s="99" t="s">
        <v>3411</v>
      </c>
      <c r="AO665" s="99" t="s">
        <v>178</v>
      </c>
      <c r="AP665" s="99" t="s">
        <v>2570</v>
      </c>
      <c r="AQ665" s="99" t="s">
        <v>3411</v>
      </c>
      <c r="AR665" s="99" t="s">
        <v>3411</v>
      </c>
      <c r="AS665" s="99" t="s">
        <v>2413</v>
      </c>
      <c r="AT665" s="99" t="s">
        <v>1</v>
      </c>
      <c r="AU665" s="99" t="s">
        <v>179</v>
      </c>
      <c r="AV665" s="99" t="s">
        <v>3414</v>
      </c>
      <c r="AW665" s="99" t="s">
        <v>180</v>
      </c>
      <c r="AX665" s="99" t="s">
        <v>3420</v>
      </c>
      <c r="AY665" s="99" t="s">
        <v>252</v>
      </c>
      <c r="AZ665" s="99" t="s">
        <v>3416</v>
      </c>
      <c r="BA665" s="99" t="s">
        <v>4828</v>
      </c>
      <c r="BB665" s="99" t="s">
        <v>2742</v>
      </c>
      <c r="BC665" s="125">
        <v>46</v>
      </c>
      <c r="BD665" s="99" t="s">
        <v>3135</v>
      </c>
      <c r="BE665" s="99" t="s">
        <v>3136</v>
      </c>
    </row>
    <row r="666" spans="1:57" ht="12.95" customHeight="1">
      <c r="A666" s="124">
        <v>15</v>
      </c>
      <c r="B666" s="124">
        <v>3085</v>
      </c>
      <c r="C666" s="99" t="s">
        <v>165</v>
      </c>
      <c r="D666" s="99" t="s">
        <v>2260</v>
      </c>
      <c r="E666" s="99" t="s">
        <v>2910</v>
      </c>
      <c r="F666" s="99" t="s">
        <v>2401</v>
      </c>
      <c r="G666" s="99" t="s">
        <v>3198</v>
      </c>
      <c r="H666" s="99" t="s">
        <v>4824</v>
      </c>
      <c r="I666" s="99" t="s">
        <v>3251</v>
      </c>
      <c r="J666" s="99" t="s">
        <v>2977</v>
      </c>
      <c r="K666" s="99" t="s">
        <v>1180</v>
      </c>
      <c r="L666" s="99" t="s">
        <v>2978</v>
      </c>
      <c r="M666" s="99" t="s">
        <v>1</v>
      </c>
      <c r="N666" s="99" t="s">
        <v>3407</v>
      </c>
      <c r="O666" s="99" t="s">
        <v>114</v>
      </c>
      <c r="P666" s="99" t="s">
        <v>4576</v>
      </c>
      <c r="Q666" s="99" t="s">
        <v>169</v>
      </c>
      <c r="R666" s="99" t="s">
        <v>3409</v>
      </c>
      <c r="S666" s="99" t="s">
        <v>2636</v>
      </c>
      <c r="T666" s="99" t="s">
        <v>48</v>
      </c>
      <c r="U666" s="99" t="s">
        <v>440</v>
      </c>
      <c r="V666" s="99" t="s">
        <v>441</v>
      </c>
      <c r="W666" s="99" t="s">
        <v>4576</v>
      </c>
      <c r="X666" s="99" t="s">
        <v>4576</v>
      </c>
      <c r="Y666" s="99" t="s">
        <v>4837</v>
      </c>
      <c r="Z666" s="99" t="s">
        <v>172</v>
      </c>
      <c r="AA666" s="99" t="s">
        <v>173</v>
      </c>
      <c r="AB666" s="99" t="s">
        <v>174</v>
      </c>
      <c r="AC666" s="99" t="s">
        <v>3411</v>
      </c>
      <c r="AD666" s="99" t="s">
        <v>175</v>
      </c>
      <c r="AE666" s="99" t="s">
        <v>3411</v>
      </c>
      <c r="AF666" s="99" t="s">
        <v>3411</v>
      </c>
      <c r="AG666" s="124">
        <v>3085</v>
      </c>
      <c r="AH666" s="99" t="s">
        <v>3413</v>
      </c>
      <c r="AI666" s="125">
        <v>100</v>
      </c>
      <c r="AJ666" s="99" t="s">
        <v>176</v>
      </c>
      <c r="AK666" s="99" t="s">
        <v>4576</v>
      </c>
      <c r="AL666" s="99" t="s">
        <v>3411</v>
      </c>
      <c r="AM666" s="99" t="s">
        <v>177</v>
      </c>
      <c r="AN666" s="99" t="s">
        <v>3411</v>
      </c>
      <c r="AO666" s="99" t="s">
        <v>412</v>
      </c>
      <c r="AP666" s="99" t="s">
        <v>2570</v>
      </c>
      <c r="AQ666" s="99" t="s">
        <v>3411</v>
      </c>
      <c r="AR666" s="99" t="s">
        <v>3411</v>
      </c>
      <c r="AS666" s="99" t="s">
        <v>2979</v>
      </c>
      <c r="AT666" s="99" t="s">
        <v>1</v>
      </c>
      <c r="AU666" s="99" t="s">
        <v>179</v>
      </c>
      <c r="AV666" s="99" t="s">
        <v>3414</v>
      </c>
      <c r="AW666" s="99" t="s">
        <v>180</v>
      </c>
      <c r="AX666" s="99" t="s">
        <v>3420</v>
      </c>
      <c r="AY666" s="99" t="s">
        <v>252</v>
      </c>
      <c r="AZ666" s="99" t="s">
        <v>3416</v>
      </c>
      <c r="BA666" s="99" t="s">
        <v>4828</v>
      </c>
      <c r="BB666" s="99" t="s">
        <v>2742</v>
      </c>
      <c r="BC666" s="125">
        <v>26</v>
      </c>
      <c r="BD666" s="99" t="s">
        <v>3135</v>
      </c>
      <c r="BE666" s="99" t="s">
        <v>3136</v>
      </c>
    </row>
    <row r="667" spans="1:57" ht="12.95" customHeight="1">
      <c r="A667" s="124">
        <v>15</v>
      </c>
      <c r="B667" s="124">
        <v>2119</v>
      </c>
      <c r="C667" s="99" t="s">
        <v>165</v>
      </c>
      <c r="D667" s="99" t="s">
        <v>2429</v>
      </c>
      <c r="E667" s="99" t="s">
        <v>2430</v>
      </c>
      <c r="F667" s="99" t="s">
        <v>2431</v>
      </c>
      <c r="G667" s="99" t="s">
        <v>2430</v>
      </c>
      <c r="H667" s="99" t="s">
        <v>2432</v>
      </c>
      <c r="I667" s="99" t="s">
        <v>2433</v>
      </c>
      <c r="J667" s="99" t="s">
        <v>2434</v>
      </c>
      <c r="K667" s="99" t="s">
        <v>1611</v>
      </c>
      <c r="L667" s="99" t="s">
        <v>2435</v>
      </c>
      <c r="M667" s="99" t="s">
        <v>1</v>
      </c>
      <c r="N667" s="99" t="s">
        <v>3407</v>
      </c>
      <c r="O667" s="99" t="s">
        <v>114</v>
      </c>
      <c r="P667" s="99" t="s">
        <v>3422</v>
      </c>
      <c r="Q667" s="99" t="s">
        <v>169</v>
      </c>
      <c r="R667" s="99" t="s">
        <v>3409</v>
      </c>
      <c r="S667" s="99" t="s">
        <v>2636</v>
      </c>
      <c r="T667" s="99" t="s">
        <v>48</v>
      </c>
      <c r="U667" s="99" t="s">
        <v>184</v>
      </c>
      <c r="V667" s="99" t="s">
        <v>185</v>
      </c>
      <c r="W667" s="99" t="s">
        <v>4838</v>
      </c>
      <c r="X667" s="99" t="s">
        <v>4838</v>
      </c>
      <c r="Y667" s="99" t="s">
        <v>4839</v>
      </c>
      <c r="Z667" s="99" t="s">
        <v>172</v>
      </c>
      <c r="AA667" s="99" t="s">
        <v>173</v>
      </c>
      <c r="AB667" s="99" t="s">
        <v>174</v>
      </c>
      <c r="AC667" s="99" t="s">
        <v>3411</v>
      </c>
      <c r="AD667" s="99" t="s">
        <v>175</v>
      </c>
      <c r="AE667" s="99" t="s">
        <v>3411</v>
      </c>
      <c r="AF667" s="99" t="s">
        <v>3411</v>
      </c>
      <c r="AG667" s="124">
        <v>1604</v>
      </c>
      <c r="AH667" s="99" t="s">
        <v>3413</v>
      </c>
      <c r="AI667" s="125">
        <v>100</v>
      </c>
      <c r="AJ667" s="99" t="s">
        <v>176</v>
      </c>
      <c r="AK667" s="99" t="s">
        <v>4838</v>
      </c>
      <c r="AL667" s="99" t="s">
        <v>3411</v>
      </c>
      <c r="AM667" s="99" t="s">
        <v>177</v>
      </c>
      <c r="AN667" s="99" t="s">
        <v>3411</v>
      </c>
      <c r="AO667" s="99" t="s">
        <v>178</v>
      </c>
      <c r="AP667" s="99" t="s">
        <v>2570</v>
      </c>
      <c r="AQ667" s="99" t="s">
        <v>3411</v>
      </c>
      <c r="AR667" s="99" t="s">
        <v>2719</v>
      </c>
      <c r="AS667" s="99" t="s">
        <v>2436</v>
      </c>
      <c r="AT667" s="99" t="s">
        <v>1</v>
      </c>
      <c r="AU667" s="99" t="s">
        <v>179</v>
      </c>
      <c r="AV667" s="99" t="s">
        <v>3414</v>
      </c>
      <c r="AW667" s="99" t="s">
        <v>180</v>
      </c>
      <c r="AX667" s="99" t="s">
        <v>3420</v>
      </c>
      <c r="AY667" s="99" t="s">
        <v>252</v>
      </c>
      <c r="AZ667" s="99" t="s">
        <v>3416</v>
      </c>
      <c r="BA667" s="99" t="s">
        <v>4840</v>
      </c>
      <c r="BB667" s="99" t="s">
        <v>2437</v>
      </c>
      <c r="BC667" s="125">
        <v>61</v>
      </c>
      <c r="BD667" s="99" t="s">
        <v>3135</v>
      </c>
      <c r="BE667" s="99" t="s">
        <v>3136</v>
      </c>
    </row>
    <row r="668" spans="1:57" ht="12.95" customHeight="1">
      <c r="A668" s="124">
        <v>15</v>
      </c>
      <c r="B668" s="124">
        <v>1693</v>
      </c>
      <c r="C668" s="99" t="s">
        <v>165</v>
      </c>
      <c r="D668" s="99" t="s">
        <v>2429</v>
      </c>
      <c r="E668" s="99" t="s">
        <v>2430</v>
      </c>
      <c r="F668" s="99" t="s">
        <v>2431</v>
      </c>
      <c r="G668" s="99" t="s">
        <v>2430</v>
      </c>
      <c r="H668" s="99" t="s">
        <v>2432</v>
      </c>
      <c r="I668" s="99" t="s">
        <v>2433</v>
      </c>
      <c r="J668" s="99" t="s">
        <v>2438</v>
      </c>
      <c r="K668" s="99" t="s">
        <v>2439</v>
      </c>
      <c r="L668" s="99" t="s">
        <v>2440</v>
      </c>
      <c r="M668" s="99" t="s">
        <v>1</v>
      </c>
      <c r="N668" s="99" t="s">
        <v>3407</v>
      </c>
      <c r="O668" s="99" t="s">
        <v>114</v>
      </c>
      <c r="P668" s="99" t="s">
        <v>3422</v>
      </c>
      <c r="Q668" s="99" t="s">
        <v>169</v>
      </c>
      <c r="R668" s="99" t="s">
        <v>3409</v>
      </c>
      <c r="S668" s="99" t="s">
        <v>2636</v>
      </c>
      <c r="T668" s="99" t="s">
        <v>52</v>
      </c>
      <c r="U668" s="99" t="s">
        <v>427</v>
      </c>
      <c r="V668" s="99" t="s">
        <v>428</v>
      </c>
      <c r="W668" s="99" t="s">
        <v>4841</v>
      </c>
      <c r="X668" s="99" t="s">
        <v>4841</v>
      </c>
      <c r="Y668" s="99" t="s">
        <v>4842</v>
      </c>
      <c r="Z668" s="99" t="s">
        <v>172</v>
      </c>
      <c r="AA668" s="99" t="s">
        <v>173</v>
      </c>
      <c r="AB668" s="99" t="s">
        <v>174</v>
      </c>
      <c r="AC668" s="99" t="s">
        <v>3411</v>
      </c>
      <c r="AD668" s="99" t="s">
        <v>175</v>
      </c>
      <c r="AE668" s="99" t="s">
        <v>3411</v>
      </c>
      <c r="AF668" s="99" t="s">
        <v>3411</v>
      </c>
      <c r="AG668" s="124">
        <v>1349</v>
      </c>
      <c r="AH668" s="99" t="s">
        <v>3413</v>
      </c>
      <c r="AI668" s="125">
        <v>100</v>
      </c>
      <c r="AJ668" s="99" t="s">
        <v>176</v>
      </c>
      <c r="AK668" s="99" t="s">
        <v>4841</v>
      </c>
      <c r="AL668" s="99" t="s">
        <v>3411</v>
      </c>
      <c r="AM668" s="99" t="s">
        <v>177</v>
      </c>
      <c r="AN668" s="99" t="s">
        <v>3411</v>
      </c>
      <c r="AO668" s="99" t="s">
        <v>178</v>
      </c>
      <c r="AP668" s="99" t="s">
        <v>2570</v>
      </c>
      <c r="AQ668" s="99" t="s">
        <v>3411</v>
      </c>
      <c r="AR668" s="99" t="s">
        <v>3411</v>
      </c>
      <c r="AS668" s="99" t="s">
        <v>2441</v>
      </c>
      <c r="AT668" s="99" t="s">
        <v>1</v>
      </c>
      <c r="AU668" s="99" t="s">
        <v>179</v>
      </c>
      <c r="AV668" s="99" t="s">
        <v>3414</v>
      </c>
      <c r="AW668" s="99" t="s">
        <v>180</v>
      </c>
      <c r="AX668" s="99" t="s">
        <v>3420</v>
      </c>
      <c r="AY668" s="99" t="s">
        <v>252</v>
      </c>
      <c r="AZ668" s="99" t="s">
        <v>3416</v>
      </c>
      <c r="BA668" s="99" t="s">
        <v>3421</v>
      </c>
      <c r="BB668" s="99" t="s">
        <v>381</v>
      </c>
      <c r="BC668" s="125">
        <v>54</v>
      </c>
      <c r="BD668" s="99" t="s">
        <v>3135</v>
      </c>
      <c r="BE668" s="99" t="s">
        <v>3136</v>
      </c>
    </row>
    <row r="669" spans="1:57" ht="12.95" customHeight="1">
      <c r="A669" s="124">
        <v>15</v>
      </c>
      <c r="B669" s="124">
        <v>2194</v>
      </c>
      <c r="C669" s="99" t="s">
        <v>165</v>
      </c>
      <c r="D669" s="99" t="s">
        <v>2429</v>
      </c>
      <c r="E669" s="99" t="s">
        <v>2430</v>
      </c>
      <c r="F669" s="99" t="s">
        <v>2431</v>
      </c>
      <c r="G669" s="99" t="s">
        <v>2430</v>
      </c>
      <c r="H669" s="99" t="s">
        <v>2432</v>
      </c>
      <c r="I669" s="99" t="s">
        <v>2433</v>
      </c>
      <c r="J669" s="99" t="s">
        <v>2442</v>
      </c>
      <c r="K669" s="99" t="s">
        <v>2443</v>
      </c>
      <c r="L669" s="99" t="s">
        <v>2444</v>
      </c>
      <c r="M669" s="99" t="s">
        <v>1</v>
      </c>
      <c r="N669" s="99" t="s">
        <v>3407</v>
      </c>
      <c r="O669" s="99" t="s">
        <v>114</v>
      </c>
      <c r="P669" s="99" t="s">
        <v>3422</v>
      </c>
      <c r="Q669" s="99" t="s">
        <v>169</v>
      </c>
      <c r="R669" s="99" t="s">
        <v>3409</v>
      </c>
      <c r="S669" s="99" t="s">
        <v>2636</v>
      </c>
      <c r="T669" s="99" t="s">
        <v>48</v>
      </c>
      <c r="U669" s="99" t="s">
        <v>184</v>
      </c>
      <c r="V669" s="99" t="s">
        <v>185</v>
      </c>
      <c r="W669" s="99" t="s">
        <v>4517</v>
      </c>
      <c r="X669" s="99" t="s">
        <v>4517</v>
      </c>
      <c r="Y669" s="99" t="s">
        <v>4843</v>
      </c>
      <c r="Z669" s="99" t="s">
        <v>172</v>
      </c>
      <c r="AA669" s="99" t="s">
        <v>173</v>
      </c>
      <c r="AB669" s="99" t="s">
        <v>174</v>
      </c>
      <c r="AC669" s="99" t="s">
        <v>3411</v>
      </c>
      <c r="AD669" s="99" t="s">
        <v>175</v>
      </c>
      <c r="AE669" s="99" t="s">
        <v>3411</v>
      </c>
      <c r="AF669" s="99" t="s">
        <v>3411</v>
      </c>
      <c r="AG669" s="124">
        <v>1650</v>
      </c>
      <c r="AH669" s="99" t="s">
        <v>3413</v>
      </c>
      <c r="AI669" s="125">
        <v>100</v>
      </c>
      <c r="AJ669" s="99" t="s">
        <v>176</v>
      </c>
      <c r="AK669" s="99" t="s">
        <v>4517</v>
      </c>
      <c r="AL669" s="99" t="s">
        <v>3411</v>
      </c>
      <c r="AM669" s="99" t="s">
        <v>177</v>
      </c>
      <c r="AN669" s="99" t="s">
        <v>3411</v>
      </c>
      <c r="AO669" s="99" t="s">
        <v>178</v>
      </c>
      <c r="AP669" s="99" t="s">
        <v>2570</v>
      </c>
      <c r="AQ669" s="99" t="s">
        <v>3411</v>
      </c>
      <c r="AR669" s="99" t="s">
        <v>3411</v>
      </c>
      <c r="AS669" s="99" t="s">
        <v>2445</v>
      </c>
      <c r="AT669" s="99" t="s">
        <v>1</v>
      </c>
      <c r="AU669" s="99" t="s">
        <v>179</v>
      </c>
      <c r="AV669" s="99" t="s">
        <v>3414</v>
      </c>
      <c r="AW669" s="99" t="s">
        <v>180</v>
      </c>
      <c r="AX669" s="99" t="s">
        <v>3420</v>
      </c>
      <c r="AY669" s="99" t="s">
        <v>252</v>
      </c>
      <c r="AZ669" s="99" t="s">
        <v>3416</v>
      </c>
      <c r="BA669" s="99" t="s">
        <v>4840</v>
      </c>
      <c r="BB669" s="99" t="s">
        <v>2437</v>
      </c>
      <c r="BC669" s="125">
        <v>50</v>
      </c>
      <c r="BD669" s="99" t="s">
        <v>3135</v>
      </c>
      <c r="BE669" s="99" t="s">
        <v>3136</v>
      </c>
    </row>
    <row r="670" spans="1:57" ht="12.95" customHeight="1">
      <c r="A670" s="124">
        <v>15</v>
      </c>
      <c r="B670" s="124">
        <v>1813</v>
      </c>
      <c r="C670" s="99" t="s">
        <v>165</v>
      </c>
      <c r="D670" s="99" t="s">
        <v>2429</v>
      </c>
      <c r="E670" s="99" t="s">
        <v>2430</v>
      </c>
      <c r="F670" s="99" t="s">
        <v>2431</v>
      </c>
      <c r="G670" s="99" t="s">
        <v>2430</v>
      </c>
      <c r="H670" s="99" t="s">
        <v>2432</v>
      </c>
      <c r="I670" s="99" t="s">
        <v>2433</v>
      </c>
      <c r="J670" s="99" t="s">
        <v>2446</v>
      </c>
      <c r="K670" s="99" t="s">
        <v>1838</v>
      </c>
      <c r="L670" s="99" t="s">
        <v>2447</v>
      </c>
      <c r="M670" s="99" t="s">
        <v>1</v>
      </c>
      <c r="N670" s="99" t="s">
        <v>3407</v>
      </c>
      <c r="O670" s="99" t="s">
        <v>114</v>
      </c>
      <c r="P670" s="99" t="s">
        <v>3422</v>
      </c>
      <c r="Q670" s="99" t="s">
        <v>169</v>
      </c>
      <c r="R670" s="99" t="s">
        <v>3409</v>
      </c>
      <c r="S670" s="99" t="s">
        <v>2636</v>
      </c>
      <c r="T670" s="99" t="s">
        <v>52</v>
      </c>
      <c r="U670" s="99" t="s">
        <v>427</v>
      </c>
      <c r="V670" s="99" t="s">
        <v>428</v>
      </c>
      <c r="W670" s="99" t="s">
        <v>4844</v>
      </c>
      <c r="X670" s="99" t="s">
        <v>4844</v>
      </c>
      <c r="Y670" s="99" t="s">
        <v>4845</v>
      </c>
      <c r="Z670" s="99" t="s">
        <v>172</v>
      </c>
      <c r="AA670" s="99" t="s">
        <v>173</v>
      </c>
      <c r="AB670" s="99" t="s">
        <v>174</v>
      </c>
      <c r="AC670" s="99" t="s">
        <v>3411</v>
      </c>
      <c r="AD670" s="99" t="s">
        <v>175</v>
      </c>
      <c r="AE670" s="99" t="s">
        <v>3411</v>
      </c>
      <c r="AF670" s="99" t="s">
        <v>3411</v>
      </c>
      <c r="AG670" s="124">
        <v>1433</v>
      </c>
      <c r="AH670" s="99" t="s">
        <v>3413</v>
      </c>
      <c r="AI670" s="125">
        <v>100</v>
      </c>
      <c r="AJ670" s="99" t="s">
        <v>176</v>
      </c>
      <c r="AK670" s="99" t="s">
        <v>4844</v>
      </c>
      <c r="AL670" s="99" t="s">
        <v>3411</v>
      </c>
      <c r="AM670" s="99" t="s">
        <v>177</v>
      </c>
      <c r="AN670" s="99" t="s">
        <v>3411</v>
      </c>
      <c r="AO670" s="99" t="s">
        <v>178</v>
      </c>
      <c r="AP670" s="99" t="s">
        <v>2570</v>
      </c>
      <c r="AQ670" s="99" t="s">
        <v>3411</v>
      </c>
      <c r="AR670" s="99" t="s">
        <v>3411</v>
      </c>
      <c r="AS670" s="99" t="s">
        <v>2448</v>
      </c>
      <c r="AT670" s="99" t="s">
        <v>1</v>
      </c>
      <c r="AU670" s="99" t="s">
        <v>179</v>
      </c>
      <c r="AV670" s="99" t="s">
        <v>3414</v>
      </c>
      <c r="AW670" s="99" t="s">
        <v>180</v>
      </c>
      <c r="AX670" s="99" t="s">
        <v>3420</v>
      </c>
      <c r="AY670" s="99" t="s">
        <v>252</v>
      </c>
      <c r="AZ670" s="99" t="s">
        <v>3416</v>
      </c>
      <c r="BA670" s="99" t="s">
        <v>4840</v>
      </c>
      <c r="BB670" s="99" t="s">
        <v>2437</v>
      </c>
      <c r="BC670" s="125">
        <v>59</v>
      </c>
      <c r="BD670" s="99" t="s">
        <v>3135</v>
      </c>
      <c r="BE670" s="99" t="s">
        <v>3136</v>
      </c>
    </row>
    <row r="671" spans="1:57" ht="12.95" customHeight="1">
      <c r="A671" s="124">
        <v>15</v>
      </c>
      <c r="B671" s="124">
        <v>2992</v>
      </c>
      <c r="C671" s="99" t="s">
        <v>165</v>
      </c>
      <c r="D671" s="99" t="s">
        <v>2429</v>
      </c>
      <c r="E671" s="99" t="s">
        <v>2430</v>
      </c>
      <c r="F671" s="99" t="s">
        <v>2431</v>
      </c>
      <c r="G671" s="99" t="s">
        <v>2430</v>
      </c>
      <c r="H671" s="99" t="s">
        <v>2432</v>
      </c>
      <c r="I671" s="99" t="s">
        <v>2433</v>
      </c>
      <c r="J671" s="99" t="s">
        <v>2449</v>
      </c>
      <c r="K671" s="99" t="s">
        <v>787</v>
      </c>
      <c r="L671" s="99" t="s">
        <v>2450</v>
      </c>
      <c r="M671" s="99" t="s">
        <v>1</v>
      </c>
      <c r="N671" s="99" t="s">
        <v>3454</v>
      </c>
      <c r="O671" s="99" t="s">
        <v>70</v>
      </c>
      <c r="P671" s="99" t="s">
        <v>4173</v>
      </c>
      <c r="Q671" s="99" t="s">
        <v>247</v>
      </c>
      <c r="R671" s="99" t="s">
        <v>3409</v>
      </c>
      <c r="S671" s="99" t="s">
        <v>2636</v>
      </c>
      <c r="T671" s="99" t="s">
        <v>48</v>
      </c>
      <c r="U671" s="99" t="s">
        <v>410</v>
      </c>
      <c r="V671" s="99" t="s">
        <v>411</v>
      </c>
      <c r="W671" s="99" t="s">
        <v>4070</v>
      </c>
      <c r="X671" s="99" t="s">
        <v>4070</v>
      </c>
      <c r="Y671" s="99" t="s">
        <v>4846</v>
      </c>
      <c r="Z671" s="99" t="s">
        <v>172</v>
      </c>
      <c r="AA671" s="99" t="s">
        <v>173</v>
      </c>
      <c r="AB671" s="99" t="s">
        <v>174</v>
      </c>
      <c r="AC671" s="99" t="s">
        <v>3411</v>
      </c>
      <c r="AD671" s="99" t="s">
        <v>175</v>
      </c>
      <c r="AE671" s="99" t="s">
        <v>3411</v>
      </c>
      <c r="AF671" s="99" t="s">
        <v>3411</v>
      </c>
      <c r="AG671" s="124">
        <v>2992</v>
      </c>
      <c r="AH671" s="99" t="s">
        <v>3413</v>
      </c>
      <c r="AI671" s="125">
        <v>100</v>
      </c>
      <c r="AJ671" s="99" t="s">
        <v>176</v>
      </c>
      <c r="AK671" s="99" t="s">
        <v>4847</v>
      </c>
      <c r="AL671" s="99" t="s">
        <v>3411</v>
      </c>
      <c r="AM671" s="99" t="s">
        <v>177</v>
      </c>
      <c r="AN671" s="99" t="s">
        <v>3411</v>
      </c>
      <c r="AO671" s="99" t="s">
        <v>412</v>
      </c>
      <c r="AP671" s="99" t="s">
        <v>2570</v>
      </c>
      <c r="AQ671" s="99" t="s">
        <v>3411</v>
      </c>
      <c r="AR671" s="99" t="s">
        <v>3411</v>
      </c>
      <c r="AS671" s="99" t="s">
        <v>2451</v>
      </c>
      <c r="AT671" s="99" t="s">
        <v>235</v>
      </c>
      <c r="AU671" s="99" t="s">
        <v>236</v>
      </c>
      <c r="AV671" s="99" t="s">
        <v>3414</v>
      </c>
      <c r="AW671" s="99" t="s">
        <v>180</v>
      </c>
      <c r="AX671" s="99" t="s">
        <v>5045</v>
      </c>
      <c r="AY671" s="99" t="s">
        <v>252</v>
      </c>
      <c r="AZ671" s="99" t="s">
        <v>5073</v>
      </c>
      <c r="BA671" s="99" t="s">
        <v>4840</v>
      </c>
      <c r="BB671" s="99" t="s">
        <v>2437</v>
      </c>
      <c r="BC671" s="125">
        <v>38</v>
      </c>
      <c r="BD671" s="99" t="s">
        <v>3135</v>
      </c>
      <c r="BE671" s="99" t="s">
        <v>3136</v>
      </c>
    </row>
    <row r="672" spans="1:57" ht="12.95" customHeight="1">
      <c r="A672" s="124">
        <v>15</v>
      </c>
      <c r="B672" s="124">
        <v>3151</v>
      </c>
      <c r="C672" s="99" t="s">
        <v>165</v>
      </c>
      <c r="D672" s="99" t="s">
        <v>2429</v>
      </c>
      <c r="E672" s="99" t="s">
        <v>2430</v>
      </c>
      <c r="F672" s="99" t="s">
        <v>2431</v>
      </c>
      <c r="G672" s="99" t="s">
        <v>2430</v>
      </c>
      <c r="H672" s="99" t="s">
        <v>2432</v>
      </c>
      <c r="I672" s="99" t="s">
        <v>2433</v>
      </c>
      <c r="J672" s="99" t="s">
        <v>2943</v>
      </c>
      <c r="K672" s="99" t="s">
        <v>485</v>
      </c>
      <c r="L672" s="99" t="s">
        <v>2944</v>
      </c>
      <c r="M672" s="99" t="s">
        <v>1</v>
      </c>
      <c r="N672" s="99" t="s">
        <v>3407</v>
      </c>
      <c r="O672" s="99" t="s">
        <v>114</v>
      </c>
      <c r="P672" s="99" t="s">
        <v>4848</v>
      </c>
      <c r="Q672" s="99" t="s">
        <v>169</v>
      </c>
      <c r="R672" s="99" t="s">
        <v>3409</v>
      </c>
      <c r="S672" s="99" t="s">
        <v>2636</v>
      </c>
      <c r="T672" s="99" t="s">
        <v>48</v>
      </c>
      <c r="U672" s="99" t="s">
        <v>410</v>
      </c>
      <c r="V672" s="99" t="s">
        <v>411</v>
      </c>
      <c r="W672" s="99" t="s">
        <v>4848</v>
      </c>
      <c r="X672" s="99" t="s">
        <v>4849</v>
      </c>
      <c r="Y672" s="99" t="s">
        <v>4850</v>
      </c>
      <c r="Z672" s="99" t="s">
        <v>172</v>
      </c>
      <c r="AA672" s="99" t="s">
        <v>173</v>
      </c>
      <c r="AB672" s="99" t="s">
        <v>174</v>
      </c>
      <c r="AC672" s="99" t="s">
        <v>3411</v>
      </c>
      <c r="AD672" s="99" t="s">
        <v>175</v>
      </c>
      <c r="AE672" s="99" t="s">
        <v>3411</v>
      </c>
      <c r="AF672" s="99" t="s">
        <v>3411</v>
      </c>
      <c r="AG672" s="124">
        <v>3151</v>
      </c>
      <c r="AH672" s="99" t="s">
        <v>3413</v>
      </c>
      <c r="AI672" s="125">
        <v>100</v>
      </c>
      <c r="AJ672" s="99" t="s">
        <v>176</v>
      </c>
      <c r="AK672" s="99" t="s">
        <v>4848</v>
      </c>
      <c r="AL672" s="99" t="s">
        <v>3411</v>
      </c>
      <c r="AM672" s="99" t="s">
        <v>177</v>
      </c>
      <c r="AN672" s="99" t="s">
        <v>3411</v>
      </c>
      <c r="AO672" s="99" t="s">
        <v>412</v>
      </c>
      <c r="AP672" s="99" t="s">
        <v>2570</v>
      </c>
      <c r="AQ672" s="99" t="s">
        <v>3411</v>
      </c>
      <c r="AR672" s="99" t="s">
        <v>3411</v>
      </c>
      <c r="AS672" s="99" t="s">
        <v>3281</v>
      </c>
      <c r="AT672" s="99" t="s">
        <v>1</v>
      </c>
      <c r="AU672" s="99" t="s">
        <v>179</v>
      </c>
      <c r="AV672" s="99" t="s">
        <v>3414</v>
      </c>
      <c r="AW672" s="99" t="s">
        <v>180</v>
      </c>
      <c r="AX672" s="99" t="s">
        <v>3420</v>
      </c>
      <c r="AY672" s="99" t="s">
        <v>252</v>
      </c>
      <c r="AZ672" s="99" t="s">
        <v>3416</v>
      </c>
      <c r="BA672" s="99" t="s">
        <v>4840</v>
      </c>
      <c r="BB672" s="99" t="s">
        <v>2437</v>
      </c>
      <c r="BC672" s="125">
        <v>34</v>
      </c>
      <c r="BD672" s="99" t="s">
        <v>3135</v>
      </c>
      <c r="BE672" s="99" t="s">
        <v>3136</v>
      </c>
    </row>
    <row r="673" spans="1:57" ht="12.95" customHeight="1">
      <c r="A673" s="124">
        <v>15</v>
      </c>
      <c r="B673" s="124">
        <v>1684</v>
      </c>
      <c r="C673" s="99" t="s">
        <v>165</v>
      </c>
      <c r="D673" s="99" t="s">
        <v>2525</v>
      </c>
      <c r="E673" s="99" t="s">
        <v>2911</v>
      </c>
      <c r="F673" s="99" t="s">
        <v>2527</v>
      </c>
      <c r="G673" s="99" t="s">
        <v>3199</v>
      </c>
      <c r="H673" s="99" t="s">
        <v>1453</v>
      </c>
      <c r="I673" s="99" t="s">
        <v>2712</v>
      </c>
      <c r="J673" s="99" t="s">
        <v>1454</v>
      </c>
      <c r="K673" s="99" t="s">
        <v>1455</v>
      </c>
      <c r="L673" s="99" t="s">
        <v>1456</v>
      </c>
      <c r="M673" s="99" t="s">
        <v>5</v>
      </c>
      <c r="N673" s="99" t="s">
        <v>3407</v>
      </c>
      <c r="O673" s="99" t="s">
        <v>114</v>
      </c>
      <c r="P673" s="99" t="s">
        <v>3422</v>
      </c>
      <c r="Q673" s="99" t="s">
        <v>169</v>
      </c>
      <c r="R673" s="99" t="s">
        <v>3409</v>
      </c>
      <c r="S673" s="99" t="s">
        <v>2636</v>
      </c>
      <c r="T673" s="99" t="s">
        <v>48</v>
      </c>
      <c r="U673" s="99" t="s">
        <v>184</v>
      </c>
      <c r="V673" s="99" t="s">
        <v>185</v>
      </c>
      <c r="W673" s="99" t="s">
        <v>4851</v>
      </c>
      <c r="X673" s="99" t="s">
        <v>4852</v>
      </c>
      <c r="Y673" s="99" t="s">
        <v>4853</v>
      </c>
      <c r="Z673" s="99" t="s">
        <v>172</v>
      </c>
      <c r="AA673" s="99" t="s">
        <v>173</v>
      </c>
      <c r="AB673" s="99" t="s">
        <v>174</v>
      </c>
      <c r="AC673" s="99" t="s">
        <v>3411</v>
      </c>
      <c r="AD673" s="99" t="s">
        <v>175</v>
      </c>
      <c r="AE673" s="99" t="s">
        <v>3411</v>
      </c>
      <c r="AF673" s="99" t="s">
        <v>3411</v>
      </c>
      <c r="AG673" s="124">
        <v>1341</v>
      </c>
      <c r="AH673" s="99" t="s">
        <v>3413</v>
      </c>
      <c r="AI673" s="125">
        <v>100</v>
      </c>
      <c r="AJ673" s="99" t="s">
        <v>176</v>
      </c>
      <c r="AK673" s="99" t="s">
        <v>4851</v>
      </c>
      <c r="AL673" s="99" t="s">
        <v>3411</v>
      </c>
      <c r="AM673" s="99" t="s">
        <v>177</v>
      </c>
      <c r="AN673" s="99" t="s">
        <v>3411</v>
      </c>
      <c r="AO673" s="99" t="s">
        <v>178</v>
      </c>
      <c r="AP673" s="99" t="s">
        <v>2570</v>
      </c>
      <c r="AQ673" s="99" t="s">
        <v>3411</v>
      </c>
      <c r="AR673" s="99" t="s">
        <v>3411</v>
      </c>
      <c r="AS673" s="99" t="s">
        <v>1457</v>
      </c>
      <c r="AT673" s="99" t="s">
        <v>1</v>
      </c>
      <c r="AU673" s="99" t="s">
        <v>179</v>
      </c>
      <c r="AV673" s="99" t="s">
        <v>3414</v>
      </c>
      <c r="AW673" s="99" t="s">
        <v>180</v>
      </c>
      <c r="AX673" s="99" t="s">
        <v>3420</v>
      </c>
      <c r="AY673" s="99" t="s">
        <v>252</v>
      </c>
      <c r="AZ673" s="99" t="s">
        <v>3416</v>
      </c>
      <c r="BA673" s="99" t="s">
        <v>4761</v>
      </c>
      <c r="BB673" s="99" t="s">
        <v>3197</v>
      </c>
      <c r="BC673" s="125">
        <v>58</v>
      </c>
      <c r="BD673" s="99" t="s">
        <v>3135</v>
      </c>
      <c r="BE673" s="99" t="s">
        <v>3136</v>
      </c>
    </row>
    <row r="674" spans="1:57" ht="12.95" customHeight="1">
      <c r="A674" s="124">
        <v>15</v>
      </c>
      <c r="B674" s="124">
        <v>669</v>
      </c>
      <c r="C674" s="99" t="s">
        <v>165</v>
      </c>
      <c r="D674" s="99" t="s">
        <v>2525</v>
      </c>
      <c r="E674" s="99" t="s">
        <v>2911</v>
      </c>
      <c r="F674" s="99" t="s">
        <v>2527</v>
      </c>
      <c r="G674" s="99" t="s">
        <v>3199</v>
      </c>
      <c r="H674" s="99" t="s">
        <v>1461</v>
      </c>
      <c r="I674" s="99" t="s">
        <v>1462</v>
      </c>
      <c r="J674" s="99" t="s">
        <v>1463</v>
      </c>
      <c r="K674" s="99" t="s">
        <v>695</v>
      </c>
      <c r="L674" s="99" t="s">
        <v>1464</v>
      </c>
      <c r="M674" s="99" t="s">
        <v>1</v>
      </c>
      <c r="N674" s="99" t="s">
        <v>3454</v>
      </c>
      <c r="O674" s="99" t="s">
        <v>70</v>
      </c>
      <c r="P674" s="99" t="s">
        <v>4854</v>
      </c>
      <c r="Q674" s="99" t="s">
        <v>247</v>
      </c>
      <c r="R674" s="99" t="s">
        <v>3409</v>
      </c>
      <c r="S674" s="99" t="s">
        <v>2636</v>
      </c>
      <c r="T674" s="99" t="s">
        <v>48</v>
      </c>
      <c r="U674" s="99" t="s">
        <v>170</v>
      </c>
      <c r="V674" s="99" t="s">
        <v>171</v>
      </c>
      <c r="W674" s="99" t="s">
        <v>4444</v>
      </c>
      <c r="X674" s="99" t="s">
        <v>4444</v>
      </c>
      <c r="Y674" s="99" t="s">
        <v>4855</v>
      </c>
      <c r="Z674" s="99" t="s">
        <v>172</v>
      </c>
      <c r="AA674" s="99" t="s">
        <v>173</v>
      </c>
      <c r="AB674" s="99" t="s">
        <v>174</v>
      </c>
      <c r="AC674" s="99" t="s">
        <v>3411</v>
      </c>
      <c r="AD674" s="99" t="s">
        <v>175</v>
      </c>
      <c r="AE674" s="99" t="s">
        <v>3411</v>
      </c>
      <c r="AF674" s="99" t="s">
        <v>3411</v>
      </c>
      <c r="AG674" s="124">
        <v>489</v>
      </c>
      <c r="AH674" s="99" t="s">
        <v>3413</v>
      </c>
      <c r="AI674" s="125">
        <v>100</v>
      </c>
      <c r="AJ674" s="99" t="s">
        <v>176</v>
      </c>
      <c r="AK674" s="99" t="s">
        <v>4444</v>
      </c>
      <c r="AL674" s="99" t="s">
        <v>3411</v>
      </c>
      <c r="AM674" s="99" t="s">
        <v>177</v>
      </c>
      <c r="AN674" s="99" t="s">
        <v>3411</v>
      </c>
      <c r="AO674" s="99" t="s">
        <v>178</v>
      </c>
      <c r="AP674" s="99" t="s">
        <v>2570</v>
      </c>
      <c r="AQ674" s="99" t="s">
        <v>3411</v>
      </c>
      <c r="AR674" s="99" t="s">
        <v>234</v>
      </c>
      <c r="AS674" s="99" t="s">
        <v>1465</v>
      </c>
      <c r="AT674" s="99" t="s">
        <v>1</v>
      </c>
      <c r="AU674" s="99" t="s">
        <v>179</v>
      </c>
      <c r="AV674" s="99" t="s">
        <v>3414</v>
      </c>
      <c r="AW674" s="99" t="s">
        <v>180</v>
      </c>
      <c r="AX674" s="99" t="s">
        <v>3420</v>
      </c>
      <c r="AY674" s="99" t="s">
        <v>252</v>
      </c>
      <c r="AZ674" s="99" t="s">
        <v>3416</v>
      </c>
      <c r="BA674" s="99" t="s">
        <v>4761</v>
      </c>
      <c r="BB674" s="99" t="s">
        <v>3197</v>
      </c>
      <c r="BC674" s="125">
        <v>58</v>
      </c>
      <c r="BD674" s="99" t="s">
        <v>3135</v>
      </c>
      <c r="BE674" s="99" t="s">
        <v>3136</v>
      </c>
    </row>
    <row r="675" spans="1:57" ht="12.95" customHeight="1">
      <c r="A675" s="124">
        <v>15</v>
      </c>
      <c r="B675" s="124">
        <v>3136</v>
      </c>
      <c r="C675" s="99" t="s">
        <v>165</v>
      </c>
      <c r="D675" s="99" t="s">
        <v>2525</v>
      </c>
      <c r="E675" s="99" t="s">
        <v>2911</v>
      </c>
      <c r="F675" s="99" t="s">
        <v>2527</v>
      </c>
      <c r="G675" s="99" t="s">
        <v>3199</v>
      </c>
      <c r="H675" s="99" t="s">
        <v>1461</v>
      </c>
      <c r="I675" s="99" t="s">
        <v>1462</v>
      </c>
      <c r="J675" s="99" t="s">
        <v>3200</v>
      </c>
      <c r="K675" s="99" t="s">
        <v>485</v>
      </c>
      <c r="L675" s="99" t="s">
        <v>3201</v>
      </c>
      <c r="M675" s="99" t="s">
        <v>1</v>
      </c>
      <c r="N675" s="99" t="s">
        <v>3407</v>
      </c>
      <c r="O675" s="99" t="s">
        <v>114</v>
      </c>
      <c r="P675" s="99" t="s">
        <v>4809</v>
      </c>
      <c r="Q675" s="99" t="s">
        <v>169</v>
      </c>
      <c r="R675" s="99" t="s">
        <v>3409</v>
      </c>
      <c r="S675" s="99" t="s">
        <v>2636</v>
      </c>
      <c r="T675" s="99" t="s">
        <v>48</v>
      </c>
      <c r="U675" s="99" t="s">
        <v>697</v>
      </c>
      <c r="V675" s="99" t="s">
        <v>698</v>
      </c>
      <c r="W675" s="99" t="s">
        <v>4809</v>
      </c>
      <c r="X675" s="99" t="s">
        <v>4809</v>
      </c>
      <c r="Y675" s="99" t="s">
        <v>4856</v>
      </c>
      <c r="Z675" s="99" t="s">
        <v>172</v>
      </c>
      <c r="AA675" s="99" t="s">
        <v>173</v>
      </c>
      <c r="AB675" s="99" t="s">
        <v>174</v>
      </c>
      <c r="AC675" s="99" t="s">
        <v>3411</v>
      </c>
      <c r="AD675" s="99" t="s">
        <v>175</v>
      </c>
      <c r="AE675" s="99" t="s">
        <v>3411</v>
      </c>
      <c r="AF675" s="99" t="s">
        <v>3411</v>
      </c>
      <c r="AG675" s="124">
        <v>3136</v>
      </c>
      <c r="AH675" s="99" t="s">
        <v>3413</v>
      </c>
      <c r="AI675" s="125">
        <v>100</v>
      </c>
      <c r="AJ675" s="99" t="s">
        <v>176</v>
      </c>
      <c r="AK675" s="99" t="s">
        <v>4809</v>
      </c>
      <c r="AL675" s="99" t="s">
        <v>3411</v>
      </c>
      <c r="AM675" s="99" t="s">
        <v>177</v>
      </c>
      <c r="AN675" s="99" t="s">
        <v>3411</v>
      </c>
      <c r="AO675" s="99" t="s">
        <v>412</v>
      </c>
      <c r="AP675" s="99" t="s">
        <v>2570</v>
      </c>
      <c r="AQ675" s="99" t="s">
        <v>3411</v>
      </c>
      <c r="AR675" s="99" t="s">
        <v>3411</v>
      </c>
      <c r="AS675" s="99" t="s">
        <v>3202</v>
      </c>
      <c r="AT675" s="99" t="s">
        <v>1</v>
      </c>
      <c r="AU675" s="99" t="s">
        <v>179</v>
      </c>
      <c r="AV675" s="99" t="s">
        <v>3414</v>
      </c>
      <c r="AW675" s="99" t="s">
        <v>180</v>
      </c>
      <c r="AX675" s="99" t="s">
        <v>3420</v>
      </c>
      <c r="AY675" s="99" t="s">
        <v>252</v>
      </c>
      <c r="AZ675" s="99" t="s">
        <v>3416</v>
      </c>
      <c r="BA675" s="99" t="s">
        <v>4761</v>
      </c>
      <c r="BB675" s="99" t="s">
        <v>3197</v>
      </c>
      <c r="BC675" s="125">
        <v>29</v>
      </c>
      <c r="BD675" s="99" t="s">
        <v>3135</v>
      </c>
      <c r="BE675" s="99" t="s">
        <v>3136</v>
      </c>
    </row>
    <row r="676" spans="1:57" ht="12.95" customHeight="1">
      <c r="A676" s="124">
        <v>15</v>
      </c>
      <c r="B676" s="124">
        <v>1847</v>
      </c>
      <c r="C676" s="99" t="s">
        <v>165</v>
      </c>
      <c r="D676" s="99" t="s">
        <v>2525</v>
      </c>
      <c r="E676" s="99" t="s">
        <v>2911</v>
      </c>
      <c r="F676" s="99" t="s">
        <v>2527</v>
      </c>
      <c r="G676" s="99" t="s">
        <v>3199</v>
      </c>
      <c r="H676" s="99" t="s">
        <v>2714</v>
      </c>
      <c r="I676" s="99" t="s">
        <v>2715</v>
      </c>
      <c r="J676" s="99" t="s">
        <v>1466</v>
      </c>
      <c r="K676" s="99" t="s">
        <v>1467</v>
      </c>
      <c r="L676" s="99" t="s">
        <v>1468</v>
      </c>
      <c r="M676" s="99" t="s">
        <v>1</v>
      </c>
      <c r="N676" s="99" t="s">
        <v>3454</v>
      </c>
      <c r="O676" s="99" t="s">
        <v>70</v>
      </c>
      <c r="P676" s="99" t="s">
        <v>3989</v>
      </c>
      <c r="Q676" s="99" t="s">
        <v>247</v>
      </c>
      <c r="R676" s="99" t="s">
        <v>3409</v>
      </c>
      <c r="S676" s="99" t="s">
        <v>2636</v>
      </c>
      <c r="T676" s="99" t="s">
        <v>48</v>
      </c>
      <c r="U676" s="99" t="s">
        <v>184</v>
      </c>
      <c r="V676" s="99" t="s">
        <v>185</v>
      </c>
      <c r="W676" s="99" t="s">
        <v>3563</v>
      </c>
      <c r="X676" s="99" t="s">
        <v>4857</v>
      </c>
      <c r="Y676" s="99" t="s">
        <v>3694</v>
      </c>
      <c r="Z676" s="99" t="s">
        <v>172</v>
      </c>
      <c r="AA676" s="99" t="s">
        <v>173</v>
      </c>
      <c r="AB676" s="99" t="s">
        <v>400</v>
      </c>
      <c r="AC676" s="99" t="s">
        <v>3411</v>
      </c>
      <c r="AD676" s="99" t="s">
        <v>175</v>
      </c>
      <c r="AE676" s="99" t="s">
        <v>3411</v>
      </c>
      <c r="AF676" s="99" t="s">
        <v>3411</v>
      </c>
      <c r="AG676" s="124">
        <v>1467</v>
      </c>
      <c r="AH676" s="99" t="s">
        <v>3413</v>
      </c>
      <c r="AI676" s="125">
        <v>100</v>
      </c>
      <c r="AJ676" s="99" t="s">
        <v>176</v>
      </c>
      <c r="AK676" s="99" t="s">
        <v>3563</v>
      </c>
      <c r="AL676" s="99" t="s">
        <v>3411</v>
      </c>
      <c r="AM676" s="99" t="s">
        <v>177</v>
      </c>
      <c r="AN676" s="99" t="s">
        <v>3411</v>
      </c>
      <c r="AO676" s="99" t="s">
        <v>178</v>
      </c>
      <c r="AP676" s="99" t="s">
        <v>2570</v>
      </c>
      <c r="AQ676" s="99" t="s">
        <v>3411</v>
      </c>
      <c r="AR676" s="99" t="s">
        <v>234</v>
      </c>
      <c r="AS676" s="99" t="s">
        <v>1469</v>
      </c>
      <c r="AT676" s="99" t="s">
        <v>1</v>
      </c>
      <c r="AU676" s="99" t="s">
        <v>179</v>
      </c>
      <c r="AV676" s="99" t="s">
        <v>3414</v>
      </c>
      <c r="AW676" s="99" t="s">
        <v>180</v>
      </c>
      <c r="AX676" s="99" t="s">
        <v>3420</v>
      </c>
      <c r="AY676" s="99" t="s">
        <v>252</v>
      </c>
      <c r="AZ676" s="99" t="s">
        <v>3416</v>
      </c>
      <c r="BA676" s="99" t="s">
        <v>4761</v>
      </c>
      <c r="BB676" s="99" t="s">
        <v>3197</v>
      </c>
      <c r="BC676" s="125">
        <v>59</v>
      </c>
      <c r="BD676" s="99" t="s">
        <v>3135</v>
      </c>
      <c r="BE676" s="99" t="s">
        <v>3136</v>
      </c>
    </row>
    <row r="677" spans="1:57" ht="12.95" customHeight="1">
      <c r="A677" s="124">
        <v>15</v>
      </c>
      <c r="B677" s="124">
        <v>3073</v>
      </c>
      <c r="C677" s="99" t="s">
        <v>165</v>
      </c>
      <c r="D677" s="99" t="s">
        <v>3304</v>
      </c>
      <c r="E677" s="99" t="s">
        <v>870</v>
      </c>
      <c r="F677" s="99" t="s">
        <v>181</v>
      </c>
      <c r="G677" s="99" t="s">
        <v>182</v>
      </c>
      <c r="H677" s="99" t="s">
        <v>3425</v>
      </c>
      <c r="I677" s="99" t="s">
        <v>183</v>
      </c>
      <c r="J677" s="99" t="s">
        <v>2883</v>
      </c>
      <c r="K677" s="99" t="s">
        <v>820</v>
      </c>
      <c r="L677" s="99" t="s">
        <v>2884</v>
      </c>
      <c r="M677" s="99" t="s">
        <v>5</v>
      </c>
      <c r="N677" s="99" t="s">
        <v>3407</v>
      </c>
      <c r="O677" s="99" t="s">
        <v>114</v>
      </c>
      <c r="P677" s="99" t="s">
        <v>4196</v>
      </c>
      <c r="Q677" s="99" t="s">
        <v>169</v>
      </c>
      <c r="R677" s="99" t="s">
        <v>3409</v>
      </c>
      <c r="S677" s="99" t="s">
        <v>2636</v>
      </c>
      <c r="T677" s="99" t="s">
        <v>48</v>
      </c>
      <c r="U677" s="99" t="s">
        <v>410</v>
      </c>
      <c r="V677" s="99" t="s">
        <v>411</v>
      </c>
      <c r="W677" s="99" t="s">
        <v>4196</v>
      </c>
      <c r="X677" s="99" t="s">
        <v>4196</v>
      </c>
      <c r="Y677" s="99" t="s">
        <v>4858</v>
      </c>
      <c r="Z677" s="99" t="s">
        <v>172</v>
      </c>
      <c r="AA677" s="99" t="s">
        <v>173</v>
      </c>
      <c r="AB677" s="99" t="s">
        <v>174</v>
      </c>
      <c r="AC677" s="99" t="s">
        <v>3411</v>
      </c>
      <c r="AD677" s="99" t="s">
        <v>175</v>
      </c>
      <c r="AE677" s="99" t="s">
        <v>3411</v>
      </c>
      <c r="AF677" s="99" t="s">
        <v>3411</v>
      </c>
      <c r="AG677" s="124">
        <v>3073</v>
      </c>
      <c r="AH677" s="99" t="s">
        <v>3413</v>
      </c>
      <c r="AI677" s="125">
        <v>100</v>
      </c>
      <c r="AJ677" s="99" t="s">
        <v>176</v>
      </c>
      <c r="AK677" s="99" t="s">
        <v>4196</v>
      </c>
      <c r="AL677" s="99" t="s">
        <v>3411</v>
      </c>
      <c r="AM677" s="99" t="s">
        <v>177</v>
      </c>
      <c r="AN677" s="99" t="s">
        <v>3411</v>
      </c>
      <c r="AO677" s="99" t="s">
        <v>412</v>
      </c>
      <c r="AP677" s="99" t="s">
        <v>2570</v>
      </c>
      <c r="AQ677" s="99" t="s">
        <v>3411</v>
      </c>
      <c r="AR677" s="99" t="s">
        <v>3411</v>
      </c>
      <c r="AS677" s="99" t="s">
        <v>2885</v>
      </c>
      <c r="AT677" s="99" t="s">
        <v>235</v>
      </c>
      <c r="AU677" s="99" t="s">
        <v>236</v>
      </c>
      <c r="AV677" s="99" t="s">
        <v>3414</v>
      </c>
      <c r="AW677" s="99" t="s">
        <v>180</v>
      </c>
      <c r="AX677" s="99" t="s">
        <v>3420</v>
      </c>
      <c r="AY677" s="99" t="s">
        <v>252</v>
      </c>
      <c r="AZ677" s="99" t="s">
        <v>3416</v>
      </c>
      <c r="BA677" s="99" t="s">
        <v>4275</v>
      </c>
      <c r="BB677" s="99" t="s">
        <v>3059</v>
      </c>
      <c r="BC677" s="125">
        <v>29</v>
      </c>
      <c r="BD677" s="99" t="s">
        <v>3135</v>
      </c>
      <c r="BE677" s="99" t="s">
        <v>3136</v>
      </c>
    </row>
    <row r="678" spans="1:57" ht="12.95" customHeight="1">
      <c r="A678" s="124">
        <v>15</v>
      </c>
      <c r="B678" s="124">
        <v>828</v>
      </c>
      <c r="C678" s="99" t="s">
        <v>165</v>
      </c>
      <c r="D678" s="99" t="s">
        <v>3388</v>
      </c>
      <c r="E678" s="99" t="s">
        <v>3389</v>
      </c>
      <c r="F678" s="99" t="s">
        <v>3390</v>
      </c>
      <c r="G678" s="99" t="s">
        <v>3013</v>
      </c>
      <c r="H678" s="99" t="s">
        <v>4859</v>
      </c>
      <c r="I678" s="99" t="s">
        <v>3219</v>
      </c>
      <c r="J678" s="99" t="s">
        <v>970</v>
      </c>
      <c r="K678" s="99" t="s">
        <v>711</v>
      </c>
      <c r="L678" s="99" t="s">
        <v>971</v>
      </c>
      <c r="M678" s="99" t="s">
        <v>1</v>
      </c>
      <c r="N678" s="99" t="s">
        <v>3407</v>
      </c>
      <c r="O678" s="99" t="s">
        <v>114</v>
      </c>
      <c r="P678" s="99" t="s">
        <v>3422</v>
      </c>
      <c r="Q678" s="99" t="s">
        <v>169</v>
      </c>
      <c r="R678" s="99" t="s">
        <v>3409</v>
      </c>
      <c r="S678" s="99" t="s">
        <v>2636</v>
      </c>
      <c r="T678" s="99" t="s">
        <v>48</v>
      </c>
      <c r="U678" s="99" t="s">
        <v>440</v>
      </c>
      <c r="V678" s="99" t="s">
        <v>441</v>
      </c>
      <c r="W678" s="99" t="s">
        <v>4860</v>
      </c>
      <c r="X678" s="99" t="s">
        <v>3664</v>
      </c>
      <c r="Y678" s="99" t="s">
        <v>4861</v>
      </c>
      <c r="Z678" s="99" t="s">
        <v>172</v>
      </c>
      <c r="AA678" s="99" t="s">
        <v>173</v>
      </c>
      <c r="AB678" s="99" t="s">
        <v>174</v>
      </c>
      <c r="AC678" s="99" t="s">
        <v>3411</v>
      </c>
      <c r="AD678" s="99" t="s">
        <v>175</v>
      </c>
      <c r="AE678" s="99" t="s">
        <v>3411</v>
      </c>
      <c r="AF678" s="99" t="s">
        <v>3411</v>
      </c>
      <c r="AG678" s="124">
        <v>628</v>
      </c>
      <c r="AH678" s="99" t="s">
        <v>4862</v>
      </c>
      <c r="AI678" s="125">
        <v>50</v>
      </c>
      <c r="AJ678" s="99" t="s">
        <v>3044</v>
      </c>
      <c r="AK678" s="99" t="s">
        <v>4173</v>
      </c>
      <c r="AL678" s="99" t="s">
        <v>3843</v>
      </c>
      <c r="AM678" s="99" t="s">
        <v>177</v>
      </c>
      <c r="AN678" s="99" t="s">
        <v>3411</v>
      </c>
      <c r="AO678" s="99" t="s">
        <v>178</v>
      </c>
      <c r="AP678" s="99" t="s">
        <v>2570</v>
      </c>
      <c r="AQ678" s="99" t="s">
        <v>3411</v>
      </c>
      <c r="AR678" s="99" t="s">
        <v>210</v>
      </c>
      <c r="AS678" s="99" t="s">
        <v>972</v>
      </c>
      <c r="AT678" s="99" t="s">
        <v>235</v>
      </c>
      <c r="AU678" s="99" t="s">
        <v>236</v>
      </c>
      <c r="AV678" s="99" t="s">
        <v>3414</v>
      </c>
      <c r="AW678" s="99" t="s">
        <v>180</v>
      </c>
      <c r="AX678" s="99" t="s">
        <v>3420</v>
      </c>
      <c r="AY678" s="99" t="s">
        <v>252</v>
      </c>
      <c r="AZ678" s="99" t="s">
        <v>3416</v>
      </c>
      <c r="BA678" s="99" t="s">
        <v>4863</v>
      </c>
      <c r="BB678" s="99" t="s">
        <v>2320</v>
      </c>
      <c r="BC678" s="125">
        <v>56</v>
      </c>
      <c r="BD678" s="99" t="s">
        <v>3135</v>
      </c>
      <c r="BE678" s="99" t="s">
        <v>3136</v>
      </c>
    </row>
    <row r="679" spans="1:57" ht="12.95" customHeight="1">
      <c r="A679" s="124">
        <v>15</v>
      </c>
      <c r="B679" s="124">
        <v>1636</v>
      </c>
      <c r="C679" s="99" t="s">
        <v>165</v>
      </c>
      <c r="D679" s="99" t="s">
        <v>3388</v>
      </c>
      <c r="E679" s="99" t="s">
        <v>3389</v>
      </c>
      <c r="F679" s="99" t="s">
        <v>3390</v>
      </c>
      <c r="G679" s="99" t="s">
        <v>3013</v>
      </c>
      <c r="H679" s="99" t="s">
        <v>4859</v>
      </c>
      <c r="I679" s="99" t="s">
        <v>3219</v>
      </c>
      <c r="J679" s="99" t="s">
        <v>977</v>
      </c>
      <c r="K679" s="99" t="s">
        <v>978</v>
      </c>
      <c r="L679" s="99" t="s">
        <v>979</v>
      </c>
      <c r="M679" s="99" t="s">
        <v>1</v>
      </c>
      <c r="N679" s="99" t="s">
        <v>3407</v>
      </c>
      <c r="O679" s="99" t="s">
        <v>114</v>
      </c>
      <c r="P679" s="99" t="s">
        <v>3422</v>
      </c>
      <c r="Q679" s="99" t="s">
        <v>169</v>
      </c>
      <c r="R679" s="99" t="s">
        <v>3409</v>
      </c>
      <c r="S679" s="99" t="s">
        <v>2636</v>
      </c>
      <c r="T679" s="99" t="s">
        <v>48</v>
      </c>
      <c r="U679" s="99" t="s">
        <v>410</v>
      </c>
      <c r="V679" s="99" t="s">
        <v>411</v>
      </c>
      <c r="W679" s="99" t="s">
        <v>3423</v>
      </c>
      <c r="X679" s="99" t="s">
        <v>3423</v>
      </c>
      <c r="Y679" s="99" t="s">
        <v>4864</v>
      </c>
      <c r="Z679" s="99" t="s">
        <v>172</v>
      </c>
      <c r="AA679" s="99" t="s">
        <v>173</v>
      </c>
      <c r="AB679" s="99" t="s">
        <v>174</v>
      </c>
      <c r="AC679" s="99" t="s">
        <v>3411</v>
      </c>
      <c r="AD679" s="99" t="s">
        <v>175</v>
      </c>
      <c r="AE679" s="99" t="s">
        <v>3411</v>
      </c>
      <c r="AF679" s="99" t="s">
        <v>3411</v>
      </c>
      <c r="AG679" s="124">
        <v>1297</v>
      </c>
      <c r="AH679" s="99" t="s">
        <v>3413</v>
      </c>
      <c r="AI679" s="125">
        <v>100</v>
      </c>
      <c r="AJ679" s="99" t="s">
        <v>176</v>
      </c>
      <c r="AK679" s="99" t="s">
        <v>4865</v>
      </c>
      <c r="AL679" s="99" t="s">
        <v>3411</v>
      </c>
      <c r="AM679" s="99" t="s">
        <v>177</v>
      </c>
      <c r="AN679" s="99" t="s">
        <v>3411</v>
      </c>
      <c r="AO679" s="99" t="s">
        <v>178</v>
      </c>
      <c r="AP679" s="99" t="s">
        <v>2570</v>
      </c>
      <c r="AQ679" s="99" t="s">
        <v>3411</v>
      </c>
      <c r="AR679" s="99" t="s">
        <v>3411</v>
      </c>
      <c r="AS679" s="99" t="s">
        <v>980</v>
      </c>
      <c r="AT679" s="99" t="s">
        <v>1</v>
      </c>
      <c r="AU679" s="99" t="s">
        <v>179</v>
      </c>
      <c r="AV679" s="99" t="s">
        <v>3414</v>
      </c>
      <c r="AW679" s="99" t="s">
        <v>180</v>
      </c>
      <c r="AX679" s="99" t="s">
        <v>3420</v>
      </c>
      <c r="AY679" s="99" t="s">
        <v>252</v>
      </c>
      <c r="AZ679" s="99" t="s">
        <v>3416</v>
      </c>
      <c r="BA679" s="99" t="s">
        <v>4863</v>
      </c>
      <c r="BB679" s="99" t="s">
        <v>2320</v>
      </c>
      <c r="BC679" s="125">
        <v>51</v>
      </c>
      <c r="BD679" s="99" t="s">
        <v>3135</v>
      </c>
      <c r="BE679" s="99" t="s">
        <v>3136</v>
      </c>
    </row>
    <row r="680" spans="1:57" ht="12.95" customHeight="1">
      <c r="A680" s="124">
        <v>15</v>
      </c>
      <c r="B680" s="124">
        <v>2930</v>
      </c>
      <c r="C680" s="99" t="s">
        <v>165</v>
      </c>
      <c r="D680" s="99" t="s">
        <v>3388</v>
      </c>
      <c r="E680" s="99" t="s">
        <v>3389</v>
      </c>
      <c r="F680" s="99" t="s">
        <v>3390</v>
      </c>
      <c r="G680" s="99" t="s">
        <v>3013</v>
      </c>
      <c r="H680" s="99" t="s">
        <v>4859</v>
      </c>
      <c r="I680" s="99" t="s">
        <v>3219</v>
      </c>
      <c r="J680" s="99" t="s">
        <v>2338</v>
      </c>
      <c r="K680" s="99" t="s">
        <v>278</v>
      </c>
      <c r="L680" s="99" t="s">
        <v>2339</v>
      </c>
      <c r="M680" s="99" t="s">
        <v>5</v>
      </c>
      <c r="N680" s="99" t="s">
        <v>3407</v>
      </c>
      <c r="O680" s="99" t="s">
        <v>114</v>
      </c>
      <c r="P680" s="99" t="s">
        <v>3422</v>
      </c>
      <c r="Q680" s="99" t="s">
        <v>169</v>
      </c>
      <c r="R680" s="99" t="s">
        <v>3427</v>
      </c>
      <c r="S680" s="99" t="s">
        <v>2635</v>
      </c>
      <c r="T680" s="99" t="s">
        <v>58</v>
      </c>
      <c r="U680" s="99" t="s">
        <v>187</v>
      </c>
      <c r="V680" s="99" t="s">
        <v>188</v>
      </c>
      <c r="W680" s="99" t="s">
        <v>4866</v>
      </c>
      <c r="X680" s="99" t="s">
        <v>4866</v>
      </c>
      <c r="Y680" s="99" t="s">
        <v>4867</v>
      </c>
      <c r="Z680" s="99" t="s">
        <v>172</v>
      </c>
      <c r="AA680" s="99" t="s">
        <v>173</v>
      </c>
      <c r="AB680" s="99" t="s">
        <v>174</v>
      </c>
      <c r="AC680" s="99" t="s">
        <v>3411</v>
      </c>
      <c r="AD680" s="99" t="s">
        <v>175</v>
      </c>
      <c r="AE680" s="99" t="s">
        <v>3411</v>
      </c>
      <c r="AF680" s="99" t="s">
        <v>3411</v>
      </c>
      <c r="AG680" s="124">
        <v>2930</v>
      </c>
      <c r="AH680" s="99" t="s">
        <v>3413</v>
      </c>
      <c r="AI680" s="125">
        <v>100</v>
      </c>
      <c r="AJ680" s="99" t="s">
        <v>176</v>
      </c>
      <c r="AK680" s="99" t="s">
        <v>4866</v>
      </c>
      <c r="AL680" s="99" t="s">
        <v>3411</v>
      </c>
      <c r="AM680" s="99" t="s">
        <v>177</v>
      </c>
      <c r="AN680" s="99" t="s">
        <v>3411</v>
      </c>
      <c r="AO680" s="99" t="s">
        <v>189</v>
      </c>
      <c r="AP680" s="99" t="s">
        <v>2570</v>
      </c>
      <c r="AQ680" s="99" t="s">
        <v>3411</v>
      </c>
      <c r="AR680" s="99" t="s">
        <v>3411</v>
      </c>
      <c r="AS680" s="99" t="s">
        <v>2340</v>
      </c>
      <c r="AT680" s="99" t="s">
        <v>190</v>
      </c>
      <c r="AU680" s="99" t="s">
        <v>191</v>
      </c>
      <c r="AV680" s="99" t="s">
        <v>3414</v>
      </c>
      <c r="AW680" s="99" t="s">
        <v>180</v>
      </c>
      <c r="AX680" s="99" t="s">
        <v>3420</v>
      </c>
      <c r="AY680" s="99" t="s">
        <v>252</v>
      </c>
      <c r="AZ680" s="99" t="s">
        <v>3430</v>
      </c>
      <c r="BA680" s="99" t="s">
        <v>3421</v>
      </c>
      <c r="BB680" s="99" t="s">
        <v>381</v>
      </c>
      <c r="BC680" s="125">
        <v>51</v>
      </c>
      <c r="BD680" s="99" t="s">
        <v>3135</v>
      </c>
      <c r="BE680" s="99" t="s">
        <v>3136</v>
      </c>
    </row>
    <row r="681" spans="1:57" ht="12.95" customHeight="1">
      <c r="A681" s="124">
        <v>15</v>
      </c>
      <c r="B681" s="124">
        <v>1336</v>
      </c>
      <c r="C681" s="99" t="s">
        <v>165</v>
      </c>
      <c r="D681" s="99" t="s">
        <v>3388</v>
      </c>
      <c r="E681" s="99" t="s">
        <v>3389</v>
      </c>
      <c r="F681" s="99" t="s">
        <v>3390</v>
      </c>
      <c r="G681" s="99" t="s">
        <v>3013</v>
      </c>
      <c r="H681" s="99" t="s">
        <v>4859</v>
      </c>
      <c r="I681" s="99" t="s">
        <v>3219</v>
      </c>
      <c r="J681" s="99" t="s">
        <v>981</v>
      </c>
      <c r="K681" s="99" t="s">
        <v>267</v>
      </c>
      <c r="L681" s="99" t="s">
        <v>982</v>
      </c>
      <c r="M681" s="99" t="s">
        <v>1</v>
      </c>
      <c r="N681" s="99" t="s">
        <v>3407</v>
      </c>
      <c r="O681" s="99" t="s">
        <v>114</v>
      </c>
      <c r="P681" s="99" t="s">
        <v>3422</v>
      </c>
      <c r="Q681" s="99" t="s">
        <v>169</v>
      </c>
      <c r="R681" s="99" t="s">
        <v>3409</v>
      </c>
      <c r="S681" s="99" t="s">
        <v>2636</v>
      </c>
      <c r="T681" s="99" t="s">
        <v>48</v>
      </c>
      <c r="U681" s="99" t="s">
        <v>184</v>
      </c>
      <c r="V681" s="99" t="s">
        <v>185</v>
      </c>
      <c r="W681" s="99" t="s">
        <v>3471</v>
      </c>
      <c r="X681" s="99" t="s">
        <v>3471</v>
      </c>
      <c r="Y681" s="99" t="s">
        <v>4868</v>
      </c>
      <c r="Z681" s="99" t="s">
        <v>172</v>
      </c>
      <c r="AA681" s="99" t="s">
        <v>173</v>
      </c>
      <c r="AB681" s="99" t="s">
        <v>174</v>
      </c>
      <c r="AC681" s="99" t="s">
        <v>3411</v>
      </c>
      <c r="AD681" s="99" t="s">
        <v>175</v>
      </c>
      <c r="AE681" s="99" t="s">
        <v>3411</v>
      </c>
      <c r="AF681" s="99" t="s">
        <v>3411</v>
      </c>
      <c r="AG681" s="124">
        <v>1059</v>
      </c>
      <c r="AH681" s="99" t="s">
        <v>3413</v>
      </c>
      <c r="AI681" s="125">
        <v>100</v>
      </c>
      <c r="AJ681" s="99" t="s">
        <v>176</v>
      </c>
      <c r="AK681" s="99" t="s">
        <v>3898</v>
      </c>
      <c r="AL681" s="99" t="s">
        <v>3411</v>
      </c>
      <c r="AM681" s="99" t="s">
        <v>3480</v>
      </c>
      <c r="AN681" s="99" t="s">
        <v>233</v>
      </c>
      <c r="AO681" s="99" t="s">
        <v>178</v>
      </c>
      <c r="AP681" s="99" t="s">
        <v>2570</v>
      </c>
      <c r="AQ681" s="99" t="s">
        <v>3411</v>
      </c>
      <c r="AR681" s="99" t="s">
        <v>3411</v>
      </c>
      <c r="AS681" s="99" t="s">
        <v>983</v>
      </c>
      <c r="AT681" s="99" t="s">
        <v>1</v>
      </c>
      <c r="AU681" s="99" t="s">
        <v>179</v>
      </c>
      <c r="AV681" s="99" t="s">
        <v>3414</v>
      </c>
      <c r="AW681" s="99" t="s">
        <v>180</v>
      </c>
      <c r="AX681" s="99" t="s">
        <v>3420</v>
      </c>
      <c r="AY681" s="99" t="s">
        <v>252</v>
      </c>
      <c r="AZ681" s="99" t="s">
        <v>3416</v>
      </c>
      <c r="BA681" s="99" t="s">
        <v>4863</v>
      </c>
      <c r="BB681" s="99" t="s">
        <v>2320</v>
      </c>
      <c r="BC681" s="125">
        <v>53</v>
      </c>
      <c r="BD681" s="99" t="s">
        <v>3135</v>
      </c>
      <c r="BE681" s="99" t="s">
        <v>3136</v>
      </c>
    </row>
    <row r="682" spans="1:57" ht="12.95" customHeight="1">
      <c r="A682" s="124">
        <v>15</v>
      </c>
      <c r="B682" s="124">
        <v>3002</v>
      </c>
      <c r="C682" s="99" t="s">
        <v>165</v>
      </c>
      <c r="D682" s="99" t="s">
        <v>3388</v>
      </c>
      <c r="E682" s="99" t="s">
        <v>3389</v>
      </c>
      <c r="F682" s="99" t="s">
        <v>3390</v>
      </c>
      <c r="G682" s="99" t="s">
        <v>3013</v>
      </c>
      <c r="H682" s="99" t="s">
        <v>4859</v>
      </c>
      <c r="I682" s="99" t="s">
        <v>3219</v>
      </c>
      <c r="J682" s="99" t="s">
        <v>987</v>
      </c>
      <c r="K682" s="99" t="s">
        <v>224</v>
      </c>
      <c r="L682" s="99" t="s">
        <v>988</v>
      </c>
      <c r="M682" s="99" t="s">
        <v>5</v>
      </c>
      <c r="N682" s="99" t="s">
        <v>3407</v>
      </c>
      <c r="O682" s="99" t="s">
        <v>114</v>
      </c>
      <c r="P682" s="99" t="s">
        <v>3422</v>
      </c>
      <c r="Q682" s="99" t="s">
        <v>169</v>
      </c>
      <c r="R682" s="99" t="s">
        <v>3409</v>
      </c>
      <c r="S682" s="99" t="s">
        <v>2636</v>
      </c>
      <c r="T682" s="99" t="s">
        <v>48</v>
      </c>
      <c r="U682" s="99" t="s">
        <v>184</v>
      </c>
      <c r="V682" s="99" t="s">
        <v>185</v>
      </c>
      <c r="W682" s="99" t="s">
        <v>4606</v>
      </c>
      <c r="X682" s="99" t="s">
        <v>4606</v>
      </c>
      <c r="Y682" s="99" t="s">
        <v>4869</v>
      </c>
      <c r="Z682" s="99" t="s">
        <v>172</v>
      </c>
      <c r="AA682" s="99" t="s">
        <v>173</v>
      </c>
      <c r="AB682" s="99" t="s">
        <v>174</v>
      </c>
      <c r="AC682" s="99" t="s">
        <v>3411</v>
      </c>
      <c r="AD682" s="99" t="s">
        <v>175</v>
      </c>
      <c r="AE682" s="99" t="s">
        <v>3411</v>
      </c>
      <c r="AF682" s="99" t="s">
        <v>3411</v>
      </c>
      <c r="AG682" s="124">
        <v>3002</v>
      </c>
      <c r="AH682" s="99" t="s">
        <v>3413</v>
      </c>
      <c r="AI682" s="125">
        <v>100</v>
      </c>
      <c r="AJ682" s="99" t="s">
        <v>176</v>
      </c>
      <c r="AK682" s="99" t="s">
        <v>4606</v>
      </c>
      <c r="AL682" s="99" t="s">
        <v>3411</v>
      </c>
      <c r="AM682" s="99" t="s">
        <v>3480</v>
      </c>
      <c r="AN682" s="99" t="s">
        <v>233</v>
      </c>
      <c r="AO682" s="99" t="s">
        <v>178</v>
      </c>
      <c r="AP682" s="99" t="s">
        <v>2570</v>
      </c>
      <c r="AQ682" s="99" t="s">
        <v>3411</v>
      </c>
      <c r="AR682" s="99" t="s">
        <v>3411</v>
      </c>
      <c r="AS682" s="99" t="s">
        <v>989</v>
      </c>
      <c r="AT682" s="99" t="s">
        <v>1</v>
      </c>
      <c r="AU682" s="99" t="s">
        <v>179</v>
      </c>
      <c r="AV682" s="99" t="s">
        <v>3414</v>
      </c>
      <c r="AW682" s="99" t="s">
        <v>180</v>
      </c>
      <c r="AX682" s="99" t="s">
        <v>3420</v>
      </c>
      <c r="AY682" s="99" t="s">
        <v>252</v>
      </c>
      <c r="AZ682" s="99" t="s">
        <v>3416</v>
      </c>
      <c r="BA682" s="99" t="s">
        <v>4863</v>
      </c>
      <c r="BB682" s="99" t="s">
        <v>2320</v>
      </c>
      <c r="BC682" s="125">
        <v>54</v>
      </c>
      <c r="BD682" s="99" t="s">
        <v>3135</v>
      </c>
      <c r="BE682" s="99" t="s">
        <v>3136</v>
      </c>
    </row>
    <row r="683" spans="1:57" ht="12.95" customHeight="1">
      <c r="A683" s="124">
        <v>15</v>
      </c>
      <c r="B683" s="124">
        <v>1556</v>
      </c>
      <c r="C683" s="99" t="s">
        <v>165</v>
      </c>
      <c r="D683" s="99" t="s">
        <v>3388</v>
      </c>
      <c r="E683" s="99" t="s">
        <v>3389</v>
      </c>
      <c r="F683" s="99" t="s">
        <v>3390</v>
      </c>
      <c r="G683" s="99" t="s">
        <v>3013</v>
      </c>
      <c r="H683" s="99" t="s">
        <v>4859</v>
      </c>
      <c r="I683" s="99" t="s">
        <v>3219</v>
      </c>
      <c r="J683" s="99" t="s">
        <v>990</v>
      </c>
      <c r="K683" s="99" t="s">
        <v>991</v>
      </c>
      <c r="L683" s="99" t="s">
        <v>992</v>
      </c>
      <c r="M683" s="99" t="s">
        <v>1</v>
      </c>
      <c r="N683" s="99" t="s">
        <v>3407</v>
      </c>
      <c r="O683" s="99" t="s">
        <v>114</v>
      </c>
      <c r="P683" s="99" t="s">
        <v>3422</v>
      </c>
      <c r="Q683" s="99" t="s">
        <v>169</v>
      </c>
      <c r="R683" s="99" t="s">
        <v>3409</v>
      </c>
      <c r="S683" s="99" t="s">
        <v>2636</v>
      </c>
      <c r="T683" s="99" t="s">
        <v>48</v>
      </c>
      <c r="U683" s="99" t="s">
        <v>184</v>
      </c>
      <c r="V683" s="99" t="s">
        <v>185</v>
      </c>
      <c r="W683" s="99" t="s">
        <v>4844</v>
      </c>
      <c r="X683" s="99" t="s">
        <v>4844</v>
      </c>
      <c r="Y683" s="99" t="s">
        <v>4870</v>
      </c>
      <c r="Z683" s="99" t="s">
        <v>172</v>
      </c>
      <c r="AA683" s="99" t="s">
        <v>173</v>
      </c>
      <c r="AB683" s="99" t="s">
        <v>174</v>
      </c>
      <c r="AC683" s="99" t="s">
        <v>3411</v>
      </c>
      <c r="AD683" s="99" t="s">
        <v>175</v>
      </c>
      <c r="AE683" s="99" t="s">
        <v>3411</v>
      </c>
      <c r="AF683" s="99" t="s">
        <v>3411</v>
      </c>
      <c r="AG683" s="124">
        <v>1227</v>
      </c>
      <c r="AH683" s="99" t="s">
        <v>3413</v>
      </c>
      <c r="AI683" s="125">
        <v>100</v>
      </c>
      <c r="AJ683" s="99" t="s">
        <v>176</v>
      </c>
      <c r="AK683" s="99" t="s">
        <v>4844</v>
      </c>
      <c r="AL683" s="99" t="s">
        <v>3411</v>
      </c>
      <c r="AM683" s="99" t="s">
        <v>177</v>
      </c>
      <c r="AN683" s="99" t="s">
        <v>3411</v>
      </c>
      <c r="AO683" s="99" t="s">
        <v>178</v>
      </c>
      <c r="AP683" s="99" t="s">
        <v>2570</v>
      </c>
      <c r="AQ683" s="99" t="s">
        <v>3411</v>
      </c>
      <c r="AR683" s="99" t="s">
        <v>3411</v>
      </c>
      <c r="AS683" s="99" t="s">
        <v>993</v>
      </c>
      <c r="AT683" s="99" t="s">
        <v>1</v>
      </c>
      <c r="AU683" s="99" t="s">
        <v>179</v>
      </c>
      <c r="AV683" s="99" t="s">
        <v>3414</v>
      </c>
      <c r="AW683" s="99" t="s">
        <v>180</v>
      </c>
      <c r="AX683" s="99" t="s">
        <v>3420</v>
      </c>
      <c r="AY683" s="99" t="s">
        <v>252</v>
      </c>
      <c r="AZ683" s="99" t="s">
        <v>3416</v>
      </c>
      <c r="BA683" s="99" t="s">
        <v>4863</v>
      </c>
      <c r="BB683" s="99" t="s">
        <v>2320</v>
      </c>
      <c r="BC683" s="125">
        <v>54</v>
      </c>
      <c r="BD683" s="99" t="s">
        <v>3135</v>
      </c>
      <c r="BE683" s="99" t="s">
        <v>3136</v>
      </c>
    </row>
    <row r="684" spans="1:57" ht="12.95" customHeight="1">
      <c r="A684" s="124">
        <v>15</v>
      </c>
      <c r="B684" s="124">
        <v>3096</v>
      </c>
      <c r="C684" s="99" t="s">
        <v>165</v>
      </c>
      <c r="D684" s="99" t="s">
        <v>3388</v>
      </c>
      <c r="E684" s="99" t="s">
        <v>3389</v>
      </c>
      <c r="F684" s="99" t="s">
        <v>3390</v>
      </c>
      <c r="G684" s="99" t="s">
        <v>3013</v>
      </c>
      <c r="H684" s="99" t="s">
        <v>4859</v>
      </c>
      <c r="I684" s="99" t="s">
        <v>3219</v>
      </c>
      <c r="J684" s="99" t="s">
        <v>307</v>
      </c>
      <c r="K684" s="99" t="s">
        <v>1068</v>
      </c>
      <c r="L684" s="99" t="s">
        <v>2981</v>
      </c>
      <c r="M684" s="99" t="s">
        <v>5</v>
      </c>
      <c r="N684" s="99" t="s">
        <v>3407</v>
      </c>
      <c r="O684" s="99" t="s">
        <v>114</v>
      </c>
      <c r="P684" s="99" t="s">
        <v>4016</v>
      </c>
      <c r="Q684" s="99" t="s">
        <v>169</v>
      </c>
      <c r="R684" s="99" t="s">
        <v>3409</v>
      </c>
      <c r="S684" s="99" t="s">
        <v>2636</v>
      </c>
      <c r="T684" s="99" t="s">
        <v>48</v>
      </c>
      <c r="U684" s="99" t="s">
        <v>170</v>
      </c>
      <c r="V684" s="99" t="s">
        <v>171</v>
      </c>
      <c r="W684" s="99" t="s">
        <v>4016</v>
      </c>
      <c r="X684" s="99" t="s">
        <v>4016</v>
      </c>
      <c r="Y684" s="99" t="s">
        <v>4871</v>
      </c>
      <c r="Z684" s="99" t="s">
        <v>172</v>
      </c>
      <c r="AA684" s="99" t="s">
        <v>173</v>
      </c>
      <c r="AB684" s="99" t="s">
        <v>174</v>
      </c>
      <c r="AC684" s="99" t="s">
        <v>3411</v>
      </c>
      <c r="AD684" s="99" t="s">
        <v>175</v>
      </c>
      <c r="AE684" s="99" t="s">
        <v>3411</v>
      </c>
      <c r="AF684" s="99" t="s">
        <v>3411</v>
      </c>
      <c r="AG684" s="124">
        <v>3096</v>
      </c>
      <c r="AH684" s="99" t="s">
        <v>3413</v>
      </c>
      <c r="AI684" s="125">
        <v>100</v>
      </c>
      <c r="AJ684" s="99" t="s">
        <v>176</v>
      </c>
      <c r="AK684" s="99" t="s">
        <v>4016</v>
      </c>
      <c r="AL684" s="99" t="s">
        <v>3411</v>
      </c>
      <c r="AM684" s="99" t="s">
        <v>3480</v>
      </c>
      <c r="AN684" s="99" t="s">
        <v>233</v>
      </c>
      <c r="AO684" s="99" t="s">
        <v>412</v>
      </c>
      <c r="AP684" s="99" t="s">
        <v>2570</v>
      </c>
      <c r="AQ684" s="99" t="s">
        <v>3411</v>
      </c>
      <c r="AR684" s="99" t="s">
        <v>3411</v>
      </c>
      <c r="AS684" s="99" t="s">
        <v>2982</v>
      </c>
      <c r="AT684" s="99" t="s">
        <v>1</v>
      </c>
      <c r="AU684" s="99" t="s">
        <v>179</v>
      </c>
      <c r="AV684" s="99" t="s">
        <v>3414</v>
      </c>
      <c r="AW684" s="99" t="s">
        <v>180</v>
      </c>
      <c r="AX684" s="99" t="s">
        <v>3420</v>
      </c>
      <c r="AY684" s="99" t="s">
        <v>252</v>
      </c>
      <c r="AZ684" s="99" t="s">
        <v>3416</v>
      </c>
      <c r="BA684" s="99" t="s">
        <v>4863</v>
      </c>
      <c r="BB684" s="99" t="s">
        <v>2320</v>
      </c>
      <c r="BC684" s="125">
        <v>38</v>
      </c>
      <c r="BD684" s="99" t="s">
        <v>3135</v>
      </c>
      <c r="BE684" s="99" t="s">
        <v>3136</v>
      </c>
    </row>
    <row r="685" spans="1:57" ht="12.95" customHeight="1">
      <c r="A685" s="124">
        <v>15</v>
      </c>
      <c r="B685" s="124">
        <v>1687</v>
      </c>
      <c r="C685" s="99" t="s">
        <v>165</v>
      </c>
      <c r="D685" s="99" t="s">
        <v>3388</v>
      </c>
      <c r="E685" s="99" t="s">
        <v>3389</v>
      </c>
      <c r="F685" s="99" t="s">
        <v>3390</v>
      </c>
      <c r="G685" s="99" t="s">
        <v>3013</v>
      </c>
      <c r="H685" s="99" t="s">
        <v>2912</v>
      </c>
      <c r="I685" s="99" t="s">
        <v>2913</v>
      </c>
      <c r="J685" s="99" t="s">
        <v>1332</v>
      </c>
      <c r="K685" s="99" t="s">
        <v>1333</v>
      </c>
      <c r="L685" s="99" t="s">
        <v>1334</v>
      </c>
      <c r="M685" s="99" t="s">
        <v>5</v>
      </c>
      <c r="N685" s="99" t="s">
        <v>3407</v>
      </c>
      <c r="O685" s="99" t="s">
        <v>114</v>
      </c>
      <c r="P685" s="99" t="s">
        <v>3422</v>
      </c>
      <c r="Q685" s="99" t="s">
        <v>169</v>
      </c>
      <c r="R685" s="99" t="s">
        <v>3409</v>
      </c>
      <c r="S685" s="99" t="s">
        <v>2636</v>
      </c>
      <c r="T685" s="99" t="s">
        <v>52</v>
      </c>
      <c r="U685" s="99" t="s">
        <v>427</v>
      </c>
      <c r="V685" s="99" t="s">
        <v>428</v>
      </c>
      <c r="W685" s="99" t="s">
        <v>4022</v>
      </c>
      <c r="X685" s="99" t="s">
        <v>4022</v>
      </c>
      <c r="Y685" s="99" t="s">
        <v>4872</v>
      </c>
      <c r="Z685" s="99" t="s">
        <v>172</v>
      </c>
      <c r="AA685" s="99" t="s">
        <v>173</v>
      </c>
      <c r="AB685" s="99" t="s">
        <v>174</v>
      </c>
      <c r="AC685" s="99" t="s">
        <v>3411</v>
      </c>
      <c r="AD685" s="99" t="s">
        <v>175</v>
      </c>
      <c r="AE685" s="99" t="s">
        <v>3411</v>
      </c>
      <c r="AF685" s="99" t="s">
        <v>3411</v>
      </c>
      <c r="AG685" s="124">
        <v>1344</v>
      </c>
      <c r="AH685" s="99" t="s">
        <v>3413</v>
      </c>
      <c r="AI685" s="125">
        <v>100</v>
      </c>
      <c r="AJ685" s="99" t="s">
        <v>176</v>
      </c>
      <c r="AK685" s="99" t="s">
        <v>4022</v>
      </c>
      <c r="AL685" s="99" t="s">
        <v>3411</v>
      </c>
      <c r="AM685" s="99" t="s">
        <v>3480</v>
      </c>
      <c r="AN685" s="99" t="s">
        <v>233</v>
      </c>
      <c r="AO685" s="99" t="s">
        <v>178</v>
      </c>
      <c r="AP685" s="99" t="s">
        <v>2570</v>
      </c>
      <c r="AQ685" s="99" t="s">
        <v>3411</v>
      </c>
      <c r="AR685" s="99" t="s">
        <v>3411</v>
      </c>
      <c r="AS685" s="99" t="s">
        <v>1335</v>
      </c>
      <c r="AT685" s="99" t="s">
        <v>1</v>
      </c>
      <c r="AU685" s="99" t="s">
        <v>179</v>
      </c>
      <c r="AV685" s="99" t="s">
        <v>3414</v>
      </c>
      <c r="AW685" s="99" t="s">
        <v>180</v>
      </c>
      <c r="AX685" s="99" t="s">
        <v>3420</v>
      </c>
      <c r="AY685" s="99" t="s">
        <v>252</v>
      </c>
      <c r="AZ685" s="99" t="s">
        <v>3416</v>
      </c>
      <c r="BA685" s="99" t="s">
        <v>4863</v>
      </c>
      <c r="BB685" s="99" t="s">
        <v>2320</v>
      </c>
      <c r="BC685" s="125">
        <v>54</v>
      </c>
      <c r="BD685" s="99" t="s">
        <v>3135</v>
      </c>
      <c r="BE685" s="99" t="s">
        <v>3136</v>
      </c>
    </row>
    <row r="686" spans="1:57" ht="12.95" customHeight="1">
      <c r="A686" s="124">
        <v>15</v>
      </c>
      <c r="B686" s="124">
        <v>1836</v>
      </c>
      <c r="C686" s="99" t="s">
        <v>165</v>
      </c>
      <c r="D686" s="99" t="s">
        <v>3388</v>
      </c>
      <c r="E686" s="99" t="s">
        <v>3389</v>
      </c>
      <c r="F686" s="99" t="s">
        <v>3390</v>
      </c>
      <c r="G686" s="99" t="s">
        <v>3013</v>
      </c>
      <c r="H686" s="99" t="s">
        <v>1470</v>
      </c>
      <c r="I686" s="99" t="s">
        <v>2713</v>
      </c>
      <c r="J686" s="99" t="s">
        <v>1471</v>
      </c>
      <c r="K686" s="99" t="s">
        <v>832</v>
      </c>
      <c r="L686" s="99" t="s">
        <v>1472</v>
      </c>
      <c r="M686" s="99" t="s">
        <v>5</v>
      </c>
      <c r="N686" s="99" t="s">
        <v>3454</v>
      </c>
      <c r="O686" s="99" t="s">
        <v>70</v>
      </c>
      <c r="P686" s="99" t="s">
        <v>3989</v>
      </c>
      <c r="Q686" s="99" t="s">
        <v>247</v>
      </c>
      <c r="R686" s="99" t="s">
        <v>3409</v>
      </c>
      <c r="S686" s="99" t="s">
        <v>2636</v>
      </c>
      <c r="T686" s="99" t="s">
        <v>52</v>
      </c>
      <c r="U686" s="99" t="s">
        <v>427</v>
      </c>
      <c r="V686" s="99" t="s">
        <v>428</v>
      </c>
      <c r="W686" s="99" t="s">
        <v>3563</v>
      </c>
      <c r="X686" s="99" t="s">
        <v>3810</v>
      </c>
      <c r="Y686" s="99" t="s">
        <v>4873</v>
      </c>
      <c r="Z686" s="99" t="s">
        <v>172</v>
      </c>
      <c r="AA686" s="99" t="s">
        <v>173</v>
      </c>
      <c r="AB686" s="99" t="s">
        <v>400</v>
      </c>
      <c r="AC686" s="99" t="s">
        <v>3411</v>
      </c>
      <c r="AD686" s="99" t="s">
        <v>175</v>
      </c>
      <c r="AE686" s="99" t="s">
        <v>3411</v>
      </c>
      <c r="AF686" s="99" t="s">
        <v>3411</v>
      </c>
      <c r="AG686" s="124">
        <v>1456</v>
      </c>
      <c r="AH686" s="99" t="s">
        <v>3413</v>
      </c>
      <c r="AI686" s="125">
        <v>100</v>
      </c>
      <c r="AJ686" s="99" t="s">
        <v>176</v>
      </c>
      <c r="AK686" s="99" t="s">
        <v>3563</v>
      </c>
      <c r="AL686" s="99" t="s">
        <v>3411</v>
      </c>
      <c r="AM686" s="99" t="s">
        <v>177</v>
      </c>
      <c r="AN686" s="99" t="s">
        <v>3411</v>
      </c>
      <c r="AO686" s="99" t="s">
        <v>178</v>
      </c>
      <c r="AP686" s="99" t="s">
        <v>2570</v>
      </c>
      <c r="AQ686" s="99" t="s">
        <v>3411</v>
      </c>
      <c r="AR686" s="99" t="s">
        <v>3411</v>
      </c>
      <c r="AS686" s="99" t="s">
        <v>1473</v>
      </c>
      <c r="AT686" s="99" t="s">
        <v>1</v>
      </c>
      <c r="AU686" s="99" t="s">
        <v>179</v>
      </c>
      <c r="AV686" s="99" t="s">
        <v>3414</v>
      </c>
      <c r="AW686" s="99" t="s">
        <v>180</v>
      </c>
      <c r="AX686" s="99" t="s">
        <v>3420</v>
      </c>
      <c r="AY686" s="99" t="s">
        <v>252</v>
      </c>
      <c r="AZ686" s="99" t="s">
        <v>3416</v>
      </c>
      <c r="BA686" s="99" t="s">
        <v>4863</v>
      </c>
      <c r="BB686" s="99" t="s">
        <v>2320</v>
      </c>
      <c r="BC686" s="125">
        <v>56</v>
      </c>
      <c r="BD686" s="99" t="s">
        <v>3135</v>
      </c>
      <c r="BE686" s="99" t="s">
        <v>3136</v>
      </c>
    </row>
    <row r="687" spans="1:57" ht="12.95" customHeight="1">
      <c r="A687" s="124">
        <v>15</v>
      </c>
      <c r="B687" s="124">
        <v>573</v>
      </c>
      <c r="C687" s="99" t="s">
        <v>165</v>
      </c>
      <c r="D687" s="99" t="s">
        <v>3388</v>
      </c>
      <c r="E687" s="99" t="s">
        <v>3389</v>
      </c>
      <c r="F687" s="99" t="s">
        <v>3390</v>
      </c>
      <c r="G687" s="99" t="s">
        <v>3013</v>
      </c>
      <c r="H687" s="99" t="s">
        <v>1470</v>
      </c>
      <c r="I687" s="99" t="s">
        <v>2713</v>
      </c>
      <c r="J687" s="99" t="s">
        <v>1474</v>
      </c>
      <c r="K687" s="99" t="s">
        <v>1121</v>
      </c>
      <c r="L687" s="99" t="s">
        <v>1475</v>
      </c>
      <c r="M687" s="99" t="s">
        <v>1</v>
      </c>
      <c r="N687" s="99" t="s">
        <v>3407</v>
      </c>
      <c r="O687" s="99" t="s">
        <v>114</v>
      </c>
      <c r="P687" s="99" t="s">
        <v>3422</v>
      </c>
      <c r="Q687" s="99" t="s">
        <v>169</v>
      </c>
      <c r="R687" s="99" t="s">
        <v>3409</v>
      </c>
      <c r="S687" s="99" t="s">
        <v>2636</v>
      </c>
      <c r="T687" s="99" t="s">
        <v>48</v>
      </c>
      <c r="U687" s="99" t="s">
        <v>170</v>
      </c>
      <c r="V687" s="99" t="s">
        <v>171</v>
      </c>
      <c r="W687" s="99" t="s">
        <v>4362</v>
      </c>
      <c r="X687" s="99" t="s">
        <v>4362</v>
      </c>
      <c r="Y687" s="99" t="s">
        <v>4874</v>
      </c>
      <c r="Z687" s="99" t="s">
        <v>172</v>
      </c>
      <c r="AA687" s="99" t="s">
        <v>173</v>
      </c>
      <c r="AB687" s="99" t="s">
        <v>174</v>
      </c>
      <c r="AC687" s="99" t="s">
        <v>3411</v>
      </c>
      <c r="AD687" s="99" t="s">
        <v>175</v>
      </c>
      <c r="AE687" s="99" t="s">
        <v>3411</v>
      </c>
      <c r="AF687" s="99" t="s">
        <v>3411</v>
      </c>
      <c r="AG687" s="124">
        <v>408</v>
      </c>
      <c r="AH687" s="99" t="s">
        <v>3413</v>
      </c>
      <c r="AI687" s="125">
        <v>100</v>
      </c>
      <c r="AJ687" s="99" t="s">
        <v>176</v>
      </c>
      <c r="AK687" s="99" t="s">
        <v>4362</v>
      </c>
      <c r="AL687" s="99" t="s">
        <v>3411</v>
      </c>
      <c r="AM687" s="99" t="s">
        <v>177</v>
      </c>
      <c r="AN687" s="99" t="s">
        <v>3411</v>
      </c>
      <c r="AO687" s="99" t="s">
        <v>403</v>
      </c>
      <c r="AP687" s="99" t="s">
        <v>2570</v>
      </c>
      <c r="AQ687" s="99" t="s">
        <v>3411</v>
      </c>
      <c r="AR687" s="99" t="s">
        <v>3411</v>
      </c>
      <c r="AS687" s="99" t="s">
        <v>1476</v>
      </c>
      <c r="AT687" s="99" t="s">
        <v>1</v>
      </c>
      <c r="AU687" s="99" t="s">
        <v>179</v>
      </c>
      <c r="AV687" s="99" t="s">
        <v>3414</v>
      </c>
      <c r="AW687" s="99" t="s">
        <v>180</v>
      </c>
      <c r="AX687" s="99" t="s">
        <v>3420</v>
      </c>
      <c r="AY687" s="99" t="s">
        <v>252</v>
      </c>
      <c r="AZ687" s="99" t="s">
        <v>3416</v>
      </c>
      <c r="BA687" s="99" t="s">
        <v>4863</v>
      </c>
      <c r="BB687" s="99" t="s">
        <v>2320</v>
      </c>
      <c r="BC687" s="125">
        <v>59</v>
      </c>
      <c r="BD687" s="99" t="s">
        <v>3135</v>
      </c>
      <c r="BE687" s="99" t="s">
        <v>3136</v>
      </c>
    </row>
    <row r="688" spans="1:57" ht="12.95" customHeight="1">
      <c r="A688" s="124">
        <v>28</v>
      </c>
      <c r="B688" s="124">
        <v>64</v>
      </c>
      <c r="C688" s="99" t="s">
        <v>2452</v>
      </c>
      <c r="D688" s="99" t="s">
        <v>2453</v>
      </c>
      <c r="E688" s="99" t="s">
        <v>2454</v>
      </c>
      <c r="F688" s="99" t="s">
        <v>2455</v>
      </c>
      <c r="G688" s="99" t="s">
        <v>2454</v>
      </c>
      <c r="H688" s="99" t="s">
        <v>2456</v>
      </c>
      <c r="I688" s="99" t="s">
        <v>2744</v>
      </c>
      <c r="J688" s="99" t="s">
        <v>2460</v>
      </c>
      <c r="K688" s="99" t="s">
        <v>2461</v>
      </c>
      <c r="L688" s="99" t="s">
        <v>2462</v>
      </c>
      <c r="M688" s="99" t="s">
        <v>1</v>
      </c>
      <c r="N688" s="99" t="s">
        <v>4875</v>
      </c>
      <c r="O688" s="99" t="s">
        <v>121</v>
      </c>
      <c r="P688" s="99" t="s">
        <v>4876</v>
      </c>
      <c r="Q688" s="99" t="s">
        <v>169</v>
      </c>
      <c r="R688" s="99" t="s">
        <v>3409</v>
      </c>
      <c r="S688" s="99" t="s">
        <v>2636</v>
      </c>
      <c r="T688" s="99" t="s">
        <v>48</v>
      </c>
      <c r="U688" s="99" t="s">
        <v>440</v>
      </c>
      <c r="V688" s="99" t="s">
        <v>441</v>
      </c>
      <c r="W688" s="99" t="s">
        <v>4876</v>
      </c>
      <c r="X688" s="99" t="s">
        <v>4877</v>
      </c>
      <c r="Y688" s="99" t="s">
        <v>4878</v>
      </c>
      <c r="Z688" s="99" t="s">
        <v>172</v>
      </c>
      <c r="AA688" s="99" t="s">
        <v>173</v>
      </c>
      <c r="AB688" s="99" t="s">
        <v>2463</v>
      </c>
      <c r="AC688" s="99" t="s">
        <v>3411</v>
      </c>
      <c r="AD688" s="99" t="s">
        <v>175</v>
      </c>
      <c r="AE688" s="99" t="s">
        <v>3411</v>
      </c>
      <c r="AF688" s="99" t="s">
        <v>3411</v>
      </c>
      <c r="AG688" s="124">
        <v>64</v>
      </c>
      <c r="AH688" s="99" t="s">
        <v>3413</v>
      </c>
      <c r="AI688" s="125">
        <v>100</v>
      </c>
      <c r="AJ688" s="99" t="s">
        <v>176</v>
      </c>
      <c r="AK688" s="99" t="s">
        <v>4877</v>
      </c>
      <c r="AL688" s="99" t="s">
        <v>3411</v>
      </c>
      <c r="AM688" s="99" t="s">
        <v>177</v>
      </c>
      <c r="AN688" s="99" t="s">
        <v>3411</v>
      </c>
      <c r="AO688" s="99" t="s">
        <v>2457</v>
      </c>
      <c r="AP688" s="99" t="s">
        <v>2570</v>
      </c>
      <c r="AQ688" s="99" t="s">
        <v>3411</v>
      </c>
      <c r="AR688" s="99" t="s">
        <v>3411</v>
      </c>
      <c r="AS688" s="99" t="s">
        <v>2464</v>
      </c>
      <c r="AT688" s="99" t="s">
        <v>1</v>
      </c>
      <c r="AU688" s="99" t="s">
        <v>179</v>
      </c>
      <c r="AV688" s="99" t="s">
        <v>3414</v>
      </c>
      <c r="AW688" s="99" t="s">
        <v>180</v>
      </c>
      <c r="AX688" s="99" t="s">
        <v>3420</v>
      </c>
      <c r="AY688" s="99" t="s">
        <v>252</v>
      </c>
      <c r="AZ688" s="99" t="s">
        <v>3416</v>
      </c>
      <c r="BA688" s="99" t="s">
        <v>4879</v>
      </c>
      <c r="BB688" s="99" t="s">
        <v>2458</v>
      </c>
      <c r="BC688" s="125">
        <v>59</v>
      </c>
      <c r="BD688" s="99" t="s">
        <v>3135</v>
      </c>
      <c r="BE688" s="99" t="s">
        <v>3136</v>
      </c>
    </row>
    <row r="689" spans="1:57" ht="12.95" customHeight="1">
      <c r="A689" s="124">
        <v>28</v>
      </c>
      <c r="B689" s="124">
        <v>96</v>
      </c>
      <c r="C689" s="99" t="s">
        <v>2452</v>
      </c>
      <c r="D689" s="99" t="s">
        <v>2453</v>
      </c>
      <c r="E689" s="99" t="s">
        <v>2454</v>
      </c>
      <c r="F689" s="99" t="s">
        <v>2455</v>
      </c>
      <c r="G689" s="99" t="s">
        <v>2454</v>
      </c>
      <c r="H689" s="99" t="s">
        <v>2456</v>
      </c>
      <c r="I689" s="99" t="s">
        <v>2744</v>
      </c>
      <c r="J689" s="99" t="s">
        <v>3155</v>
      </c>
      <c r="K689" s="99" t="s">
        <v>1199</v>
      </c>
      <c r="L689" s="99" t="s">
        <v>3156</v>
      </c>
      <c r="M689" s="99" t="s">
        <v>1</v>
      </c>
      <c r="N689" s="99" t="s">
        <v>4875</v>
      </c>
      <c r="O689" s="99" t="s">
        <v>121</v>
      </c>
      <c r="P689" s="99" t="s">
        <v>3545</v>
      </c>
      <c r="Q689" s="99" t="s">
        <v>169</v>
      </c>
      <c r="R689" s="99" t="s">
        <v>3409</v>
      </c>
      <c r="S689" s="99" t="s">
        <v>2636</v>
      </c>
      <c r="T689" s="99" t="s">
        <v>48</v>
      </c>
      <c r="U689" s="99" t="s">
        <v>440</v>
      </c>
      <c r="V689" s="99" t="s">
        <v>441</v>
      </c>
      <c r="W689" s="99" t="s">
        <v>3545</v>
      </c>
      <c r="X689" s="99" t="s">
        <v>3545</v>
      </c>
      <c r="Y689" s="99" t="s">
        <v>4880</v>
      </c>
      <c r="Z689" s="99" t="s">
        <v>172</v>
      </c>
      <c r="AA689" s="99" t="s">
        <v>173</v>
      </c>
      <c r="AB689" s="99" t="s">
        <v>316</v>
      </c>
      <c r="AC689" s="99" t="s">
        <v>3411</v>
      </c>
      <c r="AD689" s="99" t="s">
        <v>175</v>
      </c>
      <c r="AE689" s="99" t="s">
        <v>3411</v>
      </c>
      <c r="AF689" s="99" t="s">
        <v>3411</v>
      </c>
      <c r="AG689" s="124">
        <v>96</v>
      </c>
      <c r="AH689" s="99" t="s">
        <v>3413</v>
      </c>
      <c r="AI689" s="125">
        <v>100</v>
      </c>
      <c r="AJ689" s="99" t="s">
        <v>176</v>
      </c>
      <c r="AK689" s="99" t="s">
        <v>3545</v>
      </c>
      <c r="AL689" s="99" t="s">
        <v>3411</v>
      </c>
      <c r="AM689" s="99" t="s">
        <v>177</v>
      </c>
      <c r="AN689" s="99" t="s">
        <v>3411</v>
      </c>
      <c r="AO689" s="99" t="s">
        <v>2457</v>
      </c>
      <c r="AP689" s="99" t="s">
        <v>2570</v>
      </c>
      <c r="AQ689" s="99" t="s">
        <v>3411</v>
      </c>
      <c r="AR689" s="99" t="s">
        <v>3411</v>
      </c>
      <c r="AS689" s="99" t="s">
        <v>3157</v>
      </c>
      <c r="AT689" s="99" t="s">
        <v>1</v>
      </c>
      <c r="AU689" s="99" t="s">
        <v>179</v>
      </c>
      <c r="AV689" s="99" t="s">
        <v>3414</v>
      </c>
      <c r="AW689" s="99" t="s">
        <v>180</v>
      </c>
      <c r="AX689" s="99" t="s">
        <v>3420</v>
      </c>
      <c r="AY689" s="99" t="s">
        <v>252</v>
      </c>
      <c r="AZ689" s="99" t="s">
        <v>3416</v>
      </c>
      <c r="BA689" s="99" t="s">
        <v>4879</v>
      </c>
      <c r="BB689" s="99" t="s">
        <v>2458</v>
      </c>
      <c r="BC689" s="125">
        <v>40</v>
      </c>
      <c r="BD689" s="99" t="s">
        <v>3135</v>
      </c>
      <c r="BE689" s="99" t="s">
        <v>3136</v>
      </c>
    </row>
    <row r="690" spans="1:57" ht="12.95" customHeight="1">
      <c r="A690" s="124">
        <v>28</v>
      </c>
      <c r="B690" s="124">
        <v>51</v>
      </c>
      <c r="C690" s="99" t="s">
        <v>2452</v>
      </c>
      <c r="D690" s="99" t="s">
        <v>2453</v>
      </c>
      <c r="E690" s="99" t="s">
        <v>2454</v>
      </c>
      <c r="F690" s="99" t="s">
        <v>2455</v>
      </c>
      <c r="G690" s="99" t="s">
        <v>2454</v>
      </c>
      <c r="H690" s="99" t="s">
        <v>2456</v>
      </c>
      <c r="I690" s="99" t="s">
        <v>2744</v>
      </c>
      <c r="J690" s="99" t="s">
        <v>2465</v>
      </c>
      <c r="K690" s="99" t="s">
        <v>212</v>
      </c>
      <c r="L690" s="99" t="s">
        <v>2466</v>
      </c>
      <c r="M690" s="99" t="s">
        <v>1</v>
      </c>
      <c r="N690" s="99" t="s">
        <v>3407</v>
      </c>
      <c r="O690" s="99" t="s">
        <v>114</v>
      </c>
      <c r="P690" s="99" t="s">
        <v>3422</v>
      </c>
      <c r="Q690" s="99" t="s">
        <v>169</v>
      </c>
      <c r="R690" s="99" t="s">
        <v>3409</v>
      </c>
      <c r="S690" s="99" t="s">
        <v>2636</v>
      </c>
      <c r="T690" s="99" t="s">
        <v>52</v>
      </c>
      <c r="U690" s="99" t="s">
        <v>427</v>
      </c>
      <c r="V690" s="99" t="s">
        <v>428</v>
      </c>
      <c r="W690" s="99" t="s">
        <v>4816</v>
      </c>
      <c r="X690" s="99" t="s">
        <v>4816</v>
      </c>
      <c r="Y690" s="99" t="s">
        <v>4881</v>
      </c>
      <c r="Z690" s="99" t="s">
        <v>172</v>
      </c>
      <c r="AA690" s="99" t="s">
        <v>173</v>
      </c>
      <c r="AB690" s="99" t="s">
        <v>174</v>
      </c>
      <c r="AC690" s="99" t="s">
        <v>3411</v>
      </c>
      <c r="AD690" s="99" t="s">
        <v>175</v>
      </c>
      <c r="AE690" s="99" t="s">
        <v>3411</v>
      </c>
      <c r="AF690" s="99" t="s">
        <v>3411</v>
      </c>
      <c r="AG690" s="124">
        <v>51</v>
      </c>
      <c r="AH690" s="99" t="s">
        <v>3413</v>
      </c>
      <c r="AI690" s="125">
        <v>100</v>
      </c>
      <c r="AJ690" s="99" t="s">
        <v>176</v>
      </c>
      <c r="AK690" s="99" t="s">
        <v>4816</v>
      </c>
      <c r="AL690" s="99" t="s">
        <v>3411</v>
      </c>
      <c r="AM690" s="99" t="s">
        <v>177</v>
      </c>
      <c r="AN690" s="99" t="s">
        <v>3411</v>
      </c>
      <c r="AO690" s="99" t="s">
        <v>2467</v>
      </c>
      <c r="AP690" s="99" t="s">
        <v>2570</v>
      </c>
      <c r="AQ690" s="99" t="s">
        <v>3411</v>
      </c>
      <c r="AR690" s="99" t="s">
        <v>3411</v>
      </c>
      <c r="AS690" s="99" t="s">
        <v>2468</v>
      </c>
      <c r="AT690" s="99" t="s">
        <v>1</v>
      </c>
      <c r="AU690" s="99" t="s">
        <v>179</v>
      </c>
      <c r="AV690" s="99" t="s">
        <v>3414</v>
      </c>
      <c r="AW690" s="99" t="s">
        <v>180</v>
      </c>
      <c r="AX690" s="99" t="s">
        <v>3420</v>
      </c>
      <c r="AY690" s="99" t="s">
        <v>252</v>
      </c>
      <c r="AZ690" s="99" t="s">
        <v>3416</v>
      </c>
      <c r="BA690" s="99" t="s">
        <v>3421</v>
      </c>
      <c r="BB690" s="99" t="s">
        <v>381</v>
      </c>
      <c r="BC690" s="125">
        <v>46</v>
      </c>
      <c r="BD690" s="99" t="s">
        <v>3135</v>
      </c>
      <c r="BE690" s="99" t="s">
        <v>3136</v>
      </c>
    </row>
    <row r="691" spans="1:57" ht="12.95" customHeight="1">
      <c r="A691" s="124">
        <v>28</v>
      </c>
      <c r="B691" s="124">
        <v>12</v>
      </c>
      <c r="C691" s="99" t="s">
        <v>2452</v>
      </c>
      <c r="D691" s="99" t="s">
        <v>2453</v>
      </c>
      <c r="E691" s="99" t="s">
        <v>2454</v>
      </c>
      <c r="F691" s="99" t="s">
        <v>2455</v>
      </c>
      <c r="G691" s="99" t="s">
        <v>2454</v>
      </c>
      <c r="H691" s="99" t="s">
        <v>2745</v>
      </c>
      <c r="I691" s="99" t="s">
        <v>2746</v>
      </c>
      <c r="J691" s="99" t="s">
        <v>1876</v>
      </c>
      <c r="K691" s="99" t="s">
        <v>271</v>
      </c>
      <c r="L691" s="99" t="s">
        <v>2469</v>
      </c>
      <c r="M691" s="99" t="s">
        <v>1</v>
      </c>
      <c r="N691" s="99" t="s">
        <v>3407</v>
      </c>
      <c r="O691" s="99" t="s">
        <v>114</v>
      </c>
      <c r="P691" s="99" t="s">
        <v>3422</v>
      </c>
      <c r="Q691" s="99" t="s">
        <v>169</v>
      </c>
      <c r="R691" s="99" t="s">
        <v>3409</v>
      </c>
      <c r="S691" s="99" t="s">
        <v>2636</v>
      </c>
      <c r="T691" s="99" t="s">
        <v>48</v>
      </c>
      <c r="U691" s="99" t="s">
        <v>410</v>
      </c>
      <c r="V691" s="99" t="s">
        <v>411</v>
      </c>
      <c r="W691" s="99" t="s">
        <v>3525</v>
      </c>
      <c r="X691" s="99" t="s">
        <v>3525</v>
      </c>
      <c r="Y691" s="99" t="s">
        <v>4882</v>
      </c>
      <c r="Z691" s="99" t="s">
        <v>172</v>
      </c>
      <c r="AA691" s="99" t="s">
        <v>173</v>
      </c>
      <c r="AB691" s="99" t="s">
        <v>174</v>
      </c>
      <c r="AC691" s="99" t="s">
        <v>3411</v>
      </c>
      <c r="AD691" s="99" t="s">
        <v>175</v>
      </c>
      <c r="AE691" s="99" t="s">
        <v>3411</v>
      </c>
      <c r="AF691" s="99" t="s">
        <v>3411</v>
      </c>
      <c r="AG691" s="124">
        <v>11</v>
      </c>
      <c r="AH691" s="99" t="s">
        <v>3413</v>
      </c>
      <c r="AI691" s="125">
        <v>100</v>
      </c>
      <c r="AJ691" s="99" t="s">
        <v>176</v>
      </c>
      <c r="AK691" s="99" t="s">
        <v>3525</v>
      </c>
      <c r="AL691" s="99" t="s">
        <v>3411</v>
      </c>
      <c r="AM691" s="99" t="s">
        <v>177</v>
      </c>
      <c r="AN691" s="99" t="s">
        <v>3411</v>
      </c>
      <c r="AO691" s="99" t="s">
        <v>2467</v>
      </c>
      <c r="AP691" s="99" t="s">
        <v>2570</v>
      </c>
      <c r="AQ691" s="99" t="s">
        <v>3411</v>
      </c>
      <c r="AR691" s="99" t="s">
        <v>234</v>
      </c>
      <c r="AS691" s="99" t="s">
        <v>2470</v>
      </c>
      <c r="AT691" s="99" t="s">
        <v>1</v>
      </c>
      <c r="AU691" s="99" t="s">
        <v>179</v>
      </c>
      <c r="AV691" s="99" t="s">
        <v>3414</v>
      </c>
      <c r="AW691" s="99" t="s">
        <v>180</v>
      </c>
      <c r="AX691" s="99" t="s">
        <v>3420</v>
      </c>
      <c r="AY691" s="99" t="s">
        <v>252</v>
      </c>
      <c r="AZ691" s="99" t="s">
        <v>3416</v>
      </c>
      <c r="BA691" s="99" t="s">
        <v>4883</v>
      </c>
      <c r="BB691" s="99" t="s">
        <v>2471</v>
      </c>
      <c r="BC691" s="125">
        <v>60</v>
      </c>
      <c r="BD691" s="99" t="s">
        <v>3135</v>
      </c>
      <c r="BE691" s="99" t="s">
        <v>3136</v>
      </c>
    </row>
    <row r="692" spans="1:57" ht="12.95" customHeight="1">
      <c r="A692" s="124">
        <v>28</v>
      </c>
      <c r="B692" s="124">
        <v>19</v>
      </c>
      <c r="C692" s="99" t="s">
        <v>2452</v>
      </c>
      <c r="D692" s="99" t="s">
        <v>2453</v>
      </c>
      <c r="E692" s="99" t="s">
        <v>2454</v>
      </c>
      <c r="F692" s="99" t="s">
        <v>2455</v>
      </c>
      <c r="G692" s="99" t="s">
        <v>2454</v>
      </c>
      <c r="H692" s="99" t="s">
        <v>2747</v>
      </c>
      <c r="I692" s="99" t="s">
        <v>2748</v>
      </c>
      <c r="J692" s="99" t="s">
        <v>2309</v>
      </c>
      <c r="K692" s="99" t="s">
        <v>2472</v>
      </c>
      <c r="L692" s="99" t="s">
        <v>2473</v>
      </c>
      <c r="M692" s="99" t="s">
        <v>1</v>
      </c>
      <c r="N692" s="99" t="s">
        <v>3407</v>
      </c>
      <c r="O692" s="99" t="s">
        <v>114</v>
      </c>
      <c r="P692" s="99" t="s">
        <v>3422</v>
      </c>
      <c r="Q692" s="99" t="s">
        <v>169</v>
      </c>
      <c r="R692" s="99" t="s">
        <v>3409</v>
      </c>
      <c r="S692" s="99" t="s">
        <v>2636</v>
      </c>
      <c r="T692" s="99" t="s">
        <v>48</v>
      </c>
      <c r="U692" s="99" t="s">
        <v>440</v>
      </c>
      <c r="V692" s="99" t="s">
        <v>441</v>
      </c>
      <c r="W692" s="99" t="s">
        <v>4884</v>
      </c>
      <c r="X692" s="99" t="s">
        <v>4884</v>
      </c>
      <c r="Y692" s="99" t="s">
        <v>4885</v>
      </c>
      <c r="Z692" s="99" t="s">
        <v>172</v>
      </c>
      <c r="AA692" s="99" t="s">
        <v>173</v>
      </c>
      <c r="AB692" s="99" t="s">
        <v>174</v>
      </c>
      <c r="AC692" s="99" t="s">
        <v>3411</v>
      </c>
      <c r="AD692" s="99" t="s">
        <v>175</v>
      </c>
      <c r="AE692" s="99" t="s">
        <v>3411</v>
      </c>
      <c r="AF692" s="99" t="s">
        <v>3411</v>
      </c>
      <c r="AG692" s="124">
        <v>27</v>
      </c>
      <c r="AH692" s="99" t="s">
        <v>3413</v>
      </c>
      <c r="AI692" s="125">
        <v>100</v>
      </c>
      <c r="AJ692" s="99" t="s">
        <v>176</v>
      </c>
      <c r="AK692" s="99" t="s">
        <v>4884</v>
      </c>
      <c r="AL692" s="99" t="s">
        <v>3411</v>
      </c>
      <c r="AM692" s="99" t="s">
        <v>177</v>
      </c>
      <c r="AN692" s="99" t="s">
        <v>3411</v>
      </c>
      <c r="AO692" s="99" t="s">
        <v>2467</v>
      </c>
      <c r="AP692" s="99" t="s">
        <v>2570</v>
      </c>
      <c r="AQ692" s="99" t="s">
        <v>3411</v>
      </c>
      <c r="AR692" s="99" t="s">
        <v>3411</v>
      </c>
      <c r="AS692" s="99" t="s">
        <v>2474</v>
      </c>
      <c r="AT692" s="99" t="s">
        <v>1</v>
      </c>
      <c r="AU692" s="99" t="s">
        <v>179</v>
      </c>
      <c r="AV692" s="99" t="s">
        <v>3414</v>
      </c>
      <c r="AW692" s="99" t="s">
        <v>180</v>
      </c>
      <c r="AX692" s="99" t="s">
        <v>3420</v>
      </c>
      <c r="AY692" s="99" t="s">
        <v>252</v>
      </c>
      <c r="AZ692" s="99" t="s">
        <v>3416</v>
      </c>
      <c r="BA692" s="99" t="s">
        <v>4879</v>
      </c>
      <c r="BB692" s="99" t="s">
        <v>2458</v>
      </c>
      <c r="BC692" s="125">
        <v>48</v>
      </c>
      <c r="BD692" s="99" t="s">
        <v>3135</v>
      </c>
      <c r="BE692" s="99" t="s">
        <v>3136</v>
      </c>
    </row>
    <row r="693" spans="1:57" ht="12.95" customHeight="1">
      <c r="A693" s="124">
        <v>28</v>
      </c>
      <c r="B693" s="124">
        <v>76</v>
      </c>
      <c r="C693" s="99" t="s">
        <v>2452</v>
      </c>
      <c r="D693" s="99" t="s">
        <v>2453</v>
      </c>
      <c r="E693" s="99" t="s">
        <v>2454</v>
      </c>
      <c r="F693" s="99" t="s">
        <v>2455</v>
      </c>
      <c r="G693" s="99" t="s">
        <v>2454</v>
      </c>
      <c r="H693" s="99" t="s">
        <v>2480</v>
      </c>
      <c r="I693" s="99" t="s">
        <v>2749</v>
      </c>
      <c r="J693" s="99" t="s">
        <v>2481</v>
      </c>
      <c r="K693" s="99" t="s">
        <v>2482</v>
      </c>
      <c r="L693" s="99" t="s">
        <v>2483</v>
      </c>
      <c r="M693" s="99" t="s">
        <v>1</v>
      </c>
      <c r="N693" s="99" t="s">
        <v>3407</v>
      </c>
      <c r="O693" s="99" t="s">
        <v>114</v>
      </c>
      <c r="P693" s="99" t="s">
        <v>3422</v>
      </c>
      <c r="Q693" s="99" t="s">
        <v>169</v>
      </c>
      <c r="R693" s="99" t="s">
        <v>3409</v>
      </c>
      <c r="S693" s="99" t="s">
        <v>2636</v>
      </c>
      <c r="T693" s="99" t="s">
        <v>48</v>
      </c>
      <c r="U693" s="99" t="s">
        <v>697</v>
      </c>
      <c r="V693" s="99" t="s">
        <v>698</v>
      </c>
      <c r="W693" s="99" t="s">
        <v>4886</v>
      </c>
      <c r="X693" s="99" t="s">
        <v>4886</v>
      </c>
      <c r="Y693" s="99" t="s">
        <v>4887</v>
      </c>
      <c r="Z693" s="99" t="s">
        <v>172</v>
      </c>
      <c r="AA693" s="99" t="s">
        <v>173</v>
      </c>
      <c r="AB693" s="99" t="s">
        <v>316</v>
      </c>
      <c r="AC693" s="99" t="s">
        <v>3411</v>
      </c>
      <c r="AD693" s="99" t="s">
        <v>175</v>
      </c>
      <c r="AE693" s="99" t="s">
        <v>3411</v>
      </c>
      <c r="AF693" s="99" t="s">
        <v>3411</v>
      </c>
      <c r="AG693" s="124">
        <v>76</v>
      </c>
      <c r="AH693" s="99" t="s">
        <v>3413</v>
      </c>
      <c r="AI693" s="125">
        <v>100</v>
      </c>
      <c r="AJ693" s="99" t="s">
        <v>176</v>
      </c>
      <c r="AK693" s="99" t="s">
        <v>4886</v>
      </c>
      <c r="AL693" s="99" t="s">
        <v>3411</v>
      </c>
      <c r="AM693" s="99" t="s">
        <v>177</v>
      </c>
      <c r="AN693" s="99" t="s">
        <v>3411</v>
      </c>
      <c r="AO693" s="99" t="s">
        <v>2457</v>
      </c>
      <c r="AP693" s="99" t="s">
        <v>2570</v>
      </c>
      <c r="AQ693" s="99" t="s">
        <v>3411</v>
      </c>
      <c r="AR693" s="99" t="s">
        <v>3411</v>
      </c>
      <c r="AS693" s="99" t="s">
        <v>2484</v>
      </c>
      <c r="AT693" s="99" t="s">
        <v>1</v>
      </c>
      <c r="AU693" s="99" t="s">
        <v>179</v>
      </c>
      <c r="AV693" s="99" t="s">
        <v>3414</v>
      </c>
      <c r="AW693" s="99" t="s">
        <v>180</v>
      </c>
      <c r="AX693" s="99" t="s">
        <v>3420</v>
      </c>
      <c r="AY693" s="99" t="s">
        <v>252</v>
      </c>
      <c r="AZ693" s="99" t="s">
        <v>3416</v>
      </c>
      <c r="BA693" s="99" t="s">
        <v>4888</v>
      </c>
      <c r="BB693" s="99" t="s">
        <v>2479</v>
      </c>
      <c r="BC693" s="125">
        <v>38</v>
      </c>
      <c r="BD693" s="99" t="s">
        <v>3135</v>
      </c>
      <c r="BE693" s="99" t="s">
        <v>3136</v>
      </c>
    </row>
    <row r="694" spans="1:57" ht="12.95" customHeight="1">
      <c r="A694" s="124">
        <v>28</v>
      </c>
      <c r="B694" s="124">
        <v>95</v>
      </c>
      <c r="C694" s="99" t="s">
        <v>2452</v>
      </c>
      <c r="D694" s="99" t="s">
        <v>2453</v>
      </c>
      <c r="E694" s="99" t="s">
        <v>2454</v>
      </c>
      <c r="F694" s="99" t="s">
        <v>2455</v>
      </c>
      <c r="G694" s="99" t="s">
        <v>2454</v>
      </c>
      <c r="H694" s="99" t="s">
        <v>2480</v>
      </c>
      <c r="I694" s="99" t="s">
        <v>2749</v>
      </c>
      <c r="J694" s="99" t="s">
        <v>3101</v>
      </c>
      <c r="K694" s="99" t="s">
        <v>3102</v>
      </c>
      <c r="L694" s="99" t="s">
        <v>3103</v>
      </c>
      <c r="M694" s="99" t="s">
        <v>1</v>
      </c>
      <c r="N694" s="99" t="s">
        <v>3407</v>
      </c>
      <c r="O694" s="99" t="s">
        <v>114</v>
      </c>
      <c r="P694" s="99" t="s">
        <v>3854</v>
      </c>
      <c r="Q694" s="99" t="s">
        <v>169</v>
      </c>
      <c r="R694" s="99" t="s">
        <v>3409</v>
      </c>
      <c r="S694" s="99" t="s">
        <v>2636</v>
      </c>
      <c r="T694" s="99" t="s">
        <v>48</v>
      </c>
      <c r="U694" s="99" t="s">
        <v>440</v>
      </c>
      <c r="V694" s="99" t="s">
        <v>441</v>
      </c>
      <c r="W694" s="99" t="s">
        <v>3854</v>
      </c>
      <c r="X694" s="99" t="s">
        <v>3854</v>
      </c>
      <c r="Y694" s="99" t="s">
        <v>4889</v>
      </c>
      <c r="Z694" s="99" t="s">
        <v>172</v>
      </c>
      <c r="AA694" s="99" t="s">
        <v>173</v>
      </c>
      <c r="AB694" s="99" t="s">
        <v>174</v>
      </c>
      <c r="AC694" s="99" t="s">
        <v>3411</v>
      </c>
      <c r="AD694" s="99" t="s">
        <v>175</v>
      </c>
      <c r="AE694" s="99" t="s">
        <v>3411</v>
      </c>
      <c r="AF694" s="99" t="s">
        <v>3411</v>
      </c>
      <c r="AG694" s="124">
        <v>95</v>
      </c>
      <c r="AH694" s="99" t="s">
        <v>3413</v>
      </c>
      <c r="AI694" s="125">
        <v>100</v>
      </c>
      <c r="AJ694" s="99" t="s">
        <v>176</v>
      </c>
      <c r="AK694" s="99" t="s">
        <v>3854</v>
      </c>
      <c r="AL694" s="99" t="s">
        <v>3411</v>
      </c>
      <c r="AM694" s="99" t="s">
        <v>177</v>
      </c>
      <c r="AN694" s="99" t="s">
        <v>3411</v>
      </c>
      <c r="AO694" s="99" t="s">
        <v>2457</v>
      </c>
      <c r="AP694" s="99" t="s">
        <v>2570</v>
      </c>
      <c r="AQ694" s="99" t="s">
        <v>3411</v>
      </c>
      <c r="AR694" s="99" t="s">
        <v>3411</v>
      </c>
      <c r="AS694" s="99" t="s">
        <v>3104</v>
      </c>
      <c r="AT694" s="99" t="s">
        <v>1</v>
      </c>
      <c r="AU694" s="99" t="s">
        <v>179</v>
      </c>
      <c r="AV694" s="99" t="s">
        <v>3414</v>
      </c>
      <c r="AW694" s="99" t="s">
        <v>180</v>
      </c>
      <c r="AX694" s="99" t="s">
        <v>3420</v>
      </c>
      <c r="AY694" s="99" t="s">
        <v>252</v>
      </c>
      <c r="AZ694" s="99" t="s">
        <v>3416</v>
      </c>
      <c r="BA694" s="99" t="s">
        <v>4888</v>
      </c>
      <c r="BB694" s="99" t="s">
        <v>2479</v>
      </c>
      <c r="BC694" s="125">
        <v>41</v>
      </c>
      <c r="BD694" s="99" t="s">
        <v>3135</v>
      </c>
      <c r="BE694" s="99" t="s">
        <v>3136</v>
      </c>
    </row>
    <row r="695" spans="1:57" ht="12.95" customHeight="1">
      <c r="A695" s="124">
        <v>28</v>
      </c>
      <c r="B695" s="124">
        <v>80</v>
      </c>
      <c r="C695" s="99" t="s">
        <v>2452</v>
      </c>
      <c r="D695" s="99" t="s">
        <v>2453</v>
      </c>
      <c r="E695" s="99" t="s">
        <v>2454</v>
      </c>
      <c r="F695" s="99" t="s">
        <v>2455</v>
      </c>
      <c r="G695" s="99" t="s">
        <v>2454</v>
      </c>
      <c r="H695" s="99" t="s">
        <v>2480</v>
      </c>
      <c r="I695" s="99" t="s">
        <v>2749</v>
      </c>
      <c r="J695" s="99" t="s">
        <v>2485</v>
      </c>
      <c r="K695" s="99" t="s">
        <v>450</v>
      </c>
      <c r="L695" s="99" t="s">
        <v>2486</v>
      </c>
      <c r="M695" s="99" t="s">
        <v>1</v>
      </c>
      <c r="N695" s="99" t="s">
        <v>3407</v>
      </c>
      <c r="O695" s="99" t="s">
        <v>114</v>
      </c>
      <c r="P695" s="99" t="s">
        <v>4890</v>
      </c>
      <c r="Q695" s="99" t="s">
        <v>169</v>
      </c>
      <c r="R695" s="99" t="s">
        <v>3409</v>
      </c>
      <c r="S695" s="99" t="s">
        <v>2636</v>
      </c>
      <c r="T695" s="99" t="s">
        <v>48</v>
      </c>
      <c r="U695" s="99" t="s">
        <v>410</v>
      </c>
      <c r="V695" s="99" t="s">
        <v>411</v>
      </c>
      <c r="W695" s="99" t="s">
        <v>4890</v>
      </c>
      <c r="X695" s="99" t="s">
        <v>4890</v>
      </c>
      <c r="Y695" s="99" t="s">
        <v>4891</v>
      </c>
      <c r="Z695" s="99" t="s">
        <v>172</v>
      </c>
      <c r="AA695" s="99" t="s">
        <v>173</v>
      </c>
      <c r="AB695" s="99" t="s">
        <v>174</v>
      </c>
      <c r="AC695" s="99" t="s">
        <v>3411</v>
      </c>
      <c r="AD695" s="99" t="s">
        <v>175</v>
      </c>
      <c r="AE695" s="99" t="s">
        <v>3411</v>
      </c>
      <c r="AF695" s="99" t="s">
        <v>3411</v>
      </c>
      <c r="AG695" s="124">
        <v>80</v>
      </c>
      <c r="AH695" s="99" t="s">
        <v>3413</v>
      </c>
      <c r="AI695" s="125">
        <v>100</v>
      </c>
      <c r="AJ695" s="99" t="s">
        <v>176</v>
      </c>
      <c r="AK695" s="99" t="s">
        <v>4890</v>
      </c>
      <c r="AL695" s="99" t="s">
        <v>3411</v>
      </c>
      <c r="AM695" s="99" t="s">
        <v>177</v>
      </c>
      <c r="AN695" s="99" t="s">
        <v>3411</v>
      </c>
      <c r="AO695" s="99" t="s">
        <v>2457</v>
      </c>
      <c r="AP695" s="99" t="s">
        <v>2570</v>
      </c>
      <c r="AQ695" s="99" t="s">
        <v>3411</v>
      </c>
      <c r="AR695" s="99" t="s">
        <v>234</v>
      </c>
      <c r="AS695" s="99" t="s">
        <v>2487</v>
      </c>
      <c r="AT695" s="99" t="s">
        <v>1</v>
      </c>
      <c r="AU695" s="99" t="s">
        <v>179</v>
      </c>
      <c r="AV695" s="99" t="s">
        <v>3414</v>
      </c>
      <c r="AW695" s="99" t="s">
        <v>180</v>
      </c>
      <c r="AX695" s="99" t="s">
        <v>3420</v>
      </c>
      <c r="AY695" s="99" t="s">
        <v>252</v>
      </c>
      <c r="AZ695" s="99" t="s">
        <v>3416</v>
      </c>
      <c r="BA695" s="99" t="s">
        <v>4888</v>
      </c>
      <c r="BB695" s="99" t="s">
        <v>2479</v>
      </c>
      <c r="BC695" s="125">
        <v>53</v>
      </c>
      <c r="BD695" s="99" t="s">
        <v>3135</v>
      </c>
      <c r="BE695" s="99" t="s">
        <v>3136</v>
      </c>
    </row>
    <row r="696" spans="1:57" ht="12.95" customHeight="1">
      <c r="A696" s="124">
        <v>28</v>
      </c>
      <c r="B696" s="124">
        <v>86</v>
      </c>
      <c r="C696" s="99" t="s">
        <v>2452</v>
      </c>
      <c r="D696" s="99" t="s">
        <v>2453</v>
      </c>
      <c r="E696" s="99" t="s">
        <v>2454</v>
      </c>
      <c r="F696" s="99" t="s">
        <v>2455</v>
      </c>
      <c r="G696" s="99" t="s">
        <v>2454</v>
      </c>
      <c r="H696" s="99" t="s">
        <v>2480</v>
      </c>
      <c r="I696" s="99" t="s">
        <v>2749</v>
      </c>
      <c r="J696" s="99" t="s">
        <v>2750</v>
      </c>
      <c r="K696" s="99" t="s">
        <v>450</v>
      </c>
      <c r="L696" s="99" t="s">
        <v>2751</v>
      </c>
      <c r="M696" s="99" t="s">
        <v>1</v>
      </c>
      <c r="N696" s="99" t="s">
        <v>3407</v>
      </c>
      <c r="O696" s="99" t="s">
        <v>114</v>
      </c>
      <c r="P696" s="99" t="s">
        <v>4892</v>
      </c>
      <c r="Q696" s="99" t="s">
        <v>169</v>
      </c>
      <c r="R696" s="99" t="s">
        <v>3409</v>
      </c>
      <c r="S696" s="99" t="s">
        <v>2636</v>
      </c>
      <c r="T696" s="99" t="s">
        <v>48</v>
      </c>
      <c r="U696" s="99" t="s">
        <v>922</v>
      </c>
      <c r="V696" s="99" t="s">
        <v>923</v>
      </c>
      <c r="W696" s="99" t="s">
        <v>4892</v>
      </c>
      <c r="X696" s="99" t="s">
        <v>4892</v>
      </c>
      <c r="Y696" s="99" t="s">
        <v>4893</v>
      </c>
      <c r="Z696" s="99" t="s">
        <v>172</v>
      </c>
      <c r="AA696" s="99" t="s">
        <v>173</v>
      </c>
      <c r="AB696" s="99" t="s">
        <v>174</v>
      </c>
      <c r="AC696" s="99" t="s">
        <v>3411</v>
      </c>
      <c r="AD696" s="99" t="s">
        <v>175</v>
      </c>
      <c r="AE696" s="99" t="s">
        <v>3411</v>
      </c>
      <c r="AF696" s="99" t="s">
        <v>3411</v>
      </c>
      <c r="AG696" s="124">
        <v>86</v>
      </c>
      <c r="AH696" s="99" t="s">
        <v>3413</v>
      </c>
      <c r="AI696" s="125">
        <v>100</v>
      </c>
      <c r="AJ696" s="99" t="s">
        <v>176</v>
      </c>
      <c r="AK696" s="99" t="s">
        <v>4892</v>
      </c>
      <c r="AL696" s="99" t="s">
        <v>3411</v>
      </c>
      <c r="AM696" s="99" t="s">
        <v>3480</v>
      </c>
      <c r="AN696" s="99" t="s">
        <v>233</v>
      </c>
      <c r="AO696" s="99" t="s">
        <v>2457</v>
      </c>
      <c r="AP696" s="99" t="s">
        <v>2570</v>
      </c>
      <c r="AQ696" s="99" t="s">
        <v>3411</v>
      </c>
      <c r="AR696" s="99" t="s">
        <v>3411</v>
      </c>
      <c r="AS696" s="99" t="s">
        <v>2752</v>
      </c>
      <c r="AT696" s="99" t="s">
        <v>1</v>
      </c>
      <c r="AU696" s="99" t="s">
        <v>179</v>
      </c>
      <c r="AV696" s="99" t="s">
        <v>3414</v>
      </c>
      <c r="AW696" s="99" t="s">
        <v>180</v>
      </c>
      <c r="AX696" s="99" t="s">
        <v>3420</v>
      </c>
      <c r="AY696" s="99" t="s">
        <v>252</v>
      </c>
      <c r="AZ696" s="99" t="s">
        <v>3416</v>
      </c>
      <c r="BA696" s="99" t="s">
        <v>4888</v>
      </c>
      <c r="BB696" s="99" t="s">
        <v>2479</v>
      </c>
      <c r="BC696" s="125">
        <v>37</v>
      </c>
      <c r="BD696" s="99" t="s">
        <v>3135</v>
      </c>
      <c r="BE696" s="99" t="s">
        <v>3136</v>
      </c>
    </row>
    <row r="697" spans="1:57" ht="12.95" customHeight="1">
      <c r="A697" s="124">
        <v>28</v>
      </c>
      <c r="B697" s="124">
        <v>42</v>
      </c>
      <c r="C697" s="99" t="s">
        <v>2452</v>
      </c>
      <c r="D697" s="99" t="s">
        <v>2453</v>
      </c>
      <c r="E697" s="99" t="s">
        <v>2454</v>
      </c>
      <c r="F697" s="99" t="s">
        <v>2455</v>
      </c>
      <c r="G697" s="99" t="s">
        <v>2454</v>
      </c>
      <c r="H697" s="99" t="s">
        <v>2480</v>
      </c>
      <c r="I697" s="99" t="s">
        <v>2749</v>
      </c>
      <c r="J697" s="99" t="s">
        <v>2500</v>
      </c>
      <c r="K697" s="99" t="s">
        <v>1295</v>
      </c>
      <c r="L697" s="99" t="s">
        <v>2501</v>
      </c>
      <c r="M697" s="99" t="s">
        <v>1</v>
      </c>
      <c r="N697" s="99" t="s">
        <v>3407</v>
      </c>
      <c r="O697" s="99" t="s">
        <v>114</v>
      </c>
      <c r="P697" s="99" t="s">
        <v>3422</v>
      </c>
      <c r="Q697" s="99" t="s">
        <v>169</v>
      </c>
      <c r="R697" s="99" t="s">
        <v>3409</v>
      </c>
      <c r="S697" s="99" t="s">
        <v>2636</v>
      </c>
      <c r="T697" s="99" t="s">
        <v>52</v>
      </c>
      <c r="U697" s="99" t="s">
        <v>427</v>
      </c>
      <c r="V697" s="99" t="s">
        <v>428</v>
      </c>
      <c r="W697" s="99" t="s">
        <v>4894</v>
      </c>
      <c r="X697" s="99" t="s">
        <v>4894</v>
      </c>
      <c r="Y697" s="99" t="s">
        <v>4895</v>
      </c>
      <c r="Z697" s="99" t="s">
        <v>172</v>
      </c>
      <c r="AA697" s="99" t="s">
        <v>173</v>
      </c>
      <c r="AB697" s="99" t="s">
        <v>174</v>
      </c>
      <c r="AC697" s="99" t="s">
        <v>3411</v>
      </c>
      <c r="AD697" s="99" t="s">
        <v>175</v>
      </c>
      <c r="AE697" s="99" t="s">
        <v>3411</v>
      </c>
      <c r="AF697" s="99" t="s">
        <v>3411</v>
      </c>
      <c r="AG697" s="124">
        <v>42</v>
      </c>
      <c r="AH697" s="99" t="s">
        <v>3413</v>
      </c>
      <c r="AI697" s="125">
        <v>100</v>
      </c>
      <c r="AJ697" s="99" t="s">
        <v>176</v>
      </c>
      <c r="AK697" s="99" t="s">
        <v>4894</v>
      </c>
      <c r="AL697" s="99" t="s">
        <v>3411</v>
      </c>
      <c r="AM697" s="99" t="s">
        <v>177</v>
      </c>
      <c r="AN697" s="99" t="s">
        <v>3411</v>
      </c>
      <c r="AO697" s="99" t="s">
        <v>2467</v>
      </c>
      <c r="AP697" s="99" t="s">
        <v>2570</v>
      </c>
      <c r="AQ697" s="99" t="s">
        <v>3411</v>
      </c>
      <c r="AR697" s="99" t="s">
        <v>3411</v>
      </c>
      <c r="AS697" s="99" t="s">
        <v>2502</v>
      </c>
      <c r="AT697" s="99" t="s">
        <v>1</v>
      </c>
      <c r="AU697" s="99" t="s">
        <v>179</v>
      </c>
      <c r="AV697" s="99" t="s">
        <v>3414</v>
      </c>
      <c r="AW697" s="99" t="s">
        <v>180</v>
      </c>
      <c r="AX697" s="99" t="s">
        <v>3420</v>
      </c>
      <c r="AY697" s="99" t="s">
        <v>252</v>
      </c>
      <c r="AZ697" s="99" t="s">
        <v>3416</v>
      </c>
      <c r="BA697" s="99" t="s">
        <v>3421</v>
      </c>
      <c r="BB697" s="99" t="s">
        <v>381</v>
      </c>
      <c r="BC697" s="125">
        <v>51</v>
      </c>
      <c r="BD697" s="99" t="s">
        <v>3135</v>
      </c>
      <c r="BE697" s="99" t="s">
        <v>3136</v>
      </c>
    </row>
    <row r="698" spans="1:57" ht="12.95" customHeight="1">
      <c r="A698" s="124">
        <v>28</v>
      </c>
      <c r="B698" s="124">
        <v>15</v>
      </c>
      <c r="C698" s="99" t="s">
        <v>2452</v>
      </c>
      <c r="D698" s="99" t="s">
        <v>2453</v>
      </c>
      <c r="E698" s="99" t="s">
        <v>2454</v>
      </c>
      <c r="F698" s="99" t="s">
        <v>2455</v>
      </c>
      <c r="G698" s="99" t="s">
        <v>2454</v>
      </c>
      <c r="H698" s="99" t="s">
        <v>2480</v>
      </c>
      <c r="I698" s="99" t="s">
        <v>2749</v>
      </c>
      <c r="J698" s="99" t="s">
        <v>2475</v>
      </c>
      <c r="K698" s="99" t="s">
        <v>2476</v>
      </c>
      <c r="L698" s="99" t="s">
        <v>2477</v>
      </c>
      <c r="M698" s="99" t="s">
        <v>5</v>
      </c>
      <c r="N698" s="99" t="s">
        <v>3407</v>
      </c>
      <c r="O698" s="99" t="s">
        <v>114</v>
      </c>
      <c r="P698" s="99" t="s">
        <v>3422</v>
      </c>
      <c r="Q698" s="99" t="s">
        <v>169</v>
      </c>
      <c r="R698" s="99" t="s">
        <v>3409</v>
      </c>
      <c r="S698" s="99" t="s">
        <v>2636</v>
      </c>
      <c r="T698" s="99" t="s">
        <v>48</v>
      </c>
      <c r="U698" s="99" t="s">
        <v>170</v>
      </c>
      <c r="V698" s="99" t="s">
        <v>171</v>
      </c>
      <c r="W698" s="99" t="s">
        <v>4068</v>
      </c>
      <c r="X698" s="99" t="s">
        <v>4068</v>
      </c>
      <c r="Y698" s="99" t="s">
        <v>4896</v>
      </c>
      <c r="Z698" s="99" t="s">
        <v>172</v>
      </c>
      <c r="AA698" s="99" t="s">
        <v>173</v>
      </c>
      <c r="AB698" s="99" t="s">
        <v>174</v>
      </c>
      <c r="AC698" s="99" t="s">
        <v>3411</v>
      </c>
      <c r="AD698" s="99" t="s">
        <v>175</v>
      </c>
      <c r="AE698" s="99" t="s">
        <v>3411</v>
      </c>
      <c r="AF698" s="99" t="s">
        <v>3411</v>
      </c>
      <c r="AG698" s="124">
        <v>14</v>
      </c>
      <c r="AH698" s="99" t="s">
        <v>3413</v>
      </c>
      <c r="AI698" s="125">
        <v>100</v>
      </c>
      <c r="AJ698" s="99" t="s">
        <v>176</v>
      </c>
      <c r="AK698" s="99" t="s">
        <v>4068</v>
      </c>
      <c r="AL698" s="99" t="s">
        <v>3411</v>
      </c>
      <c r="AM698" s="99" t="s">
        <v>177</v>
      </c>
      <c r="AN698" s="99" t="s">
        <v>3411</v>
      </c>
      <c r="AO698" s="99" t="s">
        <v>2467</v>
      </c>
      <c r="AP698" s="99" t="s">
        <v>2570</v>
      </c>
      <c r="AQ698" s="99" t="s">
        <v>3411</v>
      </c>
      <c r="AR698" s="99" t="s">
        <v>234</v>
      </c>
      <c r="AS698" s="99" t="s">
        <v>2478</v>
      </c>
      <c r="AT698" s="99" t="s">
        <v>1</v>
      </c>
      <c r="AU698" s="99" t="s">
        <v>179</v>
      </c>
      <c r="AV698" s="99" t="s">
        <v>3414</v>
      </c>
      <c r="AW698" s="99" t="s">
        <v>180</v>
      </c>
      <c r="AX698" s="99" t="s">
        <v>3420</v>
      </c>
      <c r="AY698" s="99" t="s">
        <v>252</v>
      </c>
      <c r="AZ698" s="99" t="s">
        <v>3416</v>
      </c>
      <c r="BA698" s="99" t="s">
        <v>4888</v>
      </c>
      <c r="BB698" s="99" t="s">
        <v>2479</v>
      </c>
      <c r="BC698" s="125">
        <v>56</v>
      </c>
      <c r="BD698" s="99" t="s">
        <v>3135</v>
      </c>
      <c r="BE698" s="99" t="s">
        <v>3136</v>
      </c>
    </row>
    <row r="699" spans="1:57" ht="12.95" customHeight="1">
      <c r="A699" s="124">
        <v>28</v>
      </c>
      <c r="B699" s="124">
        <v>11</v>
      </c>
      <c r="C699" s="99" t="s">
        <v>2452</v>
      </c>
      <c r="D699" s="99" t="s">
        <v>2453</v>
      </c>
      <c r="E699" s="99" t="s">
        <v>2454</v>
      </c>
      <c r="F699" s="99" t="s">
        <v>2455</v>
      </c>
      <c r="G699" s="99" t="s">
        <v>2454</v>
      </c>
      <c r="H699" s="99" t="s">
        <v>2480</v>
      </c>
      <c r="I699" s="99" t="s">
        <v>2749</v>
      </c>
      <c r="J699" s="99" t="s">
        <v>2504</v>
      </c>
      <c r="K699" s="99" t="s">
        <v>948</v>
      </c>
      <c r="L699" s="99" t="s">
        <v>2505</v>
      </c>
      <c r="M699" s="99" t="s">
        <v>1</v>
      </c>
      <c r="N699" s="99" t="s">
        <v>3407</v>
      </c>
      <c r="O699" s="99" t="s">
        <v>114</v>
      </c>
      <c r="P699" s="99" t="s">
        <v>3422</v>
      </c>
      <c r="Q699" s="99" t="s">
        <v>169</v>
      </c>
      <c r="R699" s="99" t="s">
        <v>3409</v>
      </c>
      <c r="S699" s="99" t="s">
        <v>2636</v>
      </c>
      <c r="T699" s="99" t="s">
        <v>48</v>
      </c>
      <c r="U699" s="99" t="s">
        <v>170</v>
      </c>
      <c r="V699" s="99" t="s">
        <v>171</v>
      </c>
      <c r="W699" s="99" t="s">
        <v>4897</v>
      </c>
      <c r="X699" s="99" t="s">
        <v>4897</v>
      </c>
      <c r="Y699" s="99" t="s">
        <v>4898</v>
      </c>
      <c r="Z699" s="99" t="s">
        <v>172</v>
      </c>
      <c r="AA699" s="99" t="s">
        <v>173</v>
      </c>
      <c r="AB699" s="99" t="s">
        <v>174</v>
      </c>
      <c r="AC699" s="99" t="s">
        <v>3411</v>
      </c>
      <c r="AD699" s="99" t="s">
        <v>175</v>
      </c>
      <c r="AE699" s="99" t="s">
        <v>3411</v>
      </c>
      <c r="AF699" s="99" t="s">
        <v>3411</v>
      </c>
      <c r="AG699" s="124">
        <v>10</v>
      </c>
      <c r="AH699" s="99" t="s">
        <v>3413</v>
      </c>
      <c r="AI699" s="125">
        <v>100</v>
      </c>
      <c r="AJ699" s="99" t="s">
        <v>176</v>
      </c>
      <c r="AK699" s="99" t="s">
        <v>4126</v>
      </c>
      <c r="AL699" s="99" t="s">
        <v>3411</v>
      </c>
      <c r="AM699" s="99" t="s">
        <v>177</v>
      </c>
      <c r="AN699" s="99" t="s">
        <v>3411</v>
      </c>
      <c r="AO699" s="99" t="s">
        <v>2467</v>
      </c>
      <c r="AP699" s="99" t="s">
        <v>2570</v>
      </c>
      <c r="AQ699" s="99" t="s">
        <v>3411</v>
      </c>
      <c r="AR699" s="99" t="s">
        <v>234</v>
      </c>
      <c r="AS699" s="99" t="s">
        <v>2506</v>
      </c>
      <c r="AT699" s="99" t="s">
        <v>1</v>
      </c>
      <c r="AU699" s="99" t="s">
        <v>179</v>
      </c>
      <c r="AV699" s="99" t="s">
        <v>3414</v>
      </c>
      <c r="AW699" s="99" t="s">
        <v>180</v>
      </c>
      <c r="AX699" s="99" t="s">
        <v>3420</v>
      </c>
      <c r="AY699" s="99" t="s">
        <v>252</v>
      </c>
      <c r="AZ699" s="99" t="s">
        <v>3416</v>
      </c>
      <c r="BA699" s="99" t="s">
        <v>4888</v>
      </c>
      <c r="BB699" s="99" t="s">
        <v>2479</v>
      </c>
      <c r="BC699" s="125">
        <v>51</v>
      </c>
      <c r="BD699" s="99" t="s">
        <v>3135</v>
      </c>
      <c r="BE699" s="99" t="s">
        <v>3136</v>
      </c>
    </row>
    <row r="700" spans="1:57" ht="12.95" customHeight="1">
      <c r="A700" s="124">
        <v>28</v>
      </c>
      <c r="B700" s="124">
        <v>83</v>
      </c>
      <c r="C700" s="99" t="s">
        <v>2452</v>
      </c>
      <c r="D700" s="99" t="s">
        <v>2453</v>
      </c>
      <c r="E700" s="99" t="s">
        <v>2454</v>
      </c>
      <c r="F700" s="99" t="s">
        <v>2455</v>
      </c>
      <c r="G700" s="99" t="s">
        <v>2454</v>
      </c>
      <c r="H700" s="99" t="s">
        <v>2480</v>
      </c>
      <c r="I700" s="99" t="s">
        <v>2749</v>
      </c>
      <c r="J700" s="99" t="s">
        <v>2507</v>
      </c>
      <c r="K700" s="99" t="s">
        <v>2508</v>
      </c>
      <c r="L700" s="99" t="s">
        <v>2509</v>
      </c>
      <c r="M700" s="99" t="s">
        <v>1</v>
      </c>
      <c r="N700" s="99" t="s">
        <v>3407</v>
      </c>
      <c r="O700" s="99" t="s">
        <v>114</v>
      </c>
      <c r="P700" s="99" t="s">
        <v>4899</v>
      </c>
      <c r="Q700" s="99" t="s">
        <v>169</v>
      </c>
      <c r="R700" s="99" t="s">
        <v>3409</v>
      </c>
      <c r="S700" s="99" t="s">
        <v>2636</v>
      </c>
      <c r="T700" s="99" t="s">
        <v>48</v>
      </c>
      <c r="U700" s="99" t="s">
        <v>440</v>
      </c>
      <c r="V700" s="99" t="s">
        <v>441</v>
      </c>
      <c r="W700" s="99" t="s">
        <v>4899</v>
      </c>
      <c r="X700" s="99" t="s">
        <v>4899</v>
      </c>
      <c r="Y700" s="99" t="s">
        <v>4900</v>
      </c>
      <c r="Z700" s="99" t="s">
        <v>172</v>
      </c>
      <c r="AA700" s="99" t="s">
        <v>173</v>
      </c>
      <c r="AB700" s="99" t="s">
        <v>316</v>
      </c>
      <c r="AC700" s="99" t="s">
        <v>3411</v>
      </c>
      <c r="AD700" s="99" t="s">
        <v>175</v>
      </c>
      <c r="AE700" s="99" t="s">
        <v>3411</v>
      </c>
      <c r="AF700" s="99" t="s">
        <v>3411</v>
      </c>
      <c r="AG700" s="124">
        <v>83</v>
      </c>
      <c r="AH700" s="99" t="s">
        <v>3413</v>
      </c>
      <c r="AI700" s="125">
        <v>100</v>
      </c>
      <c r="AJ700" s="99" t="s">
        <v>176</v>
      </c>
      <c r="AK700" s="99" t="s">
        <v>4899</v>
      </c>
      <c r="AL700" s="99" t="s">
        <v>3411</v>
      </c>
      <c r="AM700" s="99" t="s">
        <v>177</v>
      </c>
      <c r="AN700" s="99" t="s">
        <v>3411</v>
      </c>
      <c r="AO700" s="99" t="s">
        <v>2457</v>
      </c>
      <c r="AP700" s="99" t="s">
        <v>2570</v>
      </c>
      <c r="AQ700" s="99" t="s">
        <v>3411</v>
      </c>
      <c r="AR700" s="99" t="s">
        <v>3411</v>
      </c>
      <c r="AS700" s="99" t="s">
        <v>2510</v>
      </c>
      <c r="AT700" s="99" t="s">
        <v>1</v>
      </c>
      <c r="AU700" s="99" t="s">
        <v>179</v>
      </c>
      <c r="AV700" s="99" t="s">
        <v>3414</v>
      </c>
      <c r="AW700" s="99" t="s">
        <v>180</v>
      </c>
      <c r="AX700" s="99" t="s">
        <v>3420</v>
      </c>
      <c r="AY700" s="99" t="s">
        <v>252</v>
      </c>
      <c r="AZ700" s="99" t="s">
        <v>3416</v>
      </c>
      <c r="BA700" s="99" t="s">
        <v>4888</v>
      </c>
      <c r="BB700" s="99" t="s">
        <v>2479</v>
      </c>
      <c r="BC700" s="125">
        <v>46</v>
      </c>
      <c r="BD700" s="99" t="s">
        <v>3135</v>
      </c>
      <c r="BE700" s="99" t="s">
        <v>3136</v>
      </c>
    </row>
    <row r="701" spans="1:57" ht="12.95" customHeight="1">
      <c r="A701" s="124">
        <v>28</v>
      </c>
      <c r="B701" s="124">
        <v>56</v>
      </c>
      <c r="C701" s="99" t="s">
        <v>2452</v>
      </c>
      <c r="D701" s="99" t="s">
        <v>2453</v>
      </c>
      <c r="E701" s="99" t="s">
        <v>2454</v>
      </c>
      <c r="F701" s="99" t="s">
        <v>2455</v>
      </c>
      <c r="G701" s="99" t="s">
        <v>2454</v>
      </c>
      <c r="H701" s="99" t="s">
        <v>2488</v>
      </c>
      <c r="I701" s="99" t="s">
        <v>3253</v>
      </c>
      <c r="J701" s="99" t="s">
        <v>2489</v>
      </c>
      <c r="K701" s="99" t="s">
        <v>2490</v>
      </c>
      <c r="L701" s="99" t="s">
        <v>2491</v>
      </c>
      <c r="M701" s="99" t="s">
        <v>1</v>
      </c>
      <c r="N701" s="99" t="s">
        <v>3407</v>
      </c>
      <c r="O701" s="99" t="s">
        <v>114</v>
      </c>
      <c r="P701" s="99" t="s">
        <v>3422</v>
      </c>
      <c r="Q701" s="99" t="s">
        <v>169</v>
      </c>
      <c r="R701" s="99" t="s">
        <v>3409</v>
      </c>
      <c r="S701" s="99" t="s">
        <v>2636</v>
      </c>
      <c r="T701" s="99" t="s">
        <v>52</v>
      </c>
      <c r="U701" s="99" t="s">
        <v>427</v>
      </c>
      <c r="V701" s="99" t="s">
        <v>428</v>
      </c>
      <c r="W701" s="99" t="s">
        <v>4901</v>
      </c>
      <c r="X701" s="99" t="s">
        <v>4901</v>
      </c>
      <c r="Y701" s="99" t="s">
        <v>4902</v>
      </c>
      <c r="Z701" s="99" t="s">
        <v>172</v>
      </c>
      <c r="AA701" s="99" t="s">
        <v>173</v>
      </c>
      <c r="AB701" s="99" t="s">
        <v>174</v>
      </c>
      <c r="AC701" s="99" t="s">
        <v>3411</v>
      </c>
      <c r="AD701" s="99" t="s">
        <v>175</v>
      </c>
      <c r="AE701" s="99" t="s">
        <v>3411</v>
      </c>
      <c r="AF701" s="99" t="s">
        <v>3411</v>
      </c>
      <c r="AG701" s="124">
        <v>56</v>
      </c>
      <c r="AH701" s="99" t="s">
        <v>3413</v>
      </c>
      <c r="AI701" s="125">
        <v>100</v>
      </c>
      <c r="AJ701" s="99" t="s">
        <v>176</v>
      </c>
      <c r="AK701" s="99" t="s">
        <v>4901</v>
      </c>
      <c r="AL701" s="99" t="s">
        <v>3411</v>
      </c>
      <c r="AM701" s="99" t="s">
        <v>177</v>
      </c>
      <c r="AN701" s="99" t="s">
        <v>3411</v>
      </c>
      <c r="AO701" s="99" t="s">
        <v>2467</v>
      </c>
      <c r="AP701" s="99" t="s">
        <v>2570</v>
      </c>
      <c r="AQ701" s="99" t="s">
        <v>3411</v>
      </c>
      <c r="AR701" s="99" t="s">
        <v>3411</v>
      </c>
      <c r="AS701" s="99" t="s">
        <v>2492</v>
      </c>
      <c r="AT701" s="99" t="s">
        <v>1</v>
      </c>
      <c r="AU701" s="99" t="s">
        <v>179</v>
      </c>
      <c r="AV701" s="99" t="s">
        <v>3414</v>
      </c>
      <c r="AW701" s="99" t="s">
        <v>180</v>
      </c>
      <c r="AX701" s="99" t="s">
        <v>3420</v>
      </c>
      <c r="AY701" s="99" t="s">
        <v>252</v>
      </c>
      <c r="AZ701" s="99" t="s">
        <v>3416</v>
      </c>
      <c r="BA701" s="99" t="s">
        <v>3421</v>
      </c>
      <c r="BB701" s="99" t="s">
        <v>381</v>
      </c>
      <c r="BC701" s="125">
        <v>56</v>
      </c>
      <c r="BD701" s="99" t="s">
        <v>3135</v>
      </c>
      <c r="BE701" s="99" t="s">
        <v>3136</v>
      </c>
    </row>
    <row r="702" spans="1:57" ht="12.95" customHeight="1">
      <c r="A702" s="124">
        <v>28</v>
      </c>
      <c r="B702" s="124">
        <v>90</v>
      </c>
      <c r="C702" s="99" t="s">
        <v>2452</v>
      </c>
      <c r="D702" s="99" t="s">
        <v>2453</v>
      </c>
      <c r="E702" s="99" t="s">
        <v>2454</v>
      </c>
      <c r="F702" s="99" t="s">
        <v>2455</v>
      </c>
      <c r="G702" s="99" t="s">
        <v>2454</v>
      </c>
      <c r="H702" s="99" t="s">
        <v>3254</v>
      </c>
      <c r="I702" s="99" t="s">
        <v>3255</v>
      </c>
      <c r="J702" s="99" t="s">
        <v>2753</v>
      </c>
      <c r="K702" s="99" t="s">
        <v>386</v>
      </c>
      <c r="L702" s="99" t="s">
        <v>2754</v>
      </c>
      <c r="M702" s="99" t="s">
        <v>1</v>
      </c>
      <c r="N702" s="99" t="s">
        <v>3407</v>
      </c>
      <c r="O702" s="99" t="s">
        <v>114</v>
      </c>
      <c r="P702" s="99" t="s">
        <v>4903</v>
      </c>
      <c r="Q702" s="99" t="s">
        <v>169</v>
      </c>
      <c r="R702" s="99" t="s">
        <v>3409</v>
      </c>
      <c r="S702" s="99" t="s">
        <v>2636</v>
      </c>
      <c r="T702" s="99" t="s">
        <v>48</v>
      </c>
      <c r="U702" s="99" t="s">
        <v>440</v>
      </c>
      <c r="V702" s="99" t="s">
        <v>441</v>
      </c>
      <c r="W702" s="99" t="s">
        <v>4903</v>
      </c>
      <c r="X702" s="99" t="s">
        <v>4903</v>
      </c>
      <c r="Y702" s="99" t="s">
        <v>4904</v>
      </c>
      <c r="Z702" s="99" t="s">
        <v>172</v>
      </c>
      <c r="AA702" s="99" t="s">
        <v>173</v>
      </c>
      <c r="AB702" s="99" t="s">
        <v>174</v>
      </c>
      <c r="AC702" s="99" t="s">
        <v>3411</v>
      </c>
      <c r="AD702" s="99" t="s">
        <v>175</v>
      </c>
      <c r="AE702" s="99" t="s">
        <v>3411</v>
      </c>
      <c r="AF702" s="99" t="s">
        <v>3411</v>
      </c>
      <c r="AG702" s="124">
        <v>90</v>
      </c>
      <c r="AH702" s="99" t="s">
        <v>3413</v>
      </c>
      <c r="AI702" s="125">
        <v>100</v>
      </c>
      <c r="AJ702" s="99" t="s">
        <v>176</v>
      </c>
      <c r="AK702" s="99" t="s">
        <v>4903</v>
      </c>
      <c r="AL702" s="99" t="s">
        <v>3411</v>
      </c>
      <c r="AM702" s="99" t="s">
        <v>177</v>
      </c>
      <c r="AN702" s="99" t="s">
        <v>3411</v>
      </c>
      <c r="AO702" s="99" t="s">
        <v>2457</v>
      </c>
      <c r="AP702" s="99" t="s">
        <v>2570</v>
      </c>
      <c r="AQ702" s="99" t="s">
        <v>3411</v>
      </c>
      <c r="AR702" s="99" t="s">
        <v>3411</v>
      </c>
      <c r="AS702" s="99" t="s">
        <v>2755</v>
      </c>
      <c r="AT702" s="99" t="s">
        <v>1</v>
      </c>
      <c r="AU702" s="99" t="s">
        <v>179</v>
      </c>
      <c r="AV702" s="99" t="s">
        <v>3414</v>
      </c>
      <c r="AW702" s="99" t="s">
        <v>180</v>
      </c>
      <c r="AX702" s="99" t="s">
        <v>3420</v>
      </c>
      <c r="AY702" s="99" t="s">
        <v>252</v>
      </c>
      <c r="AZ702" s="99" t="s">
        <v>3416</v>
      </c>
      <c r="BA702" s="99" t="s">
        <v>4883</v>
      </c>
      <c r="BB702" s="99" t="s">
        <v>2471</v>
      </c>
      <c r="BC702" s="125">
        <v>42</v>
      </c>
      <c r="BD702" s="99" t="s">
        <v>3135</v>
      </c>
      <c r="BE702" s="99" t="s">
        <v>3136</v>
      </c>
    </row>
    <row r="703" spans="1:57" ht="12.95" customHeight="1">
      <c r="A703" s="124">
        <v>28</v>
      </c>
      <c r="B703" s="124">
        <v>72</v>
      </c>
      <c r="C703" s="99" t="s">
        <v>2452</v>
      </c>
      <c r="D703" s="99" t="s">
        <v>2453</v>
      </c>
      <c r="E703" s="99" t="s">
        <v>2454</v>
      </c>
      <c r="F703" s="99" t="s">
        <v>2455</v>
      </c>
      <c r="G703" s="99" t="s">
        <v>2454</v>
      </c>
      <c r="H703" s="99" t="s">
        <v>3254</v>
      </c>
      <c r="I703" s="99" t="s">
        <v>3255</v>
      </c>
      <c r="J703" s="99" t="s">
        <v>2493</v>
      </c>
      <c r="K703" s="99" t="s">
        <v>393</v>
      </c>
      <c r="L703" s="99" t="s">
        <v>2494</v>
      </c>
      <c r="M703" s="99" t="s">
        <v>1</v>
      </c>
      <c r="N703" s="99" t="s">
        <v>3407</v>
      </c>
      <c r="O703" s="99" t="s">
        <v>114</v>
      </c>
      <c r="P703" s="99" t="s">
        <v>3422</v>
      </c>
      <c r="Q703" s="99" t="s">
        <v>169</v>
      </c>
      <c r="R703" s="99" t="s">
        <v>3409</v>
      </c>
      <c r="S703" s="99" t="s">
        <v>2636</v>
      </c>
      <c r="T703" s="99" t="s">
        <v>48</v>
      </c>
      <c r="U703" s="99" t="s">
        <v>500</v>
      </c>
      <c r="V703" s="99" t="s">
        <v>501</v>
      </c>
      <c r="W703" s="99" t="s">
        <v>4905</v>
      </c>
      <c r="X703" s="99" t="s">
        <v>4905</v>
      </c>
      <c r="Y703" s="99" t="s">
        <v>4906</v>
      </c>
      <c r="Z703" s="99" t="s">
        <v>172</v>
      </c>
      <c r="AA703" s="99" t="s">
        <v>173</v>
      </c>
      <c r="AB703" s="99" t="s">
        <v>174</v>
      </c>
      <c r="AC703" s="99" t="s">
        <v>3411</v>
      </c>
      <c r="AD703" s="99" t="s">
        <v>175</v>
      </c>
      <c r="AE703" s="99" t="s">
        <v>3411</v>
      </c>
      <c r="AF703" s="99" t="s">
        <v>3411</v>
      </c>
      <c r="AG703" s="124">
        <v>72</v>
      </c>
      <c r="AH703" s="99" t="s">
        <v>3413</v>
      </c>
      <c r="AI703" s="125">
        <v>100</v>
      </c>
      <c r="AJ703" s="99" t="s">
        <v>176</v>
      </c>
      <c r="AK703" s="99" t="s">
        <v>4905</v>
      </c>
      <c r="AL703" s="99" t="s">
        <v>3411</v>
      </c>
      <c r="AM703" s="99" t="s">
        <v>177</v>
      </c>
      <c r="AN703" s="99" t="s">
        <v>3411</v>
      </c>
      <c r="AO703" s="99" t="s">
        <v>2457</v>
      </c>
      <c r="AP703" s="99" t="s">
        <v>2570</v>
      </c>
      <c r="AQ703" s="99" t="s">
        <v>3411</v>
      </c>
      <c r="AR703" s="99" t="s">
        <v>3411</v>
      </c>
      <c r="AS703" s="99" t="s">
        <v>2495</v>
      </c>
      <c r="AT703" s="99" t="s">
        <v>1</v>
      </c>
      <c r="AU703" s="99" t="s">
        <v>179</v>
      </c>
      <c r="AV703" s="99" t="s">
        <v>3414</v>
      </c>
      <c r="AW703" s="99" t="s">
        <v>180</v>
      </c>
      <c r="AX703" s="99" t="s">
        <v>3420</v>
      </c>
      <c r="AY703" s="99" t="s">
        <v>252</v>
      </c>
      <c r="AZ703" s="99" t="s">
        <v>3416</v>
      </c>
      <c r="BA703" s="99" t="s">
        <v>4883</v>
      </c>
      <c r="BB703" s="99" t="s">
        <v>2471</v>
      </c>
      <c r="BC703" s="125">
        <v>33</v>
      </c>
      <c r="BD703" s="99" t="s">
        <v>3135</v>
      </c>
      <c r="BE703" s="99" t="s">
        <v>3136</v>
      </c>
    </row>
    <row r="704" spans="1:57" ht="12.95" customHeight="1">
      <c r="A704" s="124">
        <v>28</v>
      </c>
      <c r="B704" s="124">
        <v>88</v>
      </c>
      <c r="C704" s="99" t="s">
        <v>2452</v>
      </c>
      <c r="D704" s="99" t="s">
        <v>2453</v>
      </c>
      <c r="E704" s="99" t="s">
        <v>2454</v>
      </c>
      <c r="F704" s="99" t="s">
        <v>2455</v>
      </c>
      <c r="G704" s="99" t="s">
        <v>2454</v>
      </c>
      <c r="H704" s="99" t="s">
        <v>3254</v>
      </c>
      <c r="I704" s="99" t="s">
        <v>3255</v>
      </c>
      <c r="J704" s="99" t="s">
        <v>2756</v>
      </c>
      <c r="K704" s="99" t="s">
        <v>711</v>
      </c>
      <c r="L704" s="99" t="s">
        <v>2757</v>
      </c>
      <c r="M704" s="99" t="s">
        <v>1</v>
      </c>
      <c r="N704" s="99" t="s">
        <v>3407</v>
      </c>
      <c r="O704" s="99" t="s">
        <v>114</v>
      </c>
      <c r="P704" s="99" t="s">
        <v>4907</v>
      </c>
      <c r="Q704" s="99" t="s">
        <v>169</v>
      </c>
      <c r="R704" s="99" t="s">
        <v>3409</v>
      </c>
      <c r="S704" s="99" t="s">
        <v>2636</v>
      </c>
      <c r="T704" s="99" t="s">
        <v>48</v>
      </c>
      <c r="U704" s="99" t="s">
        <v>440</v>
      </c>
      <c r="V704" s="99" t="s">
        <v>441</v>
      </c>
      <c r="W704" s="99" t="s">
        <v>4907</v>
      </c>
      <c r="X704" s="99" t="s">
        <v>4907</v>
      </c>
      <c r="Y704" s="99" t="s">
        <v>4908</v>
      </c>
      <c r="Z704" s="99" t="s">
        <v>172</v>
      </c>
      <c r="AA704" s="99" t="s">
        <v>173</v>
      </c>
      <c r="AB704" s="99" t="s">
        <v>316</v>
      </c>
      <c r="AC704" s="99" t="s">
        <v>3411</v>
      </c>
      <c r="AD704" s="99" t="s">
        <v>175</v>
      </c>
      <c r="AE704" s="99" t="s">
        <v>3411</v>
      </c>
      <c r="AF704" s="99" t="s">
        <v>3411</v>
      </c>
      <c r="AG704" s="124">
        <v>88</v>
      </c>
      <c r="AH704" s="99" t="s">
        <v>3413</v>
      </c>
      <c r="AI704" s="125">
        <v>100</v>
      </c>
      <c r="AJ704" s="99" t="s">
        <v>176</v>
      </c>
      <c r="AK704" s="99" t="s">
        <v>4907</v>
      </c>
      <c r="AL704" s="99" t="s">
        <v>3411</v>
      </c>
      <c r="AM704" s="99" t="s">
        <v>177</v>
      </c>
      <c r="AN704" s="99" t="s">
        <v>3411</v>
      </c>
      <c r="AO704" s="99" t="s">
        <v>2457</v>
      </c>
      <c r="AP704" s="99" t="s">
        <v>2570</v>
      </c>
      <c r="AQ704" s="99" t="s">
        <v>3411</v>
      </c>
      <c r="AR704" s="99" t="s">
        <v>3411</v>
      </c>
      <c r="AS704" s="99" t="s">
        <v>2758</v>
      </c>
      <c r="AT704" s="99" t="s">
        <v>1</v>
      </c>
      <c r="AU704" s="99" t="s">
        <v>179</v>
      </c>
      <c r="AV704" s="99" t="s">
        <v>3414</v>
      </c>
      <c r="AW704" s="99" t="s">
        <v>180</v>
      </c>
      <c r="AX704" s="99" t="s">
        <v>3420</v>
      </c>
      <c r="AY704" s="99" t="s">
        <v>252</v>
      </c>
      <c r="AZ704" s="99" t="s">
        <v>3416</v>
      </c>
      <c r="BA704" s="99" t="s">
        <v>4883</v>
      </c>
      <c r="BB704" s="99" t="s">
        <v>2471</v>
      </c>
      <c r="BC704" s="125">
        <v>34</v>
      </c>
      <c r="BD704" s="99" t="s">
        <v>3135</v>
      </c>
      <c r="BE704" s="99" t="s">
        <v>3136</v>
      </c>
    </row>
    <row r="705" spans="1:57" ht="12.95" customHeight="1">
      <c r="A705" s="124">
        <v>28</v>
      </c>
      <c r="B705" s="124">
        <v>78</v>
      </c>
      <c r="C705" s="99" t="s">
        <v>2452</v>
      </c>
      <c r="D705" s="99" t="s">
        <v>2453</v>
      </c>
      <c r="E705" s="99" t="s">
        <v>2454</v>
      </c>
      <c r="F705" s="99" t="s">
        <v>2455</v>
      </c>
      <c r="G705" s="99" t="s">
        <v>2454</v>
      </c>
      <c r="H705" s="99" t="s">
        <v>3254</v>
      </c>
      <c r="I705" s="99" t="s">
        <v>3255</v>
      </c>
      <c r="J705" s="99" t="s">
        <v>2496</v>
      </c>
      <c r="K705" s="99" t="s">
        <v>2497</v>
      </c>
      <c r="L705" s="99" t="s">
        <v>2498</v>
      </c>
      <c r="M705" s="99" t="s">
        <v>1</v>
      </c>
      <c r="N705" s="99" t="s">
        <v>3407</v>
      </c>
      <c r="O705" s="99" t="s">
        <v>114</v>
      </c>
      <c r="P705" s="99" t="s">
        <v>3422</v>
      </c>
      <c r="Q705" s="99" t="s">
        <v>169</v>
      </c>
      <c r="R705" s="99" t="s">
        <v>3409</v>
      </c>
      <c r="S705" s="99" t="s">
        <v>2636</v>
      </c>
      <c r="T705" s="99" t="s">
        <v>48</v>
      </c>
      <c r="U705" s="99" t="s">
        <v>440</v>
      </c>
      <c r="V705" s="99" t="s">
        <v>441</v>
      </c>
      <c r="W705" s="99" t="s">
        <v>4909</v>
      </c>
      <c r="X705" s="99" t="s">
        <v>4909</v>
      </c>
      <c r="Y705" s="99" t="s">
        <v>4910</v>
      </c>
      <c r="Z705" s="99" t="s">
        <v>172</v>
      </c>
      <c r="AA705" s="99" t="s">
        <v>173</v>
      </c>
      <c r="AB705" s="99" t="s">
        <v>174</v>
      </c>
      <c r="AC705" s="99" t="s">
        <v>3411</v>
      </c>
      <c r="AD705" s="99" t="s">
        <v>175</v>
      </c>
      <c r="AE705" s="99" t="s">
        <v>3411</v>
      </c>
      <c r="AF705" s="99" t="s">
        <v>3411</v>
      </c>
      <c r="AG705" s="124">
        <v>78</v>
      </c>
      <c r="AH705" s="99" t="s">
        <v>3413</v>
      </c>
      <c r="AI705" s="125">
        <v>100</v>
      </c>
      <c r="AJ705" s="99" t="s">
        <v>176</v>
      </c>
      <c r="AK705" s="99" t="s">
        <v>4909</v>
      </c>
      <c r="AL705" s="99" t="s">
        <v>3411</v>
      </c>
      <c r="AM705" s="99" t="s">
        <v>177</v>
      </c>
      <c r="AN705" s="99" t="s">
        <v>3411</v>
      </c>
      <c r="AO705" s="99" t="s">
        <v>2457</v>
      </c>
      <c r="AP705" s="99" t="s">
        <v>2570</v>
      </c>
      <c r="AQ705" s="99" t="s">
        <v>3411</v>
      </c>
      <c r="AR705" s="99" t="s">
        <v>234</v>
      </c>
      <c r="AS705" s="99" t="s">
        <v>2499</v>
      </c>
      <c r="AT705" s="99" t="s">
        <v>1</v>
      </c>
      <c r="AU705" s="99" t="s">
        <v>179</v>
      </c>
      <c r="AV705" s="99" t="s">
        <v>3414</v>
      </c>
      <c r="AW705" s="99" t="s">
        <v>180</v>
      </c>
      <c r="AX705" s="99" t="s">
        <v>4911</v>
      </c>
      <c r="AY705" s="99" t="s">
        <v>252</v>
      </c>
      <c r="AZ705" s="99" t="s">
        <v>3416</v>
      </c>
      <c r="BA705" s="99" t="s">
        <v>4883</v>
      </c>
      <c r="BB705" s="99" t="s">
        <v>2471</v>
      </c>
      <c r="BC705" s="125">
        <v>41</v>
      </c>
      <c r="BD705" s="99" t="s">
        <v>3135</v>
      </c>
      <c r="BE705" s="99" t="s">
        <v>3136</v>
      </c>
    </row>
    <row r="706" spans="1:57" ht="12.95" customHeight="1">
      <c r="A706" s="124">
        <v>28</v>
      </c>
      <c r="B706" s="124">
        <v>2</v>
      </c>
      <c r="C706" s="99" t="s">
        <v>2452</v>
      </c>
      <c r="D706" s="99" t="s">
        <v>2453</v>
      </c>
      <c r="E706" s="99" t="s">
        <v>2454</v>
      </c>
      <c r="F706" s="99" t="s">
        <v>2455</v>
      </c>
      <c r="G706" s="99" t="s">
        <v>2454</v>
      </c>
      <c r="H706" s="99" t="s">
        <v>2759</v>
      </c>
      <c r="I706" s="99" t="s">
        <v>2760</v>
      </c>
      <c r="J706" s="99" t="s">
        <v>2511</v>
      </c>
      <c r="K706" s="99" t="s">
        <v>579</v>
      </c>
      <c r="L706" s="99" t="s">
        <v>2512</v>
      </c>
      <c r="M706" s="99" t="s">
        <v>5</v>
      </c>
      <c r="N706" s="99" t="s">
        <v>3407</v>
      </c>
      <c r="O706" s="99" t="s">
        <v>114</v>
      </c>
      <c r="P706" s="99" t="s">
        <v>3422</v>
      </c>
      <c r="Q706" s="99" t="s">
        <v>169</v>
      </c>
      <c r="R706" s="99" t="s">
        <v>3409</v>
      </c>
      <c r="S706" s="99" t="s">
        <v>2636</v>
      </c>
      <c r="T706" s="99" t="s">
        <v>48</v>
      </c>
      <c r="U706" s="99" t="s">
        <v>170</v>
      </c>
      <c r="V706" s="99" t="s">
        <v>171</v>
      </c>
      <c r="W706" s="99" t="s">
        <v>3716</v>
      </c>
      <c r="X706" s="99" t="s">
        <v>3716</v>
      </c>
      <c r="Y706" s="99" t="s">
        <v>4912</v>
      </c>
      <c r="Z706" s="99" t="s">
        <v>172</v>
      </c>
      <c r="AA706" s="99" t="s">
        <v>173</v>
      </c>
      <c r="AB706" s="99" t="s">
        <v>174</v>
      </c>
      <c r="AC706" s="99" t="s">
        <v>3411</v>
      </c>
      <c r="AD706" s="99" t="s">
        <v>175</v>
      </c>
      <c r="AE706" s="99" t="s">
        <v>3411</v>
      </c>
      <c r="AF706" s="99" t="s">
        <v>3411</v>
      </c>
      <c r="AG706" s="124">
        <v>2</v>
      </c>
      <c r="AH706" s="99" t="s">
        <v>3413</v>
      </c>
      <c r="AI706" s="125">
        <v>100</v>
      </c>
      <c r="AJ706" s="99" t="s">
        <v>176</v>
      </c>
      <c r="AK706" s="99" t="s">
        <v>3716</v>
      </c>
      <c r="AL706" s="99" t="s">
        <v>3411</v>
      </c>
      <c r="AM706" s="99" t="s">
        <v>177</v>
      </c>
      <c r="AN706" s="99" t="s">
        <v>3411</v>
      </c>
      <c r="AO706" s="99" t="s">
        <v>2467</v>
      </c>
      <c r="AP706" s="99" t="s">
        <v>2570</v>
      </c>
      <c r="AQ706" s="99" t="s">
        <v>3411</v>
      </c>
      <c r="AR706" s="99" t="s">
        <v>3411</v>
      </c>
      <c r="AS706" s="99" t="s">
        <v>2513</v>
      </c>
      <c r="AT706" s="99" t="s">
        <v>1</v>
      </c>
      <c r="AU706" s="99" t="s">
        <v>179</v>
      </c>
      <c r="AV706" s="99" t="s">
        <v>3414</v>
      </c>
      <c r="AW706" s="99" t="s">
        <v>180</v>
      </c>
      <c r="AX706" s="99" t="s">
        <v>3420</v>
      </c>
      <c r="AY706" s="99" t="s">
        <v>252</v>
      </c>
      <c r="AZ706" s="99" t="s">
        <v>3416</v>
      </c>
      <c r="BA706" s="99" t="s">
        <v>4879</v>
      </c>
      <c r="BB706" s="99" t="s">
        <v>2458</v>
      </c>
      <c r="BC706" s="125">
        <v>48</v>
      </c>
      <c r="BD706" s="99" t="s">
        <v>3135</v>
      </c>
      <c r="BE706" s="99" t="s">
        <v>3136</v>
      </c>
    </row>
    <row r="707" spans="1:57" ht="12.95" customHeight="1">
      <c r="A707" s="124">
        <v>28</v>
      </c>
      <c r="B707" s="124">
        <v>92</v>
      </c>
      <c r="C707" s="99" t="s">
        <v>2452</v>
      </c>
      <c r="D707" s="99" t="s">
        <v>2453</v>
      </c>
      <c r="E707" s="99" t="s">
        <v>2454</v>
      </c>
      <c r="F707" s="99" t="s">
        <v>2455</v>
      </c>
      <c r="G707" s="99" t="s">
        <v>2454</v>
      </c>
      <c r="H707" s="99" t="s">
        <v>2759</v>
      </c>
      <c r="I707" s="99" t="s">
        <v>2760</v>
      </c>
      <c r="J707" s="99" t="s">
        <v>2950</v>
      </c>
      <c r="K707" s="99" t="s">
        <v>2951</v>
      </c>
      <c r="L707" s="99" t="s">
        <v>2952</v>
      </c>
      <c r="M707" s="99" t="s">
        <v>1</v>
      </c>
      <c r="N707" s="99" t="s">
        <v>3407</v>
      </c>
      <c r="O707" s="99" t="s">
        <v>114</v>
      </c>
      <c r="P707" s="99" t="s">
        <v>4913</v>
      </c>
      <c r="Q707" s="99" t="s">
        <v>169</v>
      </c>
      <c r="R707" s="99" t="s">
        <v>3409</v>
      </c>
      <c r="S707" s="99" t="s">
        <v>2636</v>
      </c>
      <c r="T707" s="99" t="s">
        <v>48</v>
      </c>
      <c r="U707" s="99" t="s">
        <v>440</v>
      </c>
      <c r="V707" s="99" t="s">
        <v>441</v>
      </c>
      <c r="W707" s="99" t="s">
        <v>4913</v>
      </c>
      <c r="X707" s="99" t="s">
        <v>4913</v>
      </c>
      <c r="Y707" s="99" t="s">
        <v>4914</v>
      </c>
      <c r="Z707" s="99" t="s">
        <v>172</v>
      </c>
      <c r="AA707" s="99" t="s">
        <v>173</v>
      </c>
      <c r="AB707" s="99" t="s">
        <v>174</v>
      </c>
      <c r="AC707" s="99" t="s">
        <v>3411</v>
      </c>
      <c r="AD707" s="99" t="s">
        <v>175</v>
      </c>
      <c r="AE707" s="99" t="s">
        <v>3411</v>
      </c>
      <c r="AF707" s="99" t="s">
        <v>3411</v>
      </c>
      <c r="AG707" s="124">
        <v>92</v>
      </c>
      <c r="AH707" s="99" t="s">
        <v>3413</v>
      </c>
      <c r="AI707" s="125">
        <v>100</v>
      </c>
      <c r="AJ707" s="99" t="s">
        <v>176</v>
      </c>
      <c r="AK707" s="99" t="s">
        <v>4913</v>
      </c>
      <c r="AL707" s="99" t="s">
        <v>3411</v>
      </c>
      <c r="AM707" s="99" t="s">
        <v>177</v>
      </c>
      <c r="AN707" s="99" t="s">
        <v>3411</v>
      </c>
      <c r="AO707" s="99" t="s">
        <v>2457</v>
      </c>
      <c r="AP707" s="99" t="s">
        <v>2570</v>
      </c>
      <c r="AQ707" s="99" t="s">
        <v>3411</v>
      </c>
      <c r="AR707" s="99" t="s">
        <v>3411</v>
      </c>
      <c r="AS707" s="99" t="s">
        <v>2953</v>
      </c>
      <c r="AT707" s="99" t="s">
        <v>1</v>
      </c>
      <c r="AU707" s="99" t="s">
        <v>179</v>
      </c>
      <c r="AV707" s="99" t="s">
        <v>3414</v>
      </c>
      <c r="AW707" s="99" t="s">
        <v>180</v>
      </c>
      <c r="AX707" s="99" t="s">
        <v>3420</v>
      </c>
      <c r="AY707" s="99" t="s">
        <v>252</v>
      </c>
      <c r="AZ707" s="99" t="s">
        <v>3416</v>
      </c>
      <c r="BA707" s="99" t="s">
        <v>4879</v>
      </c>
      <c r="BB707" s="99" t="s">
        <v>2458</v>
      </c>
      <c r="BC707" s="125">
        <v>31</v>
      </c>
      <c r="BD707" s="99" t="s">
        <v>3135</v>
      </c>
      <c r="BE707" s="99" t="s">
        <v>3136</v>
      </c>
    </row>
    <row r="708" spans="1:57" ht="12.95" customHeight="1">
      <c r="A708" s="124">
        <v>28</v>
      </c>
      <c r="B708" s="124">
        <v>70</v>
      </c>
      <c r="C708" s="99" t="s">
        <v>2452</v>
      </c>
      <c r="D708" s="99" t="s">
        <v>2453</v>
      </c>
      <c r="E708" s="99" t="s">
        <v>2454</v>
      </c>
      <c r="F708" s="99" t="s">
        <v>2455</v>
      </c>
      <c r="G708" s="99" t="s">
        <v>2454</v>
      </c>
      <c r="H708" s="99" t="s">
        <v>2761</v>
      </c>
      <c r="I708" s="99" t="s">
        <v>2762</v>
      </c>
      <c r="J708" s="99" t="s">
        <v>2514</v>
      </c>
      <c r="K708" s="99" t="s">
        <v>820</v>
      </c>
      <c r="L708" s="99" t="s">
        <v>2515</v>
      </c>
      <c r="M708" s="99" t="s">
        <v>5</v>
      </c>
      <c r="N708" s="99" t="s">
        <v>3407</v>
      </c>
      <c r="O708" s="99" t="s">
        <v>114</v>
      </c>
      <c r="P708" s="99" t="s">
        <v>3422</v>
      </c>
      <c r="Q708" s="99" t="s">
        <v>169</v>
      </c>
      <c r="R708" s="99" t="s">
        <v>3409</v>
      </c>
      <c r="S708" s="99" t="s">
        <v>2636</v>
      </c>
      <c r="T708" s="99" t="s">
        <v>48</v>
      </c>
      <c r="U708" s="99" t="s">
        <v>440</v>
      </c>
      <c r="V708" s="99" t="s">
        <v>441</v>
      </c>
      <c r="W708" s="99" t="s">
        <v>4915</v>
      </c>
      <c r="X708" s="99" t="s">
        <v>4915</v>
      </c>
      <c r="Y708" s="99" t="s">
        <v>4916</v>
      </c>
      <c r="Z708" s="99" t="s">
        <v>172</v>
      </c>
      <c r="AA708" s="99" t="s">
        <v>173</v>
      </c>
      <c r="AB708" s="99" t="s">
        <v>316</v>
      </c>
      <c r="AC708" s="99" t="s">
        <v>3411</v>
      </c>
      <c r="AD708" s="99" t="s">
        <v>175</v>
      </c>
      <c r="AE708" s="99" t="s">
        <v>3411</v>
      </c>
      <c r="AF708" s="99" t="s">
        <v>3411</v>
      </c>
      <c r="AG708" s="124">
        <v>70</v>
      </c>
      <c r="AH708" s="99" t="s">
        <v>3413</v>
      </c>
      <c r="AI708" s="125">
        <v>100</v>
      </c>
      <c r="AJ708" s="99" t="s">
        <v>176</v>
      </c>
      <c r="AK708" s="99" t="s">
        <v>4915</v>
      </c>
      <c r="AL708" s="99" t="s">
        <v>3411</v>
      </c>
      <c r="AM708" s="99" t="s">
        <v>177</v>
      </c>
      <c r="AN708" s="99" t="s">
        <v>3411</v>
      </c>
      <c r="AO708" s="99" t="s">
        <v>2457</v>
      </c>
      <c r="AP708" s="99" t="s">
        <v>2570</v>
      </c>
      <c r="AQ708" s="99" t="s">
        <v>3411</v>
      </c>
      <c r="AR708" s="99" t="s">
        <v>3411</v>
      </c>
      <c r="AS708" s="99" t="s">
        <v>2516</v>
      </c>
      <c r="AT708" s="99" t="s">
        <v>1</v>
      </c>
      <c r="AU708" s="99" t="s">
        <v>179</v>
      </c>
      <c r="AV708" s="99" t="s">
        <v>3414</v>
      </c>
      <c r="AW708" s="99" t="s">
        <v>180</v>
      </c>
      <c r="AX708" s="99" t="s">
        <v>3420</v>
      </c>
      <c r="AY708" s="99" t="s">
        <v>252</v>
      </c>
      <c r="AZ708" s="99" t="s">
        <v>3416</v>
      </c>
      <c r="BA708" s="99" t="s">
        <v>4883</v>
      </c>
      <c r="BB708" s="99" t="s">
        <v>2471</v>
      </c>
      <c r="BC708" s="125">
        <v>34</v>
      </c>
      <c r="BD708" s="99" t="s">
        <v>3135</v>
      </c>
      <c r="BE708" s="99" t="s">
        <v>3136</v>
      </c>
    </row>
    <row r="709" spans="1:57" ht="12.95" customHeight="1">
      <c r="A709" s="124">
        <v>28</v>
      </c>
      <c r="B709" s="124">
        <v>71</v>
      </c>
      <c r="C709" s="99" t="s">
        <v>2452</v>
      </c>
      <c r="D709" s="99" t="s">
        <v>2453</v>
      </c>
      <c r="E709" s="99" t="s">
        <v>2454</v>
      </c>
      <c r="F709" s="99" t="s">
        <v>2455</v>
      </c>
      <c r="G709" s="99" t="s">
        <v>2454</v>
      </c>
      <c r="H709" s="99" t="s">
        <v>2761</v>
      </c>
      <c r="I709" s="99" t="s">
        <v>2762</v>
      </c>
      <c r="J709" s="99" t="s">
        <v>2517</v>
      </c>
      <c r="K709" s="99" t="s">
        <v>2518</v>
      </c>
      <c r="L709" s="99" t="s">
        <v>2519</v>
      </c>
      <c r="M709" s="99" t="s">
        <v>1</v>
      </c>
      <c r="N709" s="99" t="s">
        <v>3407</v>
      </c>
      <c r="O709" s="99" t="s">
        <v>114</v>
      </c>
      <c r="P709" s="99" t="s">
        <v>3422</v>
      </c>
      <c r="Q709" s="99" t="s">
        <v>169</v>
      </c>
      <c r="R709" s="99" t="s">
        <v>3409</v>
      </c>
      <c r="S709" s="99" t="s">
        <v>2636</v>
      </c>
      <c r="T709" s="99" t="s">
        <v>48</v>
      </c>
      <c r="U709" s="99" t="s">
        <v>697</v>
      </c>
      <c r="V709" s="99" t="s">
        <v>698</v>
      </c>
      <c r="W709" s="99" t="s">
        <v>4917</v>
      </c>
      <c r="X709" s="99" t="s">
        <v>4917</v>
      </c>
      <c r="Y709" s="99" t="s">
        <v>4918</v>
      </c>
      <c r="Z709" s="99" t="s">
        <v>172</v>
      </c>
      <c r="AA709" s="99" t="s">
        <v>173</v>
      </c>
      <c r="AB709" s="99" t="s">
        <v>316</v>
      </c>
      <c r="AC709" s="99" t="s">
        <v>3411</v>
      </c>
      <c r="AD709" s="99" t="s">
        <v>175</v>
      </c>
      <c r="AE709" s="99" t="s">
        <v>3411</v>
      </c>
      <c r="AF709" s="99" t="s">
        <v>3411</v>
      </c>
      <c r="AG709" s="124">
        <v>71</v>
      </c>
      <c r="AH709" s="99" t="s">
        <v>3413</v>
      </c>
      <c r="AI709" s="125">
        <v>100</v>
      </c>
      <c r="AJ709" s="99" t="s">
        <v>176</v>
      </c>
      <c r="AK709" s="99" t="s">
        <v>4917</v>
      </c>
      <c r="AL709" s="99" t="s">
        <v>3411</v>
      </c>
      <c r="AM709" s="99" t="s">
        <v>177</v>
      </c>
      <c r="AN709" s="99" t="s">
        <v>3411</v>
      </c>
      <c r="AO709" s="99" t="s">
        <v>2457</v>
      </c>
      <c r="AP709" s="99" t="s">
        <v>2570</v>
      </c>
      <c r="AQ709" s="99" t="s">
        <v>3411</v>
      </c>
      <c r="AR709" s="99" t="s">
        <v>3411</v>
      </c>
      <c r="AS709" s="99" t="s">
        <v>2520</v>
      </c>
      <c r="AT709" s="99" t="s">
        <v>1</v>
      </c>
      <c r="AU709" s="99" t="s">
        <v>179</v>
      </c>
      <c r="AV709" s="99" t="s">
        <v>3414</v>
      </c>
      <c r="AW709" s="99" t="s">
        <v>180</v>
      </c>
      <c r="AX709" s="99" t="s">
        <v>3420</v>
      </c>
      <c r="AY709" s="99" t="s">
        <v>252</v>
      </c>
      <c r="AZ709" s="99" t="s">
        <v>3416</v>
      </c>
      <c r="BA709" s="99" t="s">
        <v>4883</v>
      </c>
      <c r="BB709" s="99" t="s">
        <v>2471</v>
      </c>
      <c r="BC709" s="125">
        <v>31</v>
      </c>
      <c r="BD709" s="99" t="s">
        <v>3135</v>
      </c>
      <c r="BE709" s="99" t="s">
        <v>3136</v>
      </c>
    </row>
    <row r="710" spans="1:57" ht="12.95" customHeight="1">
      <c r="A710" s="124">
        <v>28</v>
      </c>
      <c r="B710" s="124">
        <v>68</v>
      </c>
      <c r="C710" s="99" t="s">
        <v>2452</v>
      </c>
      <c r="D710" s="99" t="s">
        <v>2453</v>
      </c>
      <c r="E710" s="99" t="s">
        <v>2454</v>
      </c>
      <c r="F710" s="99" t="s">
        <v>2455</v>
      </c>
      <c r="G710" s="99" t="s">
        <v>2454</v>
      </c>
      <c r="H710" s="99" t="s">
        <v>2761</v>
      </c>
      <c r="I710" s="99" t="s">
        <v>2762</v>
      </c>
      <c r="J710" s="99" t="s">
        <v>2521</v>
      </c>
      <c r="K710" s="99" t="s">
        <v>741</v>
      </c>
      <c r="L710" s="99" t="s">
        <v>2522</v>
      </c>
      <c r="M710" s="99" t="s">
        <v>1</v>
      </c>
      <c r="N710" s="99" t="s">
        <v>3407</v>
      </c>
      <c r="O710" s="99" t="s">
        <v>114</v>
      </c>
      <c r="P710" s="99" t="s">
        <v>3422</v>
      </c>
      <c r="Q710" s="99" t="s">
        <v>169</v>
      </c>
      <c r="R710" s="99" t="s">
        <v>3409</v>
      </c>
      <c r="S710" s="99" t="s">
        <v>2636</v>
      </c>
      <c r="T710" s="99" t="s">
        <v>48</v>
      </c>
      <c r="U710" s="99" t="s">
        <v>184</v>
      </c>
      <c r="V710" s="99" t="s">
        <v>185</v>
      </c>
      <c r="W710" s="99" t="s">
        <v>4767</v>
      </c>
      <c r="X710" s="99" t="s">
        <v>4767</v>
      </c>
      <c r="Y710" s="99" t="s">
        <v>4919</v>
      </c>
      <c r="Z710" s="99" t="s">
        <v>172</v>
      </c>
      <c r="AA710" s="99" t="s">
        <v>173</v>
      </c>
      <c r="AB710" s="99" t="s">
        <v>174</v>
      </c>
      <c r="AC710" s="99" t="s">
        <v>3411</v>
      </c>
      <c r="AD710" s="99" t="s">
        <v>175</v>
      </c>
      <c r="AE710" s="99" t="s">
        <v>3411</v>
      </c>
      <c r="AF710" s="99" t="s">
        <v>3411</v>
      </c>
      <c r="AG710" s="124">
        <v>68</v>
      </c>
      <c r="AH710" s="99" t="s">
        <v>3413</v>
      </c>
      <c r="AI710" s="125">
        <v>100</v>
      </c>
      <c r="AJ710" s="99" t="s">
        <v>176</v>
      </c>
      <c r="AK710" s="99" t="s">
        <v>4767</v>
      </c>
      <c r="AL710" s="99" t="s">
        <v>3411</v>
      </c>
      <c r="AM710" s="99" t="s">
        <v>177</v>
      </c>
      <c r="AN710" s="99" t="s">
        <v>3411</v>
      </c>
      <c r="AO710" s="99" t="s">
        <v>2457</v>
      </c>
      <c r="AP710" s="99" t="s">
        <v>2570</v>
      </c>
      <c r="AQ710" s="99" t="s">
        <v>3411</v>
      </c>
      <c r="AR710" s="99" t="s">
        <v>3411</v>
      </c>
      <c r="AS710" s="99" t="s">
        <v>2523</v>
      </c>
      <c r="AT710" s="99" t="s">
        <v>1</v>
      </c>
      <c r="AU710" s="99" t="s">
        <v>179</v>
      </c>
      <c r="AV710" s="99" t="s">
        <v>3414</v>
      </c>
      <c r="AW710" s="99" t="s">
        <v>180</v>
      </c>
      <c r="AX710" s="99" t="s">
        <v>3420</v>
      </c>
      <c r="AY710" s="99" t="s">
        <v>252</v>
      </c>
      <c r="AZ710" s="99" t="s">
        <v>3416</v>
      </c>
      <c r="BA710" s="99" t="s">
        <v>4883</v>
      </c>
      <c r="BB710" s="99" t="s">
        <v>2471</v>
      </c>
      <c r="BC710" s="125">
        <v>60</v>
      </c>
      <c r="BD710" s="99" t="s">
        <v>3135</v>
      </c>
      <c r="BE710" s="99" t="s">
        <v>3136</v>
      </c>
    </row>
    <row r="711" spans="1:57" ht="12.95" customHeight="1">
      <c r="A711" s="124">
        <v>35</v>
      </c>
      <c r="B711" s="124">
        <v>18</v>
      </c>
      <c r="C711" s="99" t="s">
        <v>2524</v>
      </c>
      <c r="D711" s="99" t="s">
        <v>3273</v>
      </c>
      <c r="E711" s="99" t="s">
        <v>2526</v>
      </c>
      <c r="F711" s="99" t="s">
        <v>3274</v>
      </c>
      <c r="G711" s="99" t="s">
        <v>2528</v>
      </c>
      <c r="H711" s="99" t="s">
        <v>2529</v>
      </c>
      <c r="I711" s="99" t="s">
        <v>2530</v>
      </c>
      <c r="J711" s="99" t="s">
        <v>2852</v>
      </c>
      <c r="K711" s="99" t="s">
        <v>948</v>
      </c>
      <c r="L711" s="99" t="s">
        <v>2853</v>
      </c>
      <c r="M711" s="99" t="s">
        <v>1</v>
      </c>
      <c r="N711" s="99" t="s">
        <v>3407</v>
      </c>
      <c r="O711" s="99" t="s">
        <v>114</v>
      </c>
      <c r="P711" s="99" t="s">
        <v>4920</v>
      </c>
      <c r="Q711" s="99" t="s">
        <v>169</v>
      </c>
      <c r="R711" s="99" t="s">
        <v>3409</v>
      </c>
      <c r="S711" s="99" t="s">
        <v>2636</v>
      </c>
      <c r="T711" s="99" t="s">
        <v>48</v>
      </c>
      <c r="U711" s="99" t="s">
        <v>410</v>
      </c>
      <c r="V711" s="99" t="s">
        <v>411</v>
      </c>
      <c r="W711" s="99" t="s">
        <v>4920</v>
      </c>
      <c r="X711" s="99" t="s">
        <v>4920</v>
      </c>
      <c r="Y711" s="99" t="s">
        <v>4921</v>
      </c>
      <c r="Z711" s="99" t="s">
        <v>172</v>
      </c>
      <c r="AA711" s="99" t="s">
        <v>173</v>
      </c>
      <c r="AB711" s="99" t="s">
        <v>174</v>
      </c>
      <c r="AC711" s="99" t="s">
        <v>3411</v>
      </c>
      <c r="AD711" s="99" t="s">
        <v>175</v>
      </c>
      <c r="AE711" s="99" t="s">
        <v>3411</v>
      </c>
      <c r="AF711" s="99" t="s">
        <v>3411</v>
      </c>
      <c r="AG711" s="124">
        <v>18</v>
      </c>
      <c r="AH711" s="99" t="s">
        <v>3413</v>
      </c>
      <c r="AI711" s="125">
        <v>100</v>
      </c>
      <c r="AJ711" s="99" t="s">
        <v>176</v>
      </c>
      <c r="AK711" s="99" t="s">
        <v>4920</v>
      </c>
      <c r="AL711" s="99" t="s">
        <v>3411</v>
      </c>
      <c r="AM711" s="99" t="s">
        <v>177</v>
      </c>
      <c r="AN711" s="99" t="s">
        <v>3411</v>
      </c>
      <c r="AO711" s="99" t="s">
        <v>2457</v>
      </c>
      <c r="AP711" s="99" t="s">
        <v>2570</v>
      </c>
      <c r="AQ711" s="99" t="s">
        <v>3411</v>
      </c>
      <c r="AR711" s="99" t="s">
        <v>3411</v>
      </c>
      <c r="AS711" s="99" t="s">
        <v>2854</v>
      </c>
      <c r="AT711" s="99" t="s">
        <v>1</v>
      </c>
      <c r="AU711" s="99" t="s">
        <v>179</v>
      </c>
      <c r="AV711" s="99" t="s">
        <v>3414</v>
      </c>
      <c r="AW711" s="99" t="s">
        <v>180</v>
      </c>
      <c r="AX711" s="99" t="s">
        <v>3420</v>
      </c>
      <c r="AY711" s="99" t="s">
        <v>252</v>
      </c>
      <c r="AZ711" s="99" t="s">
        <v>3416</v>
      </c>
      <c r="BA711" s="99" t="s">
        <v>4922</v>
      </c>
      <c r="BB711" s="99" t="s">
        <v>943</v>
      </c>
      <c r="BC711" s="125">
        <v>35</v>
      </c>
      <c r="BD711" s="99" t="s">
        <v>3135</v>
      </c>
      <c r="BE711" s="99" t="s">
        <v>3136</v>
      </c>
    </row>
    <row r="712" spans="1:57" ht="12.95" customHeight="1">
      <c r="A712" s="124">
        <v>35</v>
      </c>
      <c r="B712" s="124">
        <v>22</v>
      </c>
      <c r="C712" s="99" t="s">
        <v>2524</v>
      </c>
      <c r="D712" s="99" t="s">
        <v>3273</v>
      </c>
      <c r="E712" s="99" t="s">
        <v>2526</v>
      </c>
      <c r="F712" s="99" t="s">
        <v>3274</v>
      </c>
      <c r="G712" s="99" t="s">
        <v>2528</v>
      </c>
      <c r="H712" s="99" t="s">
        <v>2529</v>
      </c>
      <c r="I712" s="99" t="s">
        <v>2530</v>
      </c>
      <c r="J712" s="99" t="s">
        <v>3049</v>
      </c>
      <c r="K712" s="99" t="s">
        <v>212</v>
      </c>
      <c r="L712" s="99" t="s">
        <v>3050</v>
      </c>
      <c r="M712" s="99" t="s">
        <v>1</v>
      </c>
      <c r="N712" s="99" t="s">
        <v>3407</v>
      </c>
      <c r="O712" s="99" t="s">
        <v>114</v>
      </c>
      <c r="P712" s="99" t="s">
        <v>4923</v>
      </c>
      <c r="Q712" s="99" t="s">
        <v>169</v>
      </c>
      <c r="R712" s="99" t="s">
        <v>3409</v>
      </c>
      <c r="S712" s="99" t="s">
        <v>2636</v>
      </c>
      <c r="T712" s="99" t="s">
        <v>48</v>
      </c>
      <c r="U712" s="99" t="s">
        <v>170</v>
      </c>
      <c r="V712" s="99" t="s">
        <v>171</v>
      </c>
      <c r="W712" s="99" t="s">
        <v>4923</v>
      </c>
      <c r="X712" s="99" t="s">
        <v>4923</v>
      </c>
      <c r="Y712" s="99" t="s">
        <v>4924</v>
      </c>
      <c r="Z712" s="99" t="s">
        <v>172</v>
      </c>
      <c r="AA712" s="99" t="s">
        <v>173</v>
      </c>
      <c r="AB712" s="99" t="s">
        <v>174</v>
      </c>
      <c r="AC712" s="99" t="s">
        <v>3411</v>
      </c>
      <c r="AD712" s="99" t="s">
        <v>175</v>
      </c>
      <c r="AE712" s="99" t="s">
        <v>3411</v>
      </c>
      <c r="AF712" s="99" t="s">
        <v>3411</v>
      </c>
      <c r="AG712" s="124">
        <v>22</v>
      </c>
      <c r="AH712" s="99" t="s">
        <v>3413</v>
      </c>
      <c r="AI712" s="125">
        <v>100</v>
      </c>
      <c r="AJ712" s="99" t="s">
        <v>176</v>
      </c>
      <c r="AK712" s="99" t="s">
        <v>4923</v>
      </c>
      <c r="AL712" s="99" t="s">
        <v>3411</v>
      </c>
      <c r="AM712" s="99" t="s">
        <v>177</v>
      </c>
      <c r="AN712" s="99" t="s">
        <v>3411</v>
      </c>
      <c r="AO712" s="99" t="s">
        <v>2457</v>
      </c>
      <c r="AP712" s="99" t="s">
        <v>2570</v>
      </c>
      <c r="AQ712" s="99" t="s">
        <v>3411</v>
      </c>
      <c r="AR712" s="99" t="s">
        <v>3411</v>
      </c>
      <c r="AS712" s="99" t="s">
        <v>3051</v>
      </c>
      <c r="AT712" s="99" t="s">
        <v>1</v>
      </c>
      <c r="AU712" s="99" t="s">
        <v>179</v>
      </c>
      <c r="AV712" s="99" t="s">
        <v>3414</v>
      </c>
      <c r="AW712" s="99" t="s">
        <v>180</v>
      </c>
      <c r="AX712" s="99" t="s">
        <v>3420</v>
      </c>
      <c r="AY712" s="99" t="s">
        <v>252</v>
      </c>
      <c r="AZ712" s="99" t="s">
        <v>3416</v>
      </c>
      <c r="BA712" s="99" t="s">
        <v>4922</v>
      </c>
      <c r="BB712" s="99" t="s">
        <v>943</v>
      </c>
      <c r="BC712" s="125">
        <v>44</v>
      </c>
      <c r="BD712" s="99" t="s">
        <v>3135</v>
      </c>
      <c r="BE712" s="99" t="s">
        <v>3136</v>
      </c>
    </row>
    <row r="713" spans="1:57" ht="12.95" customHeight="1">
      <c r="A713" s="124">
        <v>35</v>
      </c>
      <c r="B713" s="124">
        <v>16</v>
      </c>
      <c r="C713" s="99" t="s">
        <v>2524</v>
      </c>
      <c r="D713" s="99" t="s">
        <v>3273</v>
      </c>
      <c r="E713" s="99" t="s">
        <v>2526</v>
      </c>
      <c r="F713" s="99" t="s">
        <v>3274</v>
      </c>
      <c r="G713" s="99" t="s">
        <v>2528</v>
      </c>
      <c r="H713" s="99" t="s">
        <v>2529</v>
      </c>
      <c r="I713" s="99" t="s">
        <v>2530</v>
      </c>
      <c r="J713" s="99" t="s">
        <v>2770</v>
      </c>
      <c r="K713" s="99" t="s">
        <v>485</v>
      </c>
      <c r="L713" s="99" t="s">
        <v>2771</v>
      </c>
      <c r="M713" s="99" t="s">
        <v>1</v>
      </c>
      <c r="N713" s="99" t="s">
        <v>3407</v>
      </c>
      <c r="O713" s="99" t="s">
        <v>114</v>
      </c>
      <c r="P713" s="99" t="s">
        <v>4925</v>
      </c>
      <c r="Q713" s="99" t="s">
        <v>169</v>
      </c>
      <c r="R713" s="99" t="s">
        <v>3409</v>
      </c>
      <c r="S713" s="99" t="s">
        <v>2636</v>
      </c>
      <c r="T713" s="99" t="s">
        <v>48</v>
      </c>
      <c r="U713" s="99" t="s">
        <v>170</v>
      </c>
      <c r="V713" s="99" t="s">
        <v>171</v>
      </c>
      <c r="W713" s="99" t="s">
        <v>4925</v>
      </c>
      <c r="X713" s="99" t="s">
        <v>4925</v>
      </c>
      <c r="Y713" s="99" t="s">
        <v>4926</v>
      </c>
      <c r="Z713" s="99" t="s">
        <v>172</v>
      </c>
      <c r="AA713" s="99" t="s">
        <v>173</v>
      </c>
      <c r="AB713" s="99" t="s">
        <v>174</v>
      </c>
      <c r="AC713" s="99" t="s">
        <v>3411</v>
      </c>
      <c r="AD713" s="99" t="s">
        <v>175</v>
      </c>
      <c r="AE713" s="99" t="s">
        <v>3411</v>
      </c>
      <c r="AF713" s="99" t="s">
        <v>3411</v>
      </c>
      <c r="AG713" s="124">
        <v>16</v>
      </c>
      <c r="AH713" s="99" t="s">
        <v>3413</v>
      </c>
      <c r="AI713" s="125">
        <v>100</v>
      </c>
      <c r="AJ713" s="99" t="s">
        <v>176</v>
      </c>
      <c r="AK713" s="99" t="s">
        <v>4925</v>
      </c>
      <c r="AL713" s="99" t="s">
        <v>3411</v>
      </c>
      <c r="AM713" s="99" t="s">
        <v>177</v>
      </c>
      <c r="AN713" s="99" t="s">
        <v>3411</v>
      </c>
      <c r="AO713" s="99" t="s">
        <v>2457</v>
      </c>
      <c r="AP713" s="99" t="s">
        <v>2570</v>
      </c>
      <c r="AQ713" s="99" t="s">
        <v>3411</v>
      </c>
      <c r="AR713" s="99" t="s">
        <v>210</v>
      </c>
      <c r="AS713" s="99" t="s">
        <v>2772</v>
      </c>
      <c r="AT713" s="99" t="s">
        <v>1</v>
      </c>
      <c r="AU713" s="99" t="s">
        <v>179</v>
      </c>
      <c r="AV713" s="99" t="s">
        <v>3414</v>
      </c>
      <c r="AW713" s="99" t="s">
        <v>180</v>
      </c>
      <c r="AX713" s="99" t="s">
        <v>3420</v>
      </c>
      <c r="AY713" s="99" t="s">
        <v>252</v>
      </c>
      <c r="AZ713" s="99" t="s">
        <v>3416</v>
      </c>
      <c r="BA713" s="99" t="s">
        <v>4922</v>
      </c>
      <c r="BB713" s="99" t="s">
        <v>943</v>
      </c>
      <c r="BC713" s="125">
        <v>37</v>
      </c>
      <c r="BD713" s="99" t="s">
        <v>3135</v>
      </c>
      <c r="BE713" s="99" t="s">
        <v>3136</v>
      </c>
    </row>
    <row r="714" spans="1:57" ht="12.95" customHeight="1">
      <c r="A714" s="124">
        <v>35</v>
      </c>
      <c r="B714" s="124">
        <v>11</v>
      </c>
      <c r="C714" s="99" t="s">
        <v>2524</v>
      </c>
      <c r="D714" s="99" t="s">
        <v>3273</v>
      </c>
      <c r="E714" s="99" t="s">
        <v>2526</v>
      </c>
      <c r="F714" s="99" t="s">
        <v>3274</v>
      </c>
      <c r="G714" s="99" t="s">
        <v>2528</v>
      </c>
      <c r="H714" s="99" t="s">
        <v>2529</v>
      </c>
      <c r="I714" s="99" t="s">
        <v>2530</v>
      </c>
      <c r="J714" s="99" t="s">
        <v>2531</v>
      </c>
      <c r="K714" s="99" t="s">
        <v>695</v>
      </c>
      <c r="L714" s="99" t="s">
        <v>2532</v>
      </c>
      <c r="M714" s="99" t="s">
        <v>1</v>
      </c>
      <c r="N714" s="99" t="s">
        <v>3407</v>
      </c>
      <c r="O714" s="99" t="s">
        <v>114</v>
      </c>
      <c r="P714" s="99" t="s">
        <v>4927</v>
      </c>
      <c r="Q714" s="99" t="s">
        <v>169</v>
      </c>
      <c r="R714" s="99" t="s">
        <v>3409</v>
      </c>
      <c r="S714" s="99" t="s">
        <v>2636</v>
      </c>
      <c r="T714" s="99" t="s">
        <v>48</v>
      </c>
      <c r="U714" s="99" t="s">
        <v>170</v>
      </c>
      <c r="V714" s="99" t="s">
        <v>171</v>
      </c>
      <c r="W714" s="99" t="s">
        <v>4927</v>
      </c>
      <c r="X714" s="99" t="s">
        <v>4927</v>
      </c>
      <c r="Y714" s="99" t="s">
        <v>4928</v>
      </c>
      <c r="Z714" s="99" t="s">
        <v>172</v>
      </c>
      <c r="AA714" s="99" t="s">
        <v>173</v>
      </c>
      <c r="AB714" s="99" t="s">
        <v>174</v>
      </c>
      <c r="AC714" s="99" t="s">
        <v>3411</v>
      </c>
      <c r="AD714" s="99" t="s">
        <v>175</v>
      </c>
      <c r="AE714" s="99" t="s">
        <v>3411</v>
      </c>
      <c r="AF714" s="99" t="s">
        <v>3411</v>
      </c>
      <c r="AG714" s="124">
        <v>11</v>
      </c>
      <c r="AH714" s="99" t="s">
        <v>3413</v>
      </c>
      <c r="AI714" s="125">
        <v>100</v>
      </c>
      <c r="AJ714" s="99" t="s">
        <v>176</v>
      </c>
      <c r="AK714" s="99" t="s">
        <v>4927</v>
      </c>
      <c r="AL714" s="99" t="s">
        <v>3411</v>
      </c>
      <c r="AM714" s="99" t="s">
        <v>177</v>
      </c>
      <c r="AN714" s="99" t="s">
        <v>3411</v>
      </c>
      <c r="AO714" s="99" t="s">
        <v>2457</v>
      </c>
      <c r="AP714" s="99" t="s">
        <v>2570</v>
      </c>
      <c r="AQ714" s="99" t="s">
        <v>3411</v>
      </c>
      <c r="AR714" s="99" t="s">
        <v>3411</v>
      </c>
      <c r="AS714" s="99" t="s">
        <v>2533</v>
      </c>
      <c r="AT714" s="99" t="s">
        <v>1</v>
      </c>
      <c r="AU714" s="99" t="s">
        <v>179</v>
      </c>
      <c r="AV714" s="99" t="s">
        <v>3414</v>
      </c>
      <c r="AW714" s="99" t="s">
        <v>180</v>
      </c>
      <c r="AX714" s="99" t="s">
        <v>3420</v>
      </c>
      <c r="AY714" s="99" t="s">
        <v>252</v>
      </c>
      <c r="AZ714" s="99" t="s">
        <v>3416</v>
      </c>
      <c r="BA714" s="99" t="s">
        <v>4922</v>
      </c>
      <c r="BB714" s="99" t="s">
        <v>943</v>
      </c>
      <c r="BC714" s="125">
        <v>36</v>
      </c>
      <c r="BD714" s="99" t="s">
        <v>3135</v>
      </c>
      <c r="BE714" s="99" t="s">
        <v>3136</v>
      </c>
    </row>
    <row r="715" spans="1:57" ht="12.95" customHeight="1">
      <c r="A715" s="124">
        <v>35</v>
      </c>
      <c r="B715" s="124">
        <v>23</v>
      </c>
      <c r="C715" s="99" t="s">
        <v>2524</v>
      </c>
      <c r="D715" s="99" t="s">
        <v>3273</v>
      </c>
      <c r="E715" s="99" t="s">
        <v>2526</v>
      </c>
      <c r="F715" s="99" t="s">
        <v>3274</v>
      </c>
      <c r="G715" s="99" t="s">
        <v>2528</v>
      </c>
      <c r="H715" s="99" t="s">
        <v>2529</v>
      </c>
      <c r="I715" s="99" t="s">
        <v>2530</v>
      </c>
      <c r="J715" s="99" t="s">
        <v>3064</v>
      </c>
      <c r="K715" s="99" t="s">
        <v>1307</v>
      </c>
      <c r="L715" s="99" t="s">
        <v>3065</v>
      </c>
      <c r="M715" s="99" t="s">
        <v>1</v>
      </c>
      <c r="N715" s="99" t="s">
        <v>3407</v>
      </c>
      <c r="O715" s="99" t="s">
        <v>114</v>
      </c>
      <c r="P715" s="99" t="s">
        <v>4929</v>
      </c>
      <c r="Q715" s="99" t="s">
        <v>169</v>
      </c>
      <c r="R715" s="99" t="s">
        <v>3409</v>
      </c>
      <c r="S715" s="99" t="s">
        <v>2636</v>
      </c>
      <c r="T715" s="99" t="s">
        <v>48</v>
      </c>
      <c r="U715" s="99" t="s">
        <v>170</v>
      </c>
      <c r="V715" s="99" t="s">
        <v>171</v>
      </c>
      <c r="W715" s="99" t="s">
        <v>4929</v>
      </c>
      <c r="X715" s="99" t="s">
        <v>4929</v>
      </c>
      <c r="Y715" s="99" t="s">
        <v>4930</v>
      </c>
      <c r="Z715" s="99" t="s">
        <v>172</v>
      </c>
      <c r="AA715" s="99" t="s">
        <v>173</v>
      </c>
      <c r="AB715" s="99" t="s">
        <v>174</v>
      </c>
      <c r="AC715" s="99" t="s">
        <v>3411</v>
      </c>
      <c r="AD715" s="99" t="s">
        <v>175</v>
      </c>
      <c r="AE715" s="99" t="s">
        <v>3411</v>
      </c>
      <c r="AF715" s="99" t="s">
        <v>3411</v>
      </c>
      <c r="AG715" s="124">
        <v>23</v>
      </c>
      <c r="AH715" s="99" t="s">
        <v>3413</v>
      </c>
      <c r="AI715" s="125">
        <v>100</v>
      </c>
      <c r="AJ715" s="99" t="s">
        <v>176</v>
      </c>
      <c r="AK715" s="99" t="s">
        <v>4929</v>
      </c>
      <c r="AL715" s="99" t="s">
        <v>3411</v>
      </c>
      <c r="AM715" s="99" t="s">
        <v>177</v>
      </c>
      <c r="AN715" s="99" t="s">
        <v>3411</v>
      </c>
      <c r="AO715" s="99" t="s">
        <v>2457</v>
      </c>
      <c r="AP715" s="99" t="s">
        <v>2570</v>
      </c>
      <c r="AQ715" s="99" t="s">
        <v>3411</v>
      </c>
      <c r="AR715" s="99" t="s">
        <v>3411</v>
      </c>
      <c r="AS715" s="99" t="s">
        <v>3066</v>
      </c>
      <c r="AT715" s="99" t="s">
        <v>1</v>
      </c>
      <c r="AU715" s="99" t="s">
        <v>179</v>
      </c>
      <c r="AV715" s="99" t="s">
        <v>3414</v>
      </c>
      <c r="AW715" s="99" t="s">
        <v>180</v>
      </c>
      <c r="AX715" s="99" t="s">
        <v>3420</v>
      </c>
      <c r="AY715" s="99" t="s">
        <v>252</v>
      </c>
      <c r="AZ715" s="99" t="s">
        <v>3416</v>
      </c>
      <c r="BA715" s="99" t="s">
        <v>4922</v>
      </c>
      <c r="BB715" s="99" t="s">
        <v>943</v>
      </c>
      <c r="BC715" s="125">
        <v>33</v>
      </c>
      <c r="BD715" s="99" t="s">
        <v>3135</v>
      </c>
      <c r="BE715" s="99" t="s">
        <v>3136</v>
      </c>
    </row>
    <row r="716" spans="1:57" ht="12.95" customHeight="1">
      <c r="A716" s="124">
        <v>35</v>
      </c>
      <c r="B716" s="124">
        <v>24</v>
      </c>
      <c r="C716" s="99" t="s">
        <v>2524</v>
      </c>
      <c r="D716" s="99" t="s">
        <v>3273</v>
      </c>
      <c r="E716" s="99" t="s">
        <v>2526</v>
      </c>
      <c r="F716" s="99" t="s">
        <v>3274</v>
      </c>
      <c r="G716" s="99" t="s">
        <v>2528</v>
      </c>
      <c r="H716" s="99" t="s">
        <v>2529</v>
      </c>
      <c r="I716" s="99" t="s">
        <v>2530</v>
      </c>
      <c r="J716" s="99" t="s">
        <v>5074</v>
      </c>
      <c r="K716" s="99" t="s">
        <v>776</v>
      </c>
      <c r="L716" s="99" t="s">
        <v>5075</v>
      </c>
      <c r="M716" s="99" t="s">
        <v>1</v>
      </c>
      <c r="N716" s="99" t="s">
        <v>3407</v>
      </c>
      <c r="O716" s="99" t="s">
        <v>114</v>
      </c>
      <c r="P716" s="99" t="s">
        <v>5076</v>
      </c>
      <c r="Q716" s="99" t="s">
        <v>169</v>
      </c>
      <c r="R716" s="99" t="s">
        <v>3409</v>
      </c>
      <c r="S716" s="99" t="s">
        <v>2636</v>
      </c>
      <c r="T716" s="99" t="s">
        <v>48</v>
      </c>
      <c r="U716" s="99" t="s">
        <v>184</v>
      </c>
      <c r="V716" s="99" t="s">
        <v>185</v>
      </c>
      <c r="W716" s="99" t="s">
        <v>5076</v>
      </c>
      <c r="X716" s="99" t="s">
        <v>5076</v>
      </c>
      <c r="Y716" s="99" t="s">
        <v>5077</v>
      </c>
      <c r="Z716" s="99" t="s">
        <v>172</v>
      </c>
      <c r="AA716" s="99" t="s">
        <v>173</v>
      </c>
      <c r="AB716" s="99" t="s">
        <v>174</v>
      </c>
      <c r="AC716" s="99" t="s">
        <v>3411</v>
      </c>
      <c r="AD716" s="99" t="s">
        <v>175</v>
      </c>
      <c r="AE716" s="99" t="s">
        <v>3411</v>
      </c>
      <c r="AF716" s="99" t="s">
        <v>3411</v>
      </c>
      <c r="AG716" s="124">
        <v>24</v>
      </c>
      <c r="AH716" s="99" t="s">
        <v>3413</v>
      </c>
      <c r="AI716" s="125">
        <v>100</v>
      </c>
      <c r="AJ716" s="99" t="s">
        <v>176</v>
      </c>
      <c r="AK716" s="99" t="s">
        <v>5076</v>
      </c>
      <c r="AL716" s="99" t="s">
        <v>3411</v>
      </c>
      <c r="AM716" s="99" t="s">
        <v>177</v>
      </c>
      <c r="AN716" s="99" t="s">
        <v>3411</v>
      </c>
      <c r="AO716" s="99" t="s">
        <v>2457</v>
      </c>
      <c r="AP716" s="99" t="s">
        <v>2570</v>
      </c>
      <c r="AQ716" s="99" t="s">
        <v>3411</v>
      </c>
      <c r="AR716" s="99" t="s">
        <v>3411</v>
      </c>
      <c r="AS716" s="99" t="s">
        <v>5078</v>
      </c>
      <c r="AT716" s="99" t="s">
        <v>1</v>
      </c>
      <c r="AU716" s="99" t="s">
        <v>179</v>
      </c>
      <c r="AV716" s="99" t="s">
        <v>3414</v>
      </c>
      <c r="AW716" s="99" t="s">
        <v>180</v>
      </c>
      <c r="AX716" s="99" t="s">
        <v>3411</v>
      </c>
      <c r="AY716" s="99" t="s">
        <v>3411</v>
      </c>
      <c r="AZ716" s="99" t="s">
        <v>3411</v>
      </c>
      <c r="BA716" s="99" t="s">
        <v>4922</v>
      </c>
      <c r="BB716" s="99" t="s">
        <v>943</v>
      </c>
      <c r="BC716" s="125">
        <v>43</v>
      </c>
      <c r="BD716" s="99" t="s">
        <v>3135</v>
      </c>
      <c r="BE716" s="99" t="s">
        <v>3136</v>
      </c>
    </row>
    <row r="717" spans="1:57" ht="12.95" customHeight="1">
      <c r="A717" s="124">
        <v>35</v>
      </c>
      <c r="B717" s="124">
        <v>19</v>
      </c>
      <c r="C717" s="99" t="s">
        <v>2524</v>
      </c>
      <c r="D717" s="99" t="s">
        <v>3273</v>
      </c>
      <c r="E717" s="99" t="s">
        <v>2526</v>
      </c>
      <c r="F717" s="99" t="s">
        <v>3274</v>
      </c>
      <c r="G717" s="99" t="s">
        <v>2528</v>
      </c>
      <c r="H717" s="99" t="s">
        <v>2529</v>
      </c>
      <c r="I717" s="99" t="s">
        <v>2530</v>
      </c>
      <c r="J717" s="99" t="s">
        <v>2933</v>
      </c>
      <c r="K717" s="99" t="s">
        <v>485</v>
      </c>
      <c r="L717" s="99" t="s">
        <v>2934</v>
      </c>
      <c r="M717" s="99" t="s">
        <v>1</v>
      </c>
      <c r="N717" s="99" t="s">
        <v>3407</v>
      </c>
      <c r="O717" s="99" t="s">
        <v>114</v>
      </c>
      <c r="P717" s="99" t="s">
        <v>4931</v>
      </c>
      <c r="Q717" s="99" t="s">
        <v>169</v>
      </c>
      <c r="R717" s="99" t="s">
        <v>3409</v>
      </c>
      <c r="S717" s="99" t="s">
        <v>2636</v>
      </c>
      <c r="T717" s="99" t="s">
        <v>48</v>
      </c>
      <c r="U717" s="99" t="s">
        <v>410</v>
      </c>
      <c r="V717" s="99" t="s">
        <v>411</v>
      </c>
      <c r="W717" s="99" t="s">
        <v>4931</v>
      </c>
      <c r="X717" s="99" t="s">
        <v>4931</v>
      </c>
      <c r="Y717" s="99" t="s">
        <v>4932</v>
      </c>
      <c r="Z717" s="99" t="s">
        <v>172</v>
      </c>
      <c r="AA717" s="99" t="s">
        <v>173</v>
      </c>
      <c r="AB717" s="99" t="s">
        <v>174</v>
      </c>
      <c r="AC717" s="99" t="s">
        <v>3411</v>
      </c>
      <c r="AD717" s="99" t="s">
        <v>175</v>
      </c>
      <c r="AE717" s="99" t="s">
        <v>3411</v>
      </c>
      <c r="AF717" s="99" t="s">
        <v>3411</v>
      </c>
      <c r="AG717" s="124">
        <v>19</v>
      </c>
      <c r="AH717" s="99" t="s">
        <v>3413</v>
      </c>
      <c r="AI717" s="125">
        <v>100</v>
      </c>
      <c r="AJ717" s="99" t="s">
        <v>176</v>
      </c>
      <c r="AK717" s="99" t="s">
        <v>4931</v>
      </c>
      <c r="AL717" s="99" t="s">
        <v>3411</v>
      </c>
      <c r="AM717" s="99" t="s">
        <v>3480</v>
      </c>
      <c r="AN717" s="99" t="s">
        <v>233</v>
      </c>
      <c r="AO717" s="99" t="s">
        <v>2457</v>
      </c>
      <c r="AP717" s="99" t="s">
        <v>2570</v>
      </c>
      <c r="AQ717" s="99" t="s">
        <v>3411</v>
      </c>
      <c r="AR717" s="99" t="s">
        <v>3411</v>
      </c>
      <c r="AS717" s="99" t="s">
        <v>2935</v>
      </c>
      <c r="AT717" s="99" t="s">
        <v>1</v>
      </c>
      <c r="AU717" s="99" t="s">
        <v>179</v>
      </c>
      <c r="AV717" s="99" t="s">
        <v>3414</v>
      </c>
      <c r="AW717" s="99" t="s">
        <v>180</v>
      </c>
      <c r="AX717" s="99" t="s">
        <v>3420</v>
      </c>
      <c r="AY717" s="99" t="s">
        <v>252</v>
      </c>
      <c r="AZ717" s="99" t="s">
        <v>3416</v>
      </c>
      <c r="BA717" s="99" t="s">
        <v>4922</v>
      </c>
      <c r="BB717" s="99" t="s">
        <v>943</v>
      </c>
      <c r="BC717" s="125">
        <v>33</v>
      </c>
      <c r="BD717" s="99" t="s">
        <v>3135</v>
      </c>
      <c r="BE717" s="99" t="s">
        <v>3136</v>
      </c>
    </row>
    <row r="718" spans="1:57" ht="12.95" customHeight="1">
      <c r="A718" s="124">
        <v>35</v>
      </c>
      <c r="B718" s="124">
        <v>20</v>
      </c>
      <c r="C718" s="99" t="s">
        <v>2524</v>
      </c>
      <c r="D718" s="99" t="s">
        <v>3273</v>
      </c>
      <c r="E718" s="99" t="s">
        <v>2526</v>
      </c>
      <c r="F718" s="99" t="s">
        <v>3274</v>
      </c>
      <c r="G718" s="99" t="s">
        <v>2528</v>
      </c>
      <c r="H718" s="99" t="s">
        <v>2529</v>
      </c>
      <c r="I718" s="99" t="s">
        <v>2530</v>
      </c>
      <c r="J718" s="99" t="s">
        <v>1038</v>
      </c>
      <c r="K718" s="99" t="s">
        <v>612</v>
      </c>
      <c r="L718" s="99" t="s">
        <v>2936</v>
      </c>
      <c r="M718" s="99" t="s">
        <v>1</v>
      </c>
      <c r="N718" s="99" t="s">
        <v>3407</v>
      </c>
      <c r="O718" s="99" t="s">
        <v>114</v>
      </c>
      <c r="P718" s="99" t="s">
        <v>4933</v>
      </c>
      <c r="Q718" s="99" t="s">
        <v>169</v>
      </c>
      <c r="R718" s="99" t="s">
        <v>3409</v>
      </c>
      <c r="S718" s="99" t="s">
        <v>2636</v>
      </c>
      <c r="T718" s="99" t="s">
        <v>48</v>
      </c>
      <c r="U718" s="99" t="s">
        <v>410</v>
      </c>
      <c r="V718" s="99" t="s">
        <v>411</v>
      </c>
      <c r="W718" s="99" t="s">
        <v>4933</v>
      </c>
      <c r="X718" s="99" t="s">
        <v>4933</v>
      </c>
      <c r="Y718" s="99" t="s">
        <v>4934</v>
      </c>
      <c r="Z718" s="99" t="s">
        <v>172</v>
      </c>
      <c r="AA718" s="99" t="s">
        <v>173</v>
      </c>
      <c r="AB718" s="99" t="s">
        <v>174</v>
      </c>
      <c r="AC718" s="99" t="s">
        <v>3411</v>
      </c>
      <c r="AD718" s="99" t="s">
        <v>175</v>
      </c>
      <c r="AE718" s="99" t="s">
        <v>3411</v>
      </c>
      <c r="AF718" s="99" t="s">
        <v>3411</v>
      </c>
      <c r="AG718" s="124">
        <v>20</v>
      </c>
      <c r="AH718" s="99" t="s">
        <v>3413</v>
      </c>
      <c r="AI718" s="125">
        <v>100</v>
      </c>
      <c r="AJ718" s="99" t="s">
        <v>176</v>
      </c>
      <c r="AK718" s="99" t="s">
        <v>4933</v>
      </c>
      <c r="AL718" s="99" t="s">
        <v>3411</v>
      </c>
      <c r="AM718" s="99" t="s">
        <v>177</v>
      </c>
      <c r="AN718" s="99" t="s">
        <v>3411</v>
      </c>
      <c r="AO718" s="99" t="s">
        <v>2457</v>
      </c>
      <c r="AP718" s="99" t="s">
        <v>2570</v>
      </c>
      <c r="AQ718" s="99" t="s">
        <v>3411</v>
      </c>
      <c r="AR718" s="99" t="s">
        <v>3411</v>
      </c>
      <c r="AS718" s="99" t="s">
        <v>2937</v>
      </c>
      <c r="AT718" s="99" t="s">
        <v>1</v>
      </c>
      <c r="AU718" s="99" t="s">
        <v>179</v>
      </c>
      <c r="AV718" s="99" t="s">
        <v>3414</v>
      </c>
      <c r="AW718" s="99" t="s">
        <v>180</v>
      </c>
      <c r="AX718" s="99" t="s">
        <v>3420</v>
      </c>
      <c r="AY718" s="99" t="s">
        <v>252</v>
      </c>
      <c r="AZ718" s="99" t="s">
        <v>3416</v>
      </c>
      <c r="BA718" s="99" t="s">
        <v>4922</v>
      </c>
      <c r="BB718" s="99" t="s">
        <v>943</v>
      </c>
      <c r="BC718" s="125">
        <v>29</v>
      </c>
      <c r="BD718" s="99" t="s">
        <v>3135</v>
      </c>
      <c r="BE718" s="99" t="s">
        <v>3136</v>
      </c>
    </row>
    <row r="719" spans="1:57" ht="12.95" customHeight="1">
      <c r="A719" s="124">
        <v>35</v>
      </c>
      <c r="B719" s="124">
        <v>14</v>
      </c>
      <c r="C719" s="99" t="s">
        <v>2524</v>
      </c>
      <c r="D719" s="99" t="s">
        <v>3273</v>
      </c>
      <c r="E719" s="99" t="s">
        <v>2526</v>
      </c>
      <c r="F719" s="99" t="s">
        <v>3274</v>
      </c>
      <c r="G719" s="99" t="s">
        <v>2528</v>
      </c>
      <c r="H719" s="99" t="s">
        <v>2529</v>
      </c>
      <c r="I719" s="99" t="s">
        <v>2530</v>
      </c>
      <c r="J719" s="99" t="s">
        <v>939</v>
      </c>
      <c r="K719" s="99" t="s">
        <v>940</v>
      </c>
      <c r="L719" s="99" t="s">
        <v>941</v>
      </c>
      <c r="M719" s="99" t="s">
        <v>1</v>
      </c>
      <c r="N719" s="99" t="s">
        <v>3407</v>
      </c>
      <c r="O719" s="99" t="s">
        <v>114</v>
      </c>
      <c r="P719" s="99" t="s">
        <v>4935</v>
      </c>
      <c r="Q719" s="99" t="s">
        <v>169</v>
      </c>
      <c r="R719" s="99" t="s">
        <v>3409</v>
      </c>
      <c r="S719" s="99" t="s">
        <v>2636</v>
      </c>
      <c r="T719" s="99" t="s">
        <v>48</v>
      </c>
      <c r="U719" s="99" t="s">
        <v>170</v>
      </c>
      <c r="V719" s="99" t="s">
        <v>171</v>
      </c>
      <c r="W719" s="99" t="s">
        <v>4935</v>
      </c>
      <c r="X719" s="99" t="s">
        <v>3642</v>
      </c>
      <c r="Y719" s="99" t="s">
        <v>4936</v>
      </c>
      <c r="Z719" s="99" t="s">
        <v>172</v>
      </c>
      <c r="AA719" s="99" t="s">
        <v>173</v>
      </c>
      <c r="AB719" s="99" t="s">
        <v>2463</v>
      </c>
      <c r="AC719" s="99" t="s">
        <v>3411</v>
      </c>
      <c r="AD719" s="99" t="s">
        <v>175</v>
      </c>
      <c r="AE719" s="99" t="s">
        <v>3411</v>
      </c>
      <c r="AF719" s="99" t="s">
        <v>3411</v>
      </c>
      <c r="AG719" s="124">
        <v>14</v>
      </c>
      <c r="AH719" s="99" t="s">
        <v>3413</v>
      </c>
      <c r="AI719" s="125">
        <v>100</v>
      </c>
      <c r="AJ719" s="99" t="s">
        <v>176</v>
      </c>
      <c r="AK719" s="99" t="s">
        <v>4935</v>
      </c>
      <c r="AL719" s="99" t="s">
        <v>3411</v>
      </c>
      <c r="AM719" s="99" t="s">
        <v>177</v>
      </c>
      <c r="AN719" s="99" t="s">
        <v>3411</v>
      </c>
      <c r="AO719" s="99" t="s">
        <v>2457</v>
      </c>
      <c r="AP719" s="99" t="s">
        <v>2570</v>
      </c>
      <c r="AQ719" s="99" t="s">
        <v>3411</v>
      </c>
      <c r="AR719" s="99" t="s">
        <v>3411</v>
      </c>
      <c r="AS719" s="99" t="s">
        <v>942</v>
      </c>
      <c r="AT719" s="99" t="s">
        <v>1</v>
      </c>
      <c r="AU719" s="99" t="s">
        <v>179</v>
      </c>
      <c r="AV719" s="99" t="s">
        <v>3414</v>
      </c>
      <c r="AW719" s="99" t="s">
        <v>180</v>
      </c>
      <c r="AX719" s="99" t="s">
        <v>3420</v>
      </c>
      <c r="AY719" s="99" t="s">
        <v>252</v>
      </c>
      <c r="AZ719" s="99" t="s">
        <v>3416</v>
      </c>
      <c r="BA719" s="99" t="s">
        <v>4922</v>
      </c>
      <c r="BB719" s="99" t="s">
        <v>943</v>
      </c>
      <c r="BC719" s="125">
        <v>51</v>
      </c>
      <c r="BD719" s="99" t="s">
        <v>3135</v>
      </c>
      <c r="BE719" s="99" t="s">
        <v>3136</v>
      </c>
    </row>
    <row r="720" spans="1:57" ht="12.95" customHeight="1">
      <c r="A720" s="124">
        <v>35</v>
      </c>
      <c r="B720" s="124">
        <v>2</v>
      </c>
      <c r="C720" s="99" t="s">
        <v>2524</v>
      </c>
      <c r="D720" s="99" t="s">
        <v>3273</v>
      </c>
      <c r="E720" s="99" t="s">
        <v>2526</v>
      </c>
      <c r="F720" s="99" t="s">
        <v>3274</v>
      </c>
      <c r="G720" s="99" t="s">
        <v>2528</v>
      </c>
      <c r="H720" s="99" t="s">
        <v>2529</v>
      </c>
      <c r="I720" s="99" t="s">
        <v>2530</v>
      </c>
      <c r="J720" s="99" t="s">
        <v>2534</v>
      </c>
      <c r="K720" s="99" t="s">
        <v>2535</v>
      </c>
      <c r="L720" s="99" t="s">
        <v>2536</v>
      </c>
      <c r="M720" s="99" t="s">
        <v>1</v>
      </c>
      <c r="N720" s="99" t="s">
        <v>3407</v>
      </c>
      <c r="O720" s="99" t="s">
        <v>114</v>
      </c>
      <c r="P720" s="99" t="s">
        <v>3422</v>
      </c>
      <c r="Q720" s="99" t="s">
        <v>169</v>
      </c>
      <c r="R720" s="99" t="s">
        <v>3409</v>
      </c>
      <c r="S720" s="99" t="s">
        <v>2636</v>
      </c>
      <c r="T720" s="99" t="s">
        <v>52</v>
      </c>
      <c r="U720" s="99" t="s">
        <v>427</v>
      </c>
      <c r="V720" s="99" t="s">
        <v>428</v>
      </c>
      <c r="W720" s="99" t="s">
        <v>4937</v>
      </c>
      <c r="X720" s="99" t="s">
        <v>4938</v>
      </c>
      <c r="Y720" s="99" t="s">
        <v>4530</v>
      </c>
      <c r="Z720" s="99" t="s">
        <v>172</v>
      </c>
      <c r="AA720" s="99" t="s">
        <v>173</v>
      </c>
      <c r="AB720" s="99" t="s">
        <v>2463</v>
      </c>
      <c r="AC720" s="99" t="s">
        <v>3411</v>
      </c>
      <c r="AD720" s="99" t="s">
        <v>175</v>
      </c>
      <c r="AE720" s="99" t="s">
        <v>3411</v>
      </c>
      <c r="AF720" s="99" t="s">
        <v>3411</v>
      </c>
      <c r="AG720" s="124">
        <v>2</v>
      </c>
      <c r="AH720" s="99" t="s">
        <v>3413</v>
      </c>
      <c r="AI720" s="125">
        <v>100</v>
      </c>
      <c r="AJ720" s="99" t="s">
        <v>176</v>
      </c>
      <c r="AK720" s="99" t="s">
        <v>4938</v>
      </c>
      <c r="AL720" s="99" t="s">
        <v>3411</v>
      </c>
      <c r="AM720" s="99" t="s">
        <v>177</v>
      </c>
      <c r="AN720" s="99" t="s">
        <v>3411</v>
      </c>
      <c r="AO720" s="99" t="s">
        <v>2467</v>
      </c>
      <c r="AP720" s="99" t="s">
        <v>2570</v>
      </c>
      <c r="AQ720" s="99" t="s">
        <v>3411</v>
      </c>
      <c r="AR720" s="99" t="s">
        <v>3411</v>
      </c>
      <c r="AS720" s="99" t="s">
        <v>2537</v>
      </c>
      <c r="AT720" s="99" t="s">
        <v>1</v>
      </c>
      <c r="AU720" s="99" t="s">
        <v>179</v>
      </c>
      <c r="AV720" s="99" t="s">
        <v>3414</v>
      </c>
      <c r="AW720" s="99" t="s">
        <v>180</v>
      </c>
      <c r="AX720" s="99" t="s">
        <v>3420</v>
      </c>
      <c r="AY720" s="99" t="s">
        <v>252</v>
      </c>
      <c r="AZ720" s="99" t="s">
        <v>3416</v>
      </c>
      <c r="BA720" s="99" t="s">
        <v>4922</v>
      </c>
      <c r="BB720" s="99" t="s">
        <v>943</v>
      </c>
      <c r="BC720" s="125">
        <v>51</v>
      </c>
      <c r="BD720" s="99" t="s">
        <v>3135</v>
      </c>
      <c r="BE720" s="99" t="s">
        <v>3136</v>
      </c>
    </row>
    <row r="721" spans="1:57" ht="12.95" customHeight="1">
      <c r="A721" s="124">
        <v>35</v>
      </c>
      <c r="B721" s="124">
        <v>17</v>
      </c>
      <c r="C721" s="99" t="s">
        <v>2524</v>
      </c>
      <c r="D721" s="99" t="s">
        <v>3273</v>
      </c>
      <c r="E721" s="99" t="s">
        <v>2526</v>
      </c>
      <c r="F721" s="99" t="s">
        <v>3274</v>
      </c>
      <c r="G721" s="99" t="s">
        <v>2528</v>
      </c>
      <c r="H721" s="99" t="s">
        <v>2529</v>
      </c>
      <c r="I721" s="99" t="s">
        <v>2530</v>
      </c>
      <c r="J721" s="99" t="s">
        <v>2773</v>
      </c>
      <c r="K721" s="99" t="s">
        <v>1199</v>
      </c>
      <c r="L721" s="99" t="s">
        <v>2774</v>
      </c>
      <c r="M721" s="99" t="s">
        <v>1</v>
      </c>
      <c r="N721" s="99" t="s">
        <v>3407</v>
      </c>
      <c r="O721" s="99" t="s">
        <v>114</v>
      </c>
      <c r="P721" s="99" t="s">
        <v>4939</v>
      </c>
      <c r="Q721" s="99" t="s">
        <v>169</v>
      </c>
      <c r="R721" s="99" t="s">
        <v>3409</v>
      </c>
      <c r="S721" s="99" t="s">
        <v>2636</v>
      </c>
      <c r="T721" s="99" t="s">
        <v>48</v>
      </c>
      <c r="U721" s="99" t="s">
        <v>170</v>
      </c>
      <c r="V721" s="99" t="s">
        <v>171</v>
      </c>
      <c r="W721" s="99" t="s">
        <v>4939</v>
      </c>
      <c r="X721" s="99" t="s">
        <v>4939</v>
      </c>
      <c r="Y721" s="99" t="s">
        <v>4021</v>
      </c>
      <c r="Z721" s="99" t="s">
        <v>172</v>
      </c>
      <c r="AA721" s="99" t="s">
        <v>173</v>
      </c>
      <c r="AB721" s="99" t="s">
        <v>174</v>
      </c>
      <c r="AC721" s="99" t="s">
        <v>3411</v>
      </c>
      <c r="AD721" s="99" t="s">
        <v>175</v>
      </c>
      <c r="AE721" s="99" t="s">
        <v>3411</v>
      </c>
      <c r="AF721" s="99" t="s">
        <v>3411</v>
      </c>
      <c r="AG721" s="124">
        <v>17</v>
      </c>
      <c r="AH721" s="99" t="s">
        <v>3413</v>
      </c>
      <c r="AI721" s="125">
        <v>100</v>
      </c>
      <c r="AJ721" s="99" t="s">
        <v>176</v>
      </c>
      <c r="AK721" s="99" t="s">
        <v>4939</v>
      </c>
      <c r="AL721" s="99" t="s">
        <v>3411</v>
      </c>
      <c r="AM721" s="99" t="s">
        <v>177</v>
      </c>
      <c r="AN721" s="99" t="s">
        <v>3411</v>
      </c>
      <c r="AO721" s="99" t="s">
        <v>2457</v>
      </c>
      <c r="AP721" s="99" t="s">
        <v>2570</v>
      </c>
      <c r="AQ721" s="99" t="s">
        <v>3411</v>
      </c>
      <c r="AR721" s="99" t="s">
        <v>3411</v>
      </c>
      <c r="AS721" s="99" t="s">
        <v>2775</v>
      </c>
      <c r="AT721" s="99" t="s">
        <v>1</v>
      </c>
      <c r="AU721" s="99" t="s">
        <v>179</v>
      </c>
      <c r="AV721" s="99" t="s">
        <v>3414</v>
      </c>
      <c r="AW721" s="99" t="s">
        <v>180</v>
      </c>
      <c r="AX721" s="99" t="s">
        <v>3420</v>
      </c>
      <c r="AY721" s="99" t="s">
        <v>252</v>
      </c>
      <c r="AZ721" s="99" t="s">
        <v>3416</v>
      </c>
      <c r="BA721" s="99" t="s">
        <v>4922</v>
      </c>
      <c r="BB721" s="99" t="s">
        <v>943</v>
      </c>
      <c r="BC721" s="125">
        <v>50</v>
      </c>
      <c r="BD721" s="99" t="s">
        <v>3135</v>
      </c>
      <c r="BE721" s="99" t="s">
        <v>3136</v>
      </c>
    </row>
    <row r="722" spans="1:57" ht="12.95" customHeight="1">
      <c r="A722" s="124">
        <v>35</v>
      </c>
      <c r="B722" s="124">
        <v>21</v>
      </c>
      <c r="C722" s="99" t="s">
        <v>2524</v>
      </c>
      <c r="D722" s="99" t="s">
        <v>3273</v>
      </c>
      <c r="E722" s="99" t="s">
        <v>2526</v>
      </c>
      <c r="F722" s="99" t="s">
        <v>3274</v>
      </c>
      <c r="G722" s="99" t="s">
        <v>2528</v>
      </c>
      <c r="H722" s="99" t="s">
        <v>2529</v>
      </c>
      <c r="I722" s="99" t="s">
        <v>2530</v>
      </c>
      <c r="J722" s="99" t="s">
        <v>3052</v>
      </c>
      <c r="K722" s="99" t="s">
        <v>2497</v>
      </c>
      <c r="L722" s="99" t="s">
        <v>3053</v>
      </c>
      <c r="M722" s="99" t="s">
        <v>1</v>
      </c>
      <c r="N722" s="99" t="s">
        <v>3407</v>
      </c>
      <c r="O722" s="99" t="s">
        <v>114</v>
      </c>
      <c r="P722" s="99" t="s">
        <v>4940</v>
      </c>
      <c r="Q722" s="99" t="s">
        <v>169</v>
      </c>
      <c r="R722" s="99" t="s">
        <v>3409</v>
      </c>
      <c r="S722" s="99" t="s">
        <v>2636</v>
      </c>
      <c r="T722" s="99" t="s">
        <v>48</v>
      </c>
      <c r="U722" s="99" t="s">
        <v>440</v>
      </c>
      <c r="V722" s="99" t="s">
        <v>441</v>
      </c>
      <c r="W722" s="99" t="s">
        <v>4940</v>
      </c>
      <c r="X722" s="99" t="s">
        <v>4940</v>
      </c>
      <c r="Y722" s="99" t="s">
        <v>4941</v>
      </c>
      <c r="Z722" s="99" t="s">
        <v>172</v>
      </c>
      <c r="AA722" s="99" t="s">
        <v>173</v>
      </c>
      <c r="AB722" s="99" t="s">
        <v>316</v>
      </c>
      <c r="AC722" s="99" t="s">
        <v>3411</v>
      </c>
      <c r="AD722" s="99" t="s">
        <v>175</v>
      </c>
      <c r="AE722" s="99" t="s">
        <v>3411</v>
      </c>
      <c r="AF722" s="99" t="s">
        <v>3411</v>
      </c>
      <c r="AG722" s="124">
        <v>21</v>
      </c>
      <c r="AH722" s="99" t="s">
        <v>3413</v>
      </c>
      <c r="AI722" s="125">
        <v>100</v>
      </c>
      <c r="AJ722" s="99" t="s">
        <v>176</v>
      </c>
      <c r="AK722" s="99" t="s">
        <v>4940</v>
      </c>
      <c r="AL722" s="99" t="s">
        <v>3411</v>
      </c>
      <c r="AM722" s="99" t="s">
        <v>177</v>
      </c>
      <c r="AN722" s="99" t="s">
        <v>3411</v>
      </c>
      <c r="AO722" s="99" t="s">
        <v>2457</v>
      </c>
      <c r="AP722" s="99" t="s">
        <v>2570</v>
      </c>
      <c r="AQ722" s="99" t="s">
        <v>3411</v>
      </c>
      <c r="AR722" s="99" t="s">
        <v>3411</v>
      </c>
      <c r="AS722" s="99" t="s">
        <v>3054</v>
      </c>
      <c r="AT722" s="99" t="s">
        <v>1</v>
      </c>
      <c r="AU722" s="99" t="s">
        <v>179</v>
      </c>
      <c r="AV722" s="99" t="s">
        <v>3414</v>
      </c>
      <c r="AW722" s="99" t="s">
        <v>180</v>
      </c>
      <c r="AX722" s="99" t="s">
        <v>3420</v>
      </c>
      <c r="AY722" s="99" t="s">
        <v>252</v>
      </c>
      <c r="AZ722" s="99" t="s">
        <v>3416</v>
      </c>
      <c r="BA722" s="99" t="s">
        <v>4922</v>
      </c>
      <c r="BB722" s="99" t="s">
        <v>943</v>
      </c>
      <c r="BC722" s="125">
        <v>31</v>
      </c>
      <c r="BD722" s="99" t="s">
        <v>3135</v>
      </c>
      <c r="BE722" s="99" t="s">
        <v>3136</v>
      </c>
    </row>
    <row r="723" spans="1:57" ht="12.95" customHeight="1">
      <c r="A723" s="124">
        <v>35</v>
      </c>
      <c r="B723" s="124">
        <v>5</v>
      </c>
      <c r="C723" s="99" t="s">
        <v>2524</v>
      </c>
      <c r="D723" s="99" t="s">
        <v>3273</v>
      </c>
      <c r="E723" s="99" t="s">
        <v>2526</v>
      </c>
      <c r="F723" s="99" t="s">
        <v>3274</v>
      </c>
      <c r="G723" s="99" t="s">
        <v>2528</v>
      </c>
      <c r="H723" s="99" t="s">
        <v>2529</v>
      </c>
      <c r="I723" s="99" t="s">
        <v>2530</v>
      </c>
      <c r="J723" s="99" t="s">
        <v>2538</v>
      </c>
      <c r="K723" s="99" t="s">
        <v>2539</v>
      </c>
      <c r="L723" s="99" t="s">
        <v>2540</v>
      </c>
      <c r="M723" s="99" t="s">
        <v>1</v>
      </c>
      <c r="N723" s="99" t="s">
        <v>3407</v>
      </c>
      <c r="O723" s="99" t="s">
        <v>114</v>
      </c>
      <c r="P723" s="99" t="s">
        <v>3422</v>
      </c>
      <c r="Q723" s="99" t="s">
        <v>169</v>
      </c>
      <c r="R723" s="99" t="s">
        <v>3409</v>
      </c>
      <c r="S723" s="99" t="s">
        <v>2636</v>
      </c>
      <c r="T723" s="99" t="s">
        <v>48</v>
      </c>
      <c r="U723" s="99" t="s">
        <v>184</v>
      </c>
      <c r="V723" s="99" t="s">
        <v>185</v>
      </c>
      <c r="W723" s="99" t="s">
        <v>4942</v>
      </c>
      <c r="X723" s="99" t="s">
        <v>4943</v>
      </c>
      <c r="Y723" s="99" t="s">
        <v>4944</v>
      </c>
      <c r="Z723" s="99" t="s">
        <v>172</v>
      </c>
      <c r="AA723" s="99" t="s">
        <v>173</v>
      </c>
      <c r="AB723" s="99" t="s">
        <v>2463</v>
      </c>
      <c r="AC723" s="99" t="s">
        <v>3411</v>
      </c>
      <c r="AD723" s="99" t="s">
        <v>175</v>
      </c>
      <c r="AE723" s="99" t="s">
        <v>3411</v>
      </c>
      <c r="AF723" s="99" t="s">
        <v>3411</v>
      </c>
      <c r="AG723" s="124">
        <v>5</v>
      </c>
      <c r="AH723" s="99" t="s">
        <v>3413</v>
      </c>
      <c r="AI723" s="125">
        <v>100</v>
      </c>
      <c r="AJ723" s="99" t="s">
        <v>176</v>
      </c>
      <c r="AK723" s="99" t="s">
        <v>4943</v>
      </c>
      <c r="AL723" s="99" t="s">
        <v>3411</v>
      </c>
      <c r="AM723" s="99" t="s">
        <v>177</v>
      </c>
      <c r="AN723" s="99" t="s">
        <v>3411</v>
      </c>
      <c r="AO723" s="99" t="s">
        <v>2467</v>
      </c>
      <c r="AP723" s="99" t="s">
        <v>2570</v>
      </c>
      <c r="AQ723" s="99" t="s">
        <v>3411</v>
      </c>
      <c r="AR723" s="99" t="s">
        <v>3411</v>
      </c>
      <c r="AS723" s="99" t="s">
        <v>2541</v>
      </c>
      <c r="AT723" s="99" t="s">
        <v>1</v>
      </c>
      <c r="AU723" s="99" t="s">
        <v>179</v>
      </c>
      <c r="AV723" s="99" t="s">
        <v>3414</v>
      </c>
      <c r="AW723" s="99" t="s">
        <v>180</v>
      </c>
      <c r="AX723" s="99" t="s">
        <v>3420</v>
      </c>
      <c r="AY723" s="99" t="s">
        <v>252</v>
      </c>
      <c r="AZ723" s="99" t="s">
        <v>3416</v>
      </c>
      <c r="BA723" s="99" t="s">
        <v>4922</v>
      </c>
      <c r="BB723" s="99" t="s">
        <v>943</v>
      </c>
      <c r="BC723" s="125">
        <v>47</v>
      </c>
      <c r="BD723" s="99" t="s">
        <v>3135</v>
      </c>
      <c r="BE723" s="99" t="s">
        <v>3136</v>
      </c>
    </row>
    <row r="724" spans="1:57" ht="12.95" customHeight="1">
      <c r="A724" s="124">
        <v>35</v>
      </c>
      <c r="B724" s="124">
        <v>13</v>
      </c>
      <c r="C724" s="99" t="s">
        <v>2524</v>
      </c>
      <c r="D724" s="99" t="s">
        <v>3273</v>
      </c>
      <c r="E724" s="99" t="s">
        <v>2526</v>
      </c>
      <c r="F724" s="99" t="s">
        <v>3274</v>
      </c>
      <c r="G724" s="99" t="s">
        <v>2528</v>
      </c>
      <c r="H724" s="99" t="s">
        <v>2529</v>
      </c>
      <c r="I724" s="99" t="s">
        <v>2530</v>
      </c>
      <c r="J724" s="99" t="s">
        <v>2542</v>
      </c>
      <c r="K724" s="99" t="s">
        <v>475</v>
      </c>
      <c r="L724" s="99" t="s">
        <v>2543</v>
      </c>
      <c r="M724" s="99" t="s">
        <v>5</v>
      </c>
      <c r="N724" s="99" t="s">
        <v>3407</v>
      </c>
      <c r="O724" s="99" t="s">
        <v>114</v>
      </c>
      <c r="P724" s="99" t="s">
        <v>4899</v>
      </c>
      <c r="Q724" s="99" t="s">
        <v>169</v>
      </c>
      <c r="R724" s="99" t="s">
        <v>3409</v>
      </c>
      <c r="S724" s="99" t="s">
        <v>2636</v>
      </c>
      <c r="T724" s="99" t="s">
        <v>48</v>
      </c>
      <c r="U724" s="99" t="s">
        <v>184</v>
      </c>
      <c r="V724" s="99" t="s">
        <v>185</v>
      </c>
      <c r="W724" s="99" t="s">
        <v>4899</v>
      </c>
      <c r="X724" s="99" t="s">
        <v>4899</v>
      </c>
      <c r="Y724" s="99" t="s">
        <v>4945</v>
      </c>
      <c r="Z724" s="99" t="s">
        <v>172</v>
      </c>
      <c r="AA724" s="99" t="s">
        <v>173</v>
      </c>
      <c r="AB724" s="99" t="s">
        <v>174</v>
      </c>
      <c r="AC724" s="99" t="s">
        <v>3411</v>
      </c>
      <c r="AD724" s="99" t="s">
        <v>175</v>
      </c>
      <c r="AE724" s="99" t="s">
        <v>3411</v>
      </c>
      <c r="AF724" s="99" t="s">
        <v>3411</v>
      </c>
      <c r="AG724" s="124">
        <v>13</v>
      </c>
      <c r="AH724" s="99" t="s">
        <v>3413</v>
      </c>
      <c r="AI724" s="125">
        <v>100</v>
      </c>
      <c r="AJ724" s="99" t="s">
        <v>176</v>
      </c>
      <c r="AK724" s="99" t="s">
        <v>4899</v>
      </c>
      <c r="AL724" s="99" t="s">
        <v>3411</v>
      </c>
      <c r="AM724" s="99" t="s">
        <v>177</v>
      </c>
      <c r="AN724" s="99" t="s">
        <v>3411</v>
      </c>
      <c r="AO724" s="99" t="s">
        <v>2457</v>
      </c>
      <c r="AP724" s="99" t="s">
        <v>2570</v>
      </c>
      <c r="AQ724" s="99" t="s">
        <v>3411</v>
      </c>
      <c r="AR724" s="99" t="s">
        <v>3411</v>
      </c>
      <c r="AS724" s="99" t="s">
        <v>3004</v>
      </c>
      <c r="AT724" s="99" t="s">
        <v>1</v>
      </c>
      <c r="AU724" s="99" t="s">
        <v>179</v>
      </c>
      <c r="AV724" s="99" t="s">
        <v>3414</v>
      </c>
      <c r="AW724" s="99" t="s">
        <v>180</v>
      </c>
      <c r="AX724" s="99" t="s">
        <v>3420</v>
      </c>
      <c r="AY724" s="99" t="s">
        <v>252</v>
      </c>
      <c r="AZ724" s="99" t="s">
        <v>3416</v>
      </c>
      <c r="BA724" s="99" t="s">
        <v>4922</v>
      </c>
      <c r="BB724" s="99" t="s">
        <v>943</v>
      </c>
      <c r="BC724" s="125">
        <v>54</v>
      </c>
      <c r="BD724" s="99" t="s">
        <v>3135</v>
      </c>
      <c r="BE724" s="99" t="s">
        <v>3136</v>
      </c>
    </row>
    <row r="725" spans="1:57" ht="12.95" customHeight="1">
      <c r="A725" s="124">
        <v>35</v>
      </c>
      <c r="B725" s="124">
        <v>6</v>
      </c>
      <c r="C725" s="99" t="s">
        <v>2524</v>
      </c>
      <c r="D725" s="99" t="s">
        <v>3273</v>
      </c>
      <c r="E725" s="99" t="s">
        <v>2526</v>
      </c>
      <c r="F725" s="99" t="s">
        <v>3274</v>
      </c>
      <c r="G725" s="99" t="s">
        <v>2528</v>
      </c>
      <c r="H725" s="99" t="s">
        <v>2529</v>
      </c>
      <c r="I725" s="99" t="s">
        <v>2530</v>
      </c>
      <c r="J725" s="99" t="s">
        <v>2544</v>
      </c>
      <c r="K725" s="99" t="s">
        <v>341</v>
      </c>
      <c r="L725" s="99" t="s">
        <v>2545</v>
      </c>
      <c r="M725" s="99" t="s">
        <v>1</v>
      </c>
      <c r="N725" s="99" t="s">
        <v>3407</v>
      </c>
      <c r="O725" s="99" t="s">
        <v>114</v>
      </c>
      <c r="P725" s="99" t="s">
        <v>3422</v>
      </c>
      <c r="Q725" s="99" t="s">
        <v>169</v>
      </c>
      <c r="R725" s="99" t="s">
        <v>3409</v>
      </c>
      <c r="S725" s="99" t="s">
        <v>2636</v>
      </c>
      <c r="T725" s="99" t="s">
        <v>52</v>
      </c>
      <c r="U725" s="99" t="s">
        <v>427</v>
      </c>
      <c r="V725" s="99" t="s">
        <v>428</v>
      </c>
      <c r="W725" s="99" t="s">
        <v>4942</v>
      </c>
      <c r="X725" s="99" t="s">
        <v>4120</v>
      </c>
      <c r="Y725" s="99" t="s">
        <v>4946</v>
      </c>
      <c r="Z725" s="99" t="s">
        <v>172</v>
      </c>
      <c r="AA725" s="99" t="s">
        <v>173</v>
      </c>
      <c r="AB725" s="99" t="s">
        <v>2463</v>
      </c>
      <c r="AC725" s="99" t="s">
        <v>3411</v>
      </c>
      <c r="AD725" s="99" t="s">
        <v>175</v>
      </c>
      <c r="AE725" s="99" t="s">
        <v>3411</v>
      </c>
      <c r="AF725" s="99" t="s">
        <v>3411</v>
      </c>
      <c r="AG725" s="124">
        <v>6</v>
      </c>
      <c r="AH725" s="99" t="s">
        <v>3413</v>
      </c>
      <c r="AI725" s="125">
        <v>100</v>
      </c>
      <c r="AJ725" s="99" t="s">
        <v>176</v>
      </c>
      <c r="AK725" s="99" t="s">
        <v>4120</v>
      </c>
      <c r="AL725" s="99" t="s">
        <v>3411</v>
      </c>
      <c r="AM725" s="99" t="s">
        <v>177</v>
      </c>
      <c r="AN725" s="99" t="s">
        <v>3411</v>
      </c>
      <c r="AO725" s="99" t="s">
        <v>2467</v>
      </c>
      <c r="AP725" s="99" t="s">
        <v>2570</v>
      </c>
      <c r="AQ725" s="99" t="s">
        <v>3411</v>
      </c>
      <c r="AR725" s="99" t="s">
        <v>3411</v>
      </c>
      <c r="AS725" s="99" t="s">
        <v>2546</v>
      </c>
      <c r="AT725" s="99" t="s">
        <v>1</v>
      </c>
      <c r="AU725" s="99" t="s">
        <v>179</v>
      </c>
      <c r="AV725" s="99" t="s">
        <v>3414</v>
      </c>
      <c r="AW725" s="99" t="s">
        <v>180</v>
      </c>
      <c r="AX725" s="99" t="s">
        <v>3420</v>
      </c>
      <c r="AY725" s="99" t="s">
        <v>252</v>
      </c>
      <c r="AZ725" s="99" t="s">
        <v>3416</v>
      </c>
      <c r="BA725" s="99" t="s">
        <v>4922</v>
      </c>
      <c r="BB725" s="99" t="s">
        <v>943</v>
      </c>
      <c r="BC725" s="125">
        <v>50</v>
      </c>
      <c r="BD725" s="99" t="s">
        <v>3135</v>
      </c>
      <c r="BE725" s="99" t="s">
        <v>3136</v>
      </c>
    </row>
    <row r="726" spans="1:57" ht="12.95" customHeight="1">
      <c r="A726" s="124">
        <v>35</v>
      </c>
      <c r="B726" s="124">
        <v>10</v>
      </c>
      <c r="C726" s="99" t="s">
        <v>2524</v>
      </c>
      <c r="D726" s="99" t="s">
        <v>3273</v>
      </c>
      <c r="E726" s="99" t="s">
        <v>2526</v>
      </c>
      <c r="F726" s="99" t="s">
        <v>3274</v>
      </c>
      <c r="G726" s="99" t="s">
        <v>2528</v>
      </c>
      <c r="H726" s="99" t="s">
        <v>2529</v>
      </c>
      <c r="I726" s="99" t="s">
        <v>2530</v>
      </c>
      <c r="J726" s="99" t="s">
        <v>2547</v>
      </c>
      <c r="K726" s="99" t="s">
        <v>196</v>
      </c>
      <c r="L726" s="99" t="s">
        <v>2548</v>
      </c>
      <c r="M726" s="99" t="s">
        <v>1</v>
      </c>
      <c r="N726" s="99" t="s">
        <v>3407</v>
      </c>
      <c r="O726" s="99" t="s">
        <v>114</v>
      </c>
      <c r="P726" s="99" t="s">
        <v>3422</v>
      </c>
      <c r="Q726" s="99" t="s">
        <v>169</v>
      </c>
      <c r="R726" s="99" t="s">
        <v>3427</v>
      </c>
      <c r="S726" s="99" t="s">
        <v>2635</v>
      </c>
      <c r="T726" s="99" t="s">
        <v>58</v>
      </c>
      <c r="U726" s="99" t="s">
        <v>187</v>
      </c>
      <c r="V726" s="99" t="s">
        <v>188</v>
      </c>
      <c r="W726" s="99" t="s">
        <v>4947</v>
      </c>
      <c r="X726" s="99" t="s">
        <v>3812</v>
      </c>
      <c r="Y726" s="99" t="s">
        <v>4948</v>
      </c>
      <c r="Z726" s="99" t="s">
        <v>172</v>
      </c>
      <c r="AA726" s="99" t="s">
        <v>173</v>
      </c>
      <c r="AB726" s="99" t="s">
        <v>834</v>
      </c>
      <c r="AC726" s="99" t="s">
        <v>3411</v>
      </c>
      <c r="AD726" s="99" t="s">
        <v>175</v>
      </c>
      <c r="AE726" s="99" t="s">
        <v>3411</v>
      </c>
      <c r="AF726" s="99" t="s">
        <v>3411</v>
      </c>
      <c r="AG726" s="124">
        <v>10</v>
      </c>
      <c r="AH726" s="99" t="s">
        <v>3413</v>
      </c>
      <c r="AI726" s="125">
        <v>100</v>
      </c>
      <c r="AJ726" s="99" t="s">
        <v>176</v>
      </c>
      <c r="AK726" s="99" t="s">
        <v>3563</v>
      </c>
      <c r="AL726" s="99" t="s">
        <v>3411</v>
      </c>
      <c r="AM726" s="99" t="s">
        <v>177</v>
      </c>
      <c r="AN726" s="99" t="s">
        <v>3411</v>
      </c>
      <c r="AO726" s="99" t="s">
        <v>189</v>
      </c>
      <c r="AP726" s="99" t="s">
        <v>2570</v>
      </c>
      <c r="AQ726" s="99" t="s">
        <v>3411</v>
      </c>
      <c r="AR726" s="99" t="s">
        <v>3411</v>
      </c>
      <c r="AS726" s="99" t="s">
        <v>2549</v>
      </c>
      <c r="AT726" s="99" t="s">
        <v>1</v>
      </c>
      <c r="AU726" s="99" t="s">
        <v>179</v>
      </c>
      <c r="AV726" s="99" t="s">
        <v>3414</v>
      </c>
      <c r="AW726" s="99" t="s">
        <v>180</v>
      </c>
      <c r="AX726" s="99" t="s">
        <v>3420</v>
      </c>
      <c r="AY726" s="99" t="s">
        <v>252</v>
      </c>
      <c r="AZ726" s="99" t="s">
        <v>3430</v>
      </c>
      <c r="BA726" s="99" t="s">
        <v>3421</v>
      </c>
      <c r="BB726" s="99" t="s">
        <v>381</v>
      </c>
      <c r="BC726" s="125">
        <v>55</v>
      </c>
      <c r="BD726" s="99" t="s">
        <v>3135</v>
      </c>
      <c r="BE726" s="99" t="s">
        <v>3136</v>
      </c>
    </row>
    <row r="727" spans="1:57" ht="12.95" customHeight="1">
      <c r="A727" s="124">
        <v>35</v>
      </c>
      <c r="B727" s="124">
        <v>7</v>
      </c>
      <c r="C727" s="99" t="s">
        <v>2524</v>
      </c>
      <c r="D727" s="99" t="s">
        <v>3273</v>
      </c>
      <c r="E727" s="99" t="s">
        <v>2526</v>
      </c>
      <c r="F727" s="99" t="s">
        <v>3274</v>
      </c>
      <c r="G727" s="99" t="s">
        <v>2528</v>
      </c>
      <c r="H727" s="99" t="s">
        <v>2529</v>
      </c>
      <c r="I727" s="99" t="s">
        <v>2530</v>
      </c>
      <c r="J727" s="99" t="s">
        <v>2550</v>
      </c>
      <c r="K727" s="99" t="s">
        <v>953</v>
      </c>
      <c r="L727" s="99" t="s">
        <v>2551</v>
      </c>
      <c r="M727" s="99" t="s">
        <v>1</v>
      </c>
      <c r="N727" s="99" t="s">
        <v>3407</v>
      </c>
      <c r="O727" s="99" t="s">
        <v>114</v>
      </c>
      <c r="P727" s="99" t="s">
        <v>3422</v>
      </c>
      <c r="Q727" s="99" t="s">
        <v>169</v>
      </c>
      <c r="R727" s="99" t="s">
        <v>3409</v>
      </c>
      <c r="S727" s="99" t="s">
        <v>2636</v>
      </c>
      <c r="T727" s="99" t="s">
        <v>48</v>
      </c>
      <c r="U727" s="99" t="s">
        <v>170</v>
      </c>
      <c r="V727" s="99" t="s">
        <v>171</v>
      </c>
      <c r="W727" s="99" t="s">
        <v>4942</v>
      </c>
      <c r="X727" s="99" t="s">
        <v>4949</v>
      </c>
      <c r="Y727" s="99" t="s">
        <v>4950</v>
      </c>
      <c r="Z727" s="99" t="s">
        <v>172</v>
      </c>
      <c r="AA727" s="99" t="s">
        <v>173</v>
      </c>
      <c r="AB727" s="99" t="s">
        <v>2463</v>
      </c>
      <c r="AC727" s="99" t="s">
        <v>3411</v>
      </c>
      <c r="AD727" s="99" t="s">
        <v>175</v>
      </c>
      <c r="AE727" s="99" t="s">
        <v>3411</v>
      </c>
      <c r="AF727" s="99" t="s">
        <v>3411</v>
      </c>
      <c r="AG727" s="124">
        <v>7</v>
      </c>
      <c r="AH727" s="99" t="s">
        <v>3413</v>
      </c>
      <c r="AI727" s="125">
        <v>100</v>
      </c>
      <c r="AJ727" s="99" t="s">
        <v>176</v>
      </c>
      <c r="AK727" s="99" t="s">
        <v>4949</v>
      </c>
      <c r="AL727" s="99" t="s">
        <v>3411</v>
      </c>
      <c r="AM727" s="99" t="s">
        <v>177</v>
      </c>
      <c r="AN727" s="99" t="s">
        <v>3411</v>
      </c>
      <c r="AO727" s="99" t="s">
        <v>2467</v>
      </c>
      <c r="AP727" s="99" t="s">
        <v>2570</v>
      </c>
      <c r="AQ727" s="99" t="s">
        <v>3411</v>
      </c>
      <c r="AR727" s="99" t="s">
        <v>3411</v>
      </c>
      <c r="AS727" s="99" t="s">
        <v>2552</v>
      </c>
      <c r="AT727" s="99" t="s">
        <v>1</v>
      </c>
      <c r="AU727" s="99" t="s">
        <v>179</v>
      </c>
      <c r="AV727" s="99" t="s">
        <v>3414</v>
      </c>
      <c r="AW727" s="99" t="s">
        <v>180</v>
      </c>
      <c r="AX727" s="99" t="s">
        <v>4951</v>
      </c>
      <c r="AY727" s="99" t="s">
        <v>252</v>
      </c>
      <c r="AZ727" s="99" t="s">
        <v>3416</v>
      </c>
      <c r="BA727" s="99" t="s">
        <v>4922</v>
      </c>
      <c r="BB727" s="99" t="s">
        <v>943</v>
      </c>
      <c r="BC727" s="125">
        <v>62</v>
      </c>
      <c r="BD727" s="99" t="s">
        <v>3135</v>
      </c>
      <c r="BE727" s="99" t="s">
        <v>3136</v>
      </c>
    </row>
    <row r="728" spans="1:57" ht="12.95" customHeight="1">
      <c r="A728" s="124">
        <v>35</v>
      </c>
      <c r="B728" s="124">
        <v>9</v>
      </c>
      <c r="C728" s="99" t="s">
        <v>2524</v>
      </c>
      <c r="D728" s="99" t="s">
        <v>3273</v>
      </c>
      <c r="E728" s="99" t="s">
        <v>2526</v>
      </c>
      <c r="F728" s="99" t="s">
        <v>3274</v>
      </c>
      <c r="G728" s="99" t="s">
        <v>2528</v>
      </c>
      <c r="H728" s="99" t="s">
        <v>2553</v>
      </c>
      <c r="I728" s="99" t="s">
        <v>2554</v>
      </c>
      <c r="J728" s="99" t="s">
        <v>2555</v>
      </c>
      <c r="K728" s="99" t="s">
        <v>1735</v>
      </c>
      <c r="L728" s="99" t="s">
        <v>2556</v>
      </c>
      <c r="M728" s="99" t="s">
        <v>1</v>
      </c>
      <c r="N728" s="99" t="s">
        <v>3407</v>
      </c>
      <c r="O728" s="99" t="s">
        <v>114</v>
      </c>
      <c r="P728" s="99" t="s">
        <v>3422</v>
      </c>
      <c r="Q728" s="99" t="s">
        <v>169</v>
      </c>
      <c r="R728" s="99" t="s">
        <v>3409</v>
      </c>
      <c r="S728" s="99" t="s">
        <v>2636</v>
      </c>
      <c r="T728" s="99" t="s">
        <v>52</v>
      </c>
      <c r="U728" s="99" t="s">
        <v>427</v>
      </c>
      <c r="V728" s="99" t="s">
        <v>428</v>
      </c>
      <c r="W728" s="99" t="s">
        <v>4070</v>
      </c>
      <c r="X728" s="99" t="s">
        <v>4070</v>
      </c>
      <c r="Y728" s="99" t="s">
        <v>4952</v>
      </c>
      <c r="Z728" s="99" t="s">
        <v>172</v>
      </c>
      <c r="AA728" s="99" t="s">
        <v>173</v>
      </c>
      <c r="AB728" s="99" t="s">
        <v>174</v>
      </c>
      <c r="AC728" s="99" t="s">
        <v>3411</v>
      </c>
      <c r="AD728" s="99" t="s">
        <v>175</v>
      </c>
      <c r="AE728" s="99" t="s">
        <v>3411</v>
      </c>
      <c r="AF728" s="99" t="s">
        <v>3411</v>
      </c>
      <c r="AG728" s="124">
        <v>9</v>
      </c>
      <c r="AH728" s="99" t="s">
        <v>3413</v>
      </c>
      <c r="AI728" s="125">
        <v>100</v>
      </c>
      <c r="AJ728" s="99" t="s">
        <v>176</v>
      </c>
      <c r="AK728" s="99" t="s">
        <v>4070</v>
      </c>
      <c r="AL728" s="99" t="s">
        <v>3411</v>
      </c>
      <c r="AM728" s="99" t="s">
        <v>177</v>
      </c>
      <c r="AN728" s="99" t="s">
        <v>3411</v>
      </c>
      <c r="AO728" s="99" t="s">
        <v>2467</v>
      </c>
      <c r="AP728" s="99" t="s">
        <v>2570</v>
      </c>
      <c r="AQ728" s="99" t="s">
        <v>3411</v>
      </c>
      <c r="AR728" s="99" t="s">
        <v>3411</v>
      </c>
      <c r="AS728" s="99" t="s">
        <v>2557</v>
      </c>
      <c r="AT728" s="99" t="s">
        <v>1</v>
      </c>
      <c r="AU728" s="99" t="s">
        <v>179</v>
      </c>
      <c r="AV728" s="99" t="s">
        <v>3414</v>
      </c>
      <c r="AW728" s="99" t="s">
        <v>180</v>
      </c>
      <c r="AX728" s="99" t="s">
        <v>3420</v>
      </c>
      <c r="AY728" s="99" t="s">
        <v>252</v>
      </c>
      <c r="AZ728" s="99" t="s">
        <v>3416</v>
      </c>
      <c r="BA728" s="99" t="s">
        <v>3421</v>
      </c>
      <c r="BB728" s="99" t="s">
        <v>381</v>
      </c>
      <c r="BC728" s="125">
        <v>54</v>
      </c>
      <c r="BD728" s="99" t="s">
        <v>3135</v>
      </c>
      <c r="BE728" s="99" t="s">
        <v>3136</v>
      </c>
    </row>
    <row r="729" spans="1:57" ht="12.95" customHeight="1">
      <c r="A729" s="124">
        <v>35</v>
      </c>
      <c r="B729" s="124">
        <v>1</v>
      </c>
      <c r="C729" s="99" t="s">
        <v>2524</v>
      </c>
      <c r="D729" s="99" t="s">
        <v>3273</v>
      </c>
      <c r="E729" s="99" t="s">
        <v>2526</v>
      </c>
      <c r="F729" s="99" t="s">
        <v>3274</v>
      </c>
      <c r="G729" s="99" t="s">
        <v>2528</v>
      </c>
      <c r="H729" s="99" t="s">
        <v>2553</v>
      </c>
      <c r="I729" s="99" t="s">
        <v>2554</v>
      </c>
      <c r="J729" s="99" t="s">
        <v>2558</v>
      </c>
      <c r="K729" s="99" t="s">
        <v>2559</v>
      </c>
      <c r="L729" s="99" t="s">
        <v>2560</v>
      </c>
      <c r="M729" s="99" t="s">
        <v>1</v>
      </c>
      <c r="N729" s="99" t="s">
        <v>3407</v>
      </c>
      <c r="O729" s="99" t="s">
        <v>114</v>
      </c>
      <c r="P729" s="99" t="s">
        <v>3422</v>
      </c>
      <c r="Q729" s="99" t="s">
        <v>169</v>
      </c>
      <c r="R729" s="99" t="s">
        <v>3409</v>
      </c>
      <c r="S729" s="99" t="s">
        <v>2636</v>
      </c>
      <c r="T729" s="99" t="s">
        <v>52</v>
      </c>
      <c r="U729" s="99" t="s">
        <v>427</v>
      </c>
      <c r="V729" s="99" t="s">
        <v>428</v>
      </c>
      <c r="W729" s="99" t="s">
        <v>4937</v>
      </c>
      <c r="X729" s="99" t="s">
        <v>3837</v>
      </c>
      <c r="Y729" s="99" t="s">
        <v>4953</v>
      </c>
      <c r="Z729" s="99" t="s">
        <v>172</v>
      </c>
      <c r="AA729" s="99" t="s">
        <v>173</v>
      </c>
      <c r="AB729" s="99" t="s">
        <v>2463</v>
      </c>
      <c r="AC729" s="99" t="s">
        <v>3411</v>
      </c>
      <c r="AD729" s="99" t="s">
        <v>175</v>
      </c>
      <c r="AE729" s="99" t="s">
        <v>3411</v>
      </c>
      <c r="AF729" s="99" t="s">
        <v>3411</v>
      </c>
      <c r="AG729" s="124">
        <v>1</v>
      </c>
      <c r="AH729" s="99" t="s">
        <v>3413</v>
      </c>
      <c r="AI729" s="125">
        <v>100</v>
      </c>
      <c r="AJ729" s="99" t="s">
        <v>176</v>
      </c>
      <c r="AK729" s="99" t="s">
        <v>3837</v>
      </c>
      <c r="AL729" s="99" t="s">
        <v>3411</v>
      </c>
      <c r="AM729" s="99" t="s">
        <v>177</v>
      </c>
      <c r="AN729" s="99" t="s">
        <v>3411</v>
      </c>
      <c r="AO729" s="99" t="s">
        <v>2467</v>
      </c>
      <c r="AP729" s="99" t="s">
        <v>2570</v>
      </c>
      <c r="AQ729" s="99" t="s">
        <v>3411</v>
      </c>
      <c r="AR729" s="99" t="s">
        <v>210</v>
      </c>
      <c r="AS729" s="99" t="s">
        <v>2561</v>
      </c>
      <c r="AT729" s="99" t="s">
        <v>1</v>
      </c>
      <c r="AU729" s="99" t="s">
        <v>179</v>
      </c>
      <c r="AV729" s="99" t="s">
        <v>3414</v>
      </c>
      <c r="AW729" s="99" t="s">
        <v>180</v>
      </c>
      <c r="AX729" s="99" t="s">
        <v>3420</v>
      </c>
      <c r="AY729" s="99" t="s">
        <v>252</v>
      </c>
      <c r="AZ729" s="99" t="s">
        <v>3416</v>
      </c>
      <c r="BA729" s="99" t="s">
        <v>4922</v>
      </c>
      <c r="BB729" s="99" t="s">
        <v>943</v>
      </c>
      <c r="BC729" s="125">
        <v>59</v>
      </c>
      <c r="BD729" s="99" t="s">
        <v>3135</v>
      </c>
      <c r="BE729" s="99" t="s">
        <v>3136</v>
      </c>
    </row>
    <row r="730" spans="1:57" ht="12.95" customHeight="1">
      <c r="A730" s="124">
        <v>35</v>
      </c>
      <c r="B730" s="124">
        <v>8</v>
      </c>
      <c r="C730" s="99" t="s">
        <v>2524</v>
      </c>
      <c r="D730" s="99" t="s">
        <v>3273</v>
      </c>
      <c r="E730" s="99" t="s">
        <v>2526</v>
      </c>
      <c r="F730" s="99" t="s">
        <v>3274</v>
      </c>
      <c r="G730" s="99" t="s">
        <v>2528</v>
      </c>
      <c r="H730" s="99" t="s">
        <v>2553</v>
      </c>
      <c r="I730" s="99" t="s">
        <v>2554</v>
      </c>
      <c r="J730" s="99" t="s">
        <v>2562</v>
      </c>
      <c r="K730" s="99" t="s">
        <v>372</v>
      </c>
      <c r="L730" s="99" t="s">
        <v>2563</v>
      </c>
      <c r="M730" s="99" t="s">
        <v>5</v>
      </c>
      <c r="N730" s="99" t="s">
        <v>3454</v>
      </c>
      <c r="O730" s="99" t="s">
        <v>70</v>
      </c>
      <c r="P730" s="99" t="s">
        <v>3989</v>
      </c>
      <c r="Q730" s="99" t="s">
        <v>247</v>
      </c>
      <c r="R730" s="99" t="s">
        <v>3409</v>
      </c>
      <c r="S730" s="99" t="s">
        <v>2636</v>
      </c>
      <c r="T730" s="99" t="s">
        <v>52</v>
      </c>
      <c r="U730" s="99" t="s">
        <v>427</v>
      </c>
      <c r="V730" s="99" t="s">
        <v>428</v>
      </c>
      <c r="W730" s="99" t="s">
        <v>4942</v>
      </c>
      <c r="X730" s="99" t="s">
        <v>3812</v>
      </c>
      <c r="Y730" s="99" t="s">
        <v>4954</v>
      </c>
      <c r="Z730" s="99" t="s">
        <v>172</v>
      </c>
      <c r="AA730" s="99" t="s">
        <v>173</v>
      </c>
      <c r="AB730" s="99" t="s">
        <v>2463</v>
      </c>
      <c r="AC730" s="99" t="s">
        <v>3411</v>
      </c>
      <c r="AD730" s="99" t="s">
        <v>175</v>
      </c>
      <c r="AE730" s="99" t="s">
        <v>3411</v>
      </c>
      <c r="AF730" s="99" t="s">
        <v>3411</v>
      </c>
      <c r="AG730" s="124">
        <v>8</v>
      </c>
      <c r="AH730" s="99" t="s">
        <v>3413</v>
      </c>
      <c r="AI730" s="125">
        <v>100</v>
      </c>
      <c r="AJ730" s="99" t="s">
        <v>176</v>
      </c>
      <c r="AK730" s="99" t="s">
        <v>3812</v>
      </c>
      <c r="AL730" s="99" t="s">
        <v>3411</v>
      </c>
      <c r="AM730" s="99" t="s">
        <v>177</v>
      </c>
      <c r="AN730" s="99" t="s">
        <v>3411</v>
      </c>
      <c r="AO730" s="99" t="s">
        <v>2467</v>
      </c>
      <c r="AP730" s="99" t="s">
        <v>2570</v>
      </c>
      <c r="AQ730" s="99" t="s">
        <v>3411</v>
      </c>
      <c r="AR730" s="99" t="s">
        <v>3411</v>
      </c>
      <c r="AS730" s="99" t="s">
        <v>2564</v>
      </c>
      <c r="AT730" s="99" t="s">
        <v>1</v>
      </c>
      <c r="AU730" s="99" t="s">
        <v>179</v>
      </c>
      <c r="AV730" s="99" t="s">
        <v>3414</v>
      </c>
      <c r="AW730" s="99" t="s">
        <v>180</v>
      </c>
      <c r="AX730" s="99" t="s">
        <v>3420</v>
      </c>
      <c r="AY730" s="99" t="s">
        <v>252</v>
      </c>
      <c r="AZ730" s="99" t="s">
        <v>3416</v>
      </c>
      <c r="BA730" s="99" t="s">
        <v>4922</v>
      </c>
      <c r="BB730" s="99" t="s">
        <v>943</v>
      </c>
      <c r="BC730" s="125">
        <v>64</v>
      </c>
      <c r="BD730" s="99" t="s">
        <v>3135</v>
      </c>
      <c r="BE730" s="99" t="s">
        <v>3136</v>
      </c>
    </row>
    <row r="731" spans="1:57" ht="12.95" customHeight="1">
      <c r="A731" s="124">
        <v>1010</v>
      </c>
      <c r="B731" s="124">
        <v>579</v>
      </c>
      <c r="C731" s="99" t="s">
        <v>2938</v>
      </c>
      <c r="D731" s="99" t="s">
        <v>192</v>
      </c>
      <c r="E731" s="99" t="s">
        <v>2886</v>
      </c>
      <c r="F731" s="99" t="s">
        <v>2570</v>
      </c>
      <c r="G731" s="99" t="s">
        <v>3411</v>
      </c>
      <c r="H731" s="99" t="s">
        <v>333</v>
      </c>
      <c r="I731" s="99" t="s">
        <v>334</v>
      </c>
      <c r="J731" s="99" t="s">
        <v>3371</v>
      </c>
      <c r="K731" s="99" t="s">
        <v>3372</v>
      </c>
      <c r="L731" s="99" t="s">
        <v>3373</v>
      </c>
      <c r="M731" s="99" t="s">
        <v>5</v>
      </c>
      <c r="N731" s="99" t="s">
        <v>3407</v>
      </c>
      <c r="O731" s="99" t="s">
        <v>114</v>
      </c>
      <c r="P731" s="99" t="s">
        <v>4955</v>
      </c>
      <c r="Q731" s="99" t="s">
        <v>169</v>
      </c>
      <c r="R731" s="99" t="s">
        <v>4297</v>
      </c>
      <c r="S731" s="99" t="s">
        <v>2914</v>
      </c>
      <c r="T731" s="99" t="s">
        <v>2915</v>
      </c>
      <c r="U731" s="99" t="s">
        <v>4956</v>
      </c>
      <c r="V731" s="99" t="s">
        <v>2916</v>
      </c>
      <c r="W731" s="99" t="s">
        <v>4955</v>
      </c>
      <c r="X731" s="99" t="s">
        <v>4955</v>
      </c>
      <c r="Y731" s="99" t="s">
        <v>4957</v>
      </c>
      <c r="Z731" s="99" t="s">
        <v>172</v>
      </c>
      <c r="AA731" s="99" t="s">
        <v>173</v>
      </c>
      <c r="AB731" s="99" t="s">
        <v>174</v>
      </c>
      <c r="AC731" s="99" t="s">
        <v>3411</v>
      </c>
      <c r="AD731" s="99" t="s">
        <v>264</v>
      </c>
      <c r="AE731" s="99" t="s">
        <v>4958</v>
      </c>
      <c r="AF731" s="99" t="s">
        <v>3411</v>
      </c>
      <c r="AG731" s="124">
        <v>0</v>
      </c>
      <c r="AH731" s="99" t="s">
        <v>3413</v>
      </c>
      <c r="AI731" s="125">
        <v>100</v>
      </c>
      <c r="AJ731" s="99" t="s">
        <v>176</v>
      </c>
      <c r="AK731" s="99" t="s">
        <v>4955</v>
      </c>
      <c r="AL731" s="99" t="s">
        <v>3411</v>
      </c>
      <c r="AM731" s="99" t="s">
        <v>177</v>
      </c>
      <c r="AN731" s="99" t="s">
        <v>3411</v>
      </c>
      <c r="AO731" s="99" t="s">
        <v>2570</v>
      </c>
      <c r="AP731" s="99" t="s">
        <v>2570</v>
      </c>
      <c r="AQ731" s="99" t="s">
        <v>3411</v>
      </c>
      <c r="AR731" s="99" t="s">
        <v>3411</v>
      </c>
      <c r="AS731" s="99" t="s">
        <v>3391</v>
      </c>
      <c r="AT731" s="99" t="s">
        <v>175</v>
      </c>
      <c r="AU731" s="99" t="s">
        <v>3411</v>
      </c>
      <c r="AV731" s="99" t="s">
        <v>177</v>
      </c>
      <c r="AW731" s="99" t="s">
        <v>3411</v>
      </c>
      <c r="AX731" s="99" t="s">
        <v>3411</v>
      </c>
      <c r="AY731" s="99" t="s">
        <v>3411</v>
      </c>
      <c r="AZ731" s="99" t="s">
        <v>3411</v>
      </c>
      <c r="BA731" s="99" t="s">
        <v>3450</v>
      </c>
      <c r="BB731" s="99" t="s">
        <v>339</v>
      </c>
      <c r="BC731" s="125">
        <v>25</v>
      </c>
      <c r="BD731" s="99" t="s">
        <v>3135</v>
      </c>
      <c r="BE731" s="99" t="s">
        <v>3136</v>
      </c>
    </row>
    <row r="732" spans="1:57" ht="12.95" customHeight="1">
      <c r="A732" s="124">
        <v>1010</v>
      </c>
      <c r="B732" s="124">
        <v>580</v>
      </c>
      <c r="C732" s="99" t="s">
        <v>2938</v>
      </c>
      <c r="D732" s="99" t="s">
        <v>192</v>
      </c>
      <c r="E732" s="99" t="s">
        <v>2886</v>
      </c>
      <c r="F732" s="99" t="s">
        <v>379</v>
      </c>
      <c r="G732" s="99" t="s">
        <v>3171</v>
      </c>
      <c r="H732" s="99" t="s">
        <v>253</v>
      </c>
      <c r="I732" s="99" t="s">
        <v>254</v>
      </c>
      <c r="J732" s="99" t="s">
        <v>3392</v>
      </c>
      <c r="K732" s="99" t="s">
        <v>168</v>
      </c>
      <c r="L732" s="99" t="s">
        <v>3393</v>
      </c>
      <c r="M732" s="99" t="s">
        <v>1</v>
      </c>
      <c r="N732" s="99" t="s">
        <v>3407</v>
      </c>
      <c r="O732" s="99" t="s">
        <v>114</v>
      </c>
      <c r="P732" s="99" t="s">
        <v>4959</v>
      </c>
      <c r="Q732" s="99" t="s">
        <v>169</v>
      </c>
      <c r="R732" s="99" t="s">
        <v>4297</v>
      </c>
      <c r="S732" s="99" t="s">
        <v>2914</v>
      </c>
      <c r="T732" s="99" t="s">
        <v>2915</v>
      </c>
      <c r="U732" s="99" t="s">
        <v>4956</v>
      </c>
      <c r="V732" s="99" t="s">
        <v>2916</v>
      </c>
      <c r="W732" s="99" t="s">
        <v>4959</v>
      </c>
      <c r="X732" s="99" t="s">
        <v>4959</v>
      </c>
      <c r="Y732" s="99" t="s">
        <v>4960</v>
      </c>
      <c r="Z732" s="99" t="s">
        <v>172</v>
      </c>
      <c r="AA732" s="99" t="s">
        <v>173</v>
      </c>
      <c r="AB732" s="99" t="s">
        <v>174</v>
      </c>
      <c r="AC732" s="99" t="s">
        <v>3411</v>
      </c>
      <c r="AD732" s="99" t="s">
        <v>264</v>
      </c>
      <c r="AE732" s="99" t="s">
        <v>4961</v>
      </c>
      <c r="AF732" s="99" t="s">
        <v>3411</v>
      </c>
      <c r="AG732" s="124">
        <v>0</v>
      </c>
      <c r="AH732" s="99" t="s">
        <v>3413</v>
      </c>
      <c r="AI732" s="125">
        <v>100</v>
      </c>
      <c r="AJ732" s="99" t="s">
        <v>176</v>
      </c>
      <c r="AK732" s="99" t="s">
        <v>4959</v>
      </c>
      <c r="AL732" s="99" t="s">
        <v>3411</v>
      </c>
      <c r="AM732" s="99" t="s">
        <v>177</v>
      </c>
      <c r="AN732" s="99" t="s">
        <v>3411</v>
      </c>
      <c r="AO732" s="99" t="s">
        <v>2570</v>
      </c>
      <c r="AP732" s="99" t="s">
        <v>2570</v>
      </c>
      <c r="AQ732" s="99" t="s">
        <v>3411</v>
      </c>
      <c r="AR732" s="99" t="s">
        <v>3411</v>
      </c>
      <c r="AS732" s="99" t="s">
        <v>3394</v>
      </c>
      <c r="AT732" s="99" t="s">
        <v>175</v>
      </c>
      <c r="AU732" s="99" t="s">
        <v>3411</v>
      </c>
      <c r="AV732" s="99" t="s">
        <v>177</v>
      </c>
      <c r="AW732" s="99" t="s">
        <v>3411</v>
      </c>
      <c r="AX732" s="99" t="s">
        <v>3411</v>
      </c>
      <c r="AY732" s="99" t="s">
        <v>3411</v>
      </c>
      <c r="AZ732" s="99" t="s">
        <v>3411</v>
      </c>
      <c r="BA732" s="99" t="s">
        <v>3485</v>
      </c>
      <c r="BB732" s="99" t="s">
        <v>237</v>
      </c>
      <c r="BC732" s="125">
        <v>27</v>
      </c>
      <c r="BD732" s="99" t="s">
        <v>3135</v>
      </c>
      <c r="BE732" s="99" t="s">
        <v>3136</v>
      </c>
    </row>
    <row r="733" spans="1:57" ht="12.95" customHeight="1">
      <c r="A733" s="124">
        <v>1010</v>
      </c>
      <c r="B733" s="124">
        <v>581</v>
      </c>
      <c r="C733" s="99" t="s">
        <v>2938</v>
      </c>
      <c r="D733" s="99" t="s">
        <v>192</v>
      </c>
      <c r="E733" s="99" t="s">
        <v>2886</v>
      </c>
      <c r="F733" s="99" t="s">
        <v>379</v>
      </c>
      <c r="G733" s="99" t="s">
        <v>3171</v>
      </c>
      <c r="H733" s="99" t="s">
        <v>253</v>
      </c>
      <c r="I733" s="99" t="s">
        <v>254</v>
      </c>
      <c r="J733" s="99" t="s">
        <v>5079</v>
      </c>
      <c r="K733" s="99" t="s">
        <v>348</v>
      </c>
      <c r="L733" s="99" t="s">
        <v>5080</v>
      </c>
      <c r="M733" s="99" t="s">
        <v>5</v>
      </c>
      <c r="N733" s="99" t="s">
        <v>3407</v>
      </c>
      <c r="O733" s="99" t="s">
        <v>114</v>
      </c>
      <c r="P733" s="99" t="s">
        <v>5042</v>
      </c>
      <c r="Q733" s="99" t="s">
        <v>169</v>
      </c>
      <c r="R733" s="99" t="s">
        <v>4297</v>
      </c>
      <c r="S733" s="99" t="s">
        <v>2914</v>
      </c>
      <c r="T733" s="99" t="s">
        <v>2915</v>
      </c>
      <c r="U733" s="99" t="s">
        <v>4956</v>
      </c>
      <c r="V733" s="99" t="s">
        <v>2916</v>
      </c>
      <c r="W733" s="99" t="s">
        <v>5042</v>
      </c>
      <c r="X733" s="99" t="s">
        <v>5042</v>
      </c>
      <c r="Y733" s="99" t="s">
        <v>5081</v>
      </c>
      <c r="Z733" s="99" t="s">
        <v>172</v>
      </c>
      <c r="AA733" s="99" t="s">
        <v>173</v>
      </c>
      <c r="AB733" s="99" t="s">
        <v>174</v>
      </c>
      <c r="AC733" s="99" t="s">
        <v>3411</v>
      </c>
      <c r="AD733" s="99" t="s">
        <v>264</v>
      </c>
      <c r="AE733" s="99" t="s">
        <v>5082</v>
      </c>
      <c r="AF733" s="99" t="s">
        <v>3411</v>
      </c>
      <c r="AG733" s="124">
        <v>581</v>
      </c>
      <c r="AH733" s="99" t="s">
        <v>3413</v>
      </c>
      <c r="AI733" s="125">
        <v>100</v>
      </c>
      <c r="AJ733" s="99" t="s">
        <v>176</v>
      </c>
      <c r="AK733" s="99" t="s">
        <v>5042</v>
      </c>
      <c r="AL733" s="99" t="s">
        <v>3411</v>
      </c>
      <c r="AM733" s="99" t="s">
        <v>177</v>
      </c>
      <c r="AN733" s="99" t="s">
        <v>3411</v>
      </c>
      <c r="AO733" s="99" t="s">
        <v>4963</v>
      </c>
      <c r="AP733" s="99" t="s">
        <v>2570</v>
      </c>
      <c r="AQ733" s="99" t="s">
        <v>3411</v>
      </c>
      <c r="AR733" s="99" t="s">
        <v>3411</v>
      </c>
      <c r="AS733" s="99" t="s">
        <v>5083</v>
      </c>
      <c r="AT733" s="99" t="s">
        <v>175</v>
      </c>
      <c r="AU733" s="99" t="s">
        <v>3411</v>
      </c>
      <c r="AV733" s="99" t="s">
        <v>177</v>
      </c>
      <c r="AW733" s="99" t="s">
        <v>3411</v>
      </c>
      <c r="AX733" s="99" t="s">
        <v>3411</v>
      </c>
      <c r="AY733" s="99" t="s">
        <v>3411</v>
      </c>
      <c r="AZ733" s="99" t="s">
        <v>3411</v>
      </c>
      <c r="BA733" s="99" t="s">
        <v>3485</v>
      </c>
      <c r="BB733" s="99" t="s">
        <v>237</v>
      </c>
      <c r="BC733" s="125">
        <v>24</v>
      </c>
      <c r="BD733" s="99" t="s">
        <v>3135</v>
      </c>
      <c r="BE733" s="99" t="s">
        <v>3136</v>
      </c>
    </row>
    <row r="734" spans="1:57" ht="12.95" customHeight="1">
      <c r="A734" s="124">
        <v>1010</v>
      </c>
      <c r="B734" s="124">
        <v>582</v>
      </c>
      <c r="C734" s="99" t="s">
        <v>2938</v>
      </c>
      <c r="D734" s="99" t="s">
        <v>680</v>
      </c>
      <c r="E734" s="99" t="s">
        <v>5084</v>
      </c>
      <c r="F734" s="99" t="s">
        <v>730</v>
      </c>
      <c r="G734" s="99" t="s">
        <v>731</v>
      </c>
      <c r="H734" s="99" t="s">
        <v>793</v>
      </c>
      <c r="I734" s="99" t="s">
        <v>5085</v>
      </c>
      <c r="J734" s="99" t="s">
        <v>5086</v>
      </c>
      <c r="K734" s="99" t="s">
        <v>5087</v>
      </c>
      <c r="L734" s="99" t="s">
        <v>5088</v>
      </c>
      <c r="M734" s="99" t="s">
        <v>1</v>
      </c>
      <c r="N734" s="99" t="s">
        <v>3407</v>
      </c>
      <c r="O734" s="99" t="s">
        <v>114</v>
      </c>
      <c r="P734" s="99" t="s">
        <v>5045</v>
      </c>
      <c r="Q734" s="99" t="s">
        <v>169</v>
      </c>
      <c r="R734" s="99" t="s">
        <v>4297</v>
      </c>
      <c r="S734" s="99" t="s">
        <v>2914</v>
      </c>
      <c r="T734" s="99" t="s">
        <v>2915</v>
      </c>
      <c r="U734" s="99" t="s">
        <v>4956</v>
      </c>
      <c r="V734" s="99" t="s">
        <v>2916</v>
      </c>
      <c r="W734" s="99" t="s">
        <v>5045</v>
      </c>
      <c r="X734" s="99" t="s">
        <v>5045</v>
      </c>
      <c r="Y734" s="99" t="s">
        <v>3812</v>
      </c>
      <c r="Z734" s="99" t="s">
        <v>172</v>
      </c>
      <c r="AA734" s="99" t="s">
        <v>173</v>
      </c>
      <c r="AB734" s="99" t="s">
        <v>174</v>
      </c>
      <c r="AC734" s="99" t="s">
        <v>3411</v>
      </c>
      <c r="AD734" s="99" t="s">
        <v>264</v>
      </c>
      <c r="AE734" s="99" t="s">
        <v>5089</v>
      </c>
      <c r="AF734" s="99" t="s">
        <v>3411</v>
      </c>
      <c r="AG734" s="124">
        <v>582</v>
      </c>
      <c r="AH734" s="99" t="s">
        <v>3413</v>
      </c>
      <c r="AI734" s="125">
        <v>100</v>
      </c>
      <c r="AJ734" s="99" t="s">
        <v>176</v>
      </c>
      <c r="AK734" s="99" t="s">
        <v>5045</v>
      </c>
      <c r="AL734" s="99" t="s">
        <v>3411</v>
      </c>
      <c r="AM734" s="99" t="s">
        <v>177</v>
      </c>
      <c r="AN734" s="99" t="s">
        <v>3411</v>
      </c>
      <c r="AO734" s="99" t="s">
        <v>2570</v>
      </c>
      <c r="AP734" s="99" t="s">
        <v>2570</v>
      </c>
      <c r="AQ734" s="99" t="s">
        <v>3411</v>
      </c>
      <c r="AR734" s="99" t="s">
        <v>3411</v>
      </c>
      <c r="AS734" s="99" t="s">
        <v>5090</v>
      </c>
      <c r="AT734" s="99" t="s">
        <v>175</v>
      </c>
      <c r="AU734" s="99" t="s">
        <v>3411</v>
      </c>
      <c r="AV734" s="99" t="s">
        <v>177</v>
      </c>
      <c r="AW734" s="99" t="s">
        <v>3411</v>
      </c>
      <c r="AX734" s="99" t="s">
        <v>3411</v>
      </c>
      <c r="AY734" s="99" t="s">
        <v>3411</v>
      </c>
      <c r="AZ734" s="99" t="s">
        <v>3411</v>
      </c>
      <c r="BA734" s="99" t="s">
        <v>3820</v>
      </c>
      <c r="BB734" s="99" t="s">
        <v>2672</v>
      </c>
      <c r="BC734" s="125">
        <v>25</v>
      </c>
      <c r="BD734" s="99" t="s">
        <v>3135</v>
      </c>
      <c r="BE734" s="99" t="s">
        <v>3136</v>
      </c>
    </row>
    <row r="735" spans="1:57" ht="12.95" customHeight="1">
      <c r="A735" s="124">
        <v>2015</v>
      </c>
      <c r="B735" s="124">
        <v>444</v>
      </c>
      <c r="C735" s="99" t="s">
        <v>2565</v>
      </c>
      <c r="D735" s="99" t="s">
        <v>166</v>
      </c>
      <c r="E735" s="99" t="s">
        <v>167</v>
      </c>
      <c r="F735" s="99" t="s">
        <v>2790</v>
      </c>
      <c r="G735" s="99" t="s">
        <v>167</v>
      </c>
      <c r="H735" s="99" t="s">
        <v>3406</v>
      </c>
      <c r="I735" s="99" t="s">
        <v>2791</v>
      </c>
      <c r="J735" s="99" t="s">
        <v>2268</v>
      </c>
      <c r="K735" s="99" t="s">
        <v>398</v>
      </c>
      <c r="L735" s="99" t="s">
        <v>2269</v>
      </c>
      <c r="M735" s="99" t="s">
        <v>5</v>
      </c>
      <c r="N735" s="99" t="s">
        <v>3407</v>
      </c>
      <c r="O735" s="99" t="s">
        <v>114</v>
      </c>
      <c r="P735" s="99" t="s">
        <v>4964</v>
      </c>
      <c r="Q735" s="99" t="s">
        <v>169</v>
      </c>
      <c r="R735" s="99" t="s">
        <v>4965</v>
      </c>
      <c r="S735" s="99" t="s">
        <v>2566</v>
      </c>
      <c r="T735" s="99" t="s">
        <v>2567</v>
      </c>
      <c r="U735" s="99" t="s">
        <v>4966</v>
      </c>
      <c r="V735" s="99" t="s">
        <v>2568</v>
      </c>
      <c r="W735" s="99" t="s">
        <v>4964</v>
      </c>
      <c r="X735" s="99" t="s">
        <v>4964</v>
      </c>
      <c r="Y735" s="99" t="s">
        <v>4735</v>
      </c>
      <c r="Z735" s="99" t="s">
        <v>172</v>
      </c>
      <c r="AA735" s="99" t="s">
        <v>173</v>
      </c>
      <c r="AB735" s="99" t="s">
        <v>834</v>
      </c>
      <c r="AC735" s="99" t="s">
        <v>3411</v>
      </c>
      <c r="AD735" s="99" t="s">
        <v>175</v>
      </c>
      <c r="AE735" s="99" t="s">
        <v>3411</v>
      </c>
      <c r="AF735" s="99" t="s">
        <v>3411</v>
      </c>
      <c r="AG735" s="124">
        <v>444</v>
      </c>
      <c r="AH735" s="99" t="s">
        <v>3413</v>
      </c>
      <c r="AI735" s="125">
        <v>100</v>
      </c>
      <c r="AJ735" s="99" t="s">
        <v>176</v>
      </c>
      <c r="AK735" s="99" t="s">
        <v>4964</v>
      </c>
      <c r="AL735" s="99" t="s">
        <v>3411</v>
      </c>
      <c r="AM735" s="99" t="s">
        <v>177</v>
      </c>
      <c r="AN735" s="99" t="s">
        <v>3411</v>
      </c>
      <c r="AO735" s="99" t="s">
        <v>189</v>
      </c>
      <c r="AP735" s="99" t="s">
        <v>2570</v>
      </c>
      <c r="AQ735" s="99" t="s">
        <v>3411</v>
      </c>
      <c r="AR735" s="99" t="s">
        <v>3411</v>
      </c>
      <c r="AS735" s="99" t="s">
        <v>2569</v>
      </c>
      <c r="AT735" s="99" t="s">
        <v>190</v>
      </c>
      <c r="AU735" s="99" t="s">
        <v>191</v>
      </c>
      <c r="AV735" s="99" t="s">
        <v>177</v>
      </c>
      <c r="AW735" s="99" t="s">
        <v>3411</v>
      </c>
      <c r="AX735" s="99" t="s">
        <v>3411</v>
      </c>
      <c r="AY735" s="99" t="s">
        <v>3411</v>
      </c>
      <c r="AZ735" s="99" t="s">
        <v>3411</v>
      </c>
      <c r="BA735" s="99" t="s">
        <v>520</v>
      </c>
      <c r="BB735" s="99" t="s">
        <v>3411</v>
      </c>
      <c r="BC735" s="125">
        <v>55</v>
      </c>
      <c r="BD735" s="99" t="s">
        <v>3135</v>
      </c>
      <c r="BE735" s="99" t="s">
        <v>3136</v>
      </c>
    </row>
    <row r="736" spans="1:57" ht="12.95" customHeight="1">
      <c r="A736" s="124">
        <v>2015</v>
      </c>
      <c r="B736" s="124">
        <v>457</v>
      </c>
      <c r="C736" s="99" t="s">
        <v>2565</v>
      </c>
      <c r="D736" s="99" t="s">
        <v>192</v>
      </c>
      <c r="E736" s="99" t="s">
        <v>2886</v>
      </c>
      <c r="F736" s="99" t="s">
        <v>2006</v>
      </c>
      <c r="G736" s="99" t="s">
        <v>100</v>
      </c>
      <c r="H736" s="99" t="s">
        <v>4031</v>
      </c>
      <c r="I736" s="99" t="s">
        <v>3258</v>
      </c>
      <c r="J736" s="99" t="s">
        <v>5091</v>
      </c>
      <c r="K736" s="99" t="s">
        <v>393</v>
      </c>
      <c r="L736" s="99" t="s">
        <v>5092</v>
      </c>
      <c r="M736" s="99" t="s">
        <v>1</v>
      </c>
      <c r="N736" s="99" t="s">
        <v>4967</v>
      </c>
      <c r="O736" s="99" t="s">
        <v>2798</v>
      </c>
      <c r="P736" s="99" t="s">
        <v>5041</v>
      </c>
      <c r="Q736" s="99" t="s">
        <v>2571</v>
      </c>
      <c r="R736" s="99" t="s">
        <v>4965</v>
      </c>
      <c r="S736" s="99" t="s">
        <v>2566</v>
      </c>
      <c r="T736" s="99" t="s">
        <v>2567</v>
      </c>
      <c r="U736" s="99" t="s">
        <v>4966</v>
      </c>
      <c r="V736" s="99" t="s">
        <v>2568</v>
      </c>
      <c r="W736" s="99" t="s">
        <v>5041</v>
      </c>
      <c r="X736" s="99" t="s">
        <v>5041</v>
      </c>
      <c r="Y736" s="99" t="s">
        <v>5093</v>
      </c>
      <c r="Z736" s="99" t="s">
        <v>172</v>
      </c>
      <c r="AA736" s="99" t="s">
        <v>173</v>
      </c>
      <c r="AB736" s="99" t="s">
        <v>834</v>
      </c>
      <c r="AC736" s="99" t="s">
        <v>5094</v>
      </c>
      <c r="AD736" s="99" t="s">
        <v>175</v>
      </c>
      <c r="AE736" s="99" t="s">
        <v>3411</v>
      </c>
      <c r="AF736" s="99" t="s">
        <v>3411</v>
      </c>
      <c r="AG736" s="124">
        <v>0</v>
      </c>
      <c r="AH736" s="99" t="s">
        <v>3413</v>
      </c>
      <c r="AI736" s="125">
        <v>100</v>
      </c>
      <c r="AJ736" s="99" t="s">
        <v>176</v>
      </c>
      <c r="AK736" s="99" t="s">
        <v>5041</v>
      </c>
      <c r="AL736" s="99" t="s">
        <v>3411</v>
      </c>
      <c r="AM736" s="99" t="s">
        <v>177</v>
      </c>
      <c r="AN736" s="99" t="s">
        <v>3411</v>
      </c>
      <c r="AO736" s="99" t="s">
        <v>4963</v>
      </c>
      <c r="AP736" s="99" t="s">
        <v>2570</v>
      </c>
      <c r="AQ736" s="99" t="s">
        <v>3411</v>
      </c>
      <c r="AR736" s="99" t="s">
        <v>3411</v>
      </c>
      <c r="AS736" s="99" t="s">
        <v>2569</v>
      </c>
      <c r="AT736" s="99" t="s">
        <v>190</v>
      </c>
      <c r="AU736" s="99" t="s">
        <v>191</v>
      </c>
      <c r="AV736" s="99" t="s">
        <v>177</v>
      </c>
      <c r="AW736" s="99" t="s">
        <v>3411</v>
      </c>
      <c r="AX736" s="99" t="s">
        <v>3411</v>
      </c>
      <c r="AY736" s="99" t="s">
        <v>3411</v>
      </c>
      <c r="AZ736" s="99" t="s">
        <v>3411</v>
      </c>
      <c r="BA736" s="99" t="s">
        <v>520</v>
      </c>
      <c r="BB736" s="99" t="s">
        <v>3411</v>
      </c>
      <c r="BC736" s="125">
        <v>63</v>
      </c>
      <c r="BD736" s="99" t="s">
        <v>3135</v>
      </c>
      <c r="BE736" s="99" t="s">
        <v>3136</v>
      </c>
    </row>
    <row r="737" spans="1:57" ht="12.95" customHeight="1">
      <c r="A737" s="124">
        <v>2015</v>
      </c>
      <c r="B737" s="124">
        <v>370</v>
      </c>
      <c r="C737" s="99" t="s">
        <v>2565</v>
      </c>
      <c r="D737" s="99" t="s">
        <v>1104</v>
      </c>
      <c r="E737" s="99" t="s">
        <v>2873</v>
      </c>
      <c r="F737" s="99" t="s">
        <v>1105</v>
      </c>
      <c r="G737" s="99" t="s">
        <v>2873</v>
      </c>
      <c r="H737" s="99" t="s">
        <v>4031</v>
      </c>
      <c r="I737" s="99" t="s">
        <v>3258</v>
      </c>
      <c r="J737" s="99" t="s">
        <v>3158</v>
      </c>
      <c r="K737" s="99" t="s">
        <v>3159</v>
      </c>
      <c r="L737" s="99" t="s">
        <v>3160</v>
      </c>
      <c r="M737" s="99" t="s">
        <v>5</v>
      </c>
      <c r="N737" s="99" t="s">
        <v>4967</v>
      </c>
      <c r="O737" s="99" t="s">
        <v>2798</v>
      </c>
      <c r="P737" s="99" t="s">
        <v>4917</v>
      </c>
      <c r="Q737" s="99" t="s">
        <v>2571</v>
      </c>
      <c r="R737" s="99" t="s">
        <v>4965</v>
      </c>
      <c r="S737" s="99" t="s">
        <v>2566</v>
      </c>
      <c r="T737" s="99" t="s">
        <v>2567</v>
      </c>
      <c r="U737" s="99" t="s">
        <v>4966</v>
      </c>
      <c r="V737" s="99" t="s">
        <v>2568</v>
      </c>
      <c r="W737" s="99" t="s">
        <v>4917</v>
      </c>
      <c r="X737" s="99" t="s">
        <v>4564</v>
      </c>
      <c r="Y737" s="99" t="s">
        <v>4969</v>
      </c>
      <c r="Z737" s="99" t="s">
        <v>172</v>
      </c>
      <c r="AA737" s="99" t="s">
        <v>173</v>
      </c>
      <c r="AB737" s="99" t="s">
        <v>834</v>
      </c>
      <c r="AC737" s="99" t="s">
        <v>3816</v>
      </c>
      <c r="AD737" s="99" t="s">
        <v>175</v>
      </c>
      <c r="AE737" s="99" t="s">
        <v>3411</v>
      </c>
      <c r="AF737" s="99" t="s">
        <v>3411</v>
      </c>
      <c r="AG737" s="124">
        <v>422</v>
      </c>
      <c r="AH737" s="99" t="s">
        <v>3413</v>
      </c>
      <c r="AI737" s="125">
        <v>100</v>
      </c>
      <c r="AJ737" s="99" t="s">
        <v>176</v>
      </c>
      <c r="AK737" s="99" t="s">
        <v>3411</v>
      </c>
      <c r="AL737" s="99" t="s">
        <v>3411</v>
      </c>
      <c r="AM737" s="99" t="s">
        <v>177</v>
      </c>
      <c r="AN737" s="99" t="s">
        <v>3411</v>
      </c>
      <c r="AO737" s="99" t="s">
        <v>4963</v>
      </c>
      <c r="AP737" s="99" t="s">
        <v>2570</v>
      </c>
      <c r="AQ737" s="99" t="s">
        <v>3411</v>
      </c>
      <c r="AR737" s="99" t="s">
        <v>3411</v>
      </c>
      <c r="AS737" s="99" t="s">
        <v>3161</v>
      </c>
      <c r="AT737" s="99" t="s">
        <v>190</v>
      </c>
      <c r="AU737" s="99" t="s">
        <v>191</v>
      </c>
      <c r="AV737" s="99" t="s">
        <v>177</v>
      </c>
      <c r="AW737" s="99" t="s">
        <v>3411</v>
      </c>
      <c r="AX737" s="99" t="s">
        <v>3411</v>
      </c>
      <c r="AY737" s="99" t="s">
        <v>3411</v>
      </c>
      <c r="AZ737" s="99" t="s">
        <v>3411</v>
      </c>
      <c r="BA737" s="99" t="s">
        <v>520</v>
      </c>
      <c r="BB737" s="99" t="s">
        <v>3411</v>
      </c>
      <c r="BC737" s="125">
        <v>68</v>
      </c>
      <c r="BD737" s="99" t="s">
        <v>3135</v>
      </c>
      <c r="BE737" s="99" t="s">
        <v>3136</v>
      </c>
    </row>
    <row r="738" spans="1:57" ht="12.95" customHeight="1">
      <c r="A738" s="124">
        <v>2015</v>
      </c>
      <c r="B738" s="124">
        <v>456</v>
      </c>
      <c r="C738" s="99" t="s">
        <v>2565</v>
      </c>
      <c r="D738" s="99" t="s">
        <v>1104</v>
      </c>
      <c r="E738" s="99" t="s">
        <v>2873</v>
      </c>
      <c r="F738" s="99" t="s">
        <v>1105</v>
      </c>
      <c r="G738" s="99" t="s">
        <v>2873</v>
      </c>
      <c r="H738" s="99" t="s">
        <v>4031</v>
      </c>
      <c r="I738" s="99" t="s">
        <v>3258</v>
      </c>
      <c r="J738" s="99" t="s">
        <v>5095</v>
      </c>
      <c r="K738" s="99" t="s">
        <v>300</v>
      </c>
      <c r="L738" s="99" t="s">
        <v>5096</v>
      </c>
      <c r="M738" s="99" t="s">
        <v>5</v>
      </c>
      <c r="N738" s="99" t="s">
        <v>4967</v>
      </c>
      <c r="O738" s="99" t="s">
        <v>2798</v>
      </c>
      <c r="P738" s="99" t="s">
        <v>5041</v>
      </c>
      <c r="Q738" s="99" t="s">
        <v>2571</v>
      </c>
      <c r="R738" s="99" t="s">
        <v>4965</v>
      </c>
      <c r="S738" s="99" t="s">
        <v>2566</v>
      </c>
      <c r="T738" s="99" t="s">
        <v>2567</v>
      </c>
      <c r="U738" s="99" t="s">
        <v>4966</v>
      </c>
      <c r="V738" s="99" t="s">
        <v>2568</v>
      </c>
      <c r="W738" s="99" t="s">
        <v>5041</v>
      </c>
      <c r="X738" s="99" t="s">
        <v>5041</v>
      </c>
      <c r="Y738" s="99" t="s">
        <v>5097</v>
      </c>
      <c r="Z738" s="99" t="s">
        <v>172</v>
      </c>
      <c r="AA738" s="99" t="s">
        <v>173</v>
      </c>
      <c r="AB738" s="99" t="s">
        <v>834</v>
      </c>
      <c r="AC738" s="99" t="s">
        <v>5094</v>
      </c>
      <c r="AD738" s="99" t="s">
        <v>175</v>
      </c>
      <c r="AE738" s="99" t="s">
        <v>3411</v>
      </c>
      <c r="AF738" s="99" t="s">
        <v>3411</v>
      </c>
      <c r="AG738" s="124">
        <v>0</v>
      </c>
      <c r="AH738" s="99" t="s">
        <v>3413</v>
      </c>
      <c r="AI738" s="125">
        <v>100</v>
      </c>
      <c r="AJ738" s="99" t="s">
        <v>176</v>
      </c>
      <c r="AK738" s="99" t="s">
        <v>5041</v>
      </c>
      <c r="AL738" s="99" t="s">
        <v>3411</v>
      </c>
      <c r="AM738" s="99" t="s">
        <v>177</v>
      </c>
      <c r="AN738" s="99" t="s">
        <v>3411</v>
      </c>
      <c r="AO738" s="99" t="s">
        <v>4963</v>
      </c>
      <c r="AP738" s="99" t="s">
        <v>2570</v>
      </c>
      <c r="AQ738" s="99" t="s">
        <v>3411</v>
      </c>
      <c r="AR738" s="99" t="s">
        <v>3411</v>
      </c>
      <c r="AS738" s="99" t="s">
        <v>2569</v>
      </c>
      <c r="AT738" s="99" t="s">
        <v>190</v>
      </c>
      <c r="AU738" s="99" t="s">
        <v>191</v>
      </c>
      <c r="AV738" s="99" t="s">
        <v>177</v>
      </c>
      <c r="AW738" s="99" t="s">
        <v>3411</v>
      </c>
      <c r="AX738" s="99" t="s">
        <v>3411</v>
      </c>
      <c r="AY738" s="99" t="s">
        <v>3411</v>
      </c>
      <c r="AZ738" s="99" t="s">
        <v>3411</v>
      </c>
      <c r="BA738" s="99" t="s">
        <v>520</v>
      </c>
      <c r="BB738" s="99" t="s">
        <v>3411</v>
      </c>
      <c r="BC738" s="125">
        <v>60</v>
      </c>
      <c r="BD738" s="99" t="s">
        <v>3135</v>
      </c>
      <c r="BE738" s="99" t="s">
        <v>3136</v>
      </c>
    </row>
    <row r="739" spans="1:57" ht="12.95" customHeight="1">
      <c r="A739" s="124">
        <v>2015</v>
      </c>
      <c r="B739" s="124">
        <v>441</v>
      </c>
      <c r="C739" s="99" t="s">
        <v>2565</v>
      </c>
      <c r="D739" s="99" t="s">
        <v>1104</v>
      </c>
      <c r="E739" s="99" t="s">
        <v>2873</v>
      </c>
      <c r="F739" s="99" t="s">
        <v>1105</v>
      </c>
      <c r="G739" s="99" t="s">
        <v>2873</v>
      </c>
      <c r="H739" s="99" t="s">
        <v>4031</v>
      </c>
      <c r="I739" s="99" t="s">
        <v>3258</v>
      </c>
      <c r="J739" s="99" t="s">
        <v>1832</v>
      </c>
      <c r="K739" s="99" t="s">
        <v>445</v>
      </c>
      <c r="L739" s="99" t="s">
        <v>1833</v>
      </c>
      <c r="M739" s="99" t="s">
        <v>1</v>
      </c>
      <c r="N739" s="99" t="s">
        <v>4967</v>
      </c>
      <c r="O739" s="99" t="s">
        <v>2798</v>
      </c>
      <c r="P739" s="99" t="s">
        <v>4970</v>
      </c>
      <c r="Q739" s="99" t="s">
        <v>2571</v>
      </c>
      <c r="R739" s="99" t="s">
        <v>4965</v>
      </c>
      <c r="S739" s="99" t="s">
        <v>2566</v>
      </c>
      <c r="T739" s="99" t="s">
        <v>2567</v>
      </c>
      <c r="U739" s="99" t="s">
        <v>4966</v>
      </c>
      <c r="V739" s="99" t="s">
        <v>2568</v>
      </c>
      <c r="W739" s="99" t="s">
        <v>4970</v>
      </c>
      <c r="X739" s="99" t="s">
        <v>4970</v>
      </c>
      <c r="Y739" s="99" t="s">
        <v>3591</v>
      </c>
      <c r="Z739" s="99" t="s">
        <v>172</v>
      </c>
      <c r="AA739" s="99" t="s">
        <v>173</v>
      </c>
      <c r="AB739" s="99" t="s">
        <v>834</v>
      </c>
      <c r="AC739" s="99" t="s">
        <v>3411</v>
      </c>
      <c r="AD739" s="99" t="s">
        <v>175</v>
      </c>
      <c r="AE739" s="99" t="s">
        <v>3411</v>
      </c>
      <c r="AF739" s="99" t="s">
        <v>3411</v>
      </c>
      <c r="AG739" s="124">
        <v>492</v>
      </c>
      <c r="AH739" s="99" t="s">
        <v>3413</v>
      </c>
      <c r="AI739" s="125">
        <v>100</v>
      </c>
      <c r="AJ739" s="99" t="s">
        <v>176</v>
      </c>
      <c r="AK739" s="99" t="s">
        <v>4970</v>
      </c>
      <c r="AL739" s="99" t="s">
        <v>3411</v>
      </c>
      <c r="AM739" s="99" t="s">
        <v>177</v>
      </c>
      <c r="AN739" s="99" t="s">
        <v>3411</v>
      </c>
      <c r="AO739" s="99" t="s">
        <v>1482</v>
      </c>
      <c r="AP739" s="99" t="s">
        <v>2570</v>
      </c>
      <c r="AQ739" s="99" t="s">
        <v>3411</v>
      </c>
      <c r="AR739" s="99" t="s">
        <v>207</v>
      </c>
      <c r="AS739" s="99" t="s">
        <v>3208</v>
      </c>
      <c r="AT739" s="99" t="s">
        <v>190</v>
      </c>
      <c r="AU739" s="99" t="s">
        <v>191</v>
      </c>
      <c r="AV739" s="99" t="s">
        <v>177</v>
      </c>
      <c r="AW739" s="99" t="s">
        <v>3411</v>
      </c>
      <c r="AX739" s="99" t="s">
        <v>4305</v>
      </c>
      <c r="AY739" s="99" t="s">
        <v>3411</v>
      </c>
      <c r="AZ739" s="99" t="s">
        <v>3411</v>
      </c>
      <c r="BA739" s="99" t="s">
        <v>520</v>
      </c>
      <c r="BB739" s="99" t="s">
        <v>3411</v>
      </c>
      <c r="BC739" s="125">
        <v>63</v>
      </c>
      <c r="BD739" s="99" t="s">
        <v>3135</v>
      </c>
      <c r="BE739" s="99" t="s">
        <v>3136</v>
      </c>
    </row>
    <row r="740" spans="1:57" ht="12.95" customHeight="1">
      <c r="A740" s="124">
        <v>2015</v>
      </c>
      <c r="B740" s="124">
        <v>365</v>
      </c>
      <c r="C740" s="99" t="s">
        <v>2565</v>
      </c>
      <c r="D740" s="99" t="s">
        <v>1104</v>
      </c>
      <c r="E740" s="99" t="s">
        <v>2873</v>
      </c>
      <c r="F740" s="99" t="s">
        <v>1105</v>
      </c>
      <c r="G740" s="99" t="s">
        <v>2873</v>
      </c>
      <c r="H740" s="99" t="s">
        <v>4031</v>
      </c>
      <c r="I740" s="99" t="s">
        <v>3258</v>
      </c>
      <c r="J740" s="99" t="s">
        <v>2799</v>
      </c>
      <c r="K740" s="99" t="s">
        <v>489</v>
      </c>
      <c r="L740" s="99" t="s">
        <v>2800</v>
      </c>
      <c r="M740" s="99" t="s">
        <v>5</v>
      </c>
      <c r="N740" s="99" t="s">
        <v>3407</v>
      </c>
      <c r="O740" s="99" t="s">
        <v>114</v>
      </c>
      <c r="P740" s="99" t="s">
        <v>4971</v>
      </c>
      <c r="Q740" s="99" t="s">
        <v>169</v>
      </c>
      <c r="R740" s="99" t="s">
        <v>4965</v>
      </c>
      <c r="S740" s="99" t="s">
        <v>2566</v>
      </c>
      <c r="T740" s="99" t="s">
        <v>2567</v>
      </c>
      <c r="U740" s="99" t="s">
        <v>4966</v>
      </c>
      <c r="V740" s="99" t="s">
        <v>2568</v>
      </c>
      <c r="W740" s="99" t="s">
        <v>4972</v>
      </c>
      <c r="X740" s="99" t="s">
        <v>4971</v>
      </c>
      <c r="Y740" s="99" t="s">
        <v>4973</v>
      </c>
      <c r="Z740" s="99" t="s">
        <v>3386</v>
      </c>
      <c r="AA740" s="99" t="s">
        <v>3387</v>
      </c>
      <c r="AB740" s="99" t="s">
        <v>834</v>
      </c>
      <c r="AC740" s="99" t="s">
        <v>3843</v>
      </c>
      <c r="AD740" s="99" t="s">
        <v>175</v>
      </c>
      <c r="AE740" s="99" t="s">
        <v>3411</v>
      </c>
      <c r="AF740" s="99" t="s">
        <v>3843</v>
      </c>
      <c r="AG740" s="124">
        <v>417</v>
      </c>
      <c r="AH740" s="99" t="s">
        <v>3413</v>
      </c>
      <c r="AI740" s="125">
        <v>100</v>
      </c>
      <c r="AJ740" s="99" t="s">
        <v>176</v>
      </c>
      <c r="AK740" s="99" t="s">
        <v>3411</v>
      </c>
      <c r="AL740" s="99" t="s">
        <v>3411</v>
      </c>
      <c r="AM740" s="99" t="s">
        <v>177</v>
      </c>
      <c r="AN740" s="99" t="s">
        <v>3411</v>
      </c>
      <c r="AO740" s="99" t="s">
        <v>4963</v>
      </c>
      <c r="AP740" s="99" t="s">
        <v>2570</v>
      </c>
      <c r="AQ740" s="99" t="s">
        <v>3411</v>
      </c>
      <c r="AR740" s="99" t="s">
        <v>3411</v>
      </c>
      <c r="AS740" s="99" t="s">
        <v>2801</v>
      </c>
      <c r="AT740" s="99" t="s">
        <v>190</v>
      </c>
      <c r="AU740" s="99" t="s">
        <v>191</v>
      </c>
      <c r="AV740" s="99" t="s">
        <v>177</v>
      </c>
      <c r="AW740" s="99" t="s">
        <v>3411</v>
      </c>
      <c r="AX740" s="99" t="s">
        <v>3411</v>
      </c>
      <c r="AY740" s="99" t="s">
        <v>3411</v>
      </c>
      <c r="AZ740" s="99" t="s">
        <v>3411</v>
      </c>
      <c r="BA740" s="99" t="s">
        <v>520</v>
      </c>
      <c r="BB740" s="99" t="s">
        <v>3411</v>
      </c>
      <c r="BC740" s="125">
        <v>67</v>
      </c>
      <c r="BD740" s="99" t="s">
        <v>3135</v>
      </c>
      <c r="BE740" s="99" t="s">
        <v>3136</v>
      </c>
    </row>
    <row r="741" spans="1:57" ht="12.95" customHeight="1">
      <c r="A741" s="124">
        <v>2015</v>
      </c>
      <c r="B741" s="124">
        <v>395</v>
      </c>
      <c r="C741" s="99" t="s">
        <v>2565</v>
      </c>
      <c r="D741" s="99" t="s">
        <v>1104</v>
      </c>
      <c r="E741" s="99" t="s">
        <v>2873</v>
      </c>
      <c r="F741" s="99" t="s">
        <v>1105</v>
      </c>
      <c r="G741" s="99" t="s">
        <v>2873</v>
      </c>
      <c r="H741" s="99" t="s">
        <v>4974</v>
      </c>
      <c r="I741" s="99" t="s">
        <v>2802</v>
      </c>
      <c r="J741" s="99" t="s">
        <v>2803</v>
      </c>
      <c r="K741" s="99" t="s">
        <v>820</v>
      </c>
      <c r="L741" s="99" t="s">
        <v>2804</v>
      </c>
      <c r="M741" s="99" t="s">
        <v>5</v>
      </c>
      <c r="N741" s="99" t="s">
        <v>3407</v>
      </c>
      <c r="O741" s="99" t="s">
        <v>114</v>
      </c>
      <c r="P741" s="99" t="s">
        <v>3422</v>
      </c>
      <c r="Q741" s="99" t="s">
        <v>169</v>
      </c>
      <c r="R741" s="99" t="s">
        <v>4965</v>
      </c>
      <c r="S741" s="99" t="s">
        <v>2566</v>
      </c>
      <c r="T741" s="99" t="s">
        <v>2567</v>
      </c>
      <c r="U741" s="99" t="s">
        <v>4966</v>
      </c>
      <c r="V741" s="99" t="s">
        <v>2568</v>
      </c>
      <c r="W741" s="99" t="s">
        <v>4975</v>
      </c>
      <c r="X741" s="99" t="s">
        <v>3805</v>
      </c>
      <c r="Y741" s="99" t="s">
        <v>4976</v>
      </c>
      <c r="Z741" s="99" t="s">
        <v>172</v>
      </c>
      <c r="AA741" s="99" t="s">
        <v>173</v>
      </c>
      <c r="AB741" s="99" t="s">
        <v>834</v>
      </c>
      <c r="AC741" s="99" t="s">
        <v>4977</v>
      </c>
      <c r="AD741" s="99" t="s">
        <v>175</v>
      </c>
      <c r="AE741" s="99" t="s">
        <v>3411</v>
      </c>
      <c r="AF741" s="99" t="s">
        <v>3411</v>
      </c>
      <c r="AG741" s="124">
        <v>447</v>
      </c>
      <c r="AH741" s="99" t="s">
        <v>3413</v>
      </c>
      <c r="AI741" s="125">
        <v>100</v>
      </c>
      <c r="AJ741" s="99" t="s">
        <v>176</v>
      </c>
      <c r="AK741" s="99" t="s">
        <v>3411</v>
      </c>
      <c r="AL741" s="99" t="s">
        <v>3411</v>
      </c>
      <c r="AM741" s="99" t="s">
        <v>177</v>
      </c>
      <c r="AN741" s="99" t="s">
        <v>3411</v>
      </c>
      <c r="AO741" s="99" t="s">
        <v>4963</v>
      </c>
      <c r="AP741" s="99" t="s">
        <v>2570</v>
      </c>
      <c r="AQ741" s="99" t="s">
        <v>3411</v>
      </c>
      <c r="AR741" s="99" t="s">
        <v>3411</v>
      </c>
      <c r="AS741" s="99" t="s">
        <v>2805</v>
      </c>
      <c r="AT741" s="99" t="s">
        <v>175</v>
      </c>
      <c r="AU741" s="99" t="s">
        <v>3411</v>
      </c>
      <c r="AV741" s="99" t="s">
        <v>177</v>
      </c>
      <c r="AW741" s="99" t="s">
        <v>3411</v>
      </c>
      <c r="AX741" s="99" t="s">
        <v>3411</v>
      </c>
      <c r="AY741" s="99" t="s">
        <v>3411</v>
      </c>
      <c r="AZ741" s="99" t="s">
        <v>3411</v>
      </c>
      <c r="BA741" s="99" t="s">
        <v>520</v>
      </c>
      <c r="BB741" s="99" t="s">
        <v>3411</v>
      </c>
      <c r="BC741" s="125">
        <v>76</v>
      </c>
      <c r="BD741" s="99" t="s">
        <v>3135</v>
      </c>
      <c r="BE741" s="99" t="s">
        <v>3136</v>
      </c>
    </row>
    <row r="742" spans="1:57" ht="12.95" customHeight="1">
      <c r="A742" s="124">
        <v>2015</v>
      </c>
      <c r="B742" s="124">
        <v>420</v>
      </c>
      <c r="C742" s="99" t="s">
        <v>2565</v>
      </c>
      <c r="D742" s="99" t="s">
        <v>1104</v>
      </c>
      <c r="E742" s="99" t="s">
        <v>2873</v>
      </c>
      <c r="F742" s="99" t="s">
        <v>1162</v>
      </c>
      <c r="G742" s="99" t="s">
        <v>1163</v>
      </c>
      <c r="H742" s="99" t="s">
        <v>4092</v>
      </c>
      <c r="I742" s="99" t="s">
        <v>3231</v>
      </c>
      <c r="J742" s="99" t="s">
        <v>2808</v>
      </c>
      <c r="K742" s="99" t="s">
        <v>483</v>
      </c>
      <c r="L742" s="99" t="s">
        <v>2809</v>
      </c>
      <c r="M742" s="99" t="s">
        <v>5</v>
      </c>
      <c r="N742" s="99" t="s">
        <v>3407</v>
      </c>
      <c r="O742" s="99" t="s">
        <v>114</v>
      </c>
      <c r="P742" s="99" t="s">
        <v>3681</v>
      </c>
      <c r="Q742" s="99" t="s">
        <v>169</v>
      </c>
      <c r="R742" s="99" t="s">
        <v>4965</v>
      </c>
      <c r="S742" s="99" t="s">
        <v>2566</v>
      </c>
      <c r="T742" s="99" t="s">
        <v>2567</v>
      </c>
      <c r="U742" s="99" t="s">
        <v>4966</v>
      </c>
      <c r="V742" s="99" t="s">
        <v>2568</v>
      </c>
      <c r="W742" s="99" t="s">
        <v>3681</v>
      </c>
      <c r="X742" s="99" t="s">
        <v>3681</v>
      </c>
      <c r="Y742" s="99" t="s">
        <v>4978</v>
      </c>
      <c r="Z742" s="99" t="s">
        <v>172</v>
      </c>
      <c r="AA742" s="99" t="s">
        <v>173</v>
      </c>
      <c r="AB742" s="99" t="s">
        <v>834</v>
      </c>
      <c r="AC742" s="99" t="s">
        <v>3411</v>
      </c>
      <c r="AD742" s="99" t="s">
        <v>175</v>
      </c>
      <c r="AE742" s="99" t="s">
        <v>3411</v>
      </c>
      <c r="AF742" s="99" t="s">
        <v>3411</v>
      </c>
      <c r="AG742" s="124">
        <v>472</v>
      </c>
      <c r="AH742" s="99" t="s">
        <v>3413</v>
      </c>
      <c r="AI742" s="125">
        <v>100</v>
      </c>
      <c r="AJ742" s="99" t="s">
        <v>176</v>
      </c>
      <c r="AK742" s="99" t="s">
        <v>3681</v>
      </c>
      <c r="AL742" s="99" t="s">
        <v>3411</v>
      </c>
      <c r="AM742" s="99" t="s">
        <v>177</v>
      </c>
      <c r="AN742" s="99" t="s">
        <v>3411</v>
      </c>
      <c r="AO742" s="99" t="s">
        <v>2570</v>
      </c>
      <c r="AP742" s="99" t="s">
        <v>2570</v>
      </c>
      <c r="AQ742" s="99" t="s">
        <v>3411</v>
      </c>
      <c r="AR742" s="99" t="s">
        <v>3411</v>
      </c>
      <c r="AS742" s="99" t="s">
        <v>2810</v>
      </c>
      <c r="AT742" s="99" t="s">
        <v>175</v>
      </c>
      <c r="AU742" s="99" t="s">
        <v>3411</v>
      </c>
      <c r="AV742" s="99" t="s">
        <v>177</v>
      </c>
      <c r="AW742" s="99" t="s">
        <v>3411</v>
      </c>
      <c r="AX742" s="99" t="s">
        <v>3411</v>
      </c>
      <c r="AY742" s="99" t="s">
        <v>3411</v>
      </c>
      <c r="AZ742" s="99" t="s">
        <v>3411</v>
      </c>
      <c r="BA742" s="99" t="s">
        <v>520</v>
      </c>
      <c r="BB742" s="99" t="s">
        <v>3411</v>
      </c>
      <c r="BC742" s="125">
        <v>65</v>
      </c>
      <c r="BD742" s="99" t="s">
        <v>3135</v>
      </c>
      <c r="BE742" s="99" t="s">
        <v>3136</v>
      </c>
    </row>
    <row r="743" spans="1:57" ht="12.95" customHeight="1">
      <c r="A743" s="124">
        <v>2015</v>
      </c>
      <c r="B743" s="124">
        <v>407</v>
      </c>
      <c r="C743" s="99" t="s">
        <v>2565</v>
      </c>
      <c r="D743" s="99" t="s">
        <v>1104</v>
      </c>
      <c r="E743" s="99" t="s">
        <v>2873</v>
      </c>
      <c r="F743" s="99" t="s">
        <v>1336</v>
      </c>
      <c r="G743" s="99" t="s">
        <v>3189</v>
      </c>
      <c r="H743" s="99" t="s">
        <v>4267</v>
      </c>
      <c r="I743" s="99" t="s">
        <v>3259</v>
      </c>
      <c r="J743" s="99" t="s">
        <v>2813</v>
      </c>
      <c r="K743" s="99" t="s">
        <v>2814</v>
      </c>
      <c r="L743" s="99" t="s">
        <v>2815</v>
      </c>
      <c r="M743" s="99" t="s">
        <v>1</v>
      </c>
      <c r="N743" s="99" t="s">
        <v>3407</v>
      </c>
      <c r="O743" s="99" t="s">
        <v>114</v>
      </c>
      <c r="P743" s="99" t="s">
        <v>3422</v>
      </c>
      <c r="Q743" s="99" t="s">
        <v>169</v>
      </c>
      <c r="R743" s="99" t="s">
        <v>4965</v>
      </c>
      <c r="S743" s="99" t="s">
        <v>2566</v>
      </c>
      <c r="T743" s="99" t="s">
        <v>2567</v>
      </c>
      <c r="U743" s="99" t="s">
        <v>4966</v>
      </c>
      <c r="V743" s="99" t="s">
        <v>2568</v>
      </c>
      <c r="W743" s="99" t="s">
        <v>4979</v>
      </c>
      <c r="X743" s="99" t="s">
        <v>4980</v>
      </c>
      <c r="Y743" s="99" t="s">
        <v>4981</v>
      </c>
      <c r="Z743" s="99" t="s">
        <v>172</v>
      </c>
      <c r="AA743" s="99" t="s">
        <v>173</v>
      </c>
      <c r="AB743" s="99" t="s">
        <v>834</v>
      </c>
      <c r="AC743" s="99" t="s">
        <v>3411</v>
      </c>
      <c r="AD743" s="99" t="s">
        <v>175</v>
      </c>
      <c r="AE743" s="99" t="s">
        <v>3411</v>
      </c>
      <c r="AF743" s="99" t="s">
        <v>3411</v>
      </c>
      <c r="AG743" s="124">
        <v>459</v>
      </c>
      <c r="AH743" s="99" t="s">
        <v>3413</v>
      </c>
      <c r="AI743" s="125">
        <v>100</v>
      </c>
      <c r="AJ743" s="99" t="s">
        <v>176</v>
      </c>
      <c r="AK743" s="99" t="s">
        <v>3411</v>
      </c>
      <c r="AL743" s="99" t="s">
        <v>3411</v>
      </c>
      <c r="AM743" s="99" t="s">
        <v>177</v>
      </c>
      <c r="AN743" s="99" t="s">
        <v>3411</v>
      </c>
      <c r="AO743" s="99" t="s">
        <v>2570</v>
      </c>
      <c r="AP743" s="99" t="s">
        <v>2570</v>
      </c>
      <c r="AQ743" s="99" t="s">
        <v>3411</v>
      </c>
      <c r="AR743" s="99" t="s">
        <v>3411</v>
      </c>
      <c r="AS743" s="99" t="s">
        <v>2816</v>
      </c>
      <c r="AT743" s="99" t="s">
        <v>175</v>
      </c>
      <c r="AU743" s="99" t="s">
        <v>3411</v>
      </c>
      <c r="AV743" s="99" t="s">
        <v>177</v>
      </c>
      <c r="AW743" s="99" t="s">
        <v>3411</v>
      </c>
      <c r="AX743" s="99" t="s">
        <v>3411</v>
      </c>
      <c r="AY743" s="99" t="s">
        <v>3411</v>
      </c>
      <c r="AZ743" s="99" t="s">
        <v>3411</v>
      </c>
      <c r="BA743" s="99" t="s">
        <v>520</v>
      </c>
      <c r="BB743" s="99" t="s">
        <v>3411</v>
      </c>
      <c r="BC743" s="125">
        <v>64</v>
      </c>
      <c r="BD743" s="99" t="s">
        <v>3135</v>
      </c>
      <c r="BE743" s="99" t="s">
        <v>3136</v>
      </c>
    </row>
    <row r="744" spans="1:57" ht="12.95" customHeight="1">
      <c r="A744" s="124">
        <v>2015</v>
      </c>
      <c r="B744" s="124">
        <v>439</v>
      </c>
      <c r="C744" s="99" t="s">
        <v>2565</v>
      </c>
      <c r="D744" s="99" t="s">
        <v>1477</v>
      </c>
      <c r="E744" s="99" t="s">
        <v>1478</v>
      </c>
      <c r="F744" s="99" t="s">
        <v>74</v>
      </c>
      <c r="G744" s="99" t="s">
        <v>75</v>
      </c>
      <c r="H744" s="99" t="s">
        <v>4314</v>
      </c>
      <c r="I744" s="99" t="s">
        <v>1520</v>
      </c>
      <c r="J744" s="99" t="s">
        <v>1517</v>
      </c>
      <c r="K744" s="99" t="s">
        <v>1413</v>
      </c>
      <c r="L744" s="99" t="s">
        <v>1518</v>
      </c>
      <c r="M744" s="99" t="s">
        <v>1</v>
      </c>
      <c r="N744" s="99" t="s">
        <v>4967</v>
      </c>
      <c r="O744" s="99" t="s">
        <v>2798</v>
      </c>
      <c r="P744" s="99" t="s">
        <v>4982</v>
      </c>
      <c r="Q744" s="99" t="s">
        <v>2571</v>
      </c>
      <c r="R744" s="99" t="s">
        <v>4965</v>
      </c>
      <c r="S744" s="99" t="s">
        <v>2566</v>
      </c>
      <c r="T744" s="99" t="s">
        <v>2567</v>
      </c>
      <c r="U744" s="99" t="s">
        <v>4966</v>
      </c>
      <c r="V744" s="99" t="s">
        <v>2568</v>
      </c>
      <c r="W744" s="99" t="s">
        <v>4982</v>
      </c>
      <c r="X744" s="99" t="s">
        <v>4982</v>
      </c>
      <c r="Y744" s="99" t="s">
        <v>4983</v>
      </c>
      <c r="Z744" s="99" t="s">
        <v>172</v>
      </c>
      <c r="AA744" s="99" t="s">
        <v>173</v>
      </c>
      <c r="AB744" s="99" t="s">
        <v>174</v>
      </c>
      <c r="AC744" s="99" t="s">
        <v>3411</v>
      </c>
      <c r="AD744" s="99" t="s">
        <v>175</v>
      </c>
      <c r="AE744" s="99" t="s">
        <v>3411</v>
      </c>
      <c r="AF744" s="99" t="s">
        <v>3411</v>
      </c>
      <c r="AG744" s="124">
        <v>490</v>
      </c>
      <c r="AH744" s="99" t="s">
        <v>3413</v>
      </c>
      <c r="AI744" s="125">
        <v>100</v>
      </c>
      <c r="AJ744" s="99" t="s">
        <v>176</v>
      </c>
      <c r="AK744" s="99" t="s">
        <v>4984</v>
      </c>
      <c r="AL744" s="99" t="s">
        <v>3411</v>
      </c>
      <c r="AM744" s="99" t="s">
        <v>177</v>
      </c>
      <c r="AN744" s="99" t="s">
        <v>3411</v>
      </c>
      <c r="AO744" s="99" t="s">
        <v>1482</v>
      </c>
      <c r="AP744" s="99" t="s">
        <v>2570</v>
      </c>
      <c r="AQ744" s="99" t="s">
        <v>3411</v>
      </c>
      <c r="AR744" s="99" t="s">
        <v>207</v>
      </c>
      <c r="AS744" s="99" t="s">
        <v>3209</v>
      </c>
      <c r="AT744" s="99" t="s">
        <v>190</v>
      </c>
      <c r="AU744" s="99" t="s">
        <v>191</v>
      </c>
      <c r="AV744" s="99" t="s">
        <v>177</v>
      </c>
      <c r="AW744" s="99" t="s">
        <v>3411</v>
      </c>
      <c r="AX744" s="99" t="s">
        <v>3411</v>
      </c>
      <c r="AY744" s="99" t="s">
        <v>3411</v>
      </c>
      <c r="AZ744" s="99" t="s">
        <v>3411</v>
      </c>
      <c r="BA744" s="99" t="s">
        <v>520</v>
      </c>
      <c r="BB744" s="99" t="s">
        <v>3411</v>
      </c>
      <c r="BC744" s="125">
        <v>64</v>
      </c>
      <c r="BD744" s="99" t="s">
        <v>3135</v>
      </c>
      <c r="BE744" s="99" t="s">
        <v>3136</v>
      </c>
    </row>
    <row r="745" spans="1:57" ht="12.95" customHeight="1">
      <c r="A745" s="124">
        <v>2015</v>
      </c>
      <c r="B745" s="124">
        <v>249</v>
      </c>
      <c r="C745" s="99" t="s">
        <v>2565</v>
      </c>
      <c r="D745" s="99" t="s">
        <v>1477</v>
      </c>
      <c r="E745" s="99" t="s">
        <v>1478</v>
      </c>
      <c r="F745" s="99" t="s">
        <v>74</v>
      </c>
      <c r="G745" s="99" t="s">
        <v>75</v>
      </c>
      <c r="H745" s="99" t="s">
        <v>4314</v>
      </c>
      <c r="I745" s="99" t="s">
        <v>1520</v>
      </c>
      <c r="J745" s="99" t="s">
        <v>2817</v>
      </c>
      <c r="K745" s="99" t="s">
        <v>2818</v>
      </c>
      <c r="L745" s="99" t="s">
        <v>2819</v>
      </c>
      <c r="M745" s="99" t="s">
        <v>1</v>
      </c>
      <c r="N745" s="99" t="s">
        <v>3407</v>
      </c>
      <c r="O745" s="99" t="s">
        <v>114</v>
      </c>
      <c r="P745" s="99" t="s">
        <v>3422</v>
      </c>
      <c r="Q745" s="99" t="s">
        <v>169</v>
      </c>
      <c r="R745" s="99" t="s">
        <v>4965</v>
      </c>
      <c r="S745" s="99" t="s">
        <v>2566</v>
      </c>
      <c r="T745" s="99" t="s">
        <v>2567</v>
      </c>
      <c r="U745" s="99" t="s">
        <v>4966</v>
      </c>
      <c r="V745" s="99" t="s">
        <v>2568</v>
      </c>
      <c r="W745" s="99" t="s">
        <v>4947</v>
      </c>
      <c r="X745" s="99" t="s">
        <v>4710</v>
      </c>
      <c r="Y745" s="99" t="s">
        <v>4985</v>
      </c>
      <c r="Z745" s="99" t="s">
        <v>172</v>
      </c>
      <c r="AA745" s="99" t="s">
        <v>173</v>
      </c>
      <c r="AB745" s="99" t="s">
        <v>834</v>
      </c>
      <c r="AC745" s="99" t="s">
        <v>3411</v>
      </c>
      <c r="AD745" s="99" t="s">
        <v>175</v>
      </c>
      <c r="AE745" s="99" t="s">
        <v>3411</v>
      </c>
      <c r="AF745" s="99" t="s">
        <v>3411</v>
      </c>
      <c r="AG745" s="124">
        <v>302</v>
      </c>
      <c r="AH745" s="99" t="s">
        <v>3413</v>
      </c>
      <c r="AI745" s="125">
        <v>100</v>
      </c>
      <c r="AJ745" s="99" t="s">
        <v>176</v>
      </c>
      <c r="AK745" s="99" t="s">
        <v>3411</v>
      </c>
      <c r="AL745" s="99" t="s">
        <v>3411</v>
      </c>
      <c r="AM745" s="99" t="s">
        <v>177</v>
      </c>
      <c r="AN745" s="99" t="s">
        <v>3411</v>
      </c>
      <c r="AO745" s="99" t="s">
        <v>4963</v>
      </c>
      <c r="AP745" s="99" t="s">
        <v>2570</v>
      </c>
      <c r="AQ745" s="99" t="s">
        <v>3411</v>
      </c>
      <c r="AR745" s="99" t="s">
        <v>3411</v>
      </c>
      <c r="AS745" s="99" t="s">
        <v>2820</v>
      </c>
      <c r="AT745" s="99" t="s">
        <v>190</v>
      </c>
      <c r="AU745" s="99" t="s">
        <v>191</v>
      </c>
      <c r="AV745" s="99" t="s">
        <v>177</v>
      </c>
      <c r="AW745" s="99" t="s">
        <v>3411</v>
      </c>
      <c r="AX745" s="99" t="s">
        <v>3411</v>
      </c>
      <c r="AY745" s="99" t="s">
        <v>3411</v>
      </c>
      <c r="AZ745" s="99" t="s">
        <v>3411</v>
      </c>
      <c r="BA745" s="99" t="s">
        <v>520</v>
      </c>
      <c r="BB745" s="99" t="s">
        <v>3411</v>
      </c>
      <c r="BC745" s="125">
        <v>77</v>
      </c>
      <c r="BD745" s="99" t="s">
        <v>3135</v>
      </c>
      <c r="BE745" s="99" t="s">
        <v>3136</v>
      </c>
    </row>
    <row r="746" spans="1:57" ht="12.95" customHeight="1">
      <c r="A746" s="124">
        <v>2015</v>
      </c>
      <c r="B746" s="124">
        <v>318</v>
      </c>
      <c r="C746" s="99" t="s">
        <v>2565</v>
      </c>
      <c r="D746" s="99" t="s">
        <v>1477</v>
      </c>
      <c r="E746" s="99" t="s">
        <v>1478</v>
      </c>
      <c r="F746" s="99" t="s">
        <v>74</v>
      </c>
      <c r="G746" s="99" t="s">
        <v>75</v>
      </c>
      <c r="H746" s="99" t="s">
        <v>4314</v>
      </c>
      <c r="I746" s="99" t="s">
        <v>1520</v>
      </c>
      <c r="J746" s="99" t="s">
        <v>2821</v>
      </c>
      <c r="K746" s="99" t="s">
        <v>679</v>
      </c>
      <c r="L746" s="99" t="s">
        <v>2822</v>
      </c>
      <c r="M746" s="99" t="s">
        <v>1</v>
      </c>
      <c r="N746" s="99" t="s">
        <v>4967</v>
      </c>
      <c r="O746" s="99" t="s">
        <v>2798</v>
      </c>
      <c r="P746" s="99" t="s">
        <v>4877</v>
      </c>
      <c r="Q746" s="99" t="s">
        <v>2571</v>
      </c>
      <c r="R746" s="99" t="s">
        <v>4965</v>
      </c>
      <c r="S746" s="99" t="s">
        <v>2566</v>
      </c>
      <c r="T746" s="99" t="s">
        <v>2567</v>
      </c>
      <c r="U746" s="99" t="s">
        <v>4966</v>
      </c>
      <c r="V746" s="99" t="s">
        <v>2568</v>
      </c>
      <c r="W746" s="99" t="s">
        <v>4986</v>
      </c>
      <c r="X746" s="99" t="s">
        <v>4986</v>
      </c>
      <c r="Y746" s="99" t="s">
        <v>4663</v>
      </c>
      <c r="Z746" s="99" t="s">
        <v>172</v>
      </c>
      <c r="AA746" s="99" t="s">
        <v>173</v>
      </c>
      <c r="AB746" s="99" t="s">
        <v>834</v>
      </c>
      <c r="AC746" s="99" t="s">
        <v>3411</v>
      </c>
      <c r="AD746" s="99" t="s">
        <v>175</v>
      </c>
      <c r="AE746" s="99" t="s">
        <v>3411</v>
      </c>
      <c r="AF746" s="99" t="s">
        <v>3411</v>
      </c>
      <c r="AG746" s="124">
        <v>371</v>
      </c>
      <c r="AH746" s="99" t="s">
        <v>3413</v>
      </c>
      <c r="AI746" s="125">
        <v>100</v>
      </c>
      <c r="AJ746" s="99" t="s">
        <v>176</v>
      </c>
      <c r="AK746" s="99" t="s">
        <v>3411</v>
      </c>
      <c r="AL746" s="99" t="s">
        <v>3411</v>
      </c>
      <c r="AM746" s="99" t="s">
        <v>177</v>
      </c>
      <c r="AN746" s="99" t="s">
        <v>3411</v>
      </c>
      <c r="AO746" s="99" t="s">
        <v>4963</v>
      </c>
      <c r="AP746" s="99" t="s">
        <v>2570</v>
      </c>
      <c r="AQ746" s="99" t="s">
        <v>3411</v>
      </c>
      <c r="AR746" s="99" t="s">
        <v>3411</v>
      </c>
      <c r="AS746" s="99" t="s">
        <v>2823</v>
      </c>
      <c r="AT746" s="99" t="s">
        <v>190</v>
      </c>
      <c r="AU746" s="99" t="s">
        <v>191</v>
      </c>
      <c r="AV746" s="99" t="s">
        <v>177</v>
      </c>
      <c r="AW746" s="99" t="s">
        <v>3411</v>
      </c>
      <c r="AX746" s="99" t="s">
        <v>3411</v>
      </c>
      <c r="AY746" s="99" t="s">
        <v>3411</v>
      </c>
      <c r="AZ746" s="99" t="s">
        <v>3411</v>
      </c>
      <c r="BA746" s="99" t="s">
        <v>520</v>
      </c>
      <c r="BB746" s="99" t="s">
        <v>3411</v>
      </c>
      <c r="BC746" s="125">
        <v>63</v>
      </c>
      <c r="BD746" s="99" t="s">
        <v>3135</v>
      </c>
      <c r="BE746" s="99" t="s">
        <v>3136</v>
      </c>
    </row>
    <row r="747" spans="1:57" ht="12.95" customHeight="1">
      <c r="A747" s="124">
        <v>2015</v>
      </c>
      <c r="B747" s="124">
        <v>440</v>
      </c>
      <c r="C747" s="99" t="s">
        <v>2565</v>
      </c>
      <c r="D747" s="99" t="s">
        <v>1477</v>
      </c>
      <c r="E747" s="99" t="s">
        <v>1478</v>
      </c>
      <c r="F747" s="99" t="s">
        <v>74</v>
      </c>
      <c r="G747" s="99" t="s">
        <v>75</v>
      </c>
      <c r="H747" s="99" t="s">
        <v>4314</v>
      </c>
      <c r="I747" s="99" t="s">
        <v>1520</v>
      </c>
      <c r="J747" s="99" t="s">
        <v>3260</v>
      </c>
      <c r="K747" s="99" t="s">
        <v>3261</v>
      </c>
      <c r="L747" s="99" t="s">
        <v>3262</v>
      </c>
      <c r="M747" s="99" t="s">
        <v>1</v>
      </c>
      <c r="N747" s="99" t="s">
        <v>4967</v>
      </c>
      <c r="O747" s="99" t="s">
        <v>2798</v>
      </c>
      <c r="P747" s="99" t="s">
        <v>4809</v>
      </c>
      <c r="Q747" s="99" t="s">
        <v>2571</v>
      </c>
      <c r="R747" s="99" t="s">
        <v>4965</v>
      </c>
      <c r="S747" s="99" t="s">
        <v>2566</v>
      </c>
      <c r="T747" s="99" t="s">
        <v>2567</v>
      </c>
      <c r="U747" s="99" t="s">
        <v>4966</v>
      </c>
      <c r="V747" s="99" t="s">
        <v>2568</v>
      </c>
      <c r="W747" s="99" t="s">
        <v>4987</v>
      </c>
      <c r="X747" s="99" t="s">
        <v>4809</v>
      </c>
      <c r="Y747" s="99" t="s">
        <v>4988</v>
      </c>
      <c r="Z747" s="99" t="s">
        <v>172</v>
      </c>
      <c r="AA747" s="99" t="s">
        <v>173</v>
      </c>
      <c r="AB747" s="99" t="s">
        <v>174</v>
      </c>
      <c r="AC747" s="99" t="s">
        <v>3411</v>
      </c>
      <c r="AD747" s="99" t="s">
        <v>175</v>
      </c>
      <c r="AE747" s="99" t="s">
        <v>3411</v>
      </c>
      <c r="AF747" s="99" t="s">
        <v>3411</v>
      </c>
      <c r="AG747" s="124">
        <v>491</v>
      </c>
      <c r="AH747" s="99" t="s">
        <v>3413</v>
      </c>
      <c r="AI747" s="125">
        <v>100</v>
      </c>
      <c r="AJ747" s="99" t="s">
        <v>176</v>
      </c>
      <c r="AK747" s="99" t="s">
        <v>3411</v>
      </c>
      <c r="AL747" s="99" t="s">
        <v>3411</v>
      </c>
      <c r="AM747" s="99" t="s">
        <v>177</v>
      </c>
      <c r="AN747" s="99" t="s">
        <v>3411</v>
      </c>
      <c r="AO747" s="99" t="s">
        <v>1482</v>
      </c>
      <c r="AP747" s="99" t="s">
        <v>2570</v>
      </c>
      <c r="AQ747" s="99" t="s">
        <v>3411</v>
      </c>
      <c r="AR747" s="99" t="s">
        <v>207</v>
      </c>
      <c r="AS747" s="99" t="s">
        <v>3282</v>
      </c>
      <c r="AT747" s="99" t="s">
        <v>190</v>
      </c>
      <c r="AU747" s="99" t="s">
        <v>191</v>
      </c>
      <c r="AV747" s="99" t="s">
        <v>177</v>
      </c>
      <c r="AW747" s="99" t="s">
        <v>3411</v>
      </c>
      <c r="AX747" s="99" t="s">
        <v>4809</v>
      </c>
      <c r="AY747" s="99" t="s">
        <v>3411</v>
      </c>
      <c r="AZ747" s="99" t="s">
        <v>3411</v>
      </c>
      <c r="BA747" s="99" t="s">
        <v>520</v>
      </c>
      <c r="BB747" s="99" t="s">
        <v>3411</v>
      </c>
      <c r="BC747" s="125">
        <v>63</v>
      </c>
      <c r="BD747" s="99" t="s">
        <v>3135</v>
      </c>
      <c r="BE747" s="99" t="s">
        <v>3136</v>
      </c>
    </row>
    <row r="748" spans="1:57" ht="12.95" customHeight="1">
      <c r="A748" s="124">
        <v>2015</v>
      </c>
      <c r="B748" s="124">
        <v>454</v>
      </c>
      <c r="C748" s="99" t="s">
        <v>2565</v>
      </c>
      <c r="D748" s="99" t="s">
        <v>1477</v>
      </c>
      <c r="E748" s="99" t="s">
        <v>1478</v>
      </c>
      <c r="F748" s="99" t="s">
        <v>74</v>
      </c>
      <c r="G748" s="99" t="s">
        <v>75</v>
      </c>
      <c r="H748" s="99" t="s">
        <v>4314</v>
      </c>
      <c r="I748" s="99" t="s">
        <v>1520</v>
      </c>
      <c r="J748" s="99" t="s">
        <v>3395</v>
      </c>
      <c r="K748" s="99" t="s">
        <v>3396</v>
      </c>
      <c r="L748" s="99" t="s">
        <v>3397</v>
      </c>
      <c r="M748" s="99" t="s">
        <v>1</v>
      </c>
      <c r="N748" s="99" t="s">
        <v>4967</v>
      </c>
      <c r="O748" s="99" t="s">
        <v>2798</v>
      </c>
      <c r="P748" s="99" t="s">
        <v>3771</v>
      </c>
      <c r="Q748" s="99" t="s">
        <v>2571</v>
      </c>
      <c r="R748" s="99" t="s">
        <v>4965</v>
      </c>
      <c r="S748" s="99" t="s">
        <v>2566</v>
      </c>
      <c r="T748" s="99" t="s">
        <v>2567</v>
      </c>
      <c r="U748" s="99" t="s">
        <v>4966</v>
      </c>
      <c r="V748" s="99" t="s">
        <v>2568</v>
      </c>
      <c r="W748" s="99" t="s">
        <v>3771</v>
      </c>
      <c r="X748" s="99" t="s">
        <v>3771</v>
      </c>
      <c r="Y748" s="99" t="s">
        <v>4989</v>
      </c>
      <c r="Z748" s="99" t="s">
        <v>172</v>
      </c>
      <c r="AA748" s="99" t="s">
        <v>173</v>
      </c>
      <c r="AB748" s="99" t="s">
        <v>174</v>
      </c>
      <c r="AC748" s="99" t="s">
        <v>3411</v>
      </c>
      <c r="AD748" s="99" t="s">
        <v>175</v>
      </c>
      <c r="AE748" s="99" t="s">
        <v>3411</v>
      </c>
      <c r="AF748" s="99" t="s">
        <v>3411</v>
      </c>
      <c r="AG748" s="124">
        <v>0</v>
      </c>
      <c r="AH748" s="99" t="s">
        <v>3413</v>
      </c>
      <c r="AI748" s="125">
        <v>100</v>
      </c>
      <c r="AJ748" s="99" t="s">
        <v>176</v>
      </c>
      <c r="AK748" s="99" t="s">
        <v>3771</v>
      </c>
      <c r="AL748" s="99" t="s">
        <v>3411</v>
      </c>
      <c r="AM748" s="99" t="s">
        <v>177</v>
      </c>
      <c r="AN748" s="99" t="s">
        <v>3411</v>
      </c>
      <c r="AO748" s="99" t="s">
        <v>1482</v>
      </c>
      <c r="AP748" s="99" t="s">
        <v>2570</v>
      </c>
      <c r="AQ748" s="99" t="s">
        <v>3411</v>
      </c>
      <c r="AR748" s="99" t="s">
        <v>207</v>
      </c>
      <c r="AS748" s="99" t="s">
        <v>3398</v>
      </c>
      <c r="AT748" s="99" t="s">
        <v>190</v>
      </c>
      <c r="AU748" s="99" t="s">
        <v>191</v>
      </c>
      <c r="AV748" s="99" t="s">
        <v>177</v>
      </c>
      <c r="AW748" s="99" t="s">
        <v>3411</v>
      </c>
      <c r="AX748" s="99" t="s">
        <v>3411</v>
      </c>
      <c r="AY748" s="99" t="s">
        <v>3411</v>
      </c>
      <c r="AZ748" s="99" t="s">
        <v>3411</v>
      </c>
      <c r="BA748" s="99" t="s">
        <v>520</v>
      </c>
      <c r="BB748" s="99" t="s">
        <v>3411</v>
      </c>
      <c r="BC748" s="125">
        <v>61</v>
      </c>
      <c r="BD748" s="99" t="s">
        <v>3135</v>
      </c>
      <c r="BE748" s="99" t="s">
        <v>3136</v>
      </c>
    </row>
    <row r="749" spans="1:57" ht="12.95" customHeight="1">
      <c r="A749" s="124">
        <v>2015</v>
      </c>
      <c r="B749" s="124">
        <v>445</v>
      </c>
      <c r="C749" s="99" t="s">
        <v>2565</v>
      </c>
      <c r="D749" s="99" t="s">
        <v>1477</v>
      </c>
      <c r="E749" s="99" t="s">
        <v>1478</v>
      </c>
      <c r="F749" s="99" t="s">
        <v>74</v>
      </c>
      <c r="G749" s="99" t="s">
        <v>75</v>
      </c>
      <c r="H749" s="99" t="s">
        <v>4314</v>
      </c>
      <c r="I749" s="99" t="s">
        <v>1520</v>
      </c>
      <c r="J749" s="99" t="s">
        <v>3305</v>
      </c>
      <c r="K749" s="99" t="s">
        <v>472</v>
      </c>
      <c r="L749" s="99" t="s">
        <v>3306</v>
      </c>
      <c r="M749" s="99" t="s">
        <v>5</v>
      </c>
      <c r="N749" s="99" t="s">
        <v>4967</v>
      </c>
      <c r="O749" s="99" t="s">
        <v>2798</v>
      </c>
      <c r="P749" s="99" t="s">
        <v>4962</v>
      </c>
      <c r="Q749" s="99" t="s">
        <v>2571</v>
      </c>
      <c r="R749" s="99" t="s">
        <v>4965</v>
      </c>
      <c r="S749" s="99" t="s">
        <v>2566</v>
      </c>
      <c r="T749" s="99" t="s">
        <v>2567</v>
      </c>
      <c r="U749" s="99" t="s">
        <v>4966</v>
      </c>
      <c r="V749" s="99" t="s">
        <v>2568</v>
      </c>
      <c r="W749" s="99" t="s">
        <v>4962</v>
      </c>
      <c r="X749" s="99" t="s">
        <v>4962</v>
      </c>
      <c r="Y749" s="99" t="s">
        <v>4990</v>
      </c>
      <c r="Z749" s="99" t="s">
        <v>172</v>
      </c>
      <c r="AA749" s="99" t="s">
        <v>173</v>
      </c>
      <c r="AB749" s="99" t="s">
        <v>834</v>
      </c>
      <c r="AC749" s="99" t="s">
        <v>4287</v>
      </c>
      <c r="AD749" s="99" t="s">
        <v>175</v>
      </c>
      <c r="AE749" s="99" t="s">
        <v>3411</v>
      </c>
      <c r="AF749" s="99" t="s">
        <v>3411</v>
      </c>
      <c r="AG749" s="124">
        <v>445</v>
      </c>
      <c r="AH749" s="99" t="s">
        <v>3413</v>
      </c>
      <c r="AI749" s="125">
        <v>100</v>
      </c>
      <c r="AJ749" s="99" t="s">
        <v>176</v>
      </c>
      <c r="AK749" s="99" t="s">
        <v>4962</v>
      </c>
      <c r="AL749" s="99" t="s">
        <v>3411</v>
      </c>
      <c r="AM749" s="99" t="s">
        <v>177</v>
      </c>
      <c r="AN749" s="99" t="s">
        <v>3411</v>
      </c>
      <c r="AO749" s="99" t="s">
        <v>1482</v>
      </c>
      <c r="AP749" s="99" t="s">
        <v>2570</v>
      </c>
      <c r="AQ749" s="99" t="s">
        <v>3411</v>
      </c>
      <c r="AR749" s="99" t="s">
        <v>3411</v>
      </c>
      <c r="AS749" s="99" t="s">
        <v>3329</v>
      </c>
      <c r="AT749" s="99" t="s">
        <v>190</v>
      </c>
      <c r="AU749" s="99" t="s">
        <v>191</v>
      </c>
      <c r="AV749" s="99" t="s">
        <v>3928</v>
      </c>
      <c r="AW749" s="99" t="s">
        <v>519</v>
      </c>
      <c r="AX749" s="99" t="s">
        <v>3411</v>
      </c>
      <c r="AY749" s="99" t="s">
        <v>3411</v>
      </c>
      <c r="AZ749" s="99" t="s">
        <v>3411</v>
      </c>
      <c r="BA749" s="99" t="s">
        <v>520</v>
      </c>
      <c r="BB749" s="99" t="s">
        <v>3411</v>
      </c>
      <c r="BC749" s="125">
        <v>63</v>
      </c>
      <c r="BD749" s="99" t="s">
        <v>3135</v>
      </c>
      <c r="BE749" s="99" t="s">
        <v>3136</v>
      </c>
    </row>
    <row r="750" spans="1:57" ht="12.95" customHeight="1">
      <c r="A750" s="124">
        <v>2015</v>
      </c>
      <c r="B750" s="124">
        <v>299</v>
      </c>
      <c r="C750" s="99" t="s">
        <v>2565</v>
      </c>
      <c r="D750" s="99" t="s">
        <v>1477</v>
      </c>
      <c r="E750" s="99" t="s">
        <v>1478</v>
      </c>
      <c r="F750" s="99" t="s">
        <v>74</v>
      </c>
      <c r="G750" s="99" t="s">
        <v>75</v>
      </c>
      <c r="H750" s="99" t="s">
        <v>4314</v>
      </c>
      <c r="I750" s="99" t="s">
        <v>1520</v>
      </c>
      <c r="J750" s="99" t="s">
        <v>2824</v>
      </c>
      <c r="K750" s="99" t="s">
        <v>668</v>
      </c>
      <c r="L750" s="99" t="s">
        <v>2825</v>
      </c>
      <c r="M750" s="99" t="s">
        <v>1</v>
      </c>
      <c r="N750" s="99" t="s">
        <v>3407</v>
      </c>
      <c r="O750" s="99" t="s">
        <v>114</v>
      </c>
      <c r="P750" s="99" t="s">
        <v>3422</v>
      </c>
      <c r="Q750" s="99" t="s">
        <v>169</v>
      </c>
      <c r="R750" s="99" t="s">
        <v>4965</v>
      </c>
      <c r="S750" s="99" t="s">
        <v>2566</v>
      </c>
      <c r="T750" s="99" t="s">
        <v>2567</v>
      </c>
      <c r="U750" s="99" t="s">
        <v>4966</v>
      </c>
      <c r="V750" s="99" t="s">
        <v>2568</v>
      </c>
      <c r="W750" s="99" t="s">
        <v>4991</v>
      </c>
      <c r="X750" s="99" t="s">
        <v>4991</v>
      </c>
      <c r="Y750" s="99" t="s">
        <v>4992</v>
      </c>
      <c r="Z750" s="99" t="s">
        <v>172</v>
      </c>
      <c r="AA750" s="99" t="s">
        <v>173</v>
      </c>
      <c r="AB750" s="99" t="s">
        <v>834</v>
      </c>
      <c r="AC750" s="99" t="s">
        <v>4993</v>
      </c>
      <c r="AD750" s="99" t="s">
        <v>175</v>
      </c>
      <c r="AE750" s="99" t="s">
        <v>3411</v>
      </c>
      <c r="AF750" s="99" t="s">
        <v>3411</v>
      </c>
      <c r="AG750" s="124">
        <v>352</v>
      </c>
      <c r="AH750" s="99" t="s">
        <v>3413</v>
      </c>
      <c r="AI750" s="125">
        <v>100</v>
      </c>
      <c r="AJ750" s="99" t="s">
        <v>176</v>
      </c>
      <c r="AK750" s="99" t="s">
        <v>4991</v>
      </c>
      <c r="AL750" s="99" t="s">
        <v>3411</v>
      </c>
      <c r="AM750" s="99" t="s">
        <v>177</v>
      </c>
      <c r="AN750" s="99" t="s">
        <v>3411</v>
      </c>
      <c r="AO750" s="99" t="s">
        <v>4963</v>
      </c>
      <c r="AP750" s="99" t="s">
        <v>2570</v>
      </c>
      <c r="AQ750" s="99" t="s">
        <v>3411</v>
      </c>
      <c r="AR750" s="99" t="s">
        <v>3411</v>
      </c>
      <c r="AS750" s="99" t="s">
        <v>2826</v>
      </c>
      <c r="AT750" s="99" t="s">
        <v>190</v>
      </c>
      <c r="AU750" s="99" t="s">
        <v>191</v>
      </c>
      <c r="AV750" s="99" t="s">
        <v>177</v>
      </c>
      <c r="AW750" s="99" t="s">
        <v>3411</v>
      </c>
      <c r="AX750" s="99" t="s">
        <v>3411</v>
      </c>
      <c r="AY750" s="99" t="s">
        <v>3411</v>
      </c>
      <c r="AZ750" s="99" t="s">
        <v>3411</v>
      </c>
      <c r="BA750" s="99" t="s">
        <v>520</v>
      </c>
      <c r="BB750" s="99" t="s">
        <v>3411</v>
      </c>
      <c r="BC750" s="125">
        <v>58</v>
      </c>
      <c r="BD750" s="99" t="s">
        <v>3135</v>
      </c>
      <c r="BE750" s="99" t="s">
        <v>3136</v>
      </c>
    </row>
    <row r="751" spans="1:57" ht="12.95" customHeight="1">
      <c r="A751" s="124">
        <v>2015</v>
      </c>
      <c r="B751" s="124">
        <v>417</v>
      </c>
      <c r="C751" s="99" t="s">
        <v>2565</v>
      </c>
      <c r="D751" s="99" t="s">
        <v>1477</v>
      </c>
      <c r="E751" s="99" t="s">
        <v>1478</v>
      </c>
      <c r="F751" s="99" t="s">
        <v>74</v>
      </c>
      <c r="G751" s="99" t="s">
        <v>75</v>
      </c>
      <c r="H751" s="99" t="s">
        <v>4314</v>
      </c>
      <c r="I751" s="99" t="s">
        <v>1520</v>
      </c>
      <c r="J751" s="99" t="s">
        <v>2827</v>
      </c>
      <c r="K751" s="99" t="s">
        <v>783</v>
      </c>
      <c r="L751" s="99" t="s">
        <v>2828</v>
      </c>
      <c r="M751" s="99" t="s">
        <v>1</v>
      </c>
      <c r="N751" s="99" t="s">
        <v>3407</v>
      </c>
      <c r="O751" s="99" t="s">
        <v>114</v>
      </c>
      <c r="P751" s="99" t="s">
        <v>4994</v>
      </c>
      <c r="Q751" s="99" t="s">
        <v>169</v>
      </c>
      <c r="R751" s="99" t="s">
        <v>4965</v>
      </c>
      <c r="S751" s="99" t="s">
        <v>2566</v>
      </c>
      <c r="T751" s="99" t="s">
        <v>2567</v>
      </c>
      <c r="U751" s="99" t="s">
        <v>4966</v>
      </c>
      <c r="V751" s="99" t="s">
        <v>2568</v>
      </c>
      <c r="W751" s="99" t="s">
        <v>4994</v>
      </c>
      <c r="X751" s="99" t="s">
        <v>4994</v>
      </c>
      <c r="Y751" s="99" t="s">
        <v>4995</v>
      </c>
      <c r="Z751" s="99" t="s">
        <v>172</v>
      </c>
      <c r="AA751" s="99" t="s">
        <v>173</v>
      </c>
      <c r="AB751" s="99" t="s">
        <v>834</v>
      </c>
      <c r="AC751" s="99" t="s">
        <v>3430</v>
      </c>
      <c r="AD751" s="99" t="s">
        <v>175</v>
      </c>
      <c r="AE751" s="99" t="s">
        <v>3411</v>
      </c>
      <c r="AF751" s="99" t="s">
        <v>3411</v>
      </c>
      <c r="AG751" s="124">
        <v>469</v>
      </c>
      <c r="AH751" s="99" t="s">
        <v>3413</v>
      </c>
      <c r="AI751" s="125">
        <v>100</v>
      </c>
      <c r="AJ751" s="99" t="s">
        <v>176</v>
      </c>
      <c r="AK751" s="99" t="s">
        <v>4994</v>
      </c>
      <c r="AL751" s="99" t="s">
        <v>3411</v>
      </c>
      <c r="AM751" s="99" t="s">
        <v>177</v>
      </c>
      <c r="AN751" s="99" t="s">
        <v>3411</v>
      </c>
      <c r="AO751" s="99" t="s">
        <v>4963</v>
      </c>
      <c r="AP751" s="99" t="s">
        <v>2570</v>
      </c>
      <c r="AQ751" s="99" t="s">
        <v>3411</v>
      </c>
      <c r="AR751" s="99" t="s">
        <v>3411</v>
      </c>
      <c r="AS751" s="99" t="s">
        <v>2829</v>
      </c>
      <c r="AT751" s="99" t="s">
        <v>190</v>
      </c>
      <c r="AU751" s="99" t="s">
        <v>191</v>
      </c>
      <c r="AV751" s="99" t="s">
        <v>177</v>
      </c>
      <c r="AW751" s="99" t="s">
        <v>3411</v>
      </c>
      <c r="AX751" s="99" t="s">
        <v>3411</v>
      </c>
      <c r="AY751" s="99" t="s">
        <v>3411</v>
      </c>
      <c r="AZ751" s="99" t="s">
        <v>3411</v>
      </c>
      <c r="BA751" s="99" t="s">
        <v>520</v>
      </c>
      <c r="BB751" s="99" t="s">
        <v>3411</v>
      </c>
      <c r="BC751" s="125">
        <v>64</v>
      </c>
      <c r="BD751" s="99" t="s">
        <v>3135</v>
      </c>
      <c r="BE751" s="99" t="s">
        <v>3136</v>
      </c>
    </row>
    <row r="752" spans="1:57" ht="12.95" customHeight="1">
      <c r="A752" s="124">
        <v>2015</v>
      </c>
      <c r="B752" s="124">
        <v>320</v>
      </c>
      <c r="C752" s="99" t="s">
        <v>2565</v>
      </c>
      <c r="D752" s="99" t="s">
        <v>1477</v>
      </c>
      <c r="E752" s="99" t="s">
        <v>1478</v>
      </c>
      <c r="F752" s="99" t="s">
        <v>74</v>
      </c>
      <c r="G752" s="99" t="s">
        <v>75</v>
      </c>
      <c r="H752" s="99" t="s">
        <v>4314</v>
      </c>
      <c r="I752" s="99" t="s">
        <v>1520</v>
      </c>
      <c r="J752" s="99" t="s">
        <v>2830</v>
      </c>
      <c r="K752" s="99" t="s">
        <v>1730</v>
      </c>
      <c r="L752" s="99" t="s">
        <v>2831</v>
      </c>
      <c r="M752" s="99" t="s">
        <v>5</v>
      </c>
      <c r="N752" s="99" t="s">
        <v>3407</v>
      </c>
      <c r="O752" s="99" t="s">
        <v>114</v>
      </c>
      <c r="P752" s="99" t="s">
        <v>3422</v>
      </c>
      <c r="Q752" s="99" t="s">
        <v>169</v>
      </c>
      <c r="R752" s="99" t="s">
        <v>4965</v>
      </c>
      <c r="S752" s="99" t="s">
        <v>2566</v>
      </c>
      <c r="T752" s="99" t="s">
        <v>2567</v>
      </c>
      <c r="U752" s="99" t="s">
        <v>4966</v>
      </c>
      <c r="V752" s="99" t="s">
        <v>2568</v>
      </c>
      <c r="W752" s="99" t="s">
        <v>4996</v>
      </c>
      <c r="X752" s="99" t="s">
        <v>4996</v>
      </c>
      <c r="Y752" s="99" t="s">
        <v>4997</v>
      </c>
      <c r="Z752" s="99" t="s">
        <v>172</v>
      </c>
      <c r="AA752" s="99" t="s">
        <v>173</v>
      </c>
      <c r="AB752" s="99" t="s">
        <v>834</v>
      </c>
      <c r="AC752" s="99" t="s">
        <v>3411</v>
      </c>
      <c r="AD752" s="99" t="s">
        <v>175</v>
      </c>
      <c r="AE752" s="99" t="s">
        <v>3411</v>
      </c>
      <c r="AF752" s="99" t="s">
        <v>3411</v>
      </c>
      <c r="AG752" s="124">
        <v>373</v>
      </c>
      <c r="AH752" s="99" t="s">
        <v>3413</v>
      </c>
      <c r="AI752" s="125">
        <v>100</v>
      </c>
      <c r="AJ752" s="99" t="s">
        <v>176</v>
      </c>
      <c r="AK752" s="99" t="s">
        <v>3411</v>
      </c>
      <c r="AL752" s="99" t="s">
        <v>3411</v>
      </c>
      <c r="AM752" s="99" t="s">
        <v>177</v>
      </c>
      <c r="AN752" s="99" t="s">
        <v>3411</v>
      </c>
      <c r="AO752" s="99" t="s">
        <v>4963</v>
      </c>
      <c r="AP752" s="99" t="s">
        <v>2570</v>
      </c>
      <c r="AQ752" s="99" t="s">
        <v>3411</v>
      </c>
      <c r="AR752" s="99" t="s">
        <v>3411</v>
      </c>
      <c r="AS752" s="99" t="s">
        <v>2832</v>
      </c>
      <c r="AT752" s="99" t="s">
        <v>190</v>
      </c>
      <c r="AU752" s="99" t="s">
        <v>191</v>
      </c>
      <c r="AV752" s="99" t="s">
        <v>177</v>
      </c>
      <c r="AW752" s="99" t="s">
        <v>3411</v>
      </c>
      <c r="AX752" s="99" t="s">
        <v>3411</v>
      </c>
      <c r="AY752" s="99" t="s">
        <v>3411</v>
      </c>
      <c r="AZ752" s="99" t="s">
        <v>3411</v>
      </c>
      <c r="BA752" s="99" t="s">
        <v>520</v>
      </c>
      <c r="BB752" s="99" t="s">
        <v>3411</v>
      </c>
      <c r="BC752" s="125">
        <v>72</v>
      </c>
      <c r="BD752" s="99" t="s">
        <v>3135</v>
      </c>
      <c r="BE752" s="99" t="s">
        <v>3136</v>
      </c>
    </row>
    <row r="753" spans="1:57" ht="12.95" customHeight="1">
      <c r="A753" s="124">
        <v>2015</v>
      </c>
      <c r="B753" s="124">
        <v>314</v>
      </c>
      <c r="C753" s="99" t="s">
        <v>2565</v>
      </c>
      <c r="D753" s="99" t="s">
        <v>1477</v>
      </c>
      <c r="E753" s="99" t="s">
        <v>1478</v>
      </c>
      <c r="F753" s="99" t="s">
        <v>74</v>
      </c>
      <c r="G753" s="99" t="s">
        <v>75</v>
      </c>
      <c r="H753" s="99" t="s">
        <v>4516</v>
      </c>
      <c r="I753" s="99" t="s">
        <v>1863</v>
      </c>
      <c r="J753" s="99" t="s">
        <v>2833</v>
      </c>
      <c r="K753" s="99" t="s">
        <v>2834</v>
      </c>
      <c r="L753" s="99" t="s">
        <v>2835</v>
      </c>
      <c r="M753" s="99" t="s">
        <v>5</v>
      </c>
      <c r="N753" s="99" t="s">
        <v>3454</v>
      </c>
      <c r="O753" s="99" t="s">
        <v>70</v>
      </c>
      <c r="P753" s="99" t="s">
        <v>4492</v>
      </c>
      <c r="Q753" s="99" t="s">
        <v>247</v>
      </c>
      <c r="R753" s="99" t="s">
        <v>4965</v>
      </c>
      <c r="S753" s="99" t="s">
        <v>2566</v>
      </c>
      <c r="T753" s="99" t="s">
        <v>2567</v>
      </c>
      <c r="U753" s="99" t="s">
        <v>4966</v>
      </c>
      <c r="V753" s="99" t="s">
        <v>2568</v>
      </c>
      <c r="W753" s="99" t="s">
        <v>4492</v>
      </c>
      <c r="X753" s="99" t="s">
        <v>4492</v>
      </c>
      <c r="Y753" s="99" t="s">
        <v>4998</v>
      </c>
      <c r="Z753" s="99" t="s">
        <v>172</v>
      </c>
      <c r="AA753" s="99" t="s">
        <v>173</v>
      </c>
      <c r="AB753" s="99" t="s">
        <v>834</v>
      </c>
      <c r="AC753" s="99" t="s">
        <v>3411</v>
      </c>
      <c r="AD753" s="99" t="s">
        <v>175</v>
      </c>
      <c r="AE753" s="99" t="s">
        <v>3411</v>
      </c>
      <c r="AF753" s="99" t="s">
        <v>3411</v>
      </c>
      <c r="AG753" s="124">
        <v>367</v>
      </c>
      <c r="AH753" s="99" t="s">
        <v>3413</v>
      </c>
      <c r="AI753" s="125">
        <v>100</v>
      </c>
      <c r="AJ753" s="99" t="s">
        <v>176</v>
      </c>
      <c r="AK753" s="99" t="s">
        <v>4492</v>
      </c>
      <c r="AL753" s="99" t="s">
        <v>3411</v>
      </c>
      <c r="AM753" s="99" t="s">
        <v>177</v>
      </c>
      <c r="AN753" s="99" t="s">
        <v>3411</v>
      </c>
      <c r="AO753" s="99" t="s">
        <v>4963</v>
      </c>
      <c r="AP753" s="99" t="s">
        <v>2570</v>
      </c>
      <c r="AQ753" s="99" t="s">
        <v>3411</v>
      </c>
      <c r="AR753" s="99" t="s">
        <v>3411</v>
      </c>
      <c r="AS753" s="99" t="s">
        <v>2836</v>
      </c>
      <c r="AT753" s="99" t="s">
        <v>190</v>
      </c>
      <c r="AU753" s="99" t="s">
        <v>191</v>
      </c>
      <c r="AV753" s="99" t="s">
        <v>177</v>
      </c>
      <c r="AW753" s="99" t="s">
        <v>3411</v>
      </c>
      <c r="AX753" s="99" t="s">
        <v>3411</v>
      </c>
      <c r="AY753" s="99" t="s">
        <v>3411</v>
      </c>
      <c r="AZ753" s="99" t="s">
        <v>3411</v>
      </c>
      <c r="BA753" s="99" t="s">
        <v>520</v>
      </c>
      <c r="BB753" s="99" t="s">
        <v>3411</v>
      </c>
      <c r="BC753" s="125">
        <v>74</v>
      </c>
      <c r="BD753" s="99" t="s">
        <v>3135</v>
      </c>
      <c r="BE753" s="99" t="s">
        <v>3136</v>
      </c>
    </row>
    <row r="754" spans="1:57" ht="12.95" customHeight="1">
      <c r="A754" s="124">
        <v>2015</v>
      </c>
      <c r="B754" s="124">
        <v>418</v>
      </c>
      <c r="C754" s="99" t="s">
        <v>2565</v>
      </c>
      <c r="D754" s="99" t="s">
        <v>1477</v>
      </c>
      <c r="E754" s="99" t="s">
        <v>1478</v>
      </c>
      <c r="F754" s="99" t="s">
        <v>74</v>
      </c>
      <c r="G754" s="99" t="s">
        <v>75</v>
      </c>
      <c r="H754" s="99" t="s">
        <v>4516</v>
      </c>
      <c r="I754" s="99" t="s">
        <v>1863</v>
      </c>
      <c r="J754" s="99" t="s">
        <v>2837</v>
      </c>
      <c r="K754" s="99" t="s">
        <v>679</v>
      </c>
      <c r="L754" s="99" t="s">
        <v>2838</v>
      </c>
      <c r="M754" s="99" t="s">
        <v>1</v>
      </c>
      <c r="N754" s="99" t="s">
        <v>3454</v>
      </c>
      <c r="O754" s="99" t="s">
        <v>70</v>
      </c>
      <c r="P754" s="99" t="s">
        <v>4371</v>
      </c>
      <c r="Q754" s="99" t="s">
        <v>247</v>
      </c>
      <c r="R754" s="99" t="s">
        <v>4965</v>
      </c>
      <c r="S754" s="99" t="s">
        <v>2566</v>
      </c>
      <c r="T754" s="99" t="s">
        <v>2567</v>
      </c>
      <c r="U754" s="99" t="s">
        <v>4966</v>
      </c>
      <c r="V754" s="99" t="s">
        <v>2568</v>
      </c>
      <c r="W754" s="99" t="s">
        <v>4371</v>
      </c>
      <c r="X754" s="99" t="s">
        <v>4371</v>
      </c>
      <c r="Y754" s="99" t="s">
        <v>4999</v>
      </c>
      <c r="Z754" s="99" t="s">
        <v>172</v>
      </c>
      <c r="AA754" s="99" t="s">
        <v>173</v>
      </c>
      <c r="AB754" s="99" t="s">
        <v>834</v>
      </c>
      <c r="AC754" s="99" t="s">
        <v>3430</v>
      </c>
      <c r="AD754" s="99" t="s">
        <v>175</v>
      </c>
      <c r="AE754" s="99" t="s">
        <v>3411</v>
      </c>
      <c r="AF754" s="99" t="s">
        <v>3411</v>
      </c>
      <c r="AG754" s="124">
        <v>470</v>
      </c>
      <c r="AH754" s="99" t="s">
        <v>3413</v>
      </c>
      <c r="AI754" s="125">
        <v>100</v>
      </c>
      <c r="AJ754" s="99" t="s">
        <v>176</v>
      </c>
      <c r="AK754" s="99" t="s">
        <v>4371</v>
      </c>
      <c r="AL754" s="99" t="s">
        <v>3411</v>
      </c>
      <c r="AM754" s="99" t="s">
        <v>177</v>
      </c>
      <c r="AN754" s="99" t="s">
        <v>3411</v>
      </c>
      <c r="AO754" s="99" t="s">
        <v>4963</v>
      </c>
      <c r="AP754" s="99" t="s">
        <v>2570</v>
      </c>
      <c r="AQ754" s="99" t="s">
        <v>3411</v>
      </c>
      <c r="AR754" s="99" t="s">
        <v>3411</v>
      </c>
      <c r="AS754" s="99" t="s">
        <v>2839</v>
      </c>
      <c r="AT754" s="99" t="s">
        <v>190</v>
      </c>
      <c r="AU754" s="99" t="s">
        <v>191</v>
      </c>
      <c r="AV754" s="99" t="s">
        <v>177</v>
      </c>
      <c r="AW754" s="99" t="s">
        <v>3411</v>
      </c>
      <c r="AX754" s="99" t="s">
        <v>3411</v>
      </c>
      <c r="AY754" s="99" t="s">
        <v>3411</v>
      </c>
      <c r="AZ754" s="99" t="s">
        <v>3411</v>
      </c>
      <c r="BA754" s="99" t="s">
        <v>520</v>
      </c>
      <c r="BB754" s="99" t="s">
        <v>3411</v>
      </c>
      <c r="BC754" s="125">
        <v>67</v>
      </c>
      <c r="BD754" s="99" t="s">
        <v>3135</v>
      </c>
      <c r="BE754" s="99" t="s">
        <v>3136</v>
      </c>
    </row>
    <row r="755" spans="1:57" ht="12.95" customHeight="1">
      <c r="A755" s="124">
        <v>2015</v>
      </c>
      <c r="B755" s="124">
        <v>374</v>
      </c>
      <c r="C755" s="99" t="s">
        <v>2565</v>
      </c>
      <c r="D755" s="99" t="s">
        <v>1477</v>
      </c>
      <c r="E755" s="99" t="s">
        <v>1478</v>
      </c>
      <c r="F755" s="99" t="s">
        <v>2006</v>
      </c>
      <c r="G755" s="99" t="s">
        <v>100</v>
      </c>
      <c r="H755" s="99" t="s">
        <v>2096</v>
      </c>
      <c r="I755" s="99" t="s">
        <v>2097</v>
      </c>
      <c r="J755" s="99" t="s">
        <v>3347</v>
      </c>
      <c r="K755" s="99" t="s">
        <v>304</v>
      </c>
      <c r="L755" s="99" t="s">
        <v>3348</v>
      </c>
      <c r="M755" s="99" t="s">
        <v>5</v>
      </c>
      <c r="N755" s="99" t="s">
        <v>3407</v>
      </c>
      <c r="O755" s="99" t="s">
        <v>114</v>
      </c>
      <c r="P755" s="99" t="s">
        <v>3422</v>
      </c>
      <c r="Q755" s="99" t="s">
        <v>169</v>
      </c>
      <c r="R755" s="99" t="s">
        <v>4965</v>
      </c>
      <c r="S755" s="99" t="s">
        <v>2566</v>
      </c>
      <c r="T755" s="99" t="s">
        <v>3349</v>
      </c>
      <c r="U755" s="99" t="s">
        <v>4966</v>
      </c>
      <c r="V755" s="99" t="s">
        <v>3350</v>
      </c>
      <c r="W755" s="99" t="s">
        <v>5000</v>
      </c>
      <c r="X755" s="99" t="s">
        <v>5001</v>
      </c>
      <c r="Y755" s="99" t="s">
        <v>5002</v>
      </c>
      <c r="Z755" s="99" t="s">
        <v>172</v>
      </c>
      <c r="AA755" s="99" t="s">
        <v>173</v>
      </c>
      <c r="AB755" s="99" t="s">
        <v>834</v>
      </c>
      <c r="AC755" s="99" t="s">
        <v>5003</v>
      </c>
      <c r="AD755" s="99" t="s">
        <v>175</v>
      </c>
      <c r="AE755" s="99" t="s">
        <v>3411</v>
      </c>
      <c r="AF755" s="99" t="s">
        <v>3411</v>
      </c>
      <c r="AG755" s="124">
        <v>426</v>
      </c>
      <c r="AH755" s="99" t="s">
        <v>3413</v>
      </c>
      <c r="AI755" s="125">
        <v>100</v>
      </c>
      <c r="AJ755" s="99" t="s">
        <v>176</v>
      </c>
      <c r="AK755" s="99" t="s">
        <v>3411</v>
      </c>
      <c r="AL755" s="99" t="s">
        <v>3411</v>
      </c>
      <c r="AM755" s="99" t="s">
        <v>177</v>
      </c>
      <c r="AN755" s="99" t="s">
        <v>3411</v>
      </c>
      <c r="AO755" s="99" t="s">
        <v>4963</v>
      </c>
      <c r="AP755" s="99" t="s">
        <v>2570</v>
      </c>
      <c r="AQ755" s="99" t="s">
        <v>3411</v>
      </c>
      <c r="AR755" s="99" t="s">
        <v>3411</v>
      </c>
      <c r="AS755" s="99" t="s">
        <v>3351</v>
      </c>
      <c r="AT755" s="99" t="s">
        <v>190</v>
      </c>
      <c r="AU755" s="99" t="s">
        <v>191</v>
      </c>
      <c r="AV755" s="99" t="s">
        <v>177</v>
      </c>
      <c r="AW755" s="99" t="s">
        <v>3411</v>
      </c>
      <c r="AX755" s="99" t="s">
        <v>3411</v>
      </c>
      <c r="AY755" s="99" t="s">
        <v>3411</v>
      </c>
      <c r="AZ755" s="99" t="s">
        <v>3411</v>
      </c>
      <c r="BA755" s="99" t="s">
        <v>520</v>
      </c>
      <c r="BB755" s="99" t="s">
        <v>3411</v>
      </c>
      <c r="BC755" s="125">
        <v>54</v>
      </c>
      <c r="BD755" s="99" t="s">
        <v>3135</v>
      </c>
      <c r="BE755" s="99" t="s">
        <v>3136</v>
      </c>
    </row>
    <row r="756" spans="1:57" ht="12.95" customHeight="1">
      <c r="A756" s="124">
        <v>2015</v>
      </c>
      <c r="B756" s="124">
        <v>286</v>
      </c>
      <c r="C756" s="99" t="s">
        <v>2565</v>
      </c>
      <c r="D756" s="99" t="s">
        <v>1477</v>
      </c>
      <c r="E756" s="99" t="s">
        <v>1478</v>
      </c>
      <c r="F756" s="99" t="s">
        <v>2006</v>
      </c>
      <c r="G756" s="99" t="s">
        <v>100</v>
      </c>
      <c r="H756" s="99" t="s">
        <v>2096</v>
      </c>
      <c r="I756" s="99" t="s">
        <v>2097</v>
      </c>
      <c r="J756" s="99" t="s">
        <v>3162</v>
      </c>
      <c r="K756" s="99" t="s">
        <v>679</v>
      </c>
      <c r="L756" s="99" t="s">
        <v>3163</v>
      </c>
      <c r="M756" s="99" t="s">
        <v>1</v>
      </c>
      <c r="N756" s="99" t="s">
        <v>3407</v>
      </c>
      <c r="O756" s="99" t="s">
        <v>114</v>
      </c>
      <c r="P756" s="99" t="s">
        <v>3422</v>
      </c>
      <c r="Q756" s="99" t="s">
        <v>169</v>
      </c>
      <c r="R756" s="99" t="s">
        <v>4965</v>
      </c>
      <c r="S756" s="99" t="s">
        <v>2566</v>
      </c>
      <c r="T756" s="99" t="s">
        <v>2567</v>
      </c>
      <c r="U756" s="99" t="s">
        <v>4966</v>
      </c>
      <c r="V756" s="99" t="s">
        <v>2568</v>
      </c>
      <c r="W756" s="99" t="s">
        <v>3435</v>
      </c>
      <c r="X756" s="99" t="s">
        <v>4838</v>
      </c>
      <c r="Y756" s="99" t="s">
        <v>5004</v>
      </c>
      <c r="Z756" s="99" t="s">
        <v>172</v>
      </c>
      <c r="AA756" s="99" t="s">
        <v>173</v>
      </c>
      <c r="AB756" s="99" t="s">
        <v>834</v>
      </c>
      <c r="AC756" s="99" t="s">
        <v>5003</v>
      </c>
      <c r="AD756" s="99" t="s">
        <v>175</v>
      </c>
      <c r="AE756" s="99" t="s">
        <v>3411</v>
      </c>
      <c r="AF756" s="99" t="s">
        <v>3411</v>
      </c>
      <c r="AG756" s="124">
        <v>339</v>
      </c>
      <c r="AH756" s="99" t="s">
        <v>3413</v>
      </c>
      <c r="AI756" s="125">
        <v>100</v>
      </c>
      <c r="AJ756" s="99" t="s">
        <v>176</v>
      </c>
      <c r="AK756" s="99" t="s">
        <v>3411</v>
      </c>
      <c r="AL756" s="99" t="s">
        <v>3411</v>
      </c>
      <c r="AM756" s="99" t="s">
        <v>177</v>
      </c>
      <c r="AN756" s="99" t="s">
        <v>3411</v>
      </c>
      <c r="AO756" s="99" t="s">
        <v>4963</v>
      </c>
      <c r="AP756" s="99" t="s">
        <v>2570</v>
      </c>
      <c r="AQ756" s="99" t="s">
        <v>3411</v>
      </c>
      <c r="AR756" s="99" t="s">
        <v>3411</v>
      </c>
      <c r="AS756" s="99" t="s">
        <v>3164</v>
      </c>
      <c r="AT756" s="99" t="s">
        <v>190</v>
      </c>
      <c r="AU756" s="99" t="s">
        <v>191</v>
      </c>
      <c r="AV756" s="99" t="s">
        <v>177</v>
      </c>
      <c r="AW756" s="99" t="s">
        <v>3411</v>
      </c>
      <c r="AX756" s="99" t="s">
        <v>3411</v>
      </c>
      <c r="AY756" s="99" t="s">
        <v>3411</v>
      </c>
      <c r="AZ756" s="99" t="s">
        <v>3411</v>
      </c>
      <c r="BA756" s="99" t="s">
        <v>520</v>
      </c>
      <c r="BB756" s="99" t="s">
        <v>3411</v>
      </c>
      <c r="BC756" s="125">
        <v>65</v>
      </c>
      <c r="BD756" s="99" t="s">
        <v>3135</v>
      </c>
      <c r="BE756" s="99" t="s">
        <v>3136</v>
      </c>
    </row>
    <row r="757" spans="1:57" ht="12.95" customHeight="1">
      <c r="A757" s="124">
        <v>2015</v>
      </c>
      <c r="B757" s="124">
        <v>228</v>
      </c>
      <c r="C757" s="99" t="s">
        <v>2565</v>
      </c>
      <c r="D757" s="99" t="s">
        <v>1477</v>
      </c>
      <c r="E757" s="99" t="s">
        <v>1478</v>
      </c>
      <c r="F757" s="99" t="s">
        <v>2006</v>
      </c>
      <c r="G757" s="99" t="s">
        <v>100</v>
      </c>
      <c r="H757" s="99" t="s">
        <v>2096</v>
      </c>
      <c r="I757" s="99" t="s">
        <v>2097</v>
      </c>
      <c r="J757" s="99" t="s">
        <v>3263</v>
      </c>
      <c r="K757" s="99" t="s">
        <v>489</v>
      </c>
      <c r="L757" s="99" t="s">
        <v>3264</v>
      </c>
      <c r="M757" s="99" t="s">
        <v>5</v>
      </c>
      <c r="N757" s="99" t="s">
        <v>4967</v>
      </c>
      <c r="O757" s="99" t="s">
        <v>2798</v>
      </c>
      <c r="P757" s="99" t="s">
        <v>3443</v>
      </c>
      <c r="Q757" s="99" t="s">
        <v>2571</v>
      </c>
      <c r="R757" s="99" t="s">
        <v>4965</v>
      </c>
      <c r="S757" s="99" t="s">
        <v>2566</v>
      </c>
      <c r="T757" s="99" t="s">
        <v>2567</v>
      </c>
      <c r="U757" s="99" t="s">
        <v>4966</v>
      </c>
      <c r="V757" s="99" t="s">
        <v>2568</v>
      </c>
      <c r="W757" s="99" t="s">
        <v>3443</v>
      </c>
      <c r="X757" s="99" t="s">
        <v>5005</v>
      </c>
      <c r="Y757" s="99" t="s">
        <v>5006</v>
      </c>
      <c r="Z757" s="99" t="s">
        <v>172</v>
      </c>
      <c r="AA757" s="99" t="s">
        <v>173</v>
      </c>
      <c r="AB757" s="99" t="s">
        <v>834</v>
      </c>
      <c r="AC757" s="99" t="s">
        <v>3816</v>
      </c>
      <c r="AD757" s="99" t="s">
        <v>175</v>
      </c>
      <c r="AE757" s="99" t="s">
        <v>3411</v>
      </c>
      <c r="AF757" s="99" t="s">
        <v>3411</v>
      </c>
      <c r="AG757" s="124">
        <v>281</v>
      </c>
      <c r="AH757" s="99" t="s">
        <v>3413</v>
      </c>
      <c r="AI757" s="125">
        <v>100</v>
      </c>
      <c r="AJ757" s="99" t="s">
        <v>176</v>
      </c>
      <c r="AK757" s="99" t="s">
        <v>5005</v>
      </c>
      <c r="AL757" s="99" t="s">
        <v>3411</v>
      </c>
      <c r="AM757" s="99" t="s">
        <v>177</v>
      </c>
      <c r="AN757" s="99" t="s">
        <v>3411</v>
      </c>
      <c r="AO757" s="99" t="s">
        <v>4963</v>
      </c>
      <c r="AP757" s="99" t="s">
        <v>2570</v>
      </c>
      <c r="AQ757" s="99" t="s">
        <v>3411</v>
      </c>
      <c r="AR757" s="99" t="s">
        <v>3411</v>
      </c>
      <c r="AS757" s="99" t="s">
        <v>3265</v>
      </c>
      <c r="AT757" s="99" t="s">
        <v>190</v>
      </c>
      <c r="AU757" s="99" t="s">
        <v>191</v>
      </c>
      <c r="AV757" s="99" t="s">
        <v>177</v>
      </c>
      <c r="AW757" s="99" t="s">
        <v>3411</v>
      </c>
      <c r="AX757" s="99" t="s">
        <v>3411</v>
      </c>
      <c r="AY757" s="99" t="s">
        <v>3411</v>
      </c>
      <c r="AZ757" s="99" t="s">
        <v>3411</v>
      </c>
      <c r="BA757" s="99" t="s">
        <v>520</v>
      </c>
      <c r="BB757" s="99" t="s">
        <v>3411</v>
      </c>
      <c r="BC757" s="125">
        <v>74</v>
      </c>
      <c r="BD757" s="99" t="s">
        <v>3135</v>
      </c>
      <c r="BE757" s="99" t="s">
        <v>3136</v>
      </c>
    </row>
    <row r="758" spans="1:57" ht="12.95" customHeight="1">
      <c r="A758" s="124">
        <v>2015</v>
      </c>
      <c r="B758" s="124">
        <v>288</v>
      </c>
      <c r="C758" s="99" t="s">
        <v>2565</v>
      </c>
      <c r="D758" s="99" t="s">
        <v>1477</v>
      </c>
      <c r="E758" s="99" t="s">
        <v>1478</v>
      </c>
      <c r="F758" s="99" t="s">
        <v>2006</v>
      </c>
      <c r="G758" s="99" t="s">
        <v>100</v>
      </c>
      <c r="H758" s="99" t="s">
        <v>2096</v>
      </c>
      <c r="I758" s="99" t="s">
        <v>2097</v>
      </c>
      <c r="J758" s="99" t="s">
        <v>3165</v>
      </c>
      <c r="K758" s="99" t="s">
        <v>1195</v>
      </c>
      <c r="L758" s="99" t="s">
        <v>3166</v>
      </c>
      <c r="M758" s="99" t="s">
        <v>5</v>
      </c>
      <c r="N758" s="99" t="s">
        <v>3454</v>
      </c>
      <c r="O758" s="99" t="s">
        <v>70</v>
      </c>
      <c r="P758" s="99" t="s">
        <v>3455</v>
      </c>
      <c r="Q758" s="99" t="s">
        <v>247</v>
      </c>
      <c r="R758" s="99" t="s">
        <v>4965</v>
      </c>
      <c r="S758" s="99" t="s">
        <v>2566</v>
      </c>
      <c r="T758" s="99" t="s">
        <v>2567</v>
      </c>
      <c r="U758" s="99" t="s">
        <v>4966</v>
      </c>
      <c r="V758" s="99" t="s">
        <v>2568</v>
      </c>
      <c r="W758" s="99" t="s">
        <v>3435</v>
      </c>
      <c r="X758" s="99" t="s">
        <v>4068</v>
      </c>
      <c r="Y758" s="99" t="s">
        <v>5007</v>
      </c>
      <c r="Z758" s="99" t="s">
        <v>172</v>
      </c>
      <c r="AA758" s="99" t="s">
        <v>173</v>
      </c>
      <c r="AB758" s="99" t="s">
        <v>174</v>
      </c>
      <c r="AC758" s="99" t="s">
        <v>3500</v>
      </c>
      <c r="AD758" s="99" t="s">
        <v>175</v>
      </c>
      <c r="AE758" s="99" t="s">
        <v>3411</v>
      </c>
      <c r="AF758" s="99" t="s">
        <v>3411</v>
      </c>
      <c r="AG758" s="124">
        <v>341</v>
      </c>
      <c r="AH758" s="99" t="s">
        <v>3413</v>
      </c>
      <c r="AI758" s="125">
        <v>100</v>
      </c>
      <c r="AJ758" s="99" t="s">
        <v>176</v>
      </c>
      <c r="AK758" s="99" t="s">
        <v>4068</v>
      </c>
      <c r="AL758" s="99" t="s">
        <v>3411</v>
      </c>
      <c r="AM758" s="99" t="s">
        <v>177</v>
      </c>
      <c r="AN758" s="99" t="s">
        <v>3411</v>
      </c>
      <c r="AO758" s="99" t="s">
        <v>4963</v>
      </c>
      <c r="AP758" s="99" t="s">
        <v>2570</v>
      </c>
      <c r="AQ758" s="99" t="s">
        <v>3411</v>
      </c>
      <c r="AR758" s="99" t="s">
        <v>3411</v>
      </c>
      <c r="AS758" s="99" t="s">
        <v>3167</v>
      </c>
      <c r="AT758" s="99" t="s">
        <v>190</v>
      </c>
      <c r="AU758" s="99" t="s">
        <v>191</v>
      </c>
      <c r="AV758" s="99" t="s">
        <v>177</v>
      </c>
      <c r="AW758" s="99" t="s">
        <v>3411</v>
      </c>
      <c r="AX758" s="99" t="s">
        <v>3411</v>
      </c>
      <c r="AY758" s="99" t="s">
        <v>3411</v>
      </c>
      <c r="AZ758" s="99" t="s">
        <v>3411</v>
      </c>
      <c r="BA758" s="99" t="s">
        <v>520</v>
      </c>
      <c r="BB758" s="99" t="s">
        <v>3411</v>
      </c>
      <c r="BC758" s="125">
        <v>71</v>
      </c>
      <c r="BD758" s="99" t="s">
        <v>3135</v>
      </c>
      <c r="BE758" s="99" t="s">
        <v>3136</v>
      </c>
    </row>
    <row r="759" spans="1:57" ht="12.95" customHeight="1">
      <c r="A759" s="124">
        <v>2015</v>
      </c>
      <c r="B759" s="124">
        <v>443</v>
      </c>
      <c r="C759" s="99" t="s">
        <v>2565</v>
      </c>
      <c r="D759" s="99" t="s">
        <v>1477</v>
      </c>
      <c r="E759" s="99" t="s">
        <v>1478</v>
      </c>
      <c r="F759" s="99" t="s">
        <v>2006</v>
      </c>
      <c r="G759" s="99" t="s">
        <v>100</v>
      </c>
      <c r="H759" s="99" t="s">
        <v>2096</v>
      </c>
      <c r="I759" s="99" t="s">
        <v>2097</v>
      </c>
      <c r="J759" s="99" t="s">
        <v>3275</v>
      </c>
      <c r="K759" s="99" t="s">
        <v>1024</v>
      </c>
      <c r="L759" s="99" t="s">
        <v>3276</v>
      </c>
      <c r="M759" s="99" t="s">
        <v>5</v>
      </c>
      <c r="N759" s="99" t="s">
        <v>4967</v>
      </c>
      <c r="O759" s="99" t="s">
        <v>2798</v>
      </c>
      <c r="P759" s="99" t="s">
        <v>5008</v>
      </c>
      <c r="Q759" s="99" t="s">
        <v>2571</v>
      </c>
      <c r="R759" s="99" t="s">
        <v>4965</v>
      </c>
      <c r="S759" s="99" t="s">
        <v>2566</v>
      </c>
      <c r="T759" s="99" t="s">
        <v>2567</v>
      </c>
      <c r="U759" s="99" t="s">
        <v>4966</v>
      </c>
      <c r="V759" s="99" t="s">
        <v>2568</v>
      </c>
      <c r="W759" s="99" t="s">
        <v>5008</v>
      </c>
      <c r="X759" s="99" t="s">
        <v>5008</v>
      </c>
      <c r="Y759" s="99" t="s">
        <v>5009</v>
      </c>
      <c r="Z759" s="99" t="s">
        <v>172</v>
      </c>
      <c r="AA759" s="99" t="s">
        <v>173</v>
      </c>
      <c r="AB759" s="99" t="s">
        <v>834</v>
      </c>
      <c r="AC759" s="99" t="s">
        <v>5003</v>
      </c>
      <c r="AD759" s="99" t="s">
        <v>175</v>
      </c>
      <c r="AE759" s="99" t="s">
        <v>3411</v>
      </c>
      <c r="AF759" s="99" t="s">
        <v>3411</v>
      </c>
      <c r="AG759" s="124">
        <v>494</v>
      </c>
      <c r="AH759" s="99" t="s">
        <v>3413</v>
      </c>
      <c r="AI759" s="125">
        <v>100</v>
      </c>
      <c r="AJ759" s="99" t="s">
        <v>176</v>
      </c>
      <c r="AK759" s="99" t="s">
        <v>5008</v>
      </c>
      <c r="AL759" s="99" t="s">
        <v>3411</v>
      </c>
      <c r="AM759" s="99" t="s">
        <v>177</v>
      </c>
      <c r="AN759" s="99" t="s">
        <v>3411</v>
      </c>
      <c r="AO759" s="99" t="s">
        <v>4963</v>
      </c>
      <c r="AP759" s="99" t="s">
        <v>2570</v>
      </c>
      <c r="AQ759" s="99" t="s">
        <v>3411</v>
      </c>
      <c r="AR759" s="99" t="s">
        <v>3411</v>
      </c>
      <c r="AS759" s="99" t="s">
        <v>3277</v>
      </c>
      <c r="AT759" s="99" t="s">
        <v>190</v>
      </c>
      <c r="AU759" s="99" t="s">
        <v>191</v>
      </c>
      <c r="AV759" s="99" t="s">
        <v>177</v>
      </c>
      <c r="AW759" s="99" t="s">
        <v>3411</v>
      </c>
      <c r="AX759" s="99" t="s">
        <v>3411</v>
      </c>
      <c r="AY759" s="99" t="s">
        <v>3411</v>
      </c>
      <c r="AZ759" s="99" t="s">
        <v>3411</v>
      </c>
      <c r="BA759" s="99" t="s">
        <v>520</v>
      </c>
      <c r="BB759" s="99" t="s">
        <v>3411</v>
      </c>
      <c r="BC759" s="125">
        <v>75</v>
      </c>
      <c r="BD759" s="99" t="s">
        <v>3135</v>
      </c>
      <c r="BE759" s="99" t="s">
        <v>3136</v>
      </c>
    </row>
    <row r="760" spans="1:57" ht="12.95" customHeight="1">
      <c r="A760" s="124">
        <v>2015</v>
      </c>
      <c r="B760" s="124">
        <v>311</v>
      </c>
      <c r="C760" s="99" t="s">
        <v>2565</v>
      </c>
      <c r="D760" s="99" t="s">
        <v>1477</v>
      </c>
      <c r="E760" s="99" t="s">
        <v>1478</v>
      </c>
      <c r="F760" s="99" t="s">
        <v>2840</v>
      </c>
      <c r="G760" s="99" t="s">
        <v>2841</v>
      </c>
      <c r="H760" s="99" t="s">
        <v>4645</v>
      </c>
      <c r="I760" s="99" t="s">
        <v>2123</v>
      </c>
      <c r="J760" s="99" t="s">
        <v>2572</v>
      </c>
      <c r="K760" s="99" t="s">
        <v>679</v>
      </c>
      <c r="L760" s="99" t="s">
        <v>2842</v>
      </c>
      <c r="M760" s="99" t="s">
        <v>1</v>
      </c>
      <c r="N760" s="99" t="s">
        <v>3407</v>
      </c>
      <c r="O760" s="99" t="s">
        <v>114</v>
      </c>
      <c r="P760" s="99" t="s">
        <v>3422</v>
      </c>
      <c r="Q760" s="99" t="s">
        <v>169</v>
      </c>
      <c r="R760" s="99" t="s">
        <v>4965</v>
      </c>
      <c r="S760" s="99" t="s">
        <v>2566</v>
      </c>
      <c r="T760" s="99" t="s">
        <v>2567</v>
      </c>
      <c r="U760" s="99" t="s">
        <v>4966</v>
      </c>
      <c r="V760" s="99" t="s">
        <v>2568</v>
      </c>
      <c r="W760" s="99" t="s">
        <v>5010</v>
      </c>
      <c r="X760" s="99" t="s">
        <v>5011</v>
      </c>
      <c r="Y760" s="99" t="s">
        <v>5012</v>
      </c>
      <c r="Z760" s="99" t="s">
        <v>172</v>
      </c>
      <c r="AA760" s="99" t="s">
        <v>173</v>
      </c>
      <c r="AB760" s="99" t="s">
        <v>834</v>
      </c>
      <c r="AC760" s="99" t="s">
        <v>5013</v>
      </c>
      <c r="AD760" s="99" t="s">
        <v>175</v>
      </c>
      <c r="AE760" s="99" t="s">
        <v>3411</v>
      </c>
      <c r="AF760" s="99" t="s">
        <v>3411</v>
      </c>
      <c r="AG760" s="124">
        <v>364</v>
      </c>
      <c r="AH760" s="99" t="s">
        <v>3413</v>
      </c>
      <c r="AI760" s="125">
        <v>100</v>
      </c>
      <c r="AJ760" s="99" t="s">
        <v>176</v>
      </c>
      <c r="AK760" s="99" t="s">
        <v>3411</v>
      </c>
      <c r="AL760" s="99" t="s">
        <v>3411</v>
      </c>
      <c r="AM760" s="99" t="s">
        <v>177</v>
      </c>
      <c r="AN760" s="99" t="s">
        <v>3411</v>
      </c>
      <c r="AO760" s="99" t="s">
        <v>4963</v>
      </c>
      <c r="AP760" s="99" t="s">
        <v>2570</v>
      </c>
      <c r="AQ760" s="99" t="s">
        <v>3411</v>
      </c>
      <c r="AR760" s="99" t="s">
        <v>3411</v>
      </c>
      <c r="AS760" s="99" t="s">
        <v>2843</v>
      </c>
      <c r="AT760" s="99" t="s">
        <v>190</v>
      </c>
      <c r="AU760" s="99" t="s">
        <v>191</v>
      </c>
      <c r="AV760" s="99" t="s">
        <v>177</v>
      </c>
      <c r="AW760" s="99" t="s">
        <v>3411</v>
      </c>
      <c r="AX760" s="99" t="s">
        <v>3411</v>
      </c>
      <c r="AY760" s="99" t="s">
        <v>3411</v>
      </c>
      <c r="AZ760" s="99" t="s">
        <v>3411</v>
      </c>
      <c r="BA760" s="99" t="s">
        <v>520</v>
      </c>
      <c r="BB760" s="99" t="s">
        <v>3411</v>
      </c>
      <c r="BC760" s="125">
        <v>64</v>
      </c>
      <c r="BD760" s="99" t="s">
        <v>3135</v>
      </c>
      <c r="BE760" s="99" t="s">
        <v>3136</v>
      </c>
    </row>
    <row r="761" spans="1:57" ht="12.95" customHeight="1">
      <c r="A761" s="124">
        <v>2015</v>
      </c>
      <c r="B761" s="124">
        <v>371</v>
      </c>
      <c r="C761" s="99" t="s">
        <v>2565</v>
      </c>
      <c r="D761" s="99" t="s">
        <v>1477</v>
      </c>
      <c r="E761" s="99" t="s">
        <v>1478</v>
      </c>
      <c r="F761" s="99" t="s">
        <v>2127</v>
      </c>
      <c r="G761" s="99" t="s">
        <v>11</v>
      </c>
      <c r="H761" s="99" t="s">
        <v>4648</v>
      </c>
      <c r="I761" s="99" t="s">
        <v>2128</v>
      </c>
      <c r="J761" s="99" t="s">
        <v>2844</v>
      </c>
      <c r="K761" s="99" t="s">
        <v>2327</v>
      </c>
      <c r="L761" s="99" t="s">
        <v>2845</v>
      </c>
      <c r="M761" s="99" t="s">
        <v>1</v>
      </c>
      <c r="N761" s="99" t="s">
        <v>3407</v>
      </c>
      <c r="O761" s="99" t="s">
        <v>114</v>
      </c>
      <c r="P761" s="99" t="s">
        <v>3422</v>
      </c>
      <c r="Q761" s="99" t="s">
        <v>169</v>
      </c>
      <c r="R761" s="99" t="s">
        <v>4965</v>
      </c>
      <c r="S761" s="99" t="s">
        <v>2566</v>
      </c>
      <c r="T761" s="99" t="s">
        <v>2567</v>
      </c>
      <c r="U761" s="99" t="s">
        <v>4966</v>
      </c>
      <c r="V761" s="99" t="s">
        <v>2568</v>
      </c>
      <c r="W761" s="99" t="s">
        <v>5014</v>
      </c>
      <c r="X761" s="99" t="s">
        <v>5014</v>
      </c>
      <c r="Y761" s="99" t="s">
        <v>5015</v>
      </c>
      <c r="Z761" s="99" t="s">
        <v>172</v>
      </c>
      <c r="AA761" s="99" t="s">
        <v>173</v>
      </c>
      <c r="AB761" s="99" t="s">
        <v>834</v>
      </c>
      <c r="AC761" s="99" t="s">
        <v>3411</v>
      </c>
      <c r="AD761" s="99" t="s">
        <v>175</v>
      </c>
      <c r="AE761" s="99" t="s">
        <v>3411</v>
      </c>
      <c r="AF761" s="99" t="s">
        <v>3411</v>
      </c>
      <c r="AG761" s="124">
        <v>423</v>
      </c>
      <c r="AH761" s="99" t="s">
        <v>3413</v>
      </c>
      <c r="AI761" s="125">
        <v>100</v>
      </c>
      <c r="AJ761" s="99" t="s">
        <v>176</v>
      </c>
      <c r="AK761" s="99" t="s">
        <v>5014</v>
      </c>
      <c r="AL761" s="99" t="s">
        <v>3411</v>
      </c>
      <c r="AM761" s="99" t="s">
        <v>177</v>
      </c>
      <c r="AN761" s="99" t="s">
        <v>3411</v>
      </c>
      <c r="AO761" s="99" t="s">
        <v>4963</v>
      </c>
      <c r="AP761" s="99" t="s">
        <v>2570</v>
      </c>
      <c r="AQ761" s="99" t="s">
        <v>3411</v>
      </c>
      <c r="AR761" s="99" t="s">
        <v>3411</v>
      </c>
      <c r="AS761" s="99" t="s">
        <v>2846</v>
      </c>
      <c r="AT761" s="99" t="s">
        <v>190</v>
      </c>
      <c r="AU761" s="99" t="s">
        <v>191</v>
      </c>
      <c r="AV761" s="99" t="s">
        <v>177</v>
      </c>
      <c r="AW761" s="99" t="s">
        <v>3411</v>
      </c>
      <c r="AX761" s="99" t="s">
        <v>3411</v>
      </c>
      <c r="AY761" s="99" t="s">
        <v>3411</v>
      </c>
      <c r="AZ761" s="99" t="s">
        <v>3411</v>
      </c>
      <c r="BA761" s="99" t="s">
        <v>520</v>
      </c>
      <c r="BB761" s="99" t="s">
        <v>3411</v>
      </c>
      <c r="BC761" s="125">
        <v>68</v>
      </c>
      <c r="BD761" s="99" t="s">
        <v>3135</v>
      </c>
      <c r="BE761" s="99" t="s">
        <v>3136</v>
      </c>
    </row>
    <row r="762" spans="1:57" ht="12.95" customHeight="1">
      <c r="A762" s="124">
        <v>2015</v>
      </c>
      <c r="B762" s="124">
        <v>426</v>
      </c>
      <c r="C762" s="99" t="s">
        <v>2565</v>
      </c>
      <c r="D762" s="99" t="s">
        <v>1477</v>
      </c>
      <c r="E762" s="99" t="s">
        <v>1478</v>
      </c>
      <c r="F762" s="99" t="s">
        <v>2127</v>
      </c>
      <c r="G762" s="99" t="s">
        <v>11</v>
      </c>
      <c r="H762" s="99" t="s">
        <v>4648</v>
      </c>
      <c r="I762" s="99" t="s">
        <v>2128</v>
      </c>
      <c r="J762" s="99" t="s">
        <v>2847</v>
      </c>
      <c r="K762" s="99" t="s">
        <v>1360</v>
      </c>
      <c r="L762" s="99" t="s">
        <v>2848</v>
      </c>
      <c r="M762" s="99" t="s">
        <v>5</v>
      </c>
      <c r="N762" s="99" t="s">
        <v>4967</v>
      </c>
      <c r="O762" s="99" t="s">
        <v>2798</v>
      </c>
      <c r="P762" s="99" t="s">
        <v>5016</v>
      </c>
      <c r="Q762" s="99" t="s">
        <v>2571</v>
      </c>
      <c r="R762" s="99" t="s">
        <v>4965</v>
      </c>
      <c r="S762" s="99" t="s">
        <v>2566</v>
      </c>
      <c r="T762" s="99" t="s">
        <v>2567</v>
      </c>
      <c r="U762" s="99" t="s">
        <v>4966</v>
      </c>
      <c r="V762" s="99" t="s">
        <v>2568</v>
      </c>
      <c r="W762" s="99" t="s">
        <v>5016</v>
      </c>
      <c r="X762" s="99" t="s">
        <v>5016</v>
      </c>
      <c r="Y762" s="99" t="s">
        <v>5017</v>
      </c>
      <c r="Z762" s="99" t="s">
        <v>172</v>
      </c>
      <c r="AA762" s="99" t="s">
        <v>173</v>
      </c>
      <c r="AB762" s="99" t="s">
        <v>834</v>
      </c>
      <c r="AC762" s="99" t="s">
        <v>3411</v>
      </c>
      <c r="AD762" s="99" t="s">
        <v>175</v>
      </c>
      <c r="AE762" s="99" t="s">
        <v>3411</v>
      </c>
      <c r="AF762" s="99" t="s">
        <v>3411</v>
      </c>
      <c r="AG762" s="124">
        <v>478</v>
      </c>
      <c r="AH762" s="99" t="s">
        <v>3413</v>
      </c>
      <c r="AI762" s="125">
        <v>100</v>
      </c>
      <c r="AJ762" s="99" t="s">
        <v>176</v>
      </c>
      <c r="AK762" s="99" t="s">
        <v>5016</v>
      </c>
      <c r="AL762" s="99" t="s">
        <v>3411</v>
      </c>
      <c r="AM762" s="99" t="s">
        <v>177</v>
      </c>
      <c r="AN762" s="99" t="s">
        <v>3411</v>
      </c>
      <c r="AO762" s="99" t="s">
        <v>4963</v>
      </c>
      <c r="AP762" s="99" t="s">
        <v>2570</v>
      </c>
      <c r="AQ762" s="99" t="s">
        <v>3411</v>
      </c>
      <c r="AR762" s="99" t="s">
        <v>3411</v>
      </c>
      <c r="AS762" s="99" t="s">
        <v>2849</v>
      </c>
      <c r="AT762" s="99" t="s">
        <v>190</v>
      </c>
      <c r="AU762" s="99" t="s">
        <v>191</v>
      </c>
      <c r="AV762" s="99" t="s">
        <v>177</v>
      </c>
      <c r="AW762" s="99" t="s">
        <v>3411</v>
      </c>
      <c r="AX762" s="99" t="s">
        <v>3411</v>
      </c>
      <c r="AY762" s="99" t="s">
        <v>3411</v>
      </c>
      <c r="AZ762" s="99" t="s">
        <v>3411</v>
      </c>
      <c r="BA762" s="99" t="s">
        <v>520</v>
      </c>
      <c r="BB762" s="99" t="s">
        <v>3411</v>
      </c>
      <c r="BC762" s="125">
        <v>54</v>
      </c>
      <c r="BD762" s="99" t="s">
        <v>3135</v>
      </c>
      <c r="BE762" s="99" t="s">
        <v>3136</v>
      </c>
    </row>
    <row r="763" spans="1:57" ht="12.95" customHeight="1">
      <c r="A763" s="124">
        <v>2028</v>
      </c>
      <c r="B763" s="124">
        <v>16</v>
      </c>
      <c r="C763" s="99" t="s">
        <v>2787</v>
      </c>
      <c r="D763" s="99" t="s">
        <v>2453</v>
      </c>
      <c r="E763" s="99" t="s">
        <v>2454</v>
      </c>
      <c r="F763" s="99" t="s">
        <v>2455</v>
      </c>
      <c r="G763" s="99" t="s">
        <v>2454</v>
      </c>
      <c r="H763" s="99" t="s">
        <v>3254</v>
      </c>
      <c r="I763" s="99" t="s">
        <v>3255</v>
      </c>
      <c r="J763" s="99" t="s">
        <v>1921</v>
      </c>
      <c r="K763" s="99" t="s">
        <v>1214</v>
      </c>
      <c r="L763" s="99" t="s">
        <v>2503</v>
      </c>
      <c r="M763" s="99" t="s">
        <v>1</v>
      </c>
      <c r="N763" s="99" t="s">
        <v>4967</v>
      </c>
      <c r="O763" s="99" t="s">
        <v>2788</v>
      </c>
      <c r="P763" s="99" t="s">
        <v>4095</v>
      </c>
      <c r="Q763" s="99" t="s">
        <v>2571</v>
      </c>
      <c r="R763" s="99" t="s">
        <v>4965</v>
      </c>
      <c r="S763" s="99" t="s">
        <v>2566</v>
      </c>
      <c r="T763" s="99" t="s">
        <v>2567</v>
      </c>
      <c r="U763" s="99" t="s">
        <v>4966</v>
      </c>
      <c r="V763" s="99" t="s">
        <v>2568</v>
      </c>
      <c r="W763" s="99" t="s">
        <v>4095</v>
      </c>
      <c r="X763" s="99" t="s">
        <v>4095</v>
      </c>
      <c r="Y763" s="99" t="s">
        <v>5018</v>
      </c>
      <c r="Z763" s="99" t="s">
        <v>172</v>
      </c>
      <c r="AA763" s="99" t="s">
        <v>173</v>
      </c>
      <c r="AB763" s="99" t="s">
        <v>834</v>
      </c>
      <c r="AC763" s="99" t="s">
        <v>3411</v>
      </c>
      <c r="AD763" s="99" t="s">
        <v>175</v>
      </c>
      <c r="AE763" s="99" t="s">
        <v>3411</v>
      </c>
      <c r="AF763" s="99" t="s">
        <v>3411</v>
      </c>
      <c r="AG763" s="124">
        <v>16</v>
      </c>
      <c r="AH763" s="99" t="s">
        <v>3413</v>
      </c>
      <c r="AI763" s="125">
        <v>100</v>
      </c>
      <c r="AJ763" s="99" t="s">
        <v>176</v>
      </c>
      <c r="AK763" s="99" t="s">
        <v>4095</v>
      </c>
      <c r="AL763" s="99" t="s">
        <v>3411</v>
      </c>
      <c r="AM763" s="99" t="s">
        <v>177</v>
      </c>
      <c r="AN763" s="99" t="s">
        <v>3411</v>
      </c>
      <c r="AO763" s="99" t="s">
        <v>2570</v>
      </c>
      <c r="AP763" s="99" t="s">
        <v>2570</v>
      </c>
      <c r="AQ763" s="99" t="s">
        <v>3411</v>
      </c>
      <c r="AR763" s="99" t="s">
        <v>3411</v>
      </c>
      <c r="AS763" s="99" t="s">
        <v>2855</v>
      </c>
      <c r="AT763" s="99" t="s">
        <v>175</v>
      </c>
      <c r="AU763" s="99" t="s">
        <v>3411</v>
      </c>
      <c r="AV763" s="99" t="s">
        <v>177</v>
      </c>
      <c r="AW763" s="99" t="s">
        <v>3411</v>
      </c>
      <c r="AX763" s="99" t="s">
        <v>3411</v>
      </c>
      <c r="AY763" s="99" t="s">
        <v>3411</v>
      </c>
      <c r="AZ763" s="99" t="s">
        <v>3411</v>
      </c>
      <c r="BA763" s="99" t="s">
        <v>520</v>
      </c>
      <c r="BB763" s="99" t="s">
        <v>3411</v>
      </c>
      <c r="BC763" s="125">
        <v>46</v>
      </c>
      <c r="BD763" s="99" t="s">
        <v>3135</v>
      </c>
      <c r="BE763" s="99" t="s">
        <v>3136</v>
      </c>
    </row>
    <row r="764" spans="1:57" ht="12.95" customHeight="1">
      <c r="A764" s="124">
        <v>4015</v>
      </c>
      <c r="B764" s="124">
        <v>82</v>
      </c>
      <c r="C764" s="99" t="s">
        <v>2565</v>
      </c>
      <c r="D764" s="99" t="s">
        <v>192</v>
      </c>
      <c r="E764" s="99" t="s">
        <v>2886</v>
      </c>
      <c r="F764" s="99" t="s">
        <v>2779</v>
      </c>
      <c r="G764" s="99" t="s">
        <v>3171</v>
      </c>
      <c r="H764" s="99" t="s">
        <v>2573</v>
      </c>
      <c r="I764" s="99" t="s">
        <v>2574</v>
      </c>
      <c r="J764" s="99" t="s">
        <v>2579</v>
      </c>
      <c r="K764" s="99" t="s">
        <v>2580</v>
      </c>
      <c r="L764" s="99" t="s">
        <v>2581</v>
      </c>
      <c r="M764" s="99" t="s">
        <v>1</v>
      </c>
      <c r="N764" s="99" t="s">
        <v>3407</v>
      </c>
      <c r="O764" s="99" t="s">
        <v>114</v>
      </c>
      <c r="P764" s="99" t="s">
        <v>3422</v>
      </c>
      <c r="Q764" s="99" t="s">
        <v>169</v>
      </c>
      <c r="R764" s="99" t="s">
        <v>5019</v>
      </c>
      <c r="S764" s="99" t="s">
        <v>2575</v>
      </c>
      <c r="T764" s="99" t="s">
        <v>2576</v>
      </c>
      <c r="U764" s="99" t="s">
        <v>2577</v>
      </c>
      <c r="V764" s="99" t="s">
        <v>2578</v>
      </c>
      <c r="W764" s="99" t="s">
        <v>3496</v>
      </c>
      <c r="X764" s="99" t="s">
        <v>4876</v>
      </c>
      <c r="Y764" s="99" t="s">
        <v>5020</v>
      </c>
      <c r="Z764" s="99" t="s">
        <v>172</v>
      </c>
      <c r="AA764" s="99" t="s">
        <v>173</v>
      </c>
      <c r="AB764" s="99" t="s">
        <v>174</v>
      </c>
      <c r="AC764" s="99" t="s">
        <v>3411</v>
      </c>
      <c r="AD764" s="99" t="s">
        <v>175</v>
      </c>
      <c r="AE764" s="99" t="s">
        <v>3411</v>
      </c>
      <c r="AF764" s="99" t="s">
        <v>3411</v>
      </c>
      <c r="AG764" s="124">
        <v>82</v>
      </c>
      <c r="AH764" s="99" t="s">
        <v>3413</v>
      </c>
      <c r="AI764" s="125">
        <v>100</v>
      </c>
      <c r="AJ764" s="99" t="s">
        <v>176</v>
      </c>
      <c r="AK764" s="99" t="s">
        <v>3411</v>
      </c>
      <c r="AL764" s="99" t="s">
        <v>3411</v>
      </c>
      <c r="AM764" s="99" t="s">
        <v>177</v>
      </c>
      <c r="AN764" s="99" t="s">
        <v>3411</v>
      </c>
      <c r="AO764" s="99" t="s">
        <v>4963</v>
      </c>
      <c r="AP764" s="99" t="s">
        <v>2570</v>
      </c>
      <c r="AQ764" s="99" t="s">
        <v>3411</v>
      </c>
      <c r="AR764" s="99" t="s">
        <v>3411</v>
      </c>
      <c r="AS764" s="99" t="s">
        <v>2569</v>
      </c>
      <c r="AT764" s="99" t="s">
        <v>190</v>
      </c>
      <c r="AU764" s="99" t="s">
        <v>191</v>
      </c>
      <c r="AV764" s="99" t="s">
        <v>177</v>
      </c>
      <c r="AW764" s="99" t="s">
        <v>3411</v>
      </c>
      <c r="AX764" s="99" t="s">
        <v>3411</v>
      </c>
      <c r="AY764" s="99" t="s">
        <v>3411</v>
      </c>
      <c r="AZ764" s="99" t="s">
        <v>3411</v>
      </c>
      <c r="BA764" s="99" t="s">
        <v>520</v>
      </c>
      <c r="BB764" s="99" t="s">
        <v>3411</v>
      </c>
      <c r="BC764" s="125">
        <v>45</v>
      </c>
      <c r="BD764" s="99" t="s">
        <v>3135</v>
      </c>
      <c r="BE764" s="99" t="s">
        <v>3136</v>
      </c>
    </row>
    <row r="765" spans="1:57" ht="12.95" customHeight="1">
      <c r="A765" s="124">
        <v>4015</v>
      </c>
      <c r="B765" s="124">
        <v>94</v>
      </c>
      <c r="C765" s="99" t="s">
        <v>2565</v>
      </c>
      <c r="D765" s="99" t="s">
        <v>192</v>
      </c>
      <c r="E765" s="99" t="s">
        <v>2886</v>
      </c>
      <c r="F765" s="99" t="s">
        <v>2779</v>
      </c>
      <c r="G765" s="99" t="s">
        <v>3171</v>
      </c>
      <c r="H765" s="99" t="s">
        <v>2573</v>
      </c>
      <c r="I765" s="99" t="s">
        <v>2574</v>
      </c>
      <c r="J765" s="99" t="s">
        <v>2582</v>
      </c>
      <c r="K765" s="99" t="s">
        <v>1141</v>
      </c>
      <c r="L765" s="99" t="s">
        <v>2583</v>
      </c>
      <c r="M765" s="99" t="s">
        <v>1</v>
      </c>
      <c r="N765" s="99" t="s">
        <v>3407</v>
      </c>
      <c r="O765" s="99" t="s">
        <v>114</v>
      </c>
      <c r="P765" s="99" t="s">
        <v>5021</v>
      </c>
      <c r="Q765" s="99" t="s">
        <v>169</v>
      </c>
      <c r="R765" s="99" t="s">
        <v>5019</v>
      </c>
      <c r="S765" s="99" t="s">
        <v>2575</v>
      </c>
      <c r="T765" s="99" t="s">
        <v>2576</v>
      </c>
      <c r="U765" s="99" t="s">
        <v>2577</v>
      </c>
      <c r="V765" s="99" t="s">
        <v>2578</v>
      </c>
      <c r="W765" s="99" t="s">
        <v>5021</v>
      </c>
      <c r="X765" s="99" t="s">
        <v>5021</v>
      </c>
      <c r="Y765" s="99" t="s">
        <v>5022</v>
      </c>
      <c r="Z765" s="99" t="s">
        <v>172</v>
      </c>
      <c r="AA765" s="99" t="s">
        <v>173</v>
      </c>
      <c r="AB765" s="99" t="s">
        <v>174</v>
      </c>
      <c r="AC765" s="99" t="s">
        <v>3411</v>
      </c>
      <c r="AD765" s="99" t="s">
        <v>175</v>
      </c>
      <c r="AE765" s="99" t="s">
        <v>3411</v>
      </c>
      <c r="AF765" s="99" t="s">
        <v>3411</v>
      </c>
      <c r="AG765" s="124">
        <v>94</v>
      </c>
      <c r="AH765" s="99" t="s">
        <v>3413</v>
      </c>
      <c r="AI765" s="125">
        <v>100</v>
      </c>
      <c r="AJ765" s="99" t="s">
        <v>176</v>
      </c>
      <c r="AK765" s="99" t="s">
        <v>5021</v>
      </c>
      <c r="AL765" s="99" t="s">
        <v>3411</v>
      </c>
      <c r="AM765" s="99" t="s">
        <v>177</v>
      </c>
      <c r="AN765" s="99" t="s">
        <v>3411</v>
      </c>
      <c r="AO765" s="99" t="s">
        <v>2570</v>
      </c>
      <c r="AP765" s="99" t="s">
        <v>2570</v>
      </c>
      <c r="AQ765" s="99" t="s">
        <v>3411</v>
      </c>
      <c r="AR765" s="99" t="s">
        <v>3411</v>
      </c>
      <c r="AS765" s="99" t="s">
        <v>3127</v>
      </c>
      <c r="AT765" s="99" t="s">
        <v>175</v>
      </c>
      <c r="AU765" s="99" t="s">
        <v>3411</v>
      </c>
      <c r="AV765" s="99" t="s">
        <v>177</v>
      </c>
      <c r="AW765" s="99" t="s">
        <v>3411</v>
      </c>
      <c r="AX765" s="99" t="s">
        <v>3411</v>
      </c>
      <c r="AY765" s="99" t="s">
        <v>3411</v>
      </c>
      <c r="AZ765" s="99" t="s">
        <v>3411</v>
      </c>
      <c r="BA765" s="99" t="s">
        <v>520</v>
      </c>
      <c r="BB765" s="99" t="s">
        <v>3411</v>
      </c>
      <c r="BC765" s="125">
        <v>44</v>
      </c>
      <c r="BD765" s="99" t="s">
        <v>3135</v>
      </c>
      <c r="BE765" s="99" t="s">
        <v>3136</v>
      </c>
    </row>
    <row r="766" spans="1:57" ht="12.95" customHeight="1">
      <c r="A766" s="124">
        <v>4015</v>
      </c>
      <c r="B766" s="124">
        <v>83</v>
      </c>
      <c r="C766" s="99" t="s">
        <v>2565</v>
      </c>
      <c r="D766" s="99" t="s">
        <v>192</v>
      </c>
      <c r="E766" s="99" t="s">
        <v>2886</v>
      </c>
      <c r="F766" s="99" t="s">
        <v>2779</v>
      </c>
      <c r="G766" s="99" t="s">
        <v>3171</v>
      </c>
      <c r="H766" s="99" t="s">
        <v>2573</v>
      </c>
      <c r="I766" s="99" t="s">
        <v>2574</v>
      </c>
      <c r="J766" s="99" t="s">
        <v>2584</v>
      </c>
      <c r="K766" s="99" t="s">
        <v>2585</v>
      </c>
      <c r="L766" s="99" t="s">
        <v>2586</v>
      </c>
      <c r="M766" s="99" t="s">
        <v>1</v>
      </c>
      <c r="N766" s="99" t="s">
        <v>3407</v>
      </c>
      <c r="O766" s="99" t="s">
        <v>114</v>
      </c>
      <c r="P766" s="99" t="s">
        <v>3422</v>
      </c>
      <c r="Q766" s="99" t="s">
        <v>169</v>
      </c>
      <c r="R766" s="99" t="s">
        <v>5019</v>
      </c>
      <c r="S766" s="99" t="s">
        <v>2575</v>
      </c>
      <c r="T766" s="99" t="s">
        <v>2576</v>
      </c>
      <c r="U766" s="99" t="s">
        <v>2577</v>
      </c>
      <c r="V766" s="99" t="s">
        <v>2578</v>
      </c>
      <c r="W766" s="99" t="s">
        <v>3496</v>
      </c>
      <c r="X766" s="99" t="s">
        <v>4876</v>
      </c>
      <c r="Y766" s="99" t="s">
        <v>5023</v>
      </c>
      <c r="Z766" s="99" t="s">
        <v>172</v>
      </c>
      <c r="AA766" s="99" t="s">
        <v>173</v>
      </c>
      <c r="AB766" s="99" t="s">
        <v>174</v>
      </c>
      <c r="AC766" s="99" t="s">
        <v>3411</v>
      </c>
      <c r="AD766" s="99" t="s">
        <v>175</v>
      </c>
      <c r="AE766" s="99" t="s">
        <v>3411</v>
      </c>
      <c r="AF766" s="99" t="s">
        <v>3411</v>
      </c>
      <c r="AG766" s="124">
        <v>83</v>
      </c>
      <c r="AH766" s="99" t="s">
        <v>3413</v>
      </c>
      <c r="AI766" s="125">
        <v>100</v>
      </c>
      <c r="AJ766" s="99" t="s">
        <v>176</v>
      </c>
      <c r="AK766" s="99" t="s">
        <v>3411</v>
      </c>
      <c r="AL766" s="99" t="s">
        <v>3411</v>
      </c>
      <c r="AM766" s="99" t="s">
        <v>177</v>
      </c>
      <c r="AN766" s="99" t="s">
        <v>3411</v>
      </c>
      <c r="AO766" s="99" t="s">
        <v>4963</v>
      </c>
      <c r="AP766" s="99" t="s">
        <v>2570</v>
      </c>
      <c r="AQ766" s="99" t="s">
        <v>3411</v>
      </c>
      <c r="AR766" s="99" t="s">
        <v>3411</v>
      </c>
      <c r="AS766" s="99" t="s">
        <v>3128</v>
      </c>
      <c r="AT766" s="99" t="s">
        <v>190</v>
      </c>
      <c r="AU766" s="99" t="s">
        <v>191</v>
      </c>
      <c r="AV766" s="99" t="s">
        <v>177</v>
      </c>
      <c r="AW766" s="99" t="s">
        <v>3411</v>
      </c>
      <c r="AX766" s="99" t="s">
        <v>3411</v>
      </c>
      <c r="AY766" s="99" t="s">
        <v>3411</v>
      </c>
      <c r="AZ766" s="99" t="s">
        <v>3411</v>
      </c>
      <c r="BA766" s="99" t="s">
        <v>520</v>
      </c>
      <c r="BB766" s="99" t="s">
        <v>3411</v>
      </c>
      <c r="BC766" s="125">
        <v>43</v>
      </c>
      <c r="BD766" s="99" t="s">
        <v>3135</v>
      </c>
      <c r="BE766" s="99" t="s">
        <v>3136</v>
      </c>
    </row>
    <row r="767" spans="1:57" ht="12.95" customHeight="1">
      <c r="A767" s="124">
        <v>4015</v>
      </c>
      <c r="B767" s="124">
        <v>103</v>
      </c>
      <c r="C767" s="99" t="s">
        <v>2565</v>
      </c>
      <c r="D767" s="99" t="s">
        <v>882</v>
      </c>
      <c r="E767" s="99" t="s">
        <v>3183</v>
      </c>
      <c r="F767" s="99" t="s">
        <v>994</v>
      </c>
      <c r="G767" s="99" t="s">
        <v>69</v>
      </c>
      <c r="H767" s="99" t="s">
        <v>3921</v>
      </c>
      <c r="I767" s="99" t="s">
        <v>995</v>
      </c>
      <c r="J767" s="99" t="s">
        <v>3285</v>
      </c>
      <c r="K767" s="99" t="s">
        <v>168</v>
      </c>
      <c r="L767" s="99" t="s">
        <v>3286</v>
      </c>
      <c r="M767" s="99" t="s">
        <v>1</v>
      </c>
      <c r="N767" s="99" t="s">
        <v>3922</v>
      </c>
      <c r="O767" s="99" t="s">
        <v>3212</v>
      </c>
      <c r="P767" s="99" t="s">
        <v>5024</v>
      </c>
      <c r="Q767" s="99" t="s">
        <v>247</v>
      </c>
      <c r="R767" s="99" t="s">
        <v>5019</v>
      </c>
      <c r="S767" s="99" t="s">
        <v>2575</v>
      </c>
      <c r="T767" s="99" t="s">
        <v>2576</v>
      </c>
      <c r="U767" s="99" t="s">
        <v>2577</v>
      </c>
      <c r="V767" s="99" t="s">
        <v>2578</v>
      </c>
      <c r="W767" s="99" t="s">
        <v>5024</v>
      </c>
      <c r="X767" s="99" t="s">
        <v>5024</v>
      </c>
      <c r="Y767" s="99" t="s">
        <v>5025</v>
      </c>
      <c r="Z767" s="99" t="s">
        <v>172</v>
      </c>
      <c r="AA767" s="99" t="s">
        <v>173</v>
      </c>
      <c r="AB767" s="99" t="s">
        <v>263</v>
      </c>
      <c r="AC767" s="99" t="s">
        <v>3411</v>
      </c>
      <c r="AD767" s="99" t="s">
        <v>175</v>
      </c>
      <c r="AE767" s="99" t="s">
        <v>3411</v>
      </c>
      <c r="AF767" s="99" t="s">
        <v>3411</v>
      </c>
      <c r="AG767" s="124">
        <v>103</v>
      </c>
      <c r="AH767" s="99" t="s">
        <v>3413</v>
      </c>
      <c r="AI767" s="125">
        <v>100</v>
      </c>
      <c r="AJ767" s="99" t="s">
        <v>176</v>
      </c>
      <c r="AK767" s="99" t="s">
        <v>5024</v>
      </c>
      <c r="AL767" s="99" t="s">
        <v>3411</v>
      </c>
      <c r="AM767" s="99" t="s">
        <v>177</v>
      </c>
      <c r="AN767" s="99" t="s">
        <v>3411</v>
      </c>
      <c r="AO767" s="99" t="s">
        <v>4963</v>
      </c>
      <c r="AP767" s="99" t="s">
        <v>2570</v>
      </c>
      <c r="AQ767" s="99" t="s">
        <v>3411</v>
      </c>
      <c r="AR767" s="99" t="s">
        <v>3411</v>
      </c>
      <c r="AS767" s="99" t="s">
        <v>2569</v>
      </c>
      <c r="AT767" s="99" t="s">
        <v>175</v>
      </c>
      <c r="AU767" s="99" t="s">
        <v>3411</v>
      </c>
      <c r="AV767" s="99" t="s">
        <v>177</v>
      </c>
      <c r="AW767" s="99" t="s">
        <v>3411</v>
      </c>
      <c r="AX767" s="99" t="s">
        <v>3411</v>
      </c>
      <c r="AY767" s="99" t="s">
        <v>3411</v>
      </c>
      <c r="AZ767" s="99" t="s">
        <v>3411</v>
      </c>
      <c r="BA767" s="99" t="s">
        <v>520</v>
      </c>
      <c r="BB767" s="99" t="s">
        <v>3411</v>
      </c>
      <c r="BC767" s="125">
        <v>37</v>
      </c>
      <c r="BD767" s="99" t="s">
        <v>3135</v>
      </c>
      <c r="BE767" s="99" t="s">
        <v>3136</v>
      </c>
    </row>
    <row r="768" spans="1:57" ht="12.95" customHeight="1">
      <c r="A768" s="124">
        <v>4015</v>
      </c>
      <c r="B768" s="124">
        <v>86</v>
      </c>
      <c r="C768" s="99" t="s">
        <v>2565</v>
      </c>
      <c r="D768" s="99" t="s">
        <v>882</v>
      </c>
      <c r="E768" s="99" t="s">
        <v>3183</v>
      </c>
      <c r="F768" s="99" t="s">
        <v>994</v>
      </c>
      <c r="G768" s="99" t="s">
        <v>69</v>
      </c>
      <c r="H768" s="99" t="s">
        <v>3921</v>
      </c>
      <c r="I768" s="99" t="s">
        <v>995</v>
      </c>
      <c r="J768" s="99" t="s">
        <v>2036</v>
      </c>
      <c r="K768" s="99" t="s">
        <v>798</v>
      </c>
      <c r="L768" s="99" t="s">
        <v>2587</v>
      </c>
      <c r="M768" s="99" t="s">
        <v>5</v>
      </c>
      <c r="N768" s="99" t="s">
        <v>3922</v>
      </c>
      <c r="O768" s="99" t="s">
        <v>3212</v>
      </c>
      <c r="P768" s="99" t="s">
        <v>3923</v>
      </c>
      <c r="Q768" s="99" t="s">
        <v>247</v>
      </c>
      <c r="R768" s="99" t="s">
        <v>5019</v>
      </c>
      <c r="S768" s="99" t="s">
        <v>2575</v>
      </c>
      <c r="T768" s="99" t="s">
        <v>2576</v>
      </c>
      <c r="U768" s="99" t="s">
        <v>2577</v>
      </c>
      <c r="V768" s="99" t="s">
        <v>2578</v>
      </c>
      <c r="W768" s="99" t="s">
        <v>5026</v>
      </c>
      <c r="X768" s="99" t="s">
        <v>5026</v>
      </c>
      <c r="Y768" s="99" t="s">
        <v>5027</v>
      </c>
      <c r="Z768" s="99" t="s">
        <v>172</v>
      </c>
      <c r="AA768" s="99" t="s">
        <v>173</v>
      </c>
      <c r="AB768" s="99" t="s">
        <v>174</v>
      </c>
      <c r="AC768" s="99" t="s">
        <v>3411</v>
      </c>
      <c r="AD768" s="99" t="s">
        <v>175</v>
      </c>
      <c r="AE768" s="99" t="s">
        <v>3411</v>
      </c>
      <c r="AF768" s="99" t="s">
        <v>3411</v>
      </c>
      <c r="AG768" s="124">
        <v>86</v>
      </c>
      <c r="AH768" s="99" t="s">
        <v>3413</v>
      </c>
      <c r="AI768" s="125">
        <v>100</v>
      </c>
      <c r="AJ768" s="99" t="s">
        <v>176</v>
      </c>
      <c r="AK768" s="99" t="s">
        <v>3411</v>
      </c>
      <c r="AL768" s="99" t="s">
        <v>3411</v>
      </c>
      <c r="AM768" s="99" t="s">
        <v>177</v>
      </c>
      <c r="AN768" s="99" t="s">
        <v>3411</v>
      </c>
      <c r="AO768" s="99" t="s">
        <v>4963</v>
      </c>
      <c r="AP768" s="99" t="s">
        <v>2570</v>
      </c>
      <c r="AQ768" s="99" t="s">
        <v>3411</v>
      </c>
      <c r="AR768" s="99" t="s">
        <v>3411</v>
      </c>
      <c r="AS768" s="99" t="s">
        <v>2569</v>
      </c>
      <c r="AT768" s="99" t="s">
        <v>190</v>
      </c>
      <c r="AU768" s="99" t="s">
        <v>191</v>
      </c>
      <c r="AV768" s="99" t="s">
        <v>177</v>
      </c>
      <c r="AW768" s="99" t="s">
        <v>3411</v>
      </c>
      <c r="AX768" s="99" t="s">
        <v>3411</v>
      </c>
      <c r="AY768" s="99" t="s">
        <v>3411</v>
      </c>
      <c r="AZ768" s="99" t="s">
        <v>3411</v>
      </c>
      <c r="BA768" s="99" t="s">
        <v>520</v>
      </c>
      <c r="BB768" s="99" t="s">
        <v>3411</v>
      </c>
      <c r="BC768" s="125">
        <v>37</v>
      </c>
      <c r="BD768" s="99" t="s">
        <v>3135</v>
      </c>
      <c r="BE768" s="99" t="s">
        <v>3136</v>
      </c>
    </row>
    <row r="769" spans="1:57" ht="12.95" customHeight="1">
      <c r="A769" s="124">
        <v>4015</v>
      </c>
      <c r="B769" s="124">
        <v>106</v>
      </c>
      <c r="C769" s="99" t="s">
        <v>2565</v>
      </c>
      <c r="D769" s="99" t="s">
        <v>882</v>
      </c>
      <c r="E769" s="99" t="s">
        <v>3183</v>
      </c>
      <c r="F769" s="99" t="s">
        <v>994</v>
      </c>
      <c r="G769" s="99" t="s">
        <v>69</v>
      </c>
      <c r="H769" s="99" t="s">
        <v>3921</v>
      </c>
      <c r="I769" s="99" t="s">
        <v>995</v>
      </c>
      <c r="J769" s="99" t="s">
        <v>524</v>
      </c>
      <c r="K769" s="99" t="s">
        <v>3399</v>
      </c>
      <c r="L769" s="99" t="s">
        <v>3400</v>
      </c>
      <c r="M769" s="99" t="s">
        <v>1</v>
      </c>
      <c r="N769" s="99" t="s">
        <v>3922</v>
      </c>
      <c r="O769" s="99" t="s">
        <v>3212</v>
      </c>
      <c r="P769" s="99" t="s">
        <v>3771</v>
      </c>
      <c r="Q769" s="99" t="s">
        <v>247</v>
      </c>
      <c r="R769" s="99" t="s">
        <v>5019</v>
      </c>
      <c r="S769" s="99" t="s">
        <v>2575</v>
      </c>
      <c r="T769" s="99" t="s">
        <v>2576</v>
      </c>
      <c r="U769" s="99" t="s">
        <v>2577</v>
      </c>
      <c r="V769" s="99" t="s">
        <v>2578</v>
      </c>
      <c r="W769" s="99" t="s">
        <v>5028</v>
      </c>
      <c r="X769" s="99" t="s">
        <v>5028</v>
      </c>
      <c r="Y769" s="99" t="s">
        <v>5029</v>
      </c>
      <c r="Z769" s="99" t="s">
        <v>172</v>
      </c>
      <c r="AA769" s="99" t="s">
        <v>173</v>
      </c>
      <c r="AB769" s="99" t="s">
        <v>263</v>
      </c>
      <c r="AC769" s="99" t="s">
        <v>3411</v>
      </c>
      <c r="AD769" s="99" t="s">
        <v>175</v>
      </c>
      <c r="AE769" s="99" t="s">
        <v>3411</v>
      </c>
      <c r="AF769" s="99" t="s">
        <v>3411</v>
      </c>
      <c r="AG769" s="124">
        <v>0</v>
      </c>
      <c r="AH769" s="99" t="s">
        <v>3413</v>
      </c>
      <c r="AI769" s="125">
        <v>100</v>
      </c>
      <c r="AJ769" s="99" t="s">
        <v>176</v>
      </c>
      <c r="AK769" s="99" t="s">
        <v>3771</v>
      </c>
      <c r="AL769" s="99" t="s">
        <v>3411</v>
      </c>
      <c r="AM769" s="99" t="s">
        <v>177</v>
      </c>
      <c r="AN769" s="99" t="s">
        <v>3411</v>
      </c>
      <c r="AO769" s="99" t="s">
        <v>2570</v>
      </c>
      <c r="AP769" s="99" t="s">
        <v>2570</v>
      </c>
      <c r="AQ769" s="99" t="s">
        <v>3411</v>
      </c>
      <c r="AR769" s="99" t="s">
        <v>3411</v>
      </c>
      <c r="AS769" s="99" t="s">
        <v>2569</v>
      </c>
      <c r="AT769" s="99" t="s">
        <v>175</v>
      </c>
      <c r="AU769" s="99" t="s">
        <v>3411</v>
      </c>
      <c r="AV769" s="99" t="s">
        <v>177</v>
      </c>
      <c r="AW769" s="99" t="s">
        <v>3411</v>
      </c>
      <c r="AX769" s="99" t="s">
        <v>3411</v>
      </c>
      <c r="AY769" s="99" t="s">
        <v>3411</v>
      </c>
      <c r="AZ769" s="99" t="s">
        <v>3411</v>
      </c>
      <c r="BA769" s="99" t="s">
        <v>520</v>
      </c>
      <c r="BB769" s="99" t="s">
        <v>3411</v>
      </c>
      <c r="BC769" s="125">
        <v>41</v>
      </c>
      <c r="BD769" s="99" t="s">
        <v>3135</v>
      </c>
      <c r="BE769" s="99" t="s">
        <v>3136</v>
      </c>
    </row>
    <row r="770" spans="1:57" ht="12.95" customHeight="1">
      <c r="A770" s="124">
        <v>4015</v>
      </c>
      <c r="B770" s="124">
        <v>98</v>
      </c>
      <c r="C770" s="99" t="s">
        <v>2565</v>
      </c>
      <c r="D770" s="99" t="s">
        <v>882</v>
      </c>
      <c r="E770" s="99" t="s">
        <v>3183</v>
      </c>
      <c r="F770" s="99" t="s">
        <v>994</v>
      </c>
      <c r="G770" s="99" t="s">
        <v>69</v>
      </c>
      <c r="H770" s="99" t="s">
        <v>3921</v>
      </c>
      <c r="I770" s="99" t="s">
        <v>995</v>
      </c>
      <c r="J770" s="99" t="s">
        <v>2689</v>
      </c>
      <c r="K770" s="99" t="s">
        <v>278</v>
      </c>
      <c r="L770" s="99" t="s">
        <v>2690</v>
      </c>
      <c r="M770" s="99" t="s">
        <v>5</v>
      </c>
      <c r="N770" s="99" t="s">
        <v>3922</v>
      </c>
      <c r="O770" s="99" t="s">
        <v>3212</v>
      </c>
      <c r="P770" s="99" t="s">
        <v>3923</v>
      </c>
      <c r="Q770" s="99" t="s">
        <v>247</v>
      </c>
      <c r="R770" s="99" t="s">
        <v>5019</v>
      </c>
      <c r="S770" s="99" t="s">
        <v>2575</v>
      </c>
      <c r="T770" s="99" t="s">
        <v>2576</v>
      </c>
      <c r="U770" s="99" t="s">
        <v>2577</v>
      </c>
      <c r="V770" s="99" t="s">
        <v>2578</v>
      </c>
      <c r="W770" s="99" t="s">
        <v>3543</v>
      </c>
      <c r="X770" s="99" t="s">
        <v>3543</v>
      </c>
      <c r="Y770" s="99" t="s">
        <v>5030</v>
      </c>
      <c r="Z770" s="99" t="s">
        <v>172</v>
      </c>
      <c r="AA770" s="99" t="s">
        <v>173</v>
      </c>
      <c r="AB770" s="99" t="s">
        <v>174</v>
      </c>
      <c r="AC770" s="99" t="s">
        <v>3411</v>
      </c>
      <c r="AD770" s="99" t="s">
        <v>175</v>
      </c>
      <c r="AE770" s="99" t="s">
        <v>3411</v>
      </c>
      <c r="AF770" s="99" t="s">
        <v>3411</v>
      </c>
      <c r="AG770" s="124">
        <v>98</v>
      </c>
      <c r="AH770" s="99" t="s">
        <v>3413</v>
      </c>
      <c r="AI770" s="125">
        <v>100</v>
      </c>
      <c r="AJ770" s="99" t="s">
        <v>176</v>
      </c>
      <c r="AK770" s="99" t="s">
        <v>3543</v>
      </c>
      <c r="AL770" s="99" t="s">
        <v>3411</v>
      </c>
      <c r="AM770" s="99" t="s">
        <v>177</v>
      </c>
      <c r="AN770" s="99" t="s">
        <v>3411</v>
      </c>
      <c r="AO770" s="99" t="s">
        <v>2570</v>
      </c>
      <c r="AP770" s="99" t="s">
        <v>2570</v>
      </c>
      <c r="AQ770" s="99" t="s">
        <v>3411</v>
      </c>
      <c r="AR770" s="99" t="s">
        <v>3411</v>
      </c>
      <c r="AS770" s="99" t="s">
        <v>2569</v>
      </c>
      <c r="AT770" s="99" t="s">
        <v>175</v>
      </c>
      <c r="AU770" s="99" t="s">
        <v>3411</v>
      </c>
      <c r="AV770" s="99" t="s">
        <v>177</v>
      </c>
      <c r="AW770" s="99" t="s">
        <v>3411</v>
      </c>
      <c r="AX770" s="99" t="s">
        <v>3411</v>
      </c>
      <c r="AY770" s="99" t="s">
        <v>3411</v>
      </c>
      <c r="AZ770" s="99" t="s">
        <v>3411</v>
      </c>
      <c r="BA770" s="99" t="s">
        <v>520</v>
      </c>
      <c r="BB770" s="99" t="s">
        <v>3411</v>
      </c>
      <c r="BC770" s="125">
        <v>32</v>
      </c>
      <c r="BD770" s="99" t="s">
        <v>3135</v>
      </c>
      <c r="BE770" s="99" t="s">
        <v>3136</v>
      </c>
    </row>
    <row r="771" spans="1:57" ht="12.95" customHeight="1">
      <c r="A771" s="124">
        <v>4015</v>
      </c>
      <c r="B771" s="124">
        <v>96</v>
      </c>
      <c r="C771" s="99" t="s">
        <v>2565</v>
      </c>
      <c r="D771" s="99" t="s">
        <v>882</v>
      </c>
      <c r="E771" s="99" t="s">
        <v>3183</v>
      </c>
      <c r="F771" s="99" t="s">
        <v>994</v>
      </c>
      <c r="G771" s="99" t="s">
        <v>69</v>
      </c>
      <c r="H771" s="99" t="s">
        <v>3921</v>
      </c>
      <c r="I771" s="99" t="s">
        <v>995</v>
      </c>
      <c r="J771" s="99" t="s">
        <v>2860</v>
      </c>
      <c r="K771" s="99" t="s">
        <v>2861</v>
      </c>
      <c r="L771" s="99" t="s">
        <v>2862</v>
      </c>
      <c r="M771" s="99" t="s">
        <v>1</v>
      </c>
      <c r="N771" s="99" t="s">
        <v>3922</v>
      </c>
      <c r="O771" s="99" t="s">
        <v>3212</v>
      </c>
      <c r="P771" s="99" t="s">
        <v>3923</v>
      </c>
      <c r="Q771" s="99" t="s">
        <v>247</v>
      </c>
      <c r="R771" s="99" t="s">
        <v>5019</v>
      </c>
      <c r="S771" s="99" t="s">
        <v>2575</v>
      </c>
      <c r="T771" s="99" t="s">
        <v>2576</v>
      </c>
      <c r="U771" s="99" t="s">
        <v>2577</v>
      </c>
      <c r="V771" s="99" t="s">
        <v>2578</v>
      </c>
      <c r="W771" s="99" t="s">
        <v>5031</v>
      </c>
      <c r="X771" s="99" t="s">
        <v>5031</v>
      </c>
      <c r="Y771" s="99" t="s">
        <v>5032</v>
      </c>
      <c r="Z771" s="99" t="s">
        <v>172</v>
      </c>
      <c r="AA771" s="99" t="s">
        <v>173</v>
      </c>
      <c r="AB771" s="99" t="s">
        <v>174</v>
      </c>
      <c r="AC771" s="99" t="s">
        <v>3411</v>
      </c>
      <c r="AD771" s="99" t="s">
        <v>175</v>
      </c>
      <c r="AE771" s="99" t="s">
        <v>3411</v>
      </c>
      <c r="AF771" s="99" t="s">
        <v>3411</v>
      </c>
      <c r="AG771" s="124">
        <v>96</v>
      </c>
      <c r="AH771" s="99" t="s">
        <v>3413</v>
      </c>
      <c r="AI771" s="125">
        <v>100</v>
      </c>
      <c r="AJ771" s="99" t="s">
        <v>176</v>
      </c>
      <c r="AK771" s="99" t="s">
        <v>5031</v>
      </c>
      <c r="AL771" s="99" t="s">
        <v>3411</v>
      </c>
      <c r="AM771" s="99" t="s">
        <v>177</v>
      </c>
      <c r="AN771" s="99" t="s">
        <v>3411</v>
      </c>
      <c r="AO771" s="99" t="s">
        <v>2570</v>
      </c>
      <c r="AP771" s="99" t="s">
        <v>2570</v>
      </c>
      <c r="AQ771" s="99" t="s">
        <v>3411</v>
      </c>
      <c r="AR771" s="99" t="s">
        <v>3411</v>
      </c>
      <c r="AS771" s="99" t="s">
        <v>2569</v>
      </c>
      <c r="AT771" s="99" t="s">
        <v>175</v>
      </c>
      <c r="AU771" s="99" t="s">
        <v>3411</v>
      </c>
      <c r="AV771" s="99" t="s">
        <v>177</v>
      </c>
      <c r="AW771" s="99" t="s">
        <v>3411</v>
      </c>
      <c r="AX771" s="99" t="s">
        <v>3411</v>
      </c>
      <c r="AY771" s="99" t="s">
        <v>3411</v>
      </c>
      <c r="AZ771" s="99" t="s">
        <v>3411</v>
      </c>
      <c r="BA771" s="99" t="s">
        <v>520</v>
      </c>
      <c r="BB771" s="99" t="s">
        <v>3411</v>
      </c>
      <c r="BC771" s="125">
        <v>37</v>
      </c>
      <c r="BD771" s="99" t="s">
        <v>3135</v>
      </c>
      <c r="BE771" s="99" t="s">
        <v>3136</v>
      </c>
    </row>
    <row r="772" spans="1:57" ht="12.95" customHeight="1">
      <c r="A772" s="124">
        <v>4015</v>
      </c>
      <c r="B772" s="124">
        <v>105</v>
      </c>
      <c r="C772" s="99" t="s">
        <v>2565</v>
      </c>
      <c r="D772" s="99" t="s">
        <v>882</v>
      </c>
      <c r="E772" s="99" t="s">
        <v>3183</v>
      </c>
      <c r="F772" s="99" t="s">
        <v>994</v>
      </c>
      <c r="G772" s="99" t="s">
        <v>69</v>
      </c>
      <c r="H772" s="99" t="s">
        <v>3921</v>
      </c>
      <c r="I772" s="99" t="s">
        <v>995</v>
      </c>
      <c r="J772" s="99" t="s">
        <v>3320</v>
      </c>
      <c r="K772" s="99" t="s">
        <v>3321</v>
      </c>
      <c r="L772" s="99" t="s">
        <v>3322</v>
      </c>
      <c r="M772" s="99" t="s">
        <v>1</v>
      </c>
      <c r="N772" s="99" t="s">
        <v>3922</v>
      </c>
      <c r="O772" s="99" t="s">
        <v>3212</v>
      </c>
      <c r="P772" s="99" t="s">
        <v>3771</v>
      </c>
      <c r="Q772" s="99" t="s">
        <v>247</v>
      </c>
      <c r="R772" s="99" t="s">
        <v>5019</v>
      </c>
      <c r="S772" s="99" t="s">
        <v>2575</v>
      </c>
      <c r="T772" s="99" t="s">
        <v>2576</v>
      </c>
      <c r="U772" s="99" t="s">
        <v>2577</v>
      </c>
      <c r="V772" s="99" t="s">
        <v>2578</v>
      </c>
      <c r="W772" s="99" t="s">
        <v>5033</v>
      </c>
      <c r="X772" s="99" t="s">
        <v>5033</v>
      </c>
      <c r="Y772" s="99" t="s">
        <v>5034</v>
      </c>
      <c r="Z772" s="99" t="s">
        <v>172</v>
      </c>
      <c r="AA772" s="99" t="s">
        <v>173</v>
      </c>
      <c r="AB772" s="99" t="s">
        <v>263</v>
      </c>
      <c r="AC772" s="99" t="s">
        <v>3411</v>
      </c>
      <c r="AD772" s="99" t="s">
        <v>175</v>
      </c>
      <c r="AE772" s="99" t="s">
        <v>3411</v>
      </c>
      <c r="AF772" s="99" t="s">
        <v>3411</v>
      </c>
      <c r="AG772" s="124">
        <v>105</v>
      </c>
      <c r="AH772" s="99" t="s">
        <v>3413</v>
      </c>
      <c r="AI772" s="125">
        <v>100</v>
      </c>
      <c r="AJ772" s="99" t="s">
        <v>176</v>
      </c>
      <c r="AK772" s="99" t="s">
        <v>5033</v>
      </c>
      <c r="AL772" s="99" t="s">
        <v>3411</v>
      </c>
      <c r="AM772" s="99" t="s">
        <v>177</v>
      </c>
      <c r="AN772" s="99" t="s">
        <v>3411</v>
      </c>
      <c r="AO772" s="99" t="s">
        <v>4963</v>
      </c>
      <c r="AP772" s="99" t="s">
        <v>2570</v>
      </c>
      <c r="AQ772" s="99" t="s">
        <v>3411</v>
      </c>
      <c r="AR772" s="99" t="s">
        <v>3411</v>
      </c>
      <c r="AS772" s="99" t="s">
        <v>2569</v>
      </c>
      <c r="AT772" s="99" t="s">
        <v>175</v>
      </c>
      <c r="AU772" s="99" t="s">
        <v>3411</v>
      </c>
      <c r="AV772" s="99" t="s">
        <v>177</v>
      </c>
      <c r="AW772" s="99" t="s">
        <v>3411</v>
      </c>
      <c r="AX772" s="99" t="s">
        <v>3411</v>
      </c>
      <c r="AY772" s="99" t="s">
        <v>3411</v>
      </c>
      <c r="AZ772" s="99" t="s">
        <v>3411</v>
      </c>
      <c r="BA772" s="99" t="s">
        <v>520</v>
      </c>
      <c r="BB772" s="99" t="s">
        <v>3411</v>
      </c>
      <c r="BC772" s="125">
        <v>44</v>
      </c>
      <c r="BD772" s="99" t="s">
        <v>3135</v>
      </c>
      <c r="BE772" s="99" t="s">
        <v>3136</v>
      </c>
    </row>
    <row r="773" spans="1:57" ht="12.95" customHeight="1">
      <c r="A773" s="124">
        <v>4015</v>
      </c>
      <c r="B773" s="124">
        <v>95</v>
      </c>
      <c r="C773" s="99" t="s">
        <v>2565</v>
      </c>
      <c r="D773" s="99" t="s">
        <v>882</v>
      </c>
      <c r="E773" s="99" t="s">
        <v>3183</v>
      </c>
      <c r="F773" s="99" t="s">
        <v>994</v>
      </c>
      <c r="G773" s="99" t="s">
        <v>69</v>
      </c>
      <c r="H773" s="99" t="s">
        <v>3921</v>
      </c>
      <c r="I773" s="99" t="s">
        <v>995</v>
      </c>
      <c r="J773" s="99" t="s">
        <v>1003</v>
      </c>
      <c r="K773" s="99" t="s">
        <v>1004</v>
      </c>
      <c r="L773" s="99" t="s">
        <v>1005</v>
      </c>
      <c r="M773" s="99" t="s">
        <v>1</v>
      </c>
      <c r="N773" s="99" t="s">
        <v>3922</v>
      </c>
      <c r="O773" s="99" t="s">
        <v>3212</v>
      </c>
      <c r="P773" s="99" t="s">
        <v>3923</v>
      </c>
      <c r="Q773" s="99" t="s">
        <v>247</v>
      </c>
      <c r="R773" s="99" t="s">
        <v>5019</v>
      </c>
      <c r="S773" s="99" t="s">
        <v>2575</v>
      </c>
      <c r="T773" s="99" t="s">
        <v>2576</v>
      </c>
      <c r="U773" s="99" t="s">
        <v>2577</v>
      </c>
      <c r="V773" s="99" t="s">
        <v>2578</v>
      </c>
      <c r="W773" s="99" t="s">
        <v>5035</v>
      </c>
      <c r="X773" s="99" t="s">
        <v>5035</v>
      </c>
      <c r="Y773" s="99" t="s">
        <v>5036</v>
      </c>
      <c r="Z773" s="99" t="s">
        <v>172</v>
      </c>
      <c r="AA773" s="99" t="s">
        <v>173</v>
      </c>
      <c r="AB773" s="99" t="s">
        <v>174</v>
      </c>
      <c r="AC773" s="99" t="s">
        <v>3411</v>
      </c>
      <c r="AD773" s="99" t="s">
        <v>175</v>
      </c>
      <c r="AE773" s="99" t="s">
        <v>3411</v>
      </c>
      <c r="AF773" s="99" t="s">
        <v>3411</v>
      </c>
      <c r="AG773" s="124">
        <v>95</v>
      </c>
      <c r="AH773" s="99" t="s">
        <v>3413</v>
      </c>
      <c r="AI773" s="125">
        <v>100</v>
      </c>
      <c r="AJ773" s="99" t="s">
        <v>176</v>
      </c>
      <c r="AK773" s="99" t="s">
        <v>5035</v>
      </c>
      <c r="AL773" s="99" t="s">
        <v>3411</v>
      </c>
      <c r="AM773" s="99" t="s">
        <v>177</v>
      </c>
      <c r="AN773" s="99" t="s">
        <v>3411</v>
      </c>
      <c r="AO773" s="99" t="s">
        <v>2570</v>
      </c>
      <c r="AP773" s="99" t="s">
        <v>2570</v>
      </c>
      <c r="AQ773" s="99" t="s">
        <v>3411</v>
      </c>
      <c r="AR773" s="99" t="s">
        <v>3411</v>
      </c>
      <c r="AS773" s="99" t="s">
        <v>2569</v>
      </c>
      <c r="AT773" s="99" t="s">
        <v>175</v>
      </c>
      <c r="AU773" s="99" t="s">
        <v>3411</v>
      </c>
      <c r="AV773" s="99" t="s">
        <v>177</v>
      </c>
      <c r="AW773" s="99" t="s">
        <v>3411</v>
      </c>
      <c r="AX773" s="99" t="s">
        <v>3411</v>
      </c>
      <c r="AY773" s="99" t="s">
        <v>3411</v>
      </c>
      <c r="AZ773" s="99" t="s">
        <v>3411</v>
      </c>
      <c r="BA773" s="99" t="s">
        <v>520</v>
      </c>
      <c r="BB773" s="99" t="s">
        <v>3411</v>
      </c>
      <c r="BC773" s="125">
        <v>34</v>
      </c>
      <c r="BD773" s="99" t="s">
        <v>3135</v>
      </c>
      <c r="BE773" s="99" t="s">
        <v>3136</v>
      </c>
    </row>
    <row r="774" spans="1:57" ht="12.95" customHeight="1">
      <c r="A774" s="124">
        <v>4015</v>
      </c>
      <c r="B774" s="124">
        <v>104</v>
      </c>
      <c r="C774" s="99" t="s">
        <v>2565</v>
      </c>
      <c r="D774" s="99" t="s">
        <v>882</v>
      </c>
      <c r="E774" s="99" t="s">
        <v>3183</v>
      </c>
      <c r="F774" s="99" t="s">
        <v>994</v>
      </c>
      <c r="G774" s="99" t="s">
        <v>69</v>
      </c>
      <c r="H774" s="99" t="s">
        <v>3921</v>
      </c>
      <c r="I774" s="99" t="s">
        <v>995</v>
      </c>
      <c r="J774" s="99" t="s">
        <v>3323</v>
      </c>
      <c r="K774" s="99" t="s">
        <v>879</v>
      </c>
      <c r="L774" s="99" t="s">
        <v>3324</v>
      </c>
      <c r="M774" s="99" t="s">
        <v>1</v>
      </c>
      <c r="N774" s="99" t="s">
        <v>3922</v>
      </c>
      <c r="O774" s="99" t="s">
        <v>3212</v>
      </c>
      <c r="P774" s="99" t="s">
        <v>4987</v>
      </c>
      <c r="Q774" s="99" t="s">
        <v>247</v>
      </c>
      <c r="R774" s="99" t="s">
        <v>5019</v>
      </c>
      <c r="S774" s="99" t="s">
        <v>2575</v>
      </c>
      <c r="T774" s="99" t="s">
        <v>2576</v>
      </c>
      <c r="U774" s="99" t="s">
        <v>2577</v>
      </c>
      <c r="V774" s="99" t="s">
        <v>2578</v>
      </c>
      <c r="W774" s="99" t="s">
        <v>4987</v>
      </c>
      <c r="X774" s="99" t="s">
        <v>4987</v>
      </c>
      <c r="Y774" s="99" t="s">
        <v>5037</v>
      </c>
      <c r="Z774" s="99" t="s">
        <v>172</v>
      </c>
      <c r="AA774" s="99" t="s">
        <v>173</v>
      </c>
      <c r="AB774" s="99" t="s">
        <v>263</v>
      </c>
      <c r="AC774" s="99" t="s">
        <v>3411</v>
      </c>
      <c r="AD774" s="99" t="s">
        <v>175</v>
      </c>
      <c r="AE774" s="99" t="s">
        <v>3411</v>
      </c>
      <c r="AF774" s="99" t="s">
        <v>3411</v>
      </c>
      <c r="AG774" s="124">
        <v>104</v>
      </c>
      <c r="AH774" s="99" t="s">
        <v>3413</v>
      </c>
      <c r="AI774" s="125">
        <v>100</v>
      </c>
      <c r="AJ774" s="99" t="s">
        <v>176</v>
      </c>
      <c r="AK774" s="99" t="s">
        <v>4987</v>
      </c>
      <c r="AL774" s="99" t="s">
        <v>3411</v>
      </c>
      <c r="AM774" s="99" t="s">
        <v>177</v>
      </c>
      <c r="AN774" s="99" t="s">
        <v>3411</v>
      </c>
      <c r="AO774" s="99" t="s">
        <v>4963</v>
      </c>
      <c r="AP774" s="99" t="s">
        <v>2570</v>
      </c>
      <c r="AQ774" s="99" t="s">
        <v>3411</v>
      </c>
      <c r="AR774" s="99" t="s">
        <v>3411</v>
      </c>
      <c r="AS774" s="99" t="s">
        <v>2569</v>
      </c>
      <c r="AT774" s="99" t="s">
        <v>175</v>
      </c>
      <c r="AU774" s="99" t="s">
        <v>3411</v>
      </c>
      <c r="AV774" s="99" t="s">
        <v>177</v>
      </c>
      <c r="AW774" s="99" t="s">
        <v>3411</v>
      </c>
      <c r="AX774" s="99" t="s">
        <v>3411</v>
      </c>
      <c r="AY774" s="99" t="s">
        <v>3411</v>
      </c>
      <c r="AZ774" s="99" t="s">
        <v>3411</v>
      </c>
      <c r="BA774" s="99" t="s">
        <v>520</v>
      </c>
      <c r="BB774" s="99" t="s">
        <v>3411</v>
      </c>
      <c r="BC774" s="125">
        <v>39</v>
      </c>
      <c r="BD774" s="99" t="s">
        <v>3135</v>
      </c>
      <c r="BE774" s="99" t="s">
        <v>3136</v>
      </c>
    </row>
    <row r="775" spans="1:57" ht="12.95" customHeight="1">
      <c r="A775" s="124"/>
      <c r="B775" s="124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  <c r="AA775" s="99"/>
      <c r="AB775" s="99"/>
      <c r="AC775" s="99"/>
      <c r="AD775" s="99"/>
      <c r="AE775" s="99"/>
      <c r="AF775" s="124"/>
      <c r="AG775" s="99"/>
      <c r="AH775" s="125"/>
      <c r="AI775" s="99"/>
      <c r="AJ775" s="99"/>
      <c r="AK775" s="99"/>
      <c r="AL775" s="99"/>
      <c r="AM775" s="99"/>
      <c r="AN775" s="99"/>
      <c r="AO775" s="99"/>
      <c r="AP775" s="99"/>
      <c r="AQ775" s="99"/>
      <c r="AR775" s="99"/>
      <c r="AS775" s="99"/>
      <c r="AT775" s="99"/>
      <c r="AU775" s="99"/>
      <c r="AV775" s="99"/>
      <c r="AW775" s="99"/>
      <c r="AX775" s="99"/>
      <c r="AY775" s="99"/>
      <c r="AZ775" s="99"/>
      <c r="BA775" s="99"/>
      <c r="BB775" s="125"/>
      <c r="BC775" s="99"/>
      <c r="BD775" s="99"/>
      <c r="BE775" s="123"/>
    </row>
    <row r="776" spans="1:57" ht="12.95" customHeight="1">
      <c r="A776" s="124"/>
      <c r="B776" s="124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  <c r="AA776" s="99"/>
      <c r="AB776" s="99"/>
      <c r="AC776" s="99"/>
      <c r="AD776" s="99"/>
      <c r="AE776" s="99"/>
      <c r="AF776" s="124"/>
      <c r="AG776" s="99"/>
      <c r="AH776" s="125"/>
      <c r="AI776" s="99"/>
      <c r="AJ776" s="99"/>
      <c r="AK776" s="99"/>
      <c r="AL776" s="99"/>
      <c r="AM776" s="99"/>
      <c r="AN776" s="99"/>
      <c r="AO776" s="99"/>
      <c r="AP776" s="99"/>
      <c r="AQ776" s="99"/>
      <c r="AR776" s="99"/>
      <c r="AS776" s="99"/>
      <c r="AT776" s="99"/>
      <c r="AU776" s="99"/>
      <c r="AV776" s="99"/>
      <c r="AW776" s="99"/>
      <c r="AX776" s="99"/>
      <c r="AY776" s="99"/>
      <c r="AZ776" s="99"/>
      <c r="BA776" s="99"/>
      <c r="BB776" s="125"/>
      <c r="BC776" s="99"/>
      <c r="BD776" s="99"/>
      <c r="BE776" s="123"/>
    </row>
  </sheetData>
  <autoFilter ref="A1:BF776" xr:uid="{0E1F139F-5BD3-40EA-B843-241A8C35C369}"/>
  <conditionalFormatting sqref="B1:B1048576">
    <cfRule type="duplicateValues" dxfId="0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7FD2C-2F46-4CEC-A173-C16F04428884}">
  <dimension ref="A1:Q1886"/>
  <sheetViews>
    <sheetView workbookViewId="0">
      <selection activeCell="L16" sqref="L16"/>
    </sheetView>
  </sheetViews>
  <sheetFormatPr defaultRowHeight="12.75"/>
  <cols>
    <col min="1" max="1" width="33.42578125" bestFit="1" customWidth="1"/>
    <col min="2" max="2" width="12.42578125" customWidth="1"/>
    <col min="3" max="6" width="8.85546875" style="1" customWidth="1"/>
    <col min="7" max="7" width="9.85546875" style="1" bestFit="1" customWidth="1"/>
    <col min="8" max="9" width="8.85546875" style="10" customWidth="1"/>
    <col min="10" max="11" width="8.85546875" style="1" customWidth="1"/>
    <col min="13" max="13" width="11.42578125" customWidth="1"/>
    <col min="14" max="14" width="22.42578125" customWidth="1"/>
    <col min="15" max="15" width="16" customWidth="1"/>
    <col min="16" max="16" width="13.5703125" customWidth="1"/>
  </cols>
  <sheetData>
    <row r="1" spans="1:14" ht="13.5" thickBot="1">
      <c r="A1" s="85" t="s">
        <v>5100</v>
      </c>
      <c r="B1" s="9"/>
    </row>
    <row r="2" spans="1:14" ht="13.5" thickBot="1">
      <c r="A2" s="11" t="s">
        <v>17</v>
      </c>
      <c r="B2" s="12" t="s">
        <v>18</v>
      </c>
      <c r="C2" s="13" t="s">
        <v>16</v>
      </c>
      <c r="D2" s="14" t="s">
        <v>15</v>
      </c>
      <c r="E2" s="14" t="s">
        <v>6</v>
      </c>
      <c r="F2" s="14" t="s">
        <v>19</v>
      </c>
      <c r="G2" s="74" t="s">
        <v>20</v>
      </c>
      <c r="H2" s="74" t="s">
        <v>21</v>
      </c>
      <c r="I2" s="14" t="s">
        <v>22</v>
      </c>
      <c r="J2" s="15" t="s">
        <v>9</v>
      </c>
    </row>
    <row r="3" spans="1:14" ht="13.5" thickBot="1">
      <c r="A3" s="16" t="s">
        <v>0</v>
      </c>
      <c r="B3" s="17" t="s">
        <v>15</v>
      </c>
      <c r="C3" s="6"/>
      <c r="D3" s="6">
        <v>19</v>
      </c>
      <c r="E3" s="6" t="s">
        <v>175</v>
      </c>
      <c r="F3" s="6" t="s">
        <v>175</v>
      </c>
      <c r="G3" s="6" t="s">
        <v>175</v>
      </c>
      <c r="H3" s="6" t="s">
        <v>175</v>
      </c>
      <c r="I3" s="6" t="s">
        <v>175</v>
      </c>
      <c r="J3" s="19">
        <v>19</v>
      </c>
      <c r="L3" s="20" t="s">
        <v>23</v>
      </c>
      <c r="M3" s="25" t="s">
        <v>2764</v>
      </c>
    </row>
    <row r="4" spans="1:14" ht="13.5" thickBot="1">
      <c r="A4" s="22" t="s">
        <v>0</v>
      </c>
      <c r="B4" s="23" t="s">
        <v>6</v>
      </c>
      <c r="C4" s="6"/>
      <c r="D4" s="6" t="s">
        <v>175</v>
      </c>
      <c r="E4" s="6">
        <v>249</v>
      </c>
      <c r="F4" s="6">
        <v>2</v>
      </c>
      <c r="G4" s="6" t="s">
        <v>175</v>
      </c>
      <c r="H4" s="6" t="s">
        <v>175</v>
      </c>
      <c r="I4" s="6" t="s">
        <v>175</v>
      </c>
      <c r="J4" s="19">
        <v>251</v>
      </c>
      <c r="L4" s="20">
        <v>165</v>
      </c>
      <c r="M4" s="25" t="s">
        <v>24</v>
      </c>
      <c r="N4" s="84" t="s">
        <v>5098</v>
      </c>
    </row>
    <row r="5" spans="1:14" ht="13.5" thickBot="1">
      <c r="A5" s="22" t="s">
        <v>0</v>
      </c>
      <c r="B5" s="23" t="s">
        <v>13</v>
      </c>
      <c r="C5" s="6"/>
      <c r="D5" s="6" t="s">
        <v>175</v>
      </c>
      <c r="E5" s="6" t="s">
        <v>175</v>
      </c>
      <c r="F5" s="6" t="s">
        <v>175</v>
      </c>
      <c r="G5" s="6">
        <v>1</v>
      </c>
      <c r="H5" s="6">
        <v>63</v>
      </c>
      <c r="I5" s="6" t="s">
        <v>175</v>
      </c>
      <c r="J5" s="19">
        <v>64</v>
      </c>
      <c r="L5" s="20">
        <v>50</v>
      </c>
      <c r="M5" s="25" t="s">
        <v>25</v>
      </c>
    </row>
    <row r="6" spans="1:14" ht="13.5" thickBot="1">
      <c r="A6" s="22" t="s">
        <v>0</v>
      </c>
      <c r="B6" s="23" t="s">
        <v>8</v>
      </c>
      <c r="C6" s="6"/>
      <c r="D6" s="6" t="s">
        <v>175</v>
      </c>
      <c r="E6" s="6" t="s">
        <v>175</v>
      </c>
      <c r="F6" s="6" t="s">
        <v>175</v>
      </c>
      <c r="G6" s="6">
        <v>74</v>
      </c>
      <c r="H6" s="6">
        <v>235</v>
      </c>
      <c r="I6" s="6" t="s">
        <v>175</v>
      </c>
      <c r="J6" s="19">
        <v>309</v>
      </c>
      <c r="L6" s="20">
        <v>33</v>
      </c>
      <c r="M6" s="25" t="s">
        <v>26</v>
      </c>
      <c r="N6" s="84" t="s">
        <v>5099</v>
      </c>
    </row>
    <row r="7" spans="1:14" ht="13.5" thickBot="1">
      <c r="A7" s="22" t="s">
        <v>0</v>
      </c>
      <c r="B7" s="23" t="s">
        <v>12</v>
      </c>
      <c r="C7" s="6"/>
      <c r="D7" s="6" t="s">
        <v>175</v>
      </c>
      <c r="E7" s="6" t="s">
        <v>175</v>
      </c>
      <c r="F7" s="6" t="s">
        <v>175</v>
      </c>
      <c r="G7" s="6" t="s">
        <v>175</v>
      </c>
      <c r="H7" s="6" t="s">
        <v>175</v>
      </c>
      <c r="I7" s="6" t="s">
        <v>175</v>
      </c>
      <c r="J7" s="19">
        <v>0</v>
      </c>
      <c r="L7" s="20">
        <v>1</v>
      </c>
      <c r="M7" s="25" t="s">
        <v>3354</v>
      </c>
    </row>
    <row r="8" spans="1:14">
      <c r="A8" s="22" t="s">
        <v>0</v>
      </c>
      <c r="B8" s="23" t="s">
        <v>14</v>
      </c>
      <c r="C8" s="6"/>
      <c r="D8" s="6" t="s">
        <v>175</v>
      </c>
      <c r="E8" s="6" t="s">
        <v>175</v>
      </c>
      <c r="F8" s="6" t="s">
        <v>175</v>
      </c>
      <c r="G8" s="6">
        <v>4</v>
      </c>
      <c r="H8" s="6">
        <v>39</v>
      </c>
      <c r="I8" s="6" t="s">
        <v>175</v>
      </c>
      <c r="J8" s="19">
        <v>43</v>
      </c>
      <c r="L8" s="20">
        <v>0</v>
      </c>
      <c r="M8" s="25" t="s">
        <v>27</v>
      </c>
    </row>
    <row r="9" spans="1:14" ht="13.5" thickBot="1">
      <c r="A9" s="27" t="s">
        <v>29</v>
      </c>
      <c r="B9" s="28"/>
      <c r="C9" s="29"/>
      <c r="D9" s="29">
        <v>19</v>
      </c>
      <c r="E9" s="29">
        <v>249</v>
      </c>
      <c r="F9" s="29">
        <v>2</v>
      </c>
      <c r="G9" s="29">
        <v>79</v>
      </c>
      <c r="H9" s="29">
        <v>337</v>
      </c>
      <c r="I9" s="29"/>
      <c r="J9" s="30">
        <v>686</v>
      </c>
      <c r="L9" s="20">
        <v>1</v>
      </c>
      <c r="M9" s="25" t="s">
        <v>3352</v>
      </c>
    </row>
    <row r="10" spans="1:14" ht="13.5" thickBot="1">
      <c r="A10" s="31" t="s">
        <v>7</v>
      </c>
      <c r="B10" s="32" t="s">
        <v>15</v>
      </c>
      <c r="C10" s="6"/>
      <c r="D10" s="6" t="s">
        <v>175</v>
      </c>
      <c r="E10" s="6" t="s">
        <v>175</v>
      </c>
      <c r="F10" s="6" t="s">
        <v>175</v>
      </c>
      <c r="G10" s="6" t="s">
        <v>175</v>
      </c>
      <c r="H10" s="6" t="s">
        <v>175</v>
      </c>
      <c r="I10" s="6" t="s">
        <v>175</v>
      </c>
      <c r="J10" s="19">
        <v>0</v>
      </c>
      <c r="L10" s="20">
        <v>1</v>
      </c>
      <c r="M10" s="25" t="s">
        <v>30</v>
      </c>
    </row>
    <row r="11" spans="1:14">
      <c r="A11" s="31" t="s">
        <v>7</v>
      </c>
      <c r="B11" s="32" t="s">
        <v>8</v>
      </c>
      <c r="C11" s="6"/>
      <c r="D11" s="6" t="s">
        <v>175</v>
      </c>
      <c r="E11" s="6" t="s">
        <v>175</v>
      </c>
      <c r="F11" s="6" t="s">
        <v>175</v>
      </c>
      <c r="G11" s="6">
        <v>3</v>
      </c>
      <c r="H11" s="6">
        <v>20</v>
      </c>
      <c r="I11" s="6" t="s">
        <v>175</v>
      </c>
      <c r="J11" s="19">
        <v>23</v>
      </c>
      <c r="L11" s="35">
        <f>SUM(L4:L10)</f>
        <v>251</v>
      </c>
      <c r="M11" s="21"/>
    </row>
    <row r="12" spans="1:14" ht="13.5" thickBot="1">
      <c r="A12" s="27" t="s">
        <v>31</v>
      </c>
      <c r="B12" s="28"/>
      <c r="C12" s="29"/>
      <c r="D12" s="29"/>
      <c r="E12" s="29"/>
      <c r="F12" s="29">
        <v>0</v>
      </c>
      <c r="G12" s="29">
        <v>3</v>
      </c>
      <c r="H12" s="29">
        <v>20</v>
      </c>
      <c r="I12" s="29"/>
      <c r="J12" s="30">
        <v>23</v>
      </c>
    </row>
    <row r="13" spans="1:14">
      <c r="A13" s="31" t="s">
        <v>105</v>
      </c>
      <c r="B13" s="32" t="s">
        <v>8</v>
      </c>
      <c r="C13" s="6"/>
      <c r="D13" s="6">
        <v>1</v>
      </c>
      <c r="E13" s="6" t="s">
        <v>175</v>
      </c>
      <c r="F13" s="6" t="s">
        <v>175</v>
      </c>
      <c r="G13" s="6">
        <v>5</v>
      </c>
      <c r="H13" s="6">
        <v>14</v>
      </c>
      <c r="I13" s="6" t="s">
        <v>175</v>
      </c>
      <c r="J13" s="19">
        <v>20</v>
      </c>
    </row>
    <row r="14" spans="1:14" ht="13.5" thickBot="1">
      <c r="A14" s="27" t="s">
        <v>106</v>
      </c>
      <c r="B14" s="28"/>
      <c r="C14" s="29"/>
      <c r="D14" s="29">
        <v>1</v>
      </c>
      <c r="E14" s="29"/>
      <c r="F14" s="29">
        <v>0</v>
      </c>
      <c r="G14" s="29">
        <v>5</v>
      </c>
      <c r="H14" s="29">
        <v>14</v>
      </c>
      <c r="I14" s="29"/>
      <c r="J14" s="30">
        <v>20</v>
      </c>
    </row>
    <row r="15" spans="1:14" ht="13.5" thickBot="1">
      <c r="A15" s="22" t="s">
        <v>108</v>
      </c>
      <c r="B15" s="32" t="s">
        <v>10</v>
      </c>
      <c r="C15" s="6"/>
      <c r="D15" s="6"/>
      <c r="E15" s="6"/>
      <c r="F15" s="76"/>
      <c r="G15" s="76"/>
      <c r="H15" s="76"/>
      <c r="I15" s="6" t="s">
        <v>175</v>
      </c>
      <c r="J15" s="19">
        <v>0</v>
      </c>
    </row>
    <row r="16" spans="1:14">
      <c r="A16" s="22" t="s">
        <v>32</v>
      </c>
      <c r="B16" s="32" t="s">
        <v>33</v>
      </c>
      <c r="C16" s="6">
        <v>3</v>
      </c>
      <c r="D16" s="6"/>
      <c r="E16" s="6"/>
      <c r="F16" s="76"/>
      <c r="G16" s="76"/>
      <c r="H16" s="76"/>
      <c r="I16" s="6" t="s">
        <v>175</v>
      </c>
      <c r="J16" s="19">
        <v>3</v>
      </c>
    </row>
    <row r="17" spans="1:10" ht="13.5" thickBot="1">
      <c r="A17" s="36" t="s">
        <v>34</v>
      </c>
      <c r="B17" s="37"/>
      <c r="C17" s="29">
        <v>3</v>
      </c>
      <c r="D17" s="29"/>
      <c r="E17" s="29"/>
      <c r="F17" s="29"/>
      <c r="G17" s="29"/>
      <c r="H17" s="29"/>
      <c r="I17" s="29"/>
      <c r="J17" s="30">
        <v>3</v>
      </c>
    </row>
    <row r="18" spans="1:10" ht="13.5" thickBot="1">
      <c r="A18" s="78" t="s">
        <v>35</v>
      </c>
      <c r="B18" s="79"/>
      <c r="C18" s="80">
        <v>3</v>
      </c>
      <c r="D18" s="80">
        <v>20</v>
      </c>
      <c r="E18" s="80">
        <v>249</v>
      </c>
      <c r="F18" s="80">
        <v>2</v>
      </c>
      <c r="G18" s="80">
        <f>G14+G12+G9</f>
        <v>87</v>
      </c>
      <c r="H18" s="80">
        <f>H14+H12+H9</f>
        <v>371</v>
      </c>
      <c r="I18" s="80"/>
      <c r="J18" s="80">
        <v>732</v>
      </c>
    </row>
    <row r="20" spans="1:10">
      <c r="A20" s="7" t="s">
        <v>37</v>
      </c>
      <c r="B20" s="8">
        <f>D9+D12+D14+D17</f>
        <v>20</v>
      </c>
    </row>
    <row r="21" spans="1:10">
      <c r="A21" s="7" t="s">
        <v>38</v>
      </c>
      <c r="B21" s="8">
        <f>E9+E12+E14+E17</f>
        <v>249</v>
      </c>
    </row>
    <row r="22" spans="1:10">
      <c r="A22" s="7" t="s">
        <v>2615</v>
      </c>
      <c r="B22" s="8">
        <f>F9+F12+F14+F17</f>
        <v>2</v>
      </c>
    </row>
    <row r="23" spans="1:10">
      <c r="A23" s="7" t="s">
        <v>39</v>
      </c>
      <c r="B23" s="8">
        <f>J5</f>
        <v>64</v>
      </c>
    </row>
    <row r="24" spans="1:10">
      <c r="A24" s="7" t="s">
        <v>40</v>
      </c>
      <c r="B24" s="8">
        <f>J6+J11+J13-D13</f>
        <v>351</v>
      </c>
    </row>
    <row r="25" spans="1:10">
      <c r="A25" s="7" t="s">
        <v>41</v>
      </c>
      <c r="B25" s="8">
        <f>J7</f>
        <v>0</v>
      </c>
    </row>
    <row r="26" spans="1:10">
      <c r="A26" s="7" t="s">
        <v>42</v>
      </c>
      <c r="B26" s="8">
        <f>J8</f>
        <v>43</v>
      </c>
    </row>
    <row r="27" spans="1:10">
      <c r="A27" s="7" t="s">
        <v>43</v>
      </c>
      <c r="B27" s="8">
        <f>J15</f>
        <v>0</v>
      </c>
    </row>
    <row r="28" spans="1:10">
      <c r="A28" s="7" t="s">
        <v>44</v>
      </c>
      <c r="B28" s="8">
        <f>J16</f>
        <v>3</v>
      </c>
    </row>
    <row r="29" spans="1:10">
      <c r="A29" s="7"/>
      <c r="B29" s="81">
        <f>SUM(B20:B28)</f>
        <v>732</v>
      </c>
    </row>
    <row r="32" spans="1:10" ht="13.5" thickBot="1"/>
    <row r="33" spans="1:14" ht="13.5" thickBot="1">
      <c r="A33" s="85" t="s">
        <v>3405</v>
      </c>
      <c r="B33" s="9"/>
    </row>
    <row r="34" spans="1:14" ht="13.5" thickBot="1">
      <c r="A34" s="11" t="s">
        <v>17</v>
      </c>
      <c r="B34" s="12" t="s">
        <v>18</v>
      </c>
      <c r="C34" s="13" t="s">
        <v>16</v>
      </c>
      <c r="D34" s="14" t="s">
        <v>15</v>
      </c>
      <c r="E34" s="14" t="s">
        <v>6</v>
      </c>
      <c r="F34" s="14" t="s">
        <v>19</v>
      </c>
      <c r="G34" s="74" t="s">
        <v>20</v>
      </c>
      <c r="H34" s="74" t="s">
        <v>21</v>
      </c>
      <c r="I34" s="14" t="s">
        <v>22</v>
      </c>
      <c r="J34" s="15" t="s">
        <v>9</v>
      </c>
      <c r="K34"/>
    </row>
    <row r="35" spans="1:14" ht="13.5" thickBot="1">
      <c r="A35" s="16" t="s">
        <v>0</v>
      </c>
      <c r="B35" s="17" t="s">
        <v>15</v>
      </c>
      <c r="C35" s="6"/>
      <c r="D35" s="6">
        <v>19</v>
      </c>
      <c r="E35" s="6" t="s">
        <v>175</v>
      </c>
      <c r="F35" s="6" t="s">
        <v>175</v>
      </c>
      <c r="G35" s="6" t="s">
        <v>175</v>
      </c>
      <c r="H35" s="6" t="s">
        <v>175</v>
      </c>
      <c r="I35" s="6" t="s">
        <v>175</v>
      </c>
      <c r="J35" s="19">
        <v>19</v>
      </c>
      <c r="K35"/>
      <c r="L35" s="20" t="s">
        <v>23</v>
      </c>
      <c r="M35" s="25" t="s">
        <v>3401</v>
      </c>
      <c r="N35" s="98"/>
    </row>
    <row r="36" spans="1:14" ht="13.5" thickBot="1">
      <c r="A36" s="22" t="s">
        <v>0</v>
      </c>
      <c r="B36" s="23" t="s">
        <v>6</v>
      </c>
      <c r="C36" s="6"/>
      <c r="D36" s="6" t="s">
        <v>175</v>
      </c>
      <c r="E36" s="6">
        <v>254</v>
      </c>
      <c r="F36" s="6" t="s">
        <v>175</v>
      </c>
      <c r="G36" s="6" t="s">
        <v>175</v>
      </c>
      <c r="H36" s="6" t="s">
        <v>175</v>
      </c>
      <c r="I36" s="6" t="s">
        <v>175</v>
      </c>
      <c r="J36" s="19">
        <v>254</v>
      </c>
      <c r="K36"/>
      <c r="L36" s="20">
        <v>169</v>
      </c>
      <c r="M36" s="25" t="s">
        <v>24</v>
      </c>
      <c r="N36" s="84" t="s">
        <v>5038</v>
      </c>
    </row>
    <row r="37" spans="1:14" ht="13.5" thickBot="1">
      <c r="A37" s="22" t="s">
        <v>0</v>
      </c>
      <c r="B37" s="23" t="s">
        <v>13</v>
      </c>
      <c r="C37" s="6"/>
      <c r="D37" s="6" t="s">
        <v>175</v>
      </c>
      <c r="E37" s="6" t="s">
        <v>175</v>
      </c>
      <c r="F37" s="6" t="s">
        <v>175</v>
      </c>
      <c r="G37" s="6">
        <v>1</v>
      </c>
      <c r="H37" s="6">
        <v>60</v>
      </c>
      <c r="I37" s="6" t="s">
        <v>175</v>
      </c>
      <c r="J37" s="19">
        <v>61</v>
      </c>
      <c r="K37"/>
      <c r="L37" s="20">
        <v>50</v>
      </c>
      <c r="M37" s="25" t="s">
        <v>25</v>
      </c>
    </row>
    <row r="38" spans="1:14" ht="13.5" thickBot="1">
      <c r="A38" s="22" t="s">
        <v>0</v>
      </c>
      <c r="B38" s="23" t="s">
        <v>8</v>
      </c>
      <c r="C38" s="6"/>
      <c r="D38" s="6" t="s">
        <v>175</v>
      </c>
      <c r="E38" s="6" t="s">
        <v>175</v>
      </c>
      <c r="F38" s="6" t="s">
        <v>175</v>
      </c>
      <c r="G38" s="6">
        <v>74</v>
      </c>
      <c r="H38" s="6">
        <v>238</v>
      </c>
      <c r="I38" s="6" t="s">
        <v>175</v>
      </c>
      <c r="J38" s="19">
        <v>312</v>
      </c>
      <c r="K38"/>
      <c r="L38" s="20">
        <v>32</v>
      </c>
      <c r="M38" s="25" t="s">
        <v>26</v>
      </c>
      <c r="N38" s="98"/>
    </row>
    <row r="39" spans="1:14" ht="13.5" thickBot="1">
      <c r="A39" s="22" t="s">
        <v>0</v>
      </c>
      <c r="B39" s="23" t="s">
        <v>12</v>
      </c>
      <c r="C39" s="6"/>
      <c r="D39" s="6" t="s">
        <v>175</v>
      </c>
      <c r="E39" s="6" t="s">
        <v>175</v>
      </c>
      <c r="F39" s="6" t="s">
        <v>175</v>
      </c>
      <c r="G39" s="6" t="s">
        <v>175</v>
      </c>
      <c r="H39" s="6" t="s">
        <v>175</v>
      </c>
      <c r="I39" s="6" t="s">
        <v>175</v>
      </c>
      <c r="J39" s="19">
        <v>0</v>
      </c>
      <c r="K39"/>
      <c r="L39" s="20">
        <v>1</v>
      </c>
      <c r="M39" s="25" t="s">
        <v>3354</v>
      </c>
      <c r="N39" s="26"/>
    </row>
    <row r="40" spans="1:14">
      <c r="A40" s="22" t="s">
        <v>0</v>
      </c>
      <c r="B40" s="23" t="s">
        <v>14</v>
      </c>
      <c r="C40" s="6"/>
      <c r="D40" s="6" t="s">
        <v>175</v>
      </c>
      <c r="E40" s="6" t="s">
        <v>175</v>
      </c>
      <c r="F40" s="6" t="s">
        <v>175</v>
      </c>
      <c r="G40" s="6">
        <v>4</v>
      </c>
      <c r="H40" s="6">
        <v>39</v>
      </c>
      <c r="I40" s="6" t="s">
        <v>175</v>
      </c>
      <c r="J40" s="19">
        <v>43</v>
      </c>
      <c r="K40"/>
      <c r="L40" s="20">
        <v>0</v>
      </c>
      <c r="M40" s="25" t="s">
        <v>27</v>
      </c>
    </row>
    <row r="41" spans="1:14" ht="13.5" thickBot="1">
      <c r="A41" s="27" t="s">
        <v>29</v>
      </c>
      <c r="B41" s="28"/>
      <c r="C41" s="30"/>
      <c r="D41" s="30">
        <v>19</v>
      </c>
      <c r="E41" s="30">
        <v>254</v>
      </c>
      <c r="F41" s="30">
        <v>0</v>
      </c>
      <c r="G41" s="30">
        <v>79</v>
      </c>
      <c r="H41" s="30">
        <v>337</v>
      </c>
      <c r="I41" s="30">
        <v>0</v>
      </c>
      <c r="J41" s="30">
        <v>689</v>
      </c>
      <c r="K41"/>
      <c r="L41" s="20">
        <v>1</v>
      </c>
      <c r="M41" s="25" t="s">
        <v>3352</v>
      </c>
    </row>
    <row r="42" spans="1:14" ht="13.5" thickBot="1">
      <c r="A42" s="31" t="s">
        <v>7</v>
      </c>
      <c r="B42" s="32" t="s">
        <v>15</v>
      </c>
      <c r="C42" s="6"/>
      <c r="D42" s="6" t="s">
        <v>175</v>
      </c>
      <c r="E42" s="6" t="s">
        <v>175</v>
      </c>
      <c r="F42" s="6" t="s">
        <v>175</v>
      </c>
      <c r="G42" s="6" t="s">
        <v>175</v>
      </c>
      <c r="H42" s="6" t="s">
        <v>175</v>
      </c>
      <c r="I42" s="6" t="s">
        <v>175</v>
      </c>
      <c r="J42" s="19">
        <v>0</v>
      </c>
      <c r="K42"/>
      <c r="L42" s="20">
        <v>1</v>
      </c>
      <c r="M42" s="25" t="s">
        <v>30</v>
      </c>
    </row>
    <row r="43" spans="1:14">
      <c r="A43" s="31" t="s">
        <v>7</v>
      </c>
      <c r="B43" s="32" t="s">
        <v>8</v>
      </c>
      <c r="C43" s="6"/>
      <c r="D43" s="6" t="s">
        <v>175</v>
      </c>
      <c r="E43" s="6" t="s">
        <v>175</v>
      </c>
      <c r="F43" s="6" t="s">
        <v>175</v>
      </c>
      <c r="G43" s="6">
        <v>3</v>
      </c>
      <c r="H43" s="6">
        <v>20</v>
      </c>
      <c r="I43" s="6" t="s">
        <v>175</v>
      </c>
      <c r="J43" s="19">
        <v>23</v>
      </c>
      <c r="K43"/>
      <c r="L43" s="35">
        <f>SUM(L36:L42)</f>
        <v>254</v>
      </c>
      <c r="M43" s="21"/>
    </row>
    <row r="44" spans="1:14" ht="13.5" thickBot="1">
      <c r="A44" s="27" t="s">
        <v>31</v>
      </c>
      <c r="B44" s="28"/>
      <c r="C44" s="30"/>
      <c r="D44" s="30"/>
      <c r="E44" s="30"/>
      <c r="F44" s="30">
        <v>0</v>
      </c>
      <c r="G44" s="30">
        <v>3</v>
      </c>
      <c r="H44" s="30">
        <v>20</v>
      </c>
      <c r="I44" s="30"/>
      <c r="J44" s="30">
        <v>23</v>
      </c>
      <c r="K44"/>
    </row>
    <row r="45" spans="1:14" ht="13.5" thickBot="1">
      <c r="A45" s="31" t="s">
        <v>105</v>
      </c>
      <c r="B45" s="32" t="s">
        <v>15</v>
      </c>
      <c r="C45" s="6"/>
      <c r="D45" s="6">
        <v>1</v>
      </c>
      <c r="E45" s="6" t="s">
        <v>175</v>
      </c>
      <c r="F45" s="6" t="s">
        <v>175</v>
      </c>
      <c r="G45" s="6" t="s">
        <v>175</v>
      </c>
      <c r="H45" s="6" t="s">
        <v>175</v>
      </c>
      <c r="I45" s="6" t="s">
        <v>175</v>
      </c>
      <c r="J45" s="19">
        <v>1</v>
      </c>
      <c r="K45"/>
    </row>
    <row r="46" spans="1:14">
      <c r="A46" s="31" t="s">
        <v>105</v>
      </c>
      <c r="B46" s="32" t="s">
        <v>8</v>
      </c>
      <c r="C46" s="6"/>
      <c r="E46" s="6" t="s">
        <v>175</v>
      </c>
      <c r="F46" s="6" t="s">
        <v>175</v>
      </c>
      <c r="G46" s="6">
        <v>5</v>
      </c>
      <c r="H46" s="6">
        <v>13</v>
      </c>
      <c r="I46" s="6" t="s">
        <v>175</v>
      </c>
      <c r="J46" s="19">
        <v>18</v>
      </c>
      <c r="K46"/>
    </row>
    <row r="47" spans="1:14" ht="13.5" thickBot="1">
      <c r="A47" s="27" t="s">
        <v>106</v>
      </c>
      <c r="B47" s="28"/>
      <c r="C47" s="30"/>
      <c r="D47" s="30">
        <v>1</v>
      </c>
      <c r="E47" s="30">
        <v>0</v>
      </c>
      <c r="F47" s="30">
        <v>0</v>
      </c>
      <c r="G47" s="30">
        <v>5</v>
      </c>
      <c r="H47" s="30">
        <v>13</v>
      </c>
      <c r="I47" s="30">
        <v>0</v>
      </c>
      <c r="J47" s="30">
        <v>19</v>
      </c>
      <c r="K47"/>
    </row>
    <row r="48" spans="1:14" ht="13.5" thickBot="1">
      <c r="A48" s="22" t="s">
        <v>108</v>
      </c>
      <c r="B48" s="32" t="s">
        <v>10</v>
      </c>
      <c r="C48" s="6"/>
      <c r="D48" s="6"/>
      <c r="E48" s="6"/>
      <c r="F48" s="76"/>
      <c r="G48" s="76"/>
      <c r="H48" s="76"/>
      <c r="I48" s="6" t="s">
        <v>175</v>
      </c>
      <c r="J48" s="19">
        <v>0</v>
      </c>
      <c r="K48"/>
    </row>
    <row r="49" spans="1:12">
      <c r="A49" s="22" t="s">
        <v>32</v>
      </c>
      <c r="B49" s="32" t="s">
        <v>33</v>
      </c>
      <c r="C49" s="6">
        <v>3</v>
      </c>
      <c r="D49" s="6"/>
      <c r="E49" s="6"/>
      <c r="F49" s="76"/>
      <c r="G49" s="76"/>
      <c r="H49" s="76"/>
      <c r="I49" s="6" t="s">
        <v>175</v>
      </c>
      <c r="J49" s="19">
        <v>3</v>
      </c>
      <c r="K49"/>
    </row>
    <row r="50" spans="1:12" ht="13.5" thickBot="1">
      <c r="A50" s="36" t="s">
        <v>34</v>
      </c>
      <c r="B50" s="37"/>
      <c r="C50" s="30">
        <v>3</v>
      </c>
      <c r="D50" s="30"/>
      <c r="E50" s="30"/>
      <c r="F50" s="30"/>
      <c r="G50" s="30"/>
      <c r="H50" s="30"/>
      <c r="I50" s="30"/>
      <c r="J50" s="30">
        <v>3</v>
      </c>
      <c r="K50"/>
    </row>
    <row r="51" spans="1:12" ht="13.5" thickBot="1">
      <c r="A51" s="78" t="s">
        <v>35</v>
      </c>
      <c r="B51" s="79"/>
      <c r="C51" s="80">
        <v>3</v>
      </c>
      <c r="D51" s="80">
        <v>20</v>
      </c>
      <c r="E51" s="80">
        <v>254</v>
      </c>
      <c r="F51" s="80">
        <v>0</v>
      </c>
      <c r="G51" s="80">
        <v>87</v>
      </c>
      <c r="H51" s="80">
        <v>370</v>
      </c>
      <c r="I51" s="80"/>
      <c r="J51" s="80">
        <v>734</v>
      </c>
      <c r="K51"/>
    </row>
    <row r="52" spans="1:12">
      <c r="B52" s="38" t="s">
        <v>36</v>
      </c>
      <c r="C52" s="39"/>
      <c r="L52" s="26"/>
    </row>
    <row r="53" spans="1:12">
      <c r="A53" s="7" t="s">
        <v>37</v>
      </c>
      <c r="B53" s="8">
        <v>20</v>
      </c>
      <c r="C53" s="6"/>
    </row>
    <row r="54" spans="1:12">
      <c r="A54" s="7" t="s">
        <v>38</v>
      </c>
      <c r="B54" s="8">
        <v>254</v>
      </c>
      <c r="C54" s="6"/>
    </row>
    <row r="55" spans="1:12">
      <c r="A55" s="7" t="s">
        <v>2615</v>
      </c>
      <c r="B55" s="8">
        <v>0</v>
      </c>
      <c r="C55" s="6"/>
    </row>
    <row r="56" spans="1:12">
      <c r="A56" s="7" t="s">
        <v>39</v>
      </c>
      <c r="B56" s="8">
        <v>61</v>
      </c>
      <c r="C56" s="6"/>
      <c r="D56" s="99"/>
    </row>
    <row r="57" spans="1:12">
      <c r="A57" s="7" t="s">
        <v>40</v>
      </c>
      <c r="B57" s="8">
        <v>353</v>
      </c>
      <c r="C57" s="6"/>
    </row>
    <row r="58" spans="1:12">
      <c r="A58" s="7" t="s">
        <v>41</v>
      </c>
      <c r="B58" s="8">
        <v>0</v>
      </c>
      <c r="C58" s="6"/>
    </row>
    <row r="59" spans="1:12">
      <c r="A59" s="7" t="s">
        <v>42</v>
      </c>
      <c r="B59" s="8">
        <v>43</v>
      </c>
      <c r="C59" s="6"/>
    </row>
    <row r="60" spans="1:12">
      <c r="A60" s="7" t="s">
        <v>43</v>
      </c>
      <c r="B60" s="8">
        <v>0</v>
      </c>
      <c r="C60" s="6"/>
    </row>
    <row r="61" spans="1:12">
      <c r="A61" s="7" t="s">
        <v>44</v>
      </c>
      <c r="B61" s="8">
        <v>3</v>
      </c>
      <c r="C61" s="6"/>
    </row>
    <row r="62" spans="1:12">
      <c r="A62" s="7"/>
      <c r="B62" s="81">
        <v>734</v>
      </c>
      <c r="C62" s="6"/>
    </row>
    <row r="64" spans="1:12" ht="13.5" thickBot="1"/>
    <row r="65" spans="1:14" ht="13.5" thickBot="1">
      <c r="A65" s="85" t="s">
        <v>3402</v>
      </c>
      <c r="B65" s="9"/>
    </row>
    <row r="66" spans="1:14" ht="13.5" thickBot="1">
      <c r="A66" s="11" t="s">
        <v>17</v>
      </c>
      <c r="B66" s="12" t="s">
        <v>18</v>
      </c>
      <c r="C66" s="13" t="s">
        <v>16</v>
      </c>
      <c r="D66" s="14" t="s">
        <v>15</v>
      </c>
      <c r="E66" s="14" t="s">
        <v>6</v>
      </c>
      <c r="F66" s="14" t="s">
        <v>19</v>
      </c>
      <c r="G66" s="74" t="s">
        <v>20</v>
      </c>
      <c r="H66" s="74" t="s">
        <v>21</v>
      </c>
      <c r="I66" s="14" t="s">
        <v>22</v>
      </c>
      <c r="J66" s="15" t="s">
        <v>9</v>
      </c>
      <c r="K66"/>
    </row>
    <row r="67" spans="1:14" ht="13.5" thickBot="1">
      <c r="A67" s="16" t="s">
        <v>0</v>
      </c>
      <c r="B67" s="17" t="s">
        <v>15</v>
      </c>
      <c r="C67" s="6"/>
      <c r="D67" s="6">
        <v>19</v>
      </c>
      <c r="E67" s="6" t="s">
        <v>175</v>
      </c>
      <c r="F67" s="6" t="s">
        <v>175</v>
      </c>
      <c r="G67" s="6" t="s">
        <v>175</v>
      </c>
      <c r="H67" s="6" t="s">
        <v>175</v>
      </c>
      <c r="I67" s="6" t="s">
        <v>175</v>
      </c>
      <c r="J67" s="19">
        <v>19</v>
      </c>
      <c r="K67"/>
      <c r="L67" s="20" t="s">
        <v>23</v>
      </c>
      <c r="M67" s="25" t="s">
        <v>3401</v>
      </c>
      <c r="N67" s="98"/>
    </row>
    <row r="68" spans="1:14" ht="13.5" thickBot="1">
      <c r="A68" s="22" t="s">
        <v>0</v>
      </c>
      <c r="B68" s="23" t="s">
        <v>6</v>
      </c>
      <c r="C68" s="6"/>
      <c r="D68" s="6" t="s">
        <v>175</v>
      </c>
      <c r="E68" s="6">
        <v>255</v>
      </c>
      <c r="F68" s="6" t="s">
        <v>175</v>
      </c>
      <c r="G68" s="6" t="s">
        <v>175</v>
      </c>
      <c r="H68" s="6" t="s">
        <v>175</v>
      </c>
      <c r="I68" s="6" t="s">
        <v>175</v>
      </c>
      <c r="J68" s="19">
        <v>255</v>
      </c>
      <c r="K68"/>
      <c r="L68" s="20">
        <v>170</v>
      </c>
      <c r="M68" s="25" t="s">
        <v>24</v>
      </c>
      <c r="N68" s="84" t="s">
        <v>3403</v>
      </c>
    </row>
    <row r="69" spans="1:14" ht="13.5" thickBot="1">
      <c r="A69" s="22" t="s">
        <v>0</v>
      </c>
      <c r="B69" s="23" t="s">
        <v>13</v>
      </c>
      <c r="C69" s="6"/>
      <c r="D69" s="6" t="s">
        <v>175</v>
      </c>
      <c r="E69" s="6" t="s">
        <v>175</v>
      </c>
      <c r="F69" s="6" t="s">
        <v>175</v>
      </c>
      <c r="G69" s="6">
        <v>1</v>
      </c>
      <c r="H69" s="6">
        <v>60</v>
      </c>
      <c r="I69" s="6" t="s">
        <v>175</v>
      </c>
      <c r="J69" s="19">
        <v>61</v>
      </c>
      <c r="K69"/>
      <c r="L69" s="20">
        <v>50</v>
      </c>
      <c r="M69" s="25" t="s">
        <v>25</v>
      </c>
    </row>
    <row r="70" spans="1:14" ht="13.5" thickBot="1">
      <c r="A70" s="22" t="s">
        <v>0</v>
      </c>
      <c r="B70" s="23" t="s">
        <v>8</v>
      </c>
      <c r="C70" s="6"/>
      <c r="D70" s="6" t="s">
        <v>175</v>
      </c>
      <c r="E70" s="6" t="s">
        <v>175</v>
      </c>
      <c r="F70" s="6" t="s">
        <v>175</v>
      </c>
      <c r="G70" s="6">
        <v>74</v>
      </c>
      <c r="H70" s="6">
        <v>238</v>
      </c>
      <c r="I70" s="6" t="s">
        <v>175</v>
      </c>
      <c r="J70" s="19">
        <v>312</v>
      </c>
      <c r="K70"/>
      <c r="L70" s="20">
        <v>32</v>
      </c>
      <c r="M70" s="25" t="s">
        <v>26</v>
      </c>
      <c r="N70" s="98"/>
    </row>
    <row r="71" spans="1:14" ht="13.5" thickBot="1">
      <c r="A71" s="22" t="s">
        <v>0</v>
      </c>
      <c r="B71" s="23" t="s">
        <v>12</v>
      </c>
      <c r="C71" s="6"/>
      <c r="D71" s="6" t="s">
        <v>175</v>
      </c>
      <c r="E71" s="6" t="s">
        <v>175</v>
      </c>
      <c r="F71" s="6" t="s">
        <v>175</v>
      </c>
      <c r="G71" s="6" t="s">
        <v>175</v>
      </c>
      <c r="H71" s="6" t="s">
        <v>175</v>
      </c>
      <c r="I71" s="6" t="s">
        <v>175</v>
      </c>
      <c r="J71" s="19">
        <v>0</v>
      </c>
      <c r="K71"/>
      <c r="L71" s="20">
        <v>1</v>
      </c>
      <c r="M71" s="25" t="s">
        <v>3354</v>
      </c>
      <c r="N71" s="26"/>
    </row>
    <row r="72" spans="1:14">
      <c r="A72" s="22" t="s">
        <v>0</v>
      </c>
      <c r="B72" s="23" t="s">
        <v>14</v>
      </c>
      <c r="C72" s="6"/>
      <c r="D72" s="6" t="s">
        <v>175</v>
      </c>
      <c r="E72" s="6" t="s">
        <v>175</v>
      </c>
      <c r="F72" s="6" t="s">
        <v>175</v>
      </c>
      <c r="G72" s="6">
        <v>4</v>
      </c>
      <c r="H72" s="6">
        <v>39</v>
      </c>
      <c r="I72" s="6" t="s">
        <v>175</v>
      </c>
      <c r="J72" s="19">
        <v>43</v>
      </c>
      <c r="K72"/>
      <c r="L72" s="20">
        <v>0</v>
      </c>
      <c r="M72" s="25" t="s">
        <v>27</v>
      </c>
    </row>
    <row r="73" spans="1:14" ht="13.5" thickBot="1">
      <c r="A73" s="27" t="s">
        <v>29</v>
      </c>
      <c r="B73" s="28"/>
      <c r="C73" s="30"/>
      <c r="D73" s="30">
        <v>19</v>
      </c>
      <c r="E73" s="30">
        <v>255</v>
      </c>
      <c r="F73" s="30">
        <v>0</v>
      </c>
      <c r="G73" s="30">
        <v>79</v>
      </c>
      <c r="H73" s="30">
        <v>337</v>
      </c>
      <c r="I73" s="30">
        <v>0</v>
      </c>
      <c r="J73" s="30">
        <v>690</v>
      </c>
      <c r="K73"/>
      <c r="L73" s="20">
        <v>1</v>
      </c>
      <c r="M73" s="25" t="s">
        <v>3352</v>
      </c>
    </row>
    <row r="74" spans="1:14" ht="13.5" thickBot="1">
      <c r="A74" s="31" t="s">
        <v>7</v>
      </c>
      <c r="B74" s="32" t="s">
        <v>15</v>
      </c>
      <c r="C74" s="6"/>
      <c r="D74" s="6" t="s">
        <v>175</v>
      </c>
      <c r="E74" s="6" t="s">
        <v>175</v>
      </c>
      <c r="F74" s="6" t="s">
        <v>175</v>
      </c>
      <c r="G74" s="6" t="s">
        <v>175</v>
      </c>
      <c r="H74" s="6" t="s">
        <v>175</v>
      </c>
      <c r="I74" s="6" t="s">
        <v>175</v>
      </c>
      <c r="J74" s="19">
        <v>0</v>
      </c>
      <c r="K74"/>
      <c r="L74" s="20">
        <v>1</v>
      </c>
      <c r="M74" s="25" t="s">
        <v>30</v>
      </c>
    </row>
    <row r="75" spans="1:14">
      <c r="A75" s="31" t="s">
        <v>7</v>
      </c>
      <c r="B75" s="32" t="s">
        <v>8</v>
      </c>
      <c r="C75" s="6"/>
      <c r="D75" s="6" t="s">
        <v>175</v>
      </c>
      <c r="E75" s="6" t="s">
        <v>175</v>
      </c>
      <c r="F75" s="6" t="s">
        <v>175</v>
      </c>
      <c r="G75" s="6">
        <v>3</v>
      </c>
      <c r="H75" s="6">
        <v>20</v>
      </c>
      <c r="I75" s="6" t="s">
        <v>175</v>
      </c>
      <c r="J75" s="19">
        <v>23</v>
      </c>
      <c r="K75"/>
      <c r="L75" s="35">
        <f>SUM(L68:L74)</f>
        <v>255</v>
      </c>
      <c r="M75" s="21"/>
    </row>
    <row r="76" spans="1:14" ht="13.5" thickBot="1">
      <c r="A76" s="27" t="s">
        <v>31</v>
      </c>
      <c r="B76" s="28"/>
      <c r="C76" s="30"/>
      <c r="D76" s="30"/>
      <c r="E76" s="30"/>
      <c r="F76" s="30">
        <v>0</v>
      </c>
      <c r="G76" s="30">
        <v>3</v>
      </c>
      <c r="H76" s="30">
        <v>20</v>
      </c>
      <c r="I76" s="30"/>
      <c r="J76" s="30">
        <v>23</v>
      </c>
      <c r="K76"/>
    </row>
    <row r="77" spans="1:14" ht="13.5" thickBot="1">
      <c r="A77" s="31" t="s">
        <v>105</v>
      </c>
      <c r="B77" s="32" t="s">
        <v>15</v>
      </c>
      <c r="C77" s="6"/>
      <c r="D77" s="6">
        <v>1</v>
      </c>
      <c r="E77" s="6" t="s">
        <v>175</v>
      </c>
      <c r="F77" s="6" t="s">
        <v>175</v>
      </c>
      <c r="G77" s="6" t="s">
        <v>175</v>
      </c>
      <c r="H77" s="6" t="s">
        <v>175</v>
      </c>
      <c r="I77" s="6" t="s">
        <v>175</v>
      </c>
      <c r="J77" s="19">
        <v>1</v>
      </c>
      <c r="K77"/>
    </row>
    <row r="78" spans="1:14">
      <c r="A78" s="31" t="s">
        <v>105</v>
      </c>
      <c r="B78" s="32" t="s">
        <v>8</v>
      </c>
      <c r="C78" s="6"/>
      <c r="E78" s="6" t="s">
        <v>175</v>
      </c>
      <c r="F78" s="6" t="s">
        <v>175</v>
      </c>
      <c r="G78" s="6">
        <v>5</v>
      </c>
      <c r="H78" s="6">
        <v>13</v>
      </c>
      <c r="I78" s="6" t="s">
        <v>175</v>
      </c>
      <c r="J78" s="19">
        <v>18</v>
      </c>
      <c r="K78"/>
    </row>
    <row r="79" spans="1:14" ht="13.5" thickBot="1">
      <c r="A79" s="27" t="s">
        <v>106</v>
      </c>
      <c r="B79" s="28"/>
      <c r="C79" s="30"/>
      <c r="D79" s="30">
        <v>1</v>
      </c>
      <c r="E79" s="30">
        <v>0</v>
      </c>
      <c r="F79" s="30">
        <v>0</v>
      </c>
      <c r="G79" s="30">
        <v>5</v>
      </c>
      <c r="H79" s="30">
        <v>13</v>
      </c>
      <c r="I79" s="30">
        <v>0</v>
      </c>
      <c r="J79" s="30">
        <v>19</v>
      </c>
      <c r="K79"/>
    </row>
    <row r="80" spans="1:14" ht="13.5" thickBot="1">
      <c r="A80" s="22" t="s">
        <v>108</v>
      </c>
      <c r="B80" s="32" t="s">
        <v>10</v>
      </c>
      <c r="C80" s="6"/>
      <c r="D80" s="6"/>
      <c r="E80" s="6"/>
      <c r="F80" s="76"/>
      <c r="G80" s="76"/>
      <c r="H80" s="76"/>
      <c r="I80" s="6" t="s">
        <v>175</v>
      </c>
      <c r="J80" s="19">
        <v>0</v>
      </c>
      <c r="K80"/>
    </row>
    <row r="81" spans="1:12">
      <c r="A81" s="22" t="s">
        <v>32</v>
      </c>
      <c r="B81" s="32" t="s">
        <v>33</v>
      </c>
      <c r="C81" s="6">
        <v>3</v>
      </c>
      <c r="D81" s="6"/>
      <c r="E81" s="6"/>
      <c r="F81" s="76"/>
      <c r="G81" s="76"/>
      <c r="H81" s="76"/>
      <c r="I81" s="6" t="s">
        <v>175</v>
      </c>
      <c r="J81" s="19">
        <v>3</v>
      </c>
      <c r="K81"/>
    </row>
    <row r="82" spans="1:12" ht="13.5" thickBot="1">
      <c r="A82" s="36" t="s">
        <v>34</v>
      </c>
      <c r="B82" s="37"/>
      <c r="C82" s="30">
        <v>3</v>
      </c>
      <c r="D82" s="30"/>
      <c r="E82" s="30"/>
      <c r="F82" s="30"/>
      <c r="G82" s="30"/>
      <c r="H82" s="30"/>
      <c r="I82" s="30"/>
      <c r="J82" s="30">
        <v>3</v>
      </c>
      <c r="K82"/>
    </row>
    <row r="83" spans="1:12" ht="13.5" thickBot="1">
      <c r="A83" s="78" t="s">
        <v>35</v>
      </c>
      <c r="B83" s="79"/>
      <c r="C83" s="80">
        <v>3</v>
      </c>
      <c r="D83" s="80">
        <v>20</v>
      </c>
      <c r="E83" s="80">
        <v>255</v>
      </c>
      <c r="F83" s="80">
        <v>0</v>
      </c>
      <c r="G83" s="80">
        <v>87</v>
      </c>
      <c r="H83" s="80">
        <v>370</v>
      </c>
      <c r="I83" s="80"/>
      <c r="J83" s="80">
        <v>735</v>
      </c>
      <c r="K83"/>
    </row>
    <row r="84" spans="1:12">
      <c r="B84" s="38" t="s">
        <v>36</v>
      </c>
      <c r="C84" s="39"/>
      <c r="L84" s="26"/>
    </row>
    <row r="85" spans="1:12">
      <c r="A85" s="7" t="s">
        <v>37</v>
      </c>
      <c r="B85" s="8">
        <v>20</v>
      </c>
      <c r="C85" s="6"/>
    </row>
    <row r="86" spans="1:12">
      <c r="A86" s="7" t="s">
        <v>38</v>
      </c>
      <c r="B86" s="8">
        <v>255</v>
      </c>
      <c r="C86" s="6"/>
    </row>
    <row r="87" spans="1:12">
      <c r="A87" s="7" t="s">
        <v>2615</v>
      </c>
      <c r="B87" s="8">
        <v>0</v>
      </c>
      <c r="C87" s="6"/>
    </row>
    <row r="88" spans="1:12">
      <c r="A88" s="7" t="s">
        <v>39</v>
      </c>
      <c r="B88" s="8">
        <v>61</v>
      </c>
      <c r="C88" s="6"/>
      <c r="D88" s="99"/>
    </row>
    <row r="89" spans="1:12">
      <c r="A89" s="7" t="s">
        <v>40</v>
      </c>
      <c r="B89" s="8">
        <v>353</v>
      </c>
      <c r="C89" s="6"/>
    </row>
    <row r="90" spans="1:12">
      <c r="A90" s="7" t="s">
        <v>41</v>
      </c>
      <c r="B90" s="8">
        <v>0</v>
      </c>
      <c r="C90" s="6"/>
    </row>
    <row r="91" spans="1:12">
      <c r="A91" s="7" t="s">
        <v>42</v>
      </c>
      <c r="B91" s="8">
        <v>43</v>
      </c>
      <c r="C91" s="6"/>
    </row>
    <row r="92" spans="1:12">
      <c r="A92" s="7" t="s">
        <v>43</v>
      </c>
      <c r="B92" s="8">
        <v>0</v>
      </c>
      <c r="C92" s="6"/>
    </row>
    <row r="93" spans="1:12">
      <c r="A93" s="7" t="s">
        <v>44</v>
      </c>
      <c r="B93" s="8">
        <v>3</v>
      </c>
      <c r="C93" s="6"/>
    </row>
    <row r="94" spans="1:12">
      <c r="A94" s="7"/>
      <c r="B94" s="81">
        <v>735</v>
      </c>
      <c r="C94" s="6"/>
    </row>
    <row r="96" spans="1:12" ht="13.5" thickBot="1"/>
    <row r="97" spans="1:14" ht="13.5" thickBot="1">
      <c r="A97" s="85" t="s">
        <v>3374</v>
      </c>
      <c r="B97" s="9"/>
    </row>
    <row r="98" spans="1:14" ht="13.5" thickBot="1">
      <c r="A98" s="11" t="s">
        <v>17</v>
      </c>
      <c r="B98" s="12" t="s">
        <v>18</v>
      </c>
      <c r="C98" s="13" t="s">
        <v>16</v>
      </c>
      <c r="D98" s="14" t="s">
        <v>15</v>
      </c>
      <c r="E98" s="14" t="s">
        <v>6</v>
      </c>
      <c r="F98" s="14" t="s">
        <v>19</v>
      </c>
      <c r="G98" s="74" t="s">
        <v>20</v>
      </c>
      <c r="H98" s="74" t="s">
        <v>21</v>
      </c>
      <c r="I98" s="14" t="s">
        <v>22</v>
      </c>
      <c r="J98" s="15" t="s">
        <v>9</v>
      </c>
      <c r="K98"/>
    </row>
    <row r="99" spans="1:14" ht="13.5" thickBot="1">
      <c r="A99" s="16" t="s">
        <v>0</v>
      </c>
      <c r="B99" s="17" t="s">
        <v>15</v>
      </c>
      <c r="C99" s="6"/>
      <c r="D99" s="6">
        <v>18</v>
      </c>
      <c r="E99" s="6" t="s">
        <v>175</v>
      </c>
      <c r="F99" s="6" t="s">
        <v>175</v>
      </c>
      <c r="G99" s="6" t="s">
        <v>175</v>
      </c>
      <c r="H99" s="6" t="s">
        <v>175</v>
      </c>
      <c r="I99" s="6" t="s">
        <v>175</v>
      </c>
      <c r="J99" s="19">
        <f>SUM(C99:I99)</f>
        <v>18</v>
      </c>
      <c r="K99"/>
      <c r="L99" s="20" t="s">
        <v>23</v>
      </c>
      <c r="M99" s="25" t="s">
        <v>2764</v>
      </c>
      <c r="N99" s="98"/>
    </row>
    <row r="100" spans="1:14" ht="13.5" thickBot="1">
      <c r="A100" s="22" t="s">
        <v>0</v>
      </c>
      <c r="B100" s="23" t="s">
        <v>6</v>
      </c>
      <c r="C100" s="6"/>
      <c r="D100" s="6" t="s">
        <v>175</v>
      </c>
      <c r="E100" s="6">
        <v>258</v>
      </c>
      <c r="F100" s="6" t="s">
        <v>175</v>
      </c>
      <c r="G100" s="6" t="s">
        <v>175</v>
      </c>
      <c r="H100" s="6" t="s">
        <v>175</v>
      </c>
      <c r="I100" s="6" t="s">
        <v>175</v>
      </c>
      <c r="J100" s="19">
        <f t="shared" ref="J100:J113" si="0">SUM(C100:I100)</f>
        <v>258</v>
      </c>
      <c r="K100"/>
      <c r="L100" s="20">
        <v>173</v>
      </c>
      <c r="M100" s="25" t="s">
        <v>24</v>
      </c>
      <c r="N100" s="84" t="s">
        <v>3375</v>
      </c>
    </row>
    <row r="101" spans="1:14" ht="13.5" thickBot="1">
      <c r="A101" s="22" t="s">
        <v>0</v>
      </c>
      <c r="B101" s="23" t="s">
        <v>13</v>
      </c>
      <c r="C101" s="6"/>
      <c r="D101" s="6" t="s">
        <v>175</v>
      </c>
      <c r="E101" s="6" t="s">
        <v>175</v>
      </c>
      <c r="F101" s="6" t="s">
        <v>175</v>
      </c>
      <c r="G101" s="6">
        <v>1</v>
      </c>
      <c r="H101" s="6">
        <v>60</v>
      </c>
      <c r="I101" s="6" t="s">
        <v>175</v>
      </c>
      <c r="J101" s="19">
        <f t="shared" si="0"/>
        <v>61</v>
      </c>
      <c r="K101"/>
      <c r="L101" s="20">
        <v>50</v>
      </c>
      <c r="M101" s="25" t="s">
        <v>25</v>
      </c>
    </row>
    <row r="102" spans="1:14" ht="13.5" thickBot="1">
      <c r="A102" s="22" t="s">
        <v>0</v>
      </c>
      <c r="B102" s="23" t="s">
        <v>8</v>
      </c>
      <c r="C102" s="6"/>
      <c r="D102" s="6" t="s">
        <v>175</v>
      </c>
      <c r="E102" s="6" t="s">
        <v>175</v>
      </c>
      <c r="F102" s="6" t="s">
        <v>175</v>
      </c>
      <c r="G102" s="6">
        <v>74</v>
      </c>
      <c r="H102" s="6">
        <v>238</v>
      </c>
      <c r="I102" s="6" t="s">
        <v>175</v>
      </c>
      <c r="J102" s="19">
        <f t="shared" si="0"/>
        <v>312</v>
      </c>
      <c r="K102"/>
      <c r="L102" s="20">
        <v>32</v>
      </c>
      <c r="M102" s="25" t="s">
        <v>26</v>
      </c>
      <c r="N102" s="98"/>
    </row>
    <row r="103" spans="1:14" ht="13.5" thickBot="1">
      <c r="A103" s="22" t="s">
        <v>0</v>
      </c>
      <c r="B103" s="23" t="s">
        <v>12</v>
      </c>
      <c r="C103" s="6"/>
      <c r="D103" s="6" t="s">
        <v>175</v>
      </c>
      <c r="E103" s="6" t="s">
        <v>175</v>
      </c>
      <c r="F103" s="6" t="s">
        <v>175</v>
      </c>
      <c r="G103" s="6" t="s">
        <v>175</v>
      </c>
      <c r="H103" s="6" t="s">
        <v>175</v>
      </c>
      <c r="I103" s="6" t="s">
        <v>175</v>
      </c>
      <c r="J103" s="19">
        <f t="shared" si="0"/>
        <v>0</v>
      </c>
      <c r="K103"/>
      <c r="L103" s="20">
        <v>1</v>
      </c>
      <c r="M103" s="25" t="s">
        <v>3354</v>
      </c>
      <c r="N103" s="26"/>
    </row>
    <row r="104" spans="1:14">
      <c r="A104" s="22" t="s">
        <v>0</v>
      </c>
      <c r="B104" s="23" t="s">
        <v>14</v>
      </c>
      <c r="C104" s="6"/>
      <c r="D104" s="6" t="s">
        <v>175</v>
      </c>
      <c r="E104" s="6" t="s">
        <v>175</v>
      </c>
      <c r="F104" s="6" t="s">
        <v>175</v>
      </c>
      <c r="G104" s="6">
        <v>4</v>
      </c>
      <c r="H104" s="6">
        <v>39</v>
      </c>
      <c r="I104" s="6" t="s">
        <v>175</v>
      </c>
      <c r="J104" s="19">
        <f t="shared" si="0"/>
        <v>43</v>
      </c>
      <c r="K104"/>
      <c r="L104" s="20">
        <v>0</v>
      </c>
      <c r="M104" s="25" t="s">
        <v>27</v>
      </c>
    </row>
    <row r="105" spans="1:14" ht="13.5" thickBot="1">
      <c r="A105" s="27" t="s">
        <v>29</v>
      </c>
      <c r="B105" s="28"/>
      <c r="C105" s="30">
        <f t="shared" ref="C105:I105" si="1">SUM(C99:C104)</f>
        <v>0</v>
      </c>
      <c r="D105" s="30">
        <f t="shared" si="1"/>
        <v>18</v>
      </c>
      <c r="E105" s="30">
        <f t="shared" si="1"/>
        <v>258</v>
      </c>
      <c r="F105" s="30">
        <f t="shared" si="1"/>
        <v>0</v>
      </c>
      <c r="G105" s="30">
        <f t="shared" si="1"/>
        <v>79</v>
      </c>
      <c r="H105" s="30">
        <f t="shared" si="1"/>
        <v>337</v>
      </c>
      <c r="I105" s="30">
        <f t="shared" si="1"/>
        <v>0</v>
      </c>
      <c r="J105" s="30">
        <f>SUM(J99:J104)</f>
        <v>692</v>
      </c>
      <c r="K105"/>
      <c r="L105" s="20">
        <v>1</v>
      </c>
      <c r="M105" s="25" t="s">
        <v>3352</v>
      </c>
    </row>
    <row r="106" spans="1:14" ht="13.5" thickBot="1">
      <c r="A106" s="31" t="s">
        <v>7</v>
      </c>
      <c r="B106" s="32" t="s">
        <v>15</v>
      </c>
      <c r="C106" s="6"/>
      <c r="D106" s="6" t="s">
        <v>175</v>
      </c>
      <c r="E106" s="6" t="s">
        <v>175</v>
      </c>
      <c r="F106" s="6" t="s">
        <v>175</v>
      </c>
      <c r="G106" s="6" t="s">
        <v>175</v>
      </c>
      <c r="H106" s="6" t="s">
        <v>175</v>
      </c>
      <c r="I106" s="6" t="s">
        <v>175</v>
      </c>
      <c r="J106" s="19">
        <f t="shared" si="0"/>
        <v>0</v>
      </c>
      <c r="K106"/>
      <c r="L106" s="20">
        <v>1</v>
      </c>
      <c r="M106" s="25" t="s">
        <v>30</v>
      </c>
    </row>
    <row r="107" spans="1:14">
      <c r="A107" s="31" t="s">
        <v>7</v>
      </c>
      <c r="B107" s="32" t="s">
        <v>8</v>
      </c>
      <c r="C107" s="6"/>
      <c r="D107" s="6" t="s">
        <v>175</v>
      </c>
      <c r="E107" s="6" t="s">
        <v>175</v>
      </c>
      <c r="F107" s="6" t="s">
        <v>175</v>
      </c>
      <c r="G107" s="6">
        <v>3</v>
      </c>
      <c r="H107" s="6">
        <v>20</v>
      </c>
      <c r="I107" s="6" t="s">
        <v>175</v>
      </c>
      <c r="J107" s="19">
        <f t="shared" si="0"/>
        <v>23</v>
      </c>
      <c r="K107"/>
      <c r="L107" s="35">
        <f>SUM(L100:L106)</f>
        <v>258</v>
      </c>
      <c r="M107" s="21"/>
    </row>
    <row r="108" spans="1:14" ht="13.5" thickBot="1">
      <c r="A108" s="27" t="s">
        <v>31</v>
      </c>
      <c r="B108" s="28"/>
      <c r="C108" s="30">
        <f t="shared" ref="C108:I108" si="2">SUM(C106:C107)</f>
        <v>0</v>
      </c>
      <c r="D108" s="30">
        <f t="shared" si="2"/>
        <v>0</v>
      </c>
      <c r="E108" s="30">
        <f t="shared" si="2"/>
        <v>0</v>
      </c>
      <c r="F108" s="30">
        <f t="shared" si="2"/>
        <v>0</v>
      </c>
      <c r="G108" s="30">
        <f t="shared" si="2"/>
        <v>3</v>
      </c>
      <c r="H108" s="30">
        <f t="shared" si="2"/>
        <v>20</v>
      </c>
      <c r="I108" s="30">
        <f t="shared" si="2"/>
        <v>0</v>
      </c>
      <c r="J108" s="30">
        <f>SUM(J106:J107)</f>
        <v>23</v>
      </c>
      <c r="K108"/>
    </row>
    <row r="109" spans="1:14" ht="13.5" thickBot="1">
      <c r="A109" s="31" t="s">
        <v>105</v>
      </c>
      <c r="B109" s="32" t="s">
        <v>15</v>
      </c>
      <c r="C109" s="6"/>
      <c r="D109" s="6">
        <v>1</v>
      </c>
      <c r="E109" s="6"/>
      <c r="F109" s="6"/>
      <c r="G109" s="6"/>
      <c r="H109" s="6"/>
      <c r="I109" s="6"/>
      <c r="J109" s="19">
        <f t="shared" si="0"/>
        <v>1</v>
      </c>
      <c r="K109"/>
    </row>
    <row r="110" spans="1:14">
      <c r="A110" s="31" t="s">
        <v>105</v>
      </c>
      <c r="B110" s="32" t="s">
        <v>8</v>
      </c>
      <c r="C110" s="6"/>
      <c r="E110" s="6" t="s">
        <v>175</v>
      </c>
      <c r="F110" s="6" t="s">
        <v>175</v>
      </c>
      <c r="G110" s="6">
        <v>5</v>
      </c>
      <c r="H110" s="6">
        <v>13</v>
      </c>
      <c r="I110" s="6" t="s">
        <v>175</v>
      </c>
      <c r="J110" s="19">
        <f t="shared" si="0"/>
        <v>18</v>
      </c>
      <c r="K110"/>
    </row>
    <row r="111" spans="1:14" ht="13.5" thickBot="1">
      <c r="A111" s="27" t="s">
        <v>106</v>
      </c>
      <c r="B111" s="28"/>
      <c r="C111" s="30">
        <f t="shared" ref="C111:I111" si="3">SUM(C109:C110)</f>
        <v>0</v>
      </c>
      <c r="D111" s="30">
        <f t="shared" si="3"/>
        <v>1</v>
      </c>
      <c r="E111" s="30">
        <f t="shared" si="3"/>
        <v>0</v>
      </c>
      <c r="F111" s="30">
        <f t="shared" si="3"/>
        <v>0</v>
      </c>
      <c r="G111" s="30">
        <f t="shared" si="3"/>
        <v>5</v>
      </c>
      <c r="H111" s="30">
        <f t="shared" si="3"/>
        <v>13</v>
      </c>
      <c r="I111" s="30">
        <f t="shared" si="3"/>
        <v>0</v>
      </c>
      <c r="J111" s="30">
        <f>SUM(J109:J110)</f>
        <v>19</v>
      </c>
      <c r="K111"/>
    </row>
    <row r="112" spans="1:14" ht="13.5" thickBot="1">
      <c r="A112" s="22" t="s">
        <v>108</v>
      </c>
      <c r="B112" s="32" t="s">
        <v>10</v>
      </c>
      <c r="C112" s="6"/>
      <c r="D112" s="6"/>
      <c r="E112" s="6"/>
      <c r="F112" s="76"/>
      <c r="G112" s="76"/>
      <c r="H112" s="76"/>
      <c r="I112" s="6" t="s">
        <v>175</v>
      </c>
      <c r="J112" s="19">
        <f t="shared" si="0"/>
        <v>0</v>
      </c>
      <c r="K112"/>
    </row>
    <row r="113" spans="1:12">
      <c r="A113" s="22" t="s">
        <v>32</v>
      </c>
      <c r="B113" s="32" t="s">
        <v>33</v>
      </c>
      <c r="C113" s="6">
        <v>3</v>
      </c>
      <c r="D113" s="6"/>
      <c r="E113" s="6"/>
      <c r="F113" s="76"/>
      <c r="G113" s="76"/>
      <c r="H113" s="76"/>
      <c r="I113" s="6" t="s">
        <v>175</v>
      </c>
      <c r="J113" s="19">
        <f t="shared" si="0"/>
        <v>3</v>
      </c>
      <c r="K113"/>
    </row>
    <row r="114" spans="1:12" ht="13.5" thickBot="1">
      <c r="A114" s="36" t="s">
        <v>34</v>
      </c>
      <c r="B114" s="37"/>
      <c r="C114" s="30">
        <f t="shared" ref="C114:I114" si="4">SUM(C112:C113)</f>
        <v>3</v>
      </c>
      <c r="D114" s="30">
        <f t="shared" si="4"/>
        <v>0</v>
      </c>
      <c r="E114" s="30">
        <f t="shared" si="4"/>
        <v>0</v>
      </c>
      <c r="F114" s="30">
        <f t="shared" si="4"/>
        <v>0</v>
      </c>
      <c r="G114" s="30">
        <f t="shared" si="4"/>
        <v>0</v>
      </c>
      <c r="H114" s="30">
        <f t="shared" si="4"/>
        <v>0</v>
      </c>
      <c r="I114" s="30">
        <f t="shared" si="4"/>
        <v>0</v>
      </c>
      <c r="J114" s="30">
        <f>SUM(J112:J113)</f>
        <v>3</v>
      </c>
      <c r="K114"/>
    </row>
    <row r="115" spans="1:12" ht="13.5" thickBot="1">
      <c r="A115" s="78" t="s">
        <v>35</v>
      </c>
      <c r="B115" s="79"/>
      <c r="C115" s="80">
        <f t="shared" ref="C115:I115" si="5">C114+C111+C108+C105</f>
        <v>3</v>
      </c>
      <c r="D115" s="80">
        <f t="shared" si="5"/>
        <v>19</v>
      </c>
      <c r="E115" s="80">
        <f t="shared" si="5"/>
        <v>258</v>
      </c>
      <c r="F115" s="80">
        <f t="shared" si="5"/>
        <v>0</v>
      </c>
      <c r="G115" s="80">
        <f t="shared" si="5"/>
        <v>87</v>
      </c>
      <c r="H115" s="80">
        <f t="shared" si="5"/>
        <v>370</v>
      </c>
      <c r="I115" s="80">
        <f t="shared" si="5"/>
        <v>0</v>
      </c>
      <c r="J115" s="80">
        <f>J114+J111+J108+J105</f>
        <v>737</v>
      </c>
      <c r="K115"/>
    </row>
    <row r="116" spans="1:12">
      <c r="B116" s="38" t="s">
        <v>36</v>
      </c>
      <c r="C116" s="39"/>
      <c r="L116" s="26"/>
    </row>
    <row r="117" spans="1:12">
      <c r="A117" s="7" t="s">
        <v>37</v>
      </c>
      <c r="B117" s="8">
        <f>D105+D108+D111+D114</f>
        <v>19</v>
      </c>
      <c r="C117" s="6"/>
    </row>
    <row r="118" spans="1:12">
      <c r="A118" s="7" t="s">
        <v>38</v>
      </c>
      <c r="B118" s="8">
        <f>E115</f>
        <v>258</v>
      </c>
      <c r="C118" s="6"/>
    </row>
    <row r="119" spans="1:12">
      <c r="A119" s="7" t="s">
        <v>2615</v>
      </c>
      <c r="B119" s="8">
        <f>F105+F108+F111+F114</f>
        <v>0</v>
      </c>
      <c r="C119" s="6"/>
    </row>
    <row r="120" spans="1:12">
      <c r="A120" s="7" t="s">
        <v>39</v>
      </c>
      <c r="B120" s="8">
        <f>J101</f>
        <v>61</v>
      </c>
      <c r="C120" s="6"/>
      <c r="D120" s="99"/>
    </row>
    <row r="121" spans="1:12">
      <c r="A121" s="7" t="s">
        <v>40</v>
      </c>
      <c r="B121" s="8">
        <f>J102+J107+J110</f>
        <v>353</v>
      </c>
      <c r="C121" s="6"/>
    </row>
    <row r="122" spans="1:12">
      <c r="A122" s="7" t="s">
        <v>41</v>
      </c>
      <c r="B122" s="8">
        <f>J103</f>
        <v>0</v>
      </c>
      <c r="C122" s="6"/>
    </row>
    <row r="123" spans="1:12">
      <c r="A123" s="7" t="s">
        <v>42</v>
      </c>
      <c r="B123" s="8">
        <f>J104</f>
        <v>43</v>
      </c>
      <c r="C123" s="6"/>
    </row>
    <row r="124" spans="1:12">
      <c r="A124" s="7" t="s">
        <v>43</v>
      </c>
      <c r="B124" s="8">
        <f>J112</f>
        <v>0</v>
      </c>
      <c r="C124" s="6"/>
    </row>
    <row r="125" spans="1:12">
      <c r="A125" s="7" t="s">
        <v>44</v>
      </c>
      <c r="B125" s="8">
        <f>J113</f>
        <v>3</v>
      </c>
      <c r="C125" s="6"/>
    </row>
    <row r="126" spans="1:12">
      <c r="A126" s="7"/>
      <c r="B126" s="81">
        <f>SUM(B117:B125)</f>
        <v>737</v>
      </c>
      <c r="C126" s="6"/>
    </row>
    <row r="128" spans="1:12" ht="13.5" thickBot="1"/>
    <row r="129" spans="1:14" ht="13.5" thickBot="1">
      <c r="A129" s="85" t="s">
        <v>3356</v>
      </c>
      <c r="B129" s="9"/>
    </row>
    <row r="130" spans="1:14" ht="13.5" thickBot="1">
      <c r="A130" s="11" t="s">
        <v>17</v>
      </c>
      <c r="B130" s="12" t="s">
        <v>18</v>
      </c>
      <c r="C130" s="13" t="s">
        <v>16</v>
      </c>
      <c r="D130" s="14" t="s">
        <v>15</v>
      </c>
      <c r="E130" s="14" t="s">
        <v>6</v>
      </c>
      <c r="F130" s="14" t="s">
        <v>19</v>
      </c>
      <c r="G130" s="74" t="s">
        <v>20</v>
      </c>
      <c r="H130" s="74" t="s">
        <v>21</v>
      </c>
      <c r="I130" s="14" t="s">
        <v>22</v>
      </c>
      <c r="J130" s="15" t="s">
        <v>9</v>
      </c>
      <c r="K130"/>
    </row>
    <row r="131" spans="1:14">
      <c r="A131" s="16" t="s">
        <v>0</v>
      </c>
      <c r="B131" s="17" t="s">
        <v>15</v>
      </c>
      <c r="C131" s="18"/>
      <c r="D131" s="6">
        <v>19</v>
      </c>
      <c r="E131" s="18"/>
      <c r="F131" s="18"/>
      <c r="G131" s="75"/>
      <c r="H131" s="75"/>
      <c r="I131" s="18"/>
      <c r="J131" s="19">
        <f>D131</f>
        <v>19</v>
      </c>
      <c r="K131"/>
      <c r="L131" s="20" t="s">
        <v>23</v>
      </c>
      <c r="M131" s="25" t="s">
        <v>2764</v>
      </c>
      <c r="N131" s="98"/>
    </row>
    <row r="132" spans="1:14">
      <c r="A132" s="22" t="s">
        <v>0</v>
      </c>
      <c r="B132" s="23" t="s">
        <v>6</v>
      </c>
      <c r="C132" s="6"/>
      <c r="D132" s="6"/>
      <c r="E132" s="6">
        <v>259</v>
      </c>
      <c r="F132" s="6"/>
      <c r="G132" s="76"/>
      <c r="H132" s="76"/>
      <c r="I132" s="6"/>
      <c r="J132" s="24">
        <f>E132+F132</f>
        <v>259</v>
      </c>
      <c r="K132"/>
      <c r="L132" s="20">
        <v>174</v>
      </c>
      <c r="M132" s="25" t="s">
        <v>24</v>
      </c>
      <c r="N132" s="26" t="s">
        <v>3353</v>
      </c>
    </row>
    <row r="133" spans="1:14">
      <c r="A133" s="22" t="s">
        <v>0</v>
      </c>
      <c r="B133" s="23" t="s">
        <v>13</v>
      </c>
      <c r="C133" s="6"/>
      <c r="D133" s="6"/>
      <c r="E133" s="6"/>
      <c r="F133" s="6"/>
      <c r="G133" s="76">
        <v>1</v>
      </c>
      <c r="H133" s="76">
        <v>60</v>
      </c>
      <c r="I133" s="6"/>
      <c r="J133" s="24">
        <f>G133+H133+I133</f>
        <v>61</v>
      </c>
      <c r="K133"/>
      <c r="L133" s="20">
        <v>50</v>
      </c>
      <c r="M133" s="25" t="s">
        <v>25</v>
      </c>
    </row>
    <row r="134" spans="1:14">
      <c r="A134" s="22" t="s">
        <v>0</v>
      </c>
      <c r="B134" s="23" t="s">
        <v>8</v>
      </c>
      <c r="C134" s="6"/>
      <c r="D134" s="6"/>
      <c r="E134" s="6"/>
      <c r="F134" s="6"/>
      <c r="G134" s="76">
        <v>75</v>
      </c>
      <c r="H134" s="76">
        <v>234</v>
      </c>
      <c r="I134" s="6"/>
      <c r="J134" s="24">
        <f>G134+H134+I134</f>
        <v>309</v>
      </c>
      <c r="K134"/>
      <c r="L134" s="20">
        <v>32</v>
      </c>
      <c r="M134" s="25" t="s">
        <v>26</v>
      </c>
      <c r="N134" s="98"/>
    </row>
    <row r="135" spans="1:14">
      <c r="A135" s="22" t="s">
        <v>0</v>
      </c>
      <c r="B135" s="23" t="s">
        <v>12</v>
      </c>
      <c r="C135" s="6"/>
      <c r="D135" s="6"/>
      <c r="E135" s="6"/>
      <c r="F135" s="6"/>
      <c r="G135" s="76"/>
      <c r="H135" s="76"/>
      <c r="I135" s="6"/>
      <c r="J135" s="24">
        <f>H135</f>
        <v>0</v>
      </c>
      <c r="K135"/>
      <c r="L135" s="20">
        <v>1</v>
      </c>
      <c r="M135" s="25" t="s">
        <v>3354</v>
      </c>
      <c r="N135" s="26" t="s">
        <v>3355</v>
      </c>
    </row>
    <row r="136" spans="1:14">
      <c r="A136" s="22" t="s">
        <v>0</v>
      </c>
      <c r="B136" s="23" t="s">
        <v>14</v>
      </c>
      <c r="C136" s="6"/>
      <c r="D136" s="6"/>
      <c r="E136" s="6"/>
      <c r="F136" s="6"/>
      <c r="G136" s="76">
        <v>4</v>
      </c>
      <c r="H136" s="76">
        <v>39</v>
      </c>
      <c r="I136" s="6"/>
      <c r="J136" s="24">
        <f>G136+H136</f>
        <v>43</v>
      </c>
      <c r="K136"/>
      <c r="L136" s="20">
        <v>0</v>
      </c>
      <c r="M136" s="25" t="s">
        <v>27</v>
      </c>
    </row>
    <row r="137" spans="1:14" ht="13.5" thickBot="1">
      <c r="A137" s="27" t="s">
        <v>29</v>
      </c>
      <c r="B137" s="28"/>
      <c r="C137" s="29"/>
      <c r="D137" s="29">
        <f>SUM(D131:D136)</f>
        <v>19</v>
      </c>
      <c r="E137" s="29">
        <f>SUM(E131:E136)</f>
        <v>259</v>
      </c>
      <c r="F137" s="29">
        <f>SUM(F131:F136)</f>
        <v>0</v>
      </c>
      <c r="G137" s="29">
        <f>SUM(G131:G136)</f>
        <v>80</v>
      </c>
      <c r="H137" s="29">
        <f>SUM(H131:H136)</f>
        <v>333</v>
      </c>
      <c r="I137" s="29"/>
      <c r="J137" s="30">
        <f>SUM(J131:J136)</f>
        <v>691</v>
      </c>
      <c r="K137"/>
      <c r="L137" s="20">
        <v>1</v>
      </c>
      <c r="M137" s="25" t="s">
        <v>3352</v>
      </c>
    </row>
    <row r="138" spans="1:14">
      <c r="A138" s="31" t="s">
        <v>7</v>
      </c>
      <c r="B138" s="32" t="s">
        <v>15</v>
      </c>
      <c r="C138" s="33"/>
      <c r="D138" s="33"/>
      <c r="E138" s="33"/>
      <c r="F138" s="33"/>
      <c r="G138" s="77"/>
      <c r="H138" s="77"/>
      <c r="I138" s="33"/>
      <c r="J138" s="34"/>
      <c r="K138"/>
      <c r="L138" s="20">
        <v>1</v>
      </c>
      <c r="M138" s="25" t="s">
        <v>30</v>
      </c>
    </row>
    <row r="139" spans="1:14">
      <c r="A139" s="31" t="s">
        <v>7</v>
      </c>
      <c r="B139" s="32" t="s">
        <v>8</v>
      </c>
      <c r="C139" s="33"/>
      <c r="D139" s="33"/>
      <c r="E139" s="33"/>
      <c r="F139" s="33"/>
      <c r="G139" s="77">
        <v>3</v>
      </c>
      <c r="H139" s="77">
        <v>20</v>
      </c>
      <c r="I139" s="33"/>
      <c r="J139" s="34">
        <f>G139+H139</f>
        <v>23</v>
      </c>
      <c r="K139"/>
      <c r="L139" s="35">
        <f>SUM(L132:L138)</f>
        <v>259</v>
      </c>
      <c r="M139" s="21"/>
    </row>
    <row r="140" spans="1:14" ht="13.5" thickBot="1">
      <c r="A140" s="27" t="s">
        <v>31</v>
      </c>
      <c r="B140" s="28"/>
      <c r="C140" s="29"/>
      <c r="D140" s="29"/>
      <c r="E140" s="29"/>
      <c r="F140" s="29"/>
      <c r="G140" s="29">
        <f>SUM(G138:G139)</f>
        <v>3</v>
      </c>
      <c r="H140" s="29">
        <f>SUM(H138:H139)</f>
        <v>20</v>
      </c>
      <c r="I140" s="29"/>
      <c r="J140" s="30">
        <f>SUM(J138:J139)</f>
        <v>23</v>
      </c>
      <c r="K140"/>
    </row>
    <row r="141" spans="1:14">
      <c r="A141" s="31" t="s">
        <v>105</v>
      </c>
      <c r="B141" s="32" t="s">
        <v>8</v>
      </c>
      <c r="C141" s="33"/>
      <c r="D141" s="33">
        <v>1</v>
      </c>
      <c r="E141" s="33"/>
      <c r="F141" s="33"/>
      <c r="G141" s="77">
        <v>5</v>
      </c>
      <c r="H141" s="77">
        <v>13</v>
      </c>
      <c r="I141" s="33"/>
      <c r="J141" s="34">
        <f>D141+G141+H141</f>
        <v>19</v>
      </c>
      <c r="K141"/>
    </row>
    <row r="142" spans="1:14" ht="13.5" thickBot="1">
      <c r="A142" s="27" t="s">
        <v>106</v>
      </c>
      <c r="B142" s="28"/>
      <c r="C142" s="29"/>
      <c r="D142" s="29">
        <f>SUM(D141:D141)</f>
        <v>1</v>
      </c>
      <c r="E142" s="29"/>
      <c r="F142" s="29"/>
      <c r="G142" s="29">
        <f>SUM(G141:G141)</f>
        <v>5</v>
      </c>
      <c r="H142" s="29">
        <f>SUM(H141:H141)</f>
        <v>13</v>
      </c>
      <c r="I142" s="29"/>
      <c r="J142" s="30">
        <f>SUM(J141:J141)</f>
        <v>19</v>
      </c>
      <c r="K142"/>
    </row>
    <row r="143" spans="1:14">
      <c r="A143" s="22" t="s">
        <v>108</v>
      </c>
      <c r="B143" s="32" t="s">
        <v>10</v>
      </c>
      <c r="C143" s="6"/>
      <c r="D143" s="6"/>
      <c r="E143" s="6"/>
      <c r="F143" s="6"/>
      <c r="G143" s="76"/>
      <c r="H143" s="76"/>
      <c r="I143" s="6"/>
      <c r="J143" s="24">
        <f>H143</f>
        <v>0</v>
      </c>
      <c r="K143"/>
    </row>
    <row r="144" spans="1:14">
      <c r="A144" s="22" t="s">
        <v>32</v>
      </c>
      <c r="B144" s="32" t="s">
        <v>33</v>
      </c>
      <c r="C144" s="6">
        <v>3</v>
      </c>
      <c r="D144" s="6"/>
      <c r="E144" s="6"/>
      <c r="F144" s="6"/>
      <c r="G144" s="76"/>
      <c r="H144" s="76"/>
      <c r="I144" s="6"/>
      <c r="J144" s="24">
        <f>C144</f>
        <v>3</v>
      </c>
      <c r="K144"/>
    </row>
    <row r="145" spans="1:12" ht="13.5" thickBot="1">
      <c r="A145" s="36" t="s">
        <v>34</v>
      </c>
      <c r="B145" s="37"/>
      <c r="C145" s="29">
        <f>SUM(C143:C144)</f>
        <v>3</v>
      </c>
      <c r="D145" s="29"/>
      <c r="E145" s="29"/>
      <c r="F145" s="29"/>
      <c r="G145" s="29"/>
      <c r="H145" s="29"/>
      <c r="I145" s="29"/>
      <c r="J145" s="30">
        <f>SUM(J143:J144)</f>
        <v>3</v>
      </c>
      <c r="K145"/>
    </row>
    <row r="146" spans="1:12" ht="13.5" thickBot="1">
      <c r="A146" s="78" t="s">
        <v>35</v>
      </c>
      <c r="B146" s="79"/>
      <c r="C146" s="80">
        <f t="shared" ref="C146:H146" si="6">C137+C140+C142+C145</f>
        <v>3</v>
      </c>
      <c r="D146" s="80">
        <f t="shared" si="6"/>
        <v>20</v>
      </c>
      <c r="E146" s="80">
        <f t="shared" si="6"/>
        <v>259</v>
      </c>
      <c r="F146" s="80">
        <f t="shared" si="6"/>
        <v>0</v>
      </c>
      <c r="G146" s="80">
        <f t="shared" si="6"/>
        <v>88</v>
      </c>
      <c r="H146" s="80">
        <f t="shared" si="6"/>
        <v>366</v>
      </c>
      <c r="I146" s="80"/>
      <c r="J146" s="80">
        <f>J137+J140+J142+J145</f>
        <v>736</v>
      </c>
      <c r="K146"/>
    </row>
    <row r="147" spans="1:12">
      <c r="B147" s="38" t="s">
        <v>36</v>
      </c>
      <c r="C147" s="39"/>
      <c r="L147" s="26"/>
    </row>
    <row r="148" spans="1:12">
      <c r="A148" s="7" t="s">
        <v>37</v>
      </c>
      <c r="B148" s="8">
        <f>D137+D140+D142+D145</f>
        <v>20</v>
      </c>
      <c r="C148" s="6"/>
    </row>
    <row r="149" spans="1:12">
      <c r="A149" s="7" t="s">
        <v>38</v>
      </c>
      <c r="B149" s="8">
        <f>E146</f>
        <v>259</v>
      </c>
      <c r="C149" s="6"/>
    </row>
    <row r="150" spans="1:12">
      <c r="A150" s="7" t="s">
        <v>2615</v>
      </c>
      <c r="B150" s="8">
        <f>F137+F140+F142+F145</f>
        <v>0</v>
      </c>
      <c r="C150" s="6"/>
    </row>
    <row r="151" spans="1:12">
      <c r="A151" s="7" t="s">
        <v>39</v>
      </c>
      <c r="B151" s="8">
        <f>J133</f>
        <v>61</v>
      </c>
      <c r="C151" s="6"/>
      <c r="D151" s="99"/>
    </row>
    <row r="152" spans="1:12">
      <c r="A152" s="7" t="s">
        <v>40</v>
      </c>
      <c r="B152" s="8">
        <f>J134+J139+J141-D141</f>
        <v>350</v>
      </c>
      <c r="C152" s="6"/>
    </row>
    <row r="153" spans="1:12">
      <c r="A153" s="7" t="s">
        <v>41</v>
      </c>
      <c r="B153" s="8">
        <f>J135</f>
        <v>0</v>
      </c>
      <c r="C153" s="6"/>
    </row>
    <row r="154" spans="1:12">
      <c r="A154" s="7" t="s">
        <v>42</v>
      </c>
      <c r="B154" s="8">
        <f>J136</f>
        <v>43</v>
      </c>
      <c r="C154" s="6"/>
    </row>
    <row r="155" spans="1:12">
      <c r="A155" s="7" t="s">
        <v>43</v>
      </c>
      <c r="B155" s="8">
        <f>J143</f>
        <v>0</v>
      </c>
      <c r="C155" s="6"/>
    </row>
    <row r="156" spans="1:12">
      <c r="A156" s="7" t="s">
        <v>44</v>
      </c>
      <c r="B156" s="8">
        <f>J144</f>
        <v>3</v>
      </c>
      <c r="C156" s="6"/>
    </row>
    <row r="157" spans="1:12">
      <c r="A157" s="7"/>
      <c r="B157" s="81">
        <f>SUM(B148:B156)</f>
        <v>736</v>
      </c>
      <c r="C157" s="6"/>
    </row>
    <row r="158" spans="1:12">
      <c r="B158" s="38"/>
    </row>
    <row r="159" spans="1:12" ht="13.5" thickBot="1">
      <c r="B159" s="38"/>
    </row>
    <row r="160" spans="1:12" ht="13.5" thickBot="1">
      <c r="A160" s="85" t="s">
        <v>3330</v>
      </c>
      <c r="B160" s="9"/>
    </row>
    <row r="161" spans="1:14" ht="13.5" thickBot="1">
      <c r="A161" s="11" t="s">
        <v>17</v>
      </c>
      <c r="B161" s="12" t="s">
        <v>18</v>
      </c>
      <c r="C161" s="13" t="s">
        <v>16</v>
      </c>
      <c r="D161" s="14" t="s">
        <v>15</v>
      </c>
      <c r="E161" s="14" t="s">
        <v>6</v>
      </c>
      <c r="F161" s="14" t="s">
        <v>19</v>
      </c>
      <c r="G161" s="74" t="s">
        <v>20</v>
      </c>
      <c r="H161" s="74" t="s">
        <v>21</v>
      </c>
      <c r="I161" s="14" t="s">
        <v>22</v>
      </c>
      <c r="J161" s="15" t="s">
        <v>9</v>
      </c>
      <c r="K161"/>
    </row>
    <row r="162" spans="1:14">
      <c r="A162" s="16" t="s">
        <v>0</v>
      </c>
      <c r="B162" s="17" t="s">
        <v>15</v>
      </c>
      <c r="C162" s="18"/>
      <c r="D162" s="6">
        <v>19</v>
      </c>
      <c r="E162" s="18"/>
      <c r="F162" s="18"/>
      <c r="G162" s="75"/>
      <c r="H162" s="75"/>
      <c r="I162" s="18"/>
      <c r="J162" s="19">
        <f>D162</f>
        <v>19</v>
      </c>
      <c r="K162"/>
      <c r="L162" s="20" t="s">
        <v>23</v>
      </c>
      <c r="M162" s="25" t="s">
        <v>2764</v>
      </c>
      <c r="N162" s="98"/>
    </row>
    <row r="163" spans="1:14">
      <c r="A163" s="22" t="s">
        <v>0</v>
      </c>
      <c r="B163" s="23" t="s">
        <v>6</v>
      </c>
      <c r="C163" s="6"/>
      <c r="D163" s="6"/>
      <c r="E163" s="6">
        <v>259</v>
      </c>
      <c r="F163" s="6"/>
      <c r="G163" s="76"/>
      <c r="H163" s="76"/>
      <c r="I163" s="6"/>
      <c r="J163" s="24">
        <f>E163+F163</f>
        <v>259</v>
      </c>
      <c r="K163"/>
      <c r="L163" s="20">
        <v>175</v>
      </c>
      <c r="M163" s="25" t="s">
        <v>24</v>
      </c>
      <c r="N163" s="98"/>
    </row>
    <row r="164" spans="1:14">
      <c r="A164" s="22" t="s">
        <v>0</v>
      </c>
      <c r="B164" s="23" t="s">
        <v>13</v>
      </c>
      <c r="C164" s="6"/>
      <c r="D164" s="6"/>
      <c r="E164" s="6"/>
      <c r="F164" s="6"/>
      <c r="G164" s="76">
        <v>1</v>
      </c>
      <c r="H164" s="76">
        <v>60</v>
      </c>
      <c r="I164" s="6"/>
      <c r="J164" s="24">
        <f>G164+H164+I164</f>
        <v>61</v>
      </c>
      <c r="K164"/>
      <c r="L164" s="20">
        <v>51</v>
      </c>
      <c r="M164" s="25" t="s">
        <v>25</v>
      </c>
      <c r="N164" s="26" t="s">
        <v>3331</v>
      </c>
    </row>
    <row r="165" spans="1:14">
      <c r="A165" s="22" t="s">
        <v>0</v>
      </c>
      <c r="B165" s="23" t="s">
        <v>8</v>
      </c>
      <c r="C165" s="6"/>
      <c r="D165" s="6"/>
      <c r="E165" s="6"/>
      <c r="F165" s="6"/>
      <c r="G165" s="76">
        <v>75</v>
      </c>
      <c r="H165" s="76">
        <v>237</v>
      </c>
      <c r="I165" s="6"/>
      <c r="J165" s="24">
        <f>G165+H165+I165</f>
        <v>312</v>
      </c>
      <c r="K165"/>
      <c r="L165" s="20">
        <v>32</v>
      </c>
      <c r="M165" s="25" t="s">
        <v>26</v>
      </c>
      <c r="N165" s="98"/>
    </row>
    <row r="166" spans="1:14">
      <c r="A166" s="22" t="s">
        <v>0</v>
      </c>
      <c r="B166" s="23" t="s">
        <v>12</v>
      </c>
      <c r="C166" s="6"/>
      <c r="D166" s="6"/>
      <c r="E166" s="6"/>
      <c r="F166" s="6"/>
      <c r="G166" s="76"/>
      <c r="H166" s="76"/>
      <c r="I166" s="6"/>
      <c r="J166" s="24">
        <f>H166</f>
        <v>0</v>
      </c>
      <c r="K166"/>
      <c r="L166" s="20">
        <v>0</v>
      </c>
      <c r="M166" s="25" t="s">
        <v>27</v>
      </c>
    </row>
    <row r="167" spans="1:14">
      <c r="A167" s="22" t="s">
        <v>0</v>
      </c>
      <c r="B167" s="23" t="s">
        <v>14</v>
      </c>
      <c r="C167" s="6"/>
      <c r="D167" s="6"/>
      <c r="E167" s="6"/>
      <c r="F167" s="6"/>
      <c r="G167" s="76">
        <v>4</v>
      </c>
      <c r="H167" s="76">
        <v>39</v>
      </c>
      <c r="I167" s="6"/>
      <c r="J167" s="24">
        <f>G167+H167</f>
        <v>43</v>
      </c>
      <c r="K167"/>
      <c r="L167" s="20">
        <v>1</v>
      </c>
      <c r="M167" s="25" t="s">
        <v>28</v>
      </c>
    </row>
    <row r="168" spans="1:14" ht="13.5" thickBot="1">
      <c r="A168" s="27" t="s">
        <v>29</v>
      </c>
      <c r="B168" s="28"/>
      <c r="C168" s="29"/>
      <c r="D168" s="29">
        <f>SUM(D162:D167)</f>
        <v>19</v>
      </c>
      <c r="E168" s="29">
        <f>SUM(E162:E167)</f>
        <v>259</v>
      </c>
      <c r="F168" s="29">
        <f>SUM(F162:F167)</f>
        <v>0</v>
      </c>
      <c r="G168" s="29">
        <f>SUM(G162:G167)</f>
        <v>80</v>
      </c>
      <c r="H168" s="29">
        <f>SUM(H162:H167)</f>
        <v>336</v>
      </c>
      <c r="I168" s="29"/>
      <c r="J168" s="30">
        <f>SUM(J162:J167)</f>
        <v>694</v>
      </c>
      <c r="K168"/>
      <c r="L168" s="20">
        <v>1</v>
      </c>
      <c r="M168" s="25" t="s">
        <v>30</v>
      </c>
    </row>
    <row r="169" spans="1:14">
      <c r="A169" s="31" t="s">
        <v>7</v>
      </c>
      <c r="B169" s="32" t="s">
        <v>15</v>
      </c>
      <c r="C169" s="33"/>
      <c r="D169" s="33"/>
      <c r="E169" s="33"/>
      <c r="F169" s="33"/>
      <c r="G169" s="77"/>
      <c r="H169" s="77"/>
      <c r="I169" s="33"/>
      <c r="J169" s="34"/>
      <c r="K169"/>
      <c r="L169" s="35">
        <f>SUM(L163:L168)</f>
        <v>260</v>
      </c>
      <c r="M169" s="21"/>
    </row>
    <row r="170" spans="1:14">
      <c r="A170" s="31" t="s">
        <v>7</v>
      </c>
      <c r="B170" s="32" t="s">
        <v>8</v>
      </c>
      <c r="C170" s="33"/>
      <c r="D170" s="33"/>
      <c r="E170" s="33"/>
      <c r="F170" s="33"/>
      <c r="G170" s="77">
        <v>3</v>
      </c>
      <c r="H170" s="77">
        <v>20</v>
      </c>
      <c r="I170" s="33"/>
      <c r="J170" s="34">
        <f>G170+H170</f>
        <v>23</v>
      </c>
      <c r="K170"/>
    </row>
    <row r="171" spans="1:14" ht="13.5" thickBot="1">
      <c r="A171" s="27" t="s">
        <v>31</v>
      </c>
      <c r="B171" s="28"/>
      <c r="C171" s="29"/>
      <c r="D171" s="29"/>
      <c r="E171" s="29"/>
      <c r="F171" s="29"/>
      <c r="G171" s="29">
        <f>SUM(G169:G170)</f>
        <v>3</v>
      </c>
      <c r="H171" s="29">
        <f>SUM(H169:H170)</f>
        <v>20</v>
      </c>
      <c r="I171" s="29"/>
      <c r="J171" s="30">
        <f>SUM(J169:J170)</f>
        <v>23</v>
      </c>
      <c r="K171"/>
    </row>
    <row r="172" spans="1:14">
      <c r="A172" s="31" t="s">
        <v>105</v>
      </c>
      <c r="B172" s="32" t="s">
        <v>8</v>
      </c>
      <c r="C172" s="33"/>
      <c r="D172" s="33">
        <v>1</v>
      </c>
      <c r="E172" s="33"/>
      <c r="F172" s="33"/>
      <c r="G172" s="77">
        <v>5</v>
      </c>
      <c r="H172" s="77">
        <v>13</v>
      </c>
      <c r="I172" s="33"/>
      <c r="J172" s="34">
        <f>D172+G172+H172</f>
        <v>19</v>
      </c>
      <c r="K172"/>
    </row>
    <row r="173" spans="1:14" ht="13.5" thickBot="1">
      <c r="A173" s="27" t="s">
        <v>106</v>
      </c>
      <c r="B173" s="28"/>
      <c r="C173" s="29"/>
      <c r="D173" s="29">
        <f>SUM(D172:D172)</f>
        <v>1</v>
      </c>
      <c r="E173" s="29"/>
      <c r="F173" s="29"/>
      <c r="G173" s="29">
        <f>SUM(G172:G172)</f>
        <v>5</v>
      </c>
      <c r="H173" s="29">
        <f>SUM(H172:H172)</f>
        <v>13</v>
      </c>
      <c r="I173" s="29"/>
      <c r="J173" s="30">
        <f>SUM(J172:J172)</f>
        <v>19</v>
      </c>
      <c r="K173"/>
    </row>
    <row r="174" spans="1:14">
      <c r="A174" s="22" t="s">
        <v>108</v>
      </c>
      <c r="B174" s="32" t="s">
        <v>10</v>
      </c>
      <c r="C174" s="6"/>
      <c r="D174" s="6"/>
      <c r="E174" s="6"/>
      <c r="F174" s="6"/>
      <c r="G174" s="76"/>
      <c r="H174" s="76"/>
      <c r="I174" s="6"/>
      <c r="J174" s="24">
        <f>H174</f>
        <v>0</v>
      </c>
      <c r="K174"/>
    </row>
    <row r="175" spans="1:14">
      <c r="A175" s="22" t="s">
        <v>32</v>
      </c>
      <c r="B175" s="32" t="s">
        <v>33</v>
      </c>
      <c r="C175" s="6">
        <v>3</v>
      </c>
      <c r="D175" s="6"/>
      <c r="E175" s="6"/>
      <c r="F175" s="6"/>
      <c r="G175" s="76"/>
      <c r="H175" s="76"/>
      <c r="I175" s="6"/>
      <c r="J175" s="24">
        <f>C175</f>
        <v>3</v>
      </c>
      <c r="K175"/>
    </row>
    <row r="176" spans="1:14" ht="13.5" thickBot="1">
      <c r="A176" s="36" t="s">
        <v>34</v>
      </c>
      <c r="B176" s="37"/>
      <c r="C176" s="29">
        <f>SUM(C174:C175)</f>
        <v>3</v>
      </c>
      <c r="D176" s="29"/>
      <c r="E176" s="29"/>
      <c r="F176" s="29"/>
      <c r="G176" s="29"/>
      <c r="H176" s="29"/>
      <c r="I176" s="29"/>
      <c r="J176" s="30">
        <f>SUM(J174:J175)</f>
        <v>3</v>
      </c>
      <c r="K176"/>
    </row>
    <row r="177" spans="1:12" ht="13.5" thickBot="1">
      <c r="A177" s="78" t="s">
        <v>35</v>
      </c>
      <c r="B177" s="79"/>
      <c r="C177" s="80">
        <f t="shared" ref="C177:H177" si="7">C168+C171+C173+C176</f>
        <v>3</v>
      </c>
      <c r="D177" s="80">
        <f t="shared" si="7"/>
        <v>20</v>
      </c>
      <c r="E177" s="80">
        <f t="shared" si="7"/>
        <v>259</v>
      </c>
      <c r="F177" s="80">
        <f t="shared" si="7"/>
        <v>0</v>
      </c>
      <c r="G177" s="80">
        <f t="shared" si="7"/>
        <v>88</v>
      </c>
      <c r="H177" s="80">
        <f t="shared" si="7"/>
        <v>369</v>
      </c>
      <c r="I177" s="80"/>
      <c r="J177" s="80">
        <f>J168+J171+J173+J176</f>
        <v>739</v>
      </c>
      <c r="K177"/>
      <c r="L177" s="26"/>
    </row>
    <row r="178" spans="1:12">
      <c r="B178" s="38" t="s">
        <v>36</v>
      </c>
      <c r="C178" s="39"/>
    </row>
    <row r="179" spans="1:12">
      <c r="A179" s="7" t="s">
        <v>37</v>
      </c>
      <c r="B179" s="8">
        <f>D168+D171+D173+D176</f>
        <v>20</v>
      </c>
      <c r="C179" s="6"/>
    </row>
    <row r="180" spans="1:12">
      <c r="A180" s="7" t="s">
        <v>38</v>
      </c>
      <c r="B180" s="8">
        <f>E177</f>
        <v>259</v>
      </c>
      <c r="C180" s="6"/>
    </row>
    <row r="181" spans="1:12">
      <c r="A181" s="7" t="s">
        <v>2615</v>
      </c>
      <c r="B181" s="8">
        <f>F168+F171+F173+F176</f>
        <v>0</v>
      </c>
      <c r="C181" s="6"/>
    </row>
    <row r="182" spans="1:12">
      <c r="A182" s="7" t="s">
        <v>39</v>
      </c>
      <c r="B182" s="8">
        <f>J164</f>
        <v>61</v>
      </c>
      <c r="C182" s="6"/>
    </row>
    <row r="183" spans="1:12">
      <c r="A183" s="7" t="s">
        <v>40</v>
      </c>
      <c r="B183" s="8">
        <f>J165+J170+J172-D172</f>
        <v>353</v>
      </c>
      <c r="C183" s="6"/>
    </row>
    <row r="184" spans="1:12">
      <c r="A184" s="7" t="s">
        <v>41</v>
      </c>
      <c r="B184" s="8">
        <f>J166</f>
        <v>0</v>
      </c>
      <c r="C184" s="6"/>
    </row>
    <row r="185" spans="1:12">
      <c r="A185" s="7" t="s">
        <v>42</v>
      </c>
      <c r="B185" s="8">
        <f>J167</f>
        <v>43</v>
      </c>
      <c r="C185" s="6"/>
    </row>
    <row r="186" spans="1:12">
      <c r="A186" s="7" t="s">
        <v>43</v>
      </c>
      <c r="B186" s="8">
        <f>J174</f>
        <v>0</v>
      </c>
      <c r="C186" s="6"/>
    </row>
    <row r="187" spans="1:12">
      <c r="A187" s="7" t="s">
        <v>44</v>
      </c>
      <c r="B187" s="8">
        <f>J175</f>
        <v>3</v>
      </c>
      <c r="C187" s="6"/>
    </row>
    <row r="188" spans="1:12">
      <c r="A188" s="7"/>
      <c r="B188" s="81">
        <f>SUM(B179:B187)</f>
        <v>739</v>
      </c>
      <c r="C188" s="6"/>
    </row>
    <row r="189" spans="1:12">
      <c r="B189" s="38"/>
    </row>
    <row r="190" spans="1:12" ht="13.5" thickBot="1">
      <c r="B190" s="38"/>
    </row>
    <row r="191" spans="1:12" ht="13.5" thickBot="1">
      <c r="A191" s="85" t="s">
        <v>3325</v>
      </c>
      <c r="B191" s="9"/>
    </row>
    <row r="192" spans="1:12" ht="13.5" thickBot="1">
      <c r="A192" s="11" t="s">
        <v>17</v>
      </c>
      <c r="B192" s="12" t="s">
        <v>18</v>
      </c>
      <c r="C192" s="13" t="s">
        <v>16</v>
      </c>
      <c r="D192" s="14" t="s">
        <v>15</v>
      </c>
      <c r="E192" s="14" t="s">
        <v>6</v>
      </c>
      <c r="F192" s="14" t="s">
        <v>19</v>
      </c>
      <c r="G192" s="74" t="s">
        <v>20</v>
      </c>
      <c r="H192" s="74" t="s">
        <v>21</v>
      </c>
      <c r="I192" s="14" t="s">
        <v>22</v>
      </c>
      <c r="J192" s="15" t="s">
        <v>9</v>
      </c>
      <c r="K192"/>
    </row>
    <row r="193" spans="1:14">
      <c r="A193" s="16" t="s">
        <v>0</v>
      </c>
      <c r="B193" s="17" t="s">
        <v>15</v>
      </c>
      <c r="C193" s="18"/>
      <c r="D193" s="6">
        <v>21</v>
      </c>
      <c r="E193" s="18"/>
      <c r="F193" s="18"/>
      <c r="G193" s="75"/>
      <c r="H193" s="75"/>
      <c r="I193" s="18"/>
      <c r="J193" s="19">
        <f>D193</f>
        <v>21</v>
      </c>
      <c r="K193"/>
      <c r="N193" s="98"/>
    </row>
    <row r="194" spans="1:14">
      <c r="A194" s="22" t="s">
        <v>0</v>
      </c>
      <c r="B194" s="23" t="s">
        <v>6</v>
      </c>
      <c r="C194" s="6"/>
      <c r="D194" s="6"/>
      <c r="E194" s="6">
        <v>260</v>
      </c>
      <c r="F194" s="6"/>
      <c r="G194" s="76"/>
      <c r="H194" s="76"/>
      <c r="I194" s="6"/>
      <c r="J194" s="24">
        <f>E194+F194</f>
        <v>260</v>
      </c>
      <c r="K194"/>
      <c r="L194" s="20" t="s">
        <v>23</v>
      </c>
      <c r="M194" s="25" t="s">
        <v>2764</v>
      </c>
      <c r="N194" s="98"/>
    </row>
    <row r="195" spans="1:14">
      <c r="A195" s="22" t="s">
        <v>0</v>
      </c>
      <c r="B195" s="23" t="s">
        <v>13</v>
      </c>
      <c r="C195" s="6"/>
      <c r="D195" s="6"/>
      <c r="E195" s="6"/>
      <c r="F195" s="6"/>
      <c r="G195" s="76">
        <v>1</v>
      </c>
      <c r="H195" s="76">
        <v>60</v>
      </c>
      <c r="I195" s="6"/>
      <c r="J195" s="24">
        <f>G195+H195+I195</f>
        <v>61</v>
      </c>
      <c r="K195"/>
      <c r="L195" s="20">
        <v>175</v>
      </c>
      <c r="M195" s="25" t="s">
        <v>24</v>
      </c>
      <c r="N195" s="26" t="s">
        <v>3326</v>
      </c>
    </row>
    <row r="196" spans="1:14">
      <c r="A196" s="22" t="s">
        <v>0</v>
      </c>
      <c r="B196" s="23" t="s">
        <v>8</v>
      </c>
      <c r="C196" s="6"/>
      <c r="D196" s="6"/>
      <c r="E196" s="6"/>
      <c r="F196" s="6"/>
      <c r="G196" s="76">
        <v>75</v>
      </c>
      <c r="H196" s="76">
        <v>237</v>
      </c>
      <c r="I196" s="6"/>
      <c r="J196" s="24">
        <f>G196+H196+I196</f>
        <v>312</v>
      </c>
      <c r="K196"/>
      <c r="L196" s="20">
        <v>51</v>
      </c>
      <c r="M196" s="25" t="s">
        <v>25</v>
      </c>
      <c r="N196" s="98"/>
    </row>
    <row r="197" spans="1:14">
      <c r="A197" s="22" t="s">
        <v>0</v>
      </c>
      <c r="B197" s="23" t="s">
        <v>12</v>
      </c>
      <c r="C197" s="6"/>
      <c r="D197" s="6"/>
      <c r="E197" s="6"/>
      <c r="F197" s="6"/>
      <c r="G197" s="76"/>
      <c r="H197" s="76"/>
      <c r="I197" s="6"/>
      <c r="J197" s="24">
        <f>H197</f>
        <v>0</v>
      </c>
      <c r="K197"/>
      <c r="L197" s="20">
        <v>32</v>
      </c>
      <c r="M197" s="25" t="s">
        <v>26</v>
      </c>
    </row>
    <row r="198" spans="1:14">
      <c r="A198" s="22" t="s">
        <v>0</v>
      </c>
      <c r="B198" s="23" t="s">
        <v>14</v>
      </c>
      <c r="C198" s="6"/>
      <c r="D198" s="6"/>
      <c r="E198" s="6"/>
      <c r="F198" s="6"/>
      <c r="G198" s="76">
        <v>4</v>
      </c>
      <c r="H198" s="76">
        <v>39</v>
      </c>
      <c r="I198" s="6"/>
      <c r="J198" s="24">
        <f>G198+H198</f>
        <v>43</v>
      </c>
      <c r="K198"/>
      <c r="L198" s="20">
        <v>0</v>
      </c>
      <c r="M198" s="25" t="s">
        <v>27</v>
      </c>
    </row>
    <row r="199" spans="1:14" ht="13.5" thickBot="1">
      <c r="A199" s="27" t="s">
        <v>29</v>
      </c>
      <c r="B199" s="28"/>
      <c r="C199" s="29"/>
      <c r="D199" s="29">
        <f>SUM(D193:D198)</f>
        <v>21</v>
      </c>
      <c r="E199" s="29">
        <f>SUM(E193:E198)</f>
        <v>260</v>
      </c>
      <c r="F199" s="29">
        <f>SUM(F193:F198)</f>
        <v>0</v>
      </c>
      <c r="G199" s="29">
        <f>SUM(G193:G198)</f>
        <v>80</v>
      </c>
      <c r="H199" s="29">
        <f>SUM(H193:H198)</f>
        <v>336</v>
      </c>
      <c r="I199" s="29"/>
      <c r="J199" s="30">
        <f>SUM(J193:J198)</f>
        <v>697</v>
      </c>
      <c r="K199"/>
      <c r="L199" s="20">
        <v>1</v>
      </c>
      <c r="M199" s="25" t="s">
        <v>28</v>
      </c>
    </row>
    <row r="200" spans="1:14">
      <c r="A200" s="31" t="s">
        <v>7</v>
      </c>
      <c r="B200" s="32" t="s">
        <v>15</v>
      </c>
      <c r="C200" s="33"/>
      <c r="D200" s="33"/>
      <c r="E200" s="33"/>
      <c r="F200" s="33"/>
      <c r="G200" s="77"/>
      <c r="H200" s="77"/>
      <c r="I200" s="33"/>
      <c r="J200" s="34"/>
      <c r="K200"/>
      <c r="L200" s="20">
        <v>1</v>
      </c>
      <c r="M200" s="25" t="s">
        <v>30</v>
      </c>
    </row>
    <row r="201" spans="1:14">
      <c r="A201" s="31" t="s">
        <v>7</v>
      </c>
      <c r="B201" s="32" t="s">
        <v>8</v>
      </c>
      <c r="C201" s="33"/>
      <c r="D201" s="33"/>
      <c r="E201" s="33"/>
      <c r="F201" s="33"/>
      <c r="G201" s="77">
        <v>3</v>
      </c>
      <c r="H201" s="77">
        <v>20</v>
      </c>
      <c r="I201" s="33"/>
      <c r="J201" s="34">
        <f>G201+H201</f>
        <v>23</v>
      </c>
      <c r="K201"/>
      <c r="L201" s="35">
        <f>SUM(L195:L200)</f>
        <v>260</v>
      </c>
      <c r="M201" s="21"/>
    </row>
    <row r="202" spans="1:14" ht="13.5" thickBot="1">
      <c r="A202" s="27" t="s">
        <v>31</v>
      </c>
      <c r="B202" s="28"/>
      <c r="C202" s="29"/>
      <c r="D202" s="29"/>
      <c r="E202" s="29"/>
      <c r="F202" s="29"/>
      <c r="G202" s="29">
        <f>SUM(G200:G201)</f>
        <v>3</v>
      </c>
      <c r="H202" s="29">
        <f>SUM(H200:H201)</f>
        <v>20</v>
      </c>
      <c r="I202" s="29"/>
      <c r="J202" s="30">
        <f>SUM(J200:J201)</f>
        <v>23</v>
      </c>
      <c r="K202"/>
    </row>
    <row r="203" spans="1:14">
      <c r="A203" s="31" t="s">
        <v>105</v>
      </c>
      <c r="B203" s="32" t="s">
        <v>8</v>
      </c>
      <c r="C203" s="33"/>
      <c r="D203" s="33">
        <v>1</v>
      </c>
      <c r="E203" s="33"/>
      <c r="F203" s="33"/>
      <c r="G203" s="77">
        <v>5</v>
      </c>
      <c r="H203" s="77">
        <v>13</v>
      </c>
      <c r="I203" s="33"/>
      <c r="J203" s="34">
        <f>D203+G203+H203</f>
        <v>19</v>
      </c>
      <c r="K203"/>
    </row>
    <row r="204" spans="1:14" ht="13.5" thickBot="1">
      <c r="A204" s="27" t="s">
        <v>106</v>
      </c>
      <c r="B204" s="28"/>
      <c r="C204" s="29"/>
      <c r="D204" s="29">
        <f>SUM(D203:D203)</f>
        <v>1</v>
      </c>
      <c r="E204" s="29"/>
      <c r="F204" s="29"/>
      <c r="G204" s="29">
        <f>SUM(G203:G203)</f>
        <v>5</v>
      </c>
      <c r="H204" s="29">
        <f>SUM(H203:H203)</f>
        <v>13</v>
      </c>
      <c r="I204" s="29"/>
      <c r="J204" s="30">
        <f>SUM(J203:J203)</f>
        <v>19</v>
      </c>
      <c r="K204"/>
    </row>
    <row r="205" spans="1:14">
      <c r="A205" s="22" t="s">
        <v>108</v>
      </c>
      <c r="B205" s="32" t="s">
        <v>10</v>
      </c>
      <c r="C205" s="6"/>
      <c r="D205" s="6"/>
      <c r="E205" s="6"/>
      <c r="F205" s="6"/>
      <c r="G205" s="76"/>
      <c r="H205" s="76"/>
      <c r="I205" s="6"/>
      <c r="J205" s="24">
        <f>H205</f>
        <v>0</v>
      </c>
      <c r="K205"/>
    </row>
    <row r="206" spans="1:14">
      <c r="A206" s="22" t="s">
        <v>32</v>
      </c>
      <c r="B206" s="32" t="s">
        <v>33</v>
      </c>
      <c r="C206" s="6">
        <v>3</v>
      </c>
      <c r="D206" s="6"/>
      <c r="E206" s="6"/>
      <c r="F206" s="6"/>
      <c r="G206" s="76"/>
      <c r="H206" s="76"/>
      <c r="I206" s="6"/>
      <c r="J206" s="24">
        <f>C206</f>
        <v>3</v>
      </c>
      <c r="K206"/>
    </row>
    <row r="207" spans="1:14" ht="13.5" thickBot="1">
      <c r="A207" s="36" t="s">
        <v>34</v>
      </c>
      <c r="B207" s="37"/>
      <c r="C207" s="29">
        <f>SUM(C205:C206)</f>
        <v>3</v>
      </c>
      <c r="D207" s="29"/>
      <c r="E207" s="29"/>
      <c r="F207" s="29"/>
      <c r="G207" s="29"/>
      <c r="H207" s="29"/>
      <c r="I207" s="29"/>
      <c r="J207" s="30">
        <f>SUM(J205:J206)</f>
        <v>3</v>
      </c>
      <c r="K207"/>
    </row>
    <row r="208" spans="1:14" ht="13.5" thickBot="1">
      <c r="A208" s="78" t="s">
        <v>35</v>
      </c>
      <c r="B208" s="79"/>
      <c r="C208" s="80">
        <f t="shared" ref="C208:H208" si="8">C199+C202+C204+C207</f>
        <v>3</v>
      </c>
      <c r="D208" s="80">
        <f t="shared" si="8"/>
        <v>22</v>
      </c>
      <c r="E208" s="80">
        <f t="shared" si="8"/>
        <v>260</v>
      </c>
      <c r="F208" s="80">
        <f t="shared" si="8"/>
        <v>0</v>
      </c>
      <c r="G208" s="80">
        <f t="shared" si="8"/>
        <v>88</v>
      </c>
      <c r="H208" s="80">
        <f t="shared" si="8"/>
        <v>369</v>
      </c>
      <c r="I208" s="80"/>
      <c r="J208" s="80">
        <f>J199+J202+J204+J207</f>
        <v>742</v>
      </c>
      <c r="K208"/>
    </row>
    <row r="209" spans="1:14">
      <c r="B209" s="38" t="s">
        <v>36</v>
      </c>
      <c r="C209" s="39"/>
      <c r="L209" s="26"/>
    </row>
    <row r="210" spans="1:14">
      <c r="A210" s="7" t="s">
        <v>37</v>
      </c>
      <c r="B210" s="8">
        <f>D199+D202+D204+D207</f>
        <v>22</v>
      </c>
      <c r="C210" s="6"/>
    </row>
    <row r="211" spans="1:14">
      <c r="A211" s="7" t="s">
        <v>38</v>
      </c>
      <c r="B211" s="8">
        <f>E208</f>
        <v>260</v>
      </c>
      <c r="C211" s="6"/>
    </row>
    <row r="212" spans="1:14">
      <c r="A212" s="7" t="s">
        <v>2615</v>
      </c>
      <c r="B212" s="8">
        <f>F199+F202+F204+F207</f>
        <v>0</v>
      </c>
      <c r="C212" s="6"/>
    </row>
    <row r="213" spans="1:14">
      <c r="A213" s="7" t="s">
        <v>39</v>
      </c>
      <c r="B213" s="8">
        <f>J195</f>
        <v>61</v>
      </c>
      <c r="C213" s="6"/>
    </row>
    <row r="214" spans="1:14">
      <c r="A214" s="7" t="s">
        <v>40</v>
      </c>
      <c r="B214" s="8">
        <f>J196+J201+J203-D203</f>
        <v>353</v>
      </c>
      <c r="C214" s="6"/>
    </row>
    <row r="215" spans="1:14">
      <c r="A215" s="7" t="s">
        <v>41</v>
      </c>
      <c r="B215" s="8">
        <f>J197</f>
        <v>0</v>
      </c>
      <c r="C215" s="6"/>
    </row>
    <row r="216" spans="1:14">
      <c r="A216" s="7" t="s">
        <v>42</v>
      </c>
      <c r="B216" s="8">
        <f>J198</f>
        <v>43</v>
      </c>
      <c r="C216" s="6"/>
    </row>
    <row r="217" spans="1:14">
      <c r="A217" s="7" t="s">
        <v>43</v>
      </c>
      <c r="B217" s="8">
        <f>J205</f>
        <v>0</v>
      </c>
      <c r="C217" s="6"/>
    </row>
    <row r="218" spans="1:14">
      <c r="A218" s="7" t="s">
        <v>44</v>
      </c>
      <c r="B218" s="8">
        <f>J206</f>
        <v>3</v>
      </c>
      <c r="C218" s="6"/>
    </row>
    <row r="219" spans="1:14">
      <c r="A219" s="7"/>
      <c r="B219" s="81">
        <f>SUM(B210:B218)</f>
        <v>742</v>
      </c>
      <c r="C219" s="6"/>
    </row>
    <row r="221" spans="1:14" ht="13.5" thickBot="1"/>
    <row r="222" spans="1:14" ht="13.5" thickBot="1">
      <c r="A222" s="85" t="s">
        <v>3307</v>
      </c>
      <c r="B222" s="9"/>
    </row>
    <row r="223" spans="1:14" ht="13.5" thickBot="1">
      <c r="A223" s="11" t="s">
        <v>17</v>
      </c>
      <c r="B223" s="12" t="s">
        <v>18</v>
      </c>
      <c r="C223" s="13" t="s">
        <v>16</v>
      </c>
      <c r="D223" s="14" t="s">
        <v>15</v>
      </c>
      <c r="E223" s="14" t="s">
        <v>6</v>
      </c>
      <c r="F223" s="14" t="s">
        <v>19</v>
      </c>
      <c r="G223" s="74" t="s">
        <v>20</v>
      </c>
      <c r="H223" s="74" t="s">
        <v>21</v>
      </c>
      <c r="I223" s="14" t="s">
        <v>22</v>
      </c>
      <c r="J223" s="15" t="s">
        <v>9</v>
      </c>
      <c r="K223"/>
    </row>
    <row r="224" spans="1:14">
      <c r="A224" s="16" t="s">
        <v>0</v>
      </c>
      <c r="B224" s="17" t="s">
        <v>15</v>
      </c>
      <c r="C224" s="18"/>
      <c r="D224" s="6">
        <v>22</v>
      </c>
      <c r="E224" s="18"/>
      <c r="F224" s="18"/>
      <c r="G224" s="75"/>
      <c r="H224" s="75"/>
      <c r="I224" s="18"/>
      <c r="J224" s="19">
        <f>D224</f>
        <v>22</v>
      </c>
      <c r="K224"/>
      <c r="N224" s="98"/>
    </row>
    <row r="225" spans="1:14">
      <c r="A225" s="22" t="s">
        <v>0</v>
      </c>
      <c r="B225" s="23" t="s">
        <v>6</v>
      </c>
      <c r="C225" s="6"/>
      <c r="D225" s="6"/>
      <c r="E225" s="6">
        <v>259</v>
      </c>
      <c r="F225" s="6"/>
      <c r="G225" s="76"/>
      <c r="H225" s="76"/>
      <c r="I225" s="6"/>
      <c r="J225" s="24">
        <f>E225+F225</f>
        <v>259</v>
      </c>
      <c r="K225"/>
      <c r="L225" s="20" t="s">
        <v>23</v>
      </c>
      <c r="M225" s="25" t="s">
        <v>2764</v>
      </c>
      <c r="N225" s="98"/>
    </row>
    <row r="226" spans="1:14">
      <c r="A226" s="22" t="s">
        <v>0</v>
      </c>
      <c r="B226" s="23" t="s">
        <v>13</v>
      </c>
      <c r="C226" s="6"/>
      <c r="D226" s="6"/>
      <c r="E226" s="6"/>
      <c r="F226" s="6"/>
      <c r="G226" s="76">
        <v>1</v>
      </c>
      <c r="H226" s="76">
        <v>60</v>
      </c>
      <c r="I226" s="6"/>
      <c r="J226" s="24">
        <f>G226+H226+I226</f>
        <v>61</v>
      </c>
      <c r="K226"/>
      <c r="L226" s="20">
        <v>175</v>
      </c>
      <c r="M226" s="25" t="s">
        <v>24</v>
      </c>
    </row>
    <row r="227" spans="1:14">
      <c r="A227" s="22" t="s">
        <v>0</v>
      </c>
      <c r="B227" s="23" t="s">
        <v>8</v>
      </c>
      <c r="C227" s="6"/>
      <c r="D227" s="6"/>
      <c r="E227" s="6"/>
      <c r="F227" s="6"/>
      <c r="G227" s="76">
        <v>75</v>
      </c>
      <c r="H227" s="76">
        <v>236</v>
      </c>
      <c r="I227" s="6"/>
      <c r="J227" s="24">
        <f>G227+H227+I227</f>
        <v>311</v>
      </c>
      <c r="K227"/>
      <c r="L227" s="20">
        <v>50</v>
      </c>
      <c r="M227" s="25" t="s">
        <v>25</v>
      </c>
      <c r="N227" s="98"/>
    </row>
    <row r="228" spans="1:14">
      <c r="A228" s="22" t="s">
        <v>0</v>
      </c>
      <c r="B228" s="23" t="s">
        <v>12</v>
      </c>
      <c r="C228" s="6"/>
      <c r="D228" s="6"/>
      <c r="E228" s="6"/>
      <c r="F228" s="6"/>
      <c r="G228" s="76"/>
      <c r="H228" s="76"/>
      <c r="I228" s="6"/>
      <c r="J228" s="24">
        <f>H228</f>
        <v>0</v>
      </c>
      <c r="K228"/>
      <c r="L228" s="20">
        <v>32</v>
      </c>
      <c r="M228" s="25" t="s">
        <v>26</v>
      </c>
    </row>
    <row r="229" spans="1:14">
      <c r="A229" s="22" t="s">
        <v>0</v>
      </c>
      <c r="B229" s="23" t="s">
        <v>14</v>
      </c>
      <c r="C229" s="6"/>
      <c r="D229" s="6"/>
      <c r="E229" s="6"/>
      <c r="F229" s="6"/>
      <c r="G229" s="76">
        <v>4</v>
      </c>
      <c r="H229" s="76">
        <v>39</v>
      </c>
      <c r="I229" s="6"/>
      <c r="J229" s="24">
        <f>G229+H229</f>
        <v>43</v>
      </c>
      <c r="K229"/>
      <c r="L229" s="20">
        <v>0</v>
      </c>
      <c r="M229" s="25" t="s">
        <v>27</v>
      </c>
    </row>
    <row r="230" spans="1:14" ht="13.5" thickBot="1">
      <c r="A230" s="27" t="s">
        <v>29</v>
      </c>
      <c r="B230" s="28"/>
      <c r="C230" s="29"/>
      <c r="D230" s="29">
        <f>SUM(D224:D229)</f>
        <v>22</v>
      </c>
      <c r="E230" s="29">
        <f>SUM(E224:E229)</f>
        <v>259</v>
      </c>
      <c r="F230" s="29">
        <f>SUM(F224:F229)</f>
        <v>0</v>
      </c>
      <c r="G230" s="29">
        <f>SUM(G224:G229)</f>
        <v>80</v>
      </c>
      <c r="H230" s="29">
        <f>SUM(H224:H229)</f>
        <v>335</v>
      </c>
      <c r="I230" s="29"/>
      <c r="J230" s="30">
        <f>SUM(J224:J229)</f>
        <v>696</v>
      </c>
      <c r="K230"/>
      <c r="L230" s="20">
        <v>1</v>
      </c>
      <c r="M230" s="25" t="s">
        <v>28</v>
      </c>
    </row>
    <row r="231" spans="1:14">
      <c r="A231" s="31" t="s">
        <v>7</v>
      </c>
      <c r="B231" s="32" t="s">
        <v>15</v>
      </c>
      <c r="C231" s="33"/>
      <c r="D231" s="33"/>
      <c r="E231" s="33"/>
      <c r="F231" s="33"/>
      <c r="G231" s="77"/>
      <c r="H231" s="77"/>
      <c r="I231" s="33"/>
      <c r="J231" s="34"/>
      <c r="K231"/>
      <c r="L231" s="20">
        <v>1</v>
      </c>
      <c r="M231" s="25" t="s">
        <v>30</v>
      </c>
    </row>
    <row r="232" spans="1:14">
      <c r="A232" s="31" t="s">
        <v>7</v>
      </c>
      <c r="B232" s="32" t="s">
        <v>8</v>
      </c>
      <c r="C232" s="33"/>
      <c r="D232" s="33"/>
      <c r="E232" s="33"/>
      <c r="F232" s="33"/>
      <c r="G232" s="77">
        <v>3</v>
      </c>
      <c r="H232" s="77">
        <v>20</v>
      </c>
      <c r="I232" s="33"/>
      <c r="J232" s="34">
        <f>G232+H232</f>
        <v>23</v>
      </c>
      <c r="K232"/>
      <c r="L232" s="35">
        <f>SUM(L226:L231)</f>
        <v>259</v>
      </c>
      <c r="M232" s="21"/>
    </row>
    <row r="233" spans="1:14" ht="13.5" thickBot="1">
      <c r="A233" s="27" t="s">
        <v>31</v>
      </c>
      <c r="B233" s="28"/>
      <c r="C233" s="29"/>
      <c r="D233" s="29"/>
      <c r="E233" s="29"/>
      <c r="F233" s="29"/>
      <c r="G233" s="29">
        <f>SUM(G231:G232)</f>
        <v>3</v>
      </c>
      <c r="H233" s="29">
        <f>SUM(H231:H232)</f>
        <v>20</v>
      </c>
      <c r="I233" s="29"/>
      <c r="J233" s="30">
        <f>SUM(J231:J232)</f>
        <v>23</v>
      </c>
      <c r="K233"/>
    </row>
    <row r="234" spans="1:14">
      <c r="A234" s="31" t="s">
        <v>105</v>
      </c>
      <c r="B234" s="32" t="s">
        <v>8</v>
      </c>
      <c r="C234" s="33"/>
      <c r="D234" s="33">
        <v>1</v>
      </c>
      <c r="E234" s="33"/>
      <c r="F234" s="33"/>
      <c r="G234" s="77">
        <v>5</v>
      </c>
      <c r="H234" s="77">
        <v>13</v>
      </c>
      <c r="I234" s="33"/>
      <c r="J234" s="34">
        <f>D234+G234+H234</f>
        <v>19</v>
      </c>
      <c r="K234"/>
    </row>
    <row r="235" spans="1:14" ht="13.5" thickBot="1">
      <c r="A235" s="27" t="s">
        <v>106</v>
      </c>
      <c r="B235" s="28"/>
      <c r="C235" s="29"/>
      <c r="D235" s="29">
        <f>SUM(D234:D234)</f>
        <v>1</v>
      </c>
      <c r="E235" s="29"/>
      <c r="F235" s="29"/>
      <c r="G235" s="29">
        <f>SUM(G234:G234)</f>
        <v>5</v>
      </c>
      <c r="H235" s="29">
        <f>SUM(H234:H234)</f>
        <v>13</v>
      </c>
      <c r="I235" s="29"/>
      <c r="J235" s="30">
        <f>SUM(J234:J234)</f>
        <v>19</v>
      </c>
      <c r="K235"/>
    </row>
    <row r="236" spans="1:14">
      <c r="A236" s="22" t="s">
        <v>108</v>
      </c>
      <c r="B236" s="32" t="s">
        <v>10</v>
      </c>
      <c r="C236" s="6"/>
      <c r="D236" s="6"/>
      <c r="E236" s="6"/>
      <c r="F236" s="6"/>
      <c r="G236" s="76"/>
      <c r="H236" s="76"/>
      <c r="I236" s="6"/>
      <c r="J236" s="24">
        <f>H236</f>
        <v>0</v>
      </c>
      <c r="K236"/>
    </row>
    <row r="237" spans="1:14">
      <c r="A237" s="22" t="s">
        <v>32</v>
      </c>
      <c r="B237" s="32" t="s">
        <v>33</v>
      </c>
      <c r="C237" s="6">
        <v>3</v>
      </c>
      <c r="D237" s="6"/>
      <c r="E237" s="6"/>
      <c r="F237" s="6"/>
      <c r="G237" s="76"/>
      <c r="H237" s="76"/>
      <c r="I237" s="6"/>
      <c r="J237" s="24">
        <f>C237</f>
        <v>3</v>
      </c>
      <c r="K237"/>
    </row>
    <row r="238" spans="1:14" ht="13.5" thickBot="1">
      <c r="A238" s="36" t="s">
        <v>34</v>
      </c>
      <c r="B238" s="37"/>
      <c r="C238" s="29">
        <f>SUM(C236:C237)</f>
        <v>3</v>
      </c>
      <c r="D238" s="29"/>
      <c r="E238" s="29"/>
      <c r="F238" s="29"/>
      <c r="G238" s="29"/>
      <c r="H238" s="29"/>
      <c r="I238" s="29"/>
      <c r="J238" s="30">
        <f>SUM(J236:J237)</f>
        <v>3</v>
      </c>
      <c r="K238"/>
    </row>
    <row r="239" spans="1:14" ht="13.5" thickBot="1">
      <c r="A239" s="78" t="s">
        <v>35</v>
      </c>
      <c r="B239" s="79"/>
      <c r="C239" s="80">
        <f t="shared" ref="C239:H239" si="9">C230+C233+C235+C238</f>
        <v>3</v>
      </c>
      <c r="D239" s="80">
        <f t="shared" si="9"/>
        <v>23</v>
      </c>
      <c r="E239" s="80">
        <f t="shared" si="9"/>
        <v>259</v>
      </c>
      <c r="F239" s="80">
        <f t="shared" si="9"/>
        <v>0</v>
      </c>
      <c r="G239" s="80">
        <f t="shared" si="9"/>
        <v>88</v>
      </c>
      <c r="H239" s="80">
        <f t="shared" si="9"/>
        <v>368</v>
      </c>
      <c r="I239" s="80"/>
      <c r="J239" s="80">
        <f>J230+J233+J235+J238</f>
        <v>741</v>
      </c>
      <c r="K239"/>
    </row>
    <row r="240" spans="1:14">
      <c r="B240" s="38" t="s">
        <v>36</v>
      </c>
      <c r="C240" s="39"/>
      <c r="L240" s="26"/>
    </row>
    <row r="241" spans="1:14">
      <c r="A241" s="7" t="s">
        <v>37</v>
      </c>
      <c r="B241" s="8">
        <f>D230+D233+D235+D238</f>
        <v>23</v>
      </c>
      <c r="C241" s="6"/>
    </row>
    <row r="242" spans="1:14">
      <c r="A242" s="7" t="s">
        <v>38</v>
      </c>
      <c r="B242" s="8">
        <f>E239</f>
        <v>259</v>
      </c>
      <c r="C242" s="6"/>
    </row>
    <row r="243" spans="1:14">
      <c r="A243" s="7" t="s">
        <v>2615</v>
      </c>
      <c r="B243" s="8">
        <f>F230+F233+F235+F238</f>
        <v>0</v>
      </c>
      <c r="C243" s="6"/>
    </row>
    <row r="244" spans="1:14">
      <c r="A244" s="7" t="s">
        <v>39</v>
      </c>
      <c r="B244" s="8">
        <f>J226</f>
        <v>61</v>
      </c>
      <c r="C244" s="6"/>
    </row>
    <row r="245" spans="1:14">
      <c r="A245" s="7" t="s">
        <v>40</v>
      </c>
      <c r="B245" s="8">
        <f>J227+J232+J234-D234</f>
        <v>352</v>
      </c>
      <c r="C245" s="6"/>
    </row>
    <row r="246" spans="1:14">
      <c r="A246" s="7" t="s">
        <v>41</v>
      </c>
      <c r="B246" s="8">
        <f>J228</f>
        <v>0</v>
      </c>
      <c r="C246" s="6"/>
    </row>
    <row r="247" spans="1:14">
      <c r="A247" s="7" t="s">
        <v>42</v>
      </c>
      <c r="B247" s="8">
        <f>J229</f>
        <v>43</v>
      </c>
      <c r="C247" s="6"/>
    </row>
    <row r="248" spans="1:14">
      <c r="A248" s="7" t="s">
        <v>43</v>
      </c>
      <c r="B248" s="8">
        <f>J236</f>
        <v>0</v>
      </c>
      <c r="C248" s="6"/>
    </row>
    <row r="249" spans="1:14">
      <c r="A249" s="7" t="s">
        <v>44</v>
      </c>
      <c r="B249" s="8">
        <f>J237</f>
        <v>3</v>
      </c>
      <c r="C249" s="6"/>
    </row>
    <row r="250" spans="1:14">
      <c r="A250" s="7"/>
      <c r="B250" s="81">
        <f>SUM(B241:B249)</f>
        <v>741</v>
      </c>
      <c r="C250" s="6"/>
    </row>
    <row r="252" spans="1:14" ht="13.5" thickBot="1"/>
    <row r="253" spans="1:14" ht="13.5" thickBot="1">
      <c r="A253" s="85" t="s">
        <v>3291</v>
      </c>
      <c r="B253" s="9"/>
    </row>
    <row r="254" spans="1:14" ht="13.5" thickBot="1">
      <c r="A254" s="11" t="s">
        <v>17</v>
      </c>
      <c r="B254" s="12" t="s">
        <v>18</v>
      </c>
      <c r="C254" s="13" t="s">
        <v>16</v>
      </c>
      <c r="D254" s="14" t="s">
        <v>15</v>
      </c>
      <c r="E254" s="14" t="s">
        <v>6</v>
      </c>
      <c r="F254" s="14" t="s">
        <v>19</v>
      </c>
      <c r="G254" s="74" t="s">
        <v>20</v>
      </c>
      <c r="H254" s="74" t="s">
        <v>21</v>
      </c>
      <c r="I254" s="14" t="s">
        <v>22</v>
      </c>
      <c r="J254" s="15" t="s">
        <v>9</v>
      </c>
      <c r="K254"/>
    </row>
    <row r="255" spans="1:14">
      <c r="A255" s="16" t="s">
        <v>0</v>
      </c>
      <c r="B255" s="17" t="s">
        <v>15</v>
      </c>
      <c r="C255" s="18"/>
      <c r="D255" s="6">
        <v>24</v>
      </c>
      <c r="E255" s="18"/>
      <c r="F255" s="18"/>
      <c r="G255" s="75"/>
      <c r="H255" s="75"/>
      <c r="I255" s="18"/>
      <c r="J255" s="19">
        <f>D255</f>
        <v>24</v>
      </c>
      <c r="K255"/>
      <c r="N255" s="98" t="s">
        <v>3292</v>
      </c>
    </row>
    <row r="256" spans="1:14">
      <c r="A256" s="22" t="s">
        <v>0</v>
      </c>
      <c r="B256" s="23" t="s">
        <v>6</v>
      </c>
      <c r="C256" s="6"/>
      <c r="D256" s="6"/>
      <c r="E256" s="6">
        <v>259</v>
      </c>
      <c r="F256" s="6"/>
      <c r="G256" s="76"/>
      <c r="H256" s="76"/>
      <c r="I256" s="6"/>
      <c r="J256" s="24">
        <f>E256+F256</f>
        <v>259</v>
      </c>
      <c r="K256"/>
      <c r="L256" s="20" t="s">
        <v>23</v>
      </c>
      <c r="M256" s="25" t="s">
        <v>2764</v>
      </c>
      <c r="N256" s="98"/>
    </row>
    <row r="257" spans="1:14">
      <c r="A257" s="22" t="s">
        <v>0</v>
      </c>
      <c r="B257" s="23" t="s">
        <v>13</v>
      </c>
      <c r="C257" s="6"/>
      <c r="D257" s="6"/>
      <c r="E257" s="6"/>
      <c r="F257" s="6"/>
      <c r="G257" s="76">
        <v>1</v>
      </c>
      <c r="H257" s="76">
        <v>60</v>
      </c>
      <c r="I257" s="6"/>
      <c r="J257" s="24">
        <f>G257+H257+I257</f>
        <v>61</v>
      </c>
      <c r="K257"/>
      <c r="L257" s="20">
        <v>175</v>
      </c>
      <c r="M257" s="25" t="s">
        <v>24</v>
      </c>
    </row>
    <row r="258" spans="1:14">
      <c r="A258" s="22" t="s">
        <v>0</v>
      </c>
      <c r="B258" s="23" t="s">
        <v>8</v>
      </c>
      <c r="C258" s="6"/>
      <c r="D258" s="6"/>
      <c r="E258" s="6"/>
      <c r="F258" s="6"/>
      <c r="G258" s="76">
        <v>74</v>
      </c>
      <c r="H258" s="76">
        <v>239</v>
      </c>
      <c r="I258" s="6"/>
      <c r="J258" s="24">
        <f>G258+H258+I258</f>
        <v>313</v>
      </c>
      <c r="K258"/>
      <c r="L258" s="20">
        <v>50</v>
      </c>
      <c r="M258" s="25" t="s">
        <v>25</v>
      </c>
      <c r="N258" s="98"/>
    </row>
    <row r="259" spans="1:14">
      <c r="A259" s="22" t="s">
        <v>0</v>
      </c>
      <c r="B259" s="23" t="s">
        <v>12</v>
      </c>
      <c r="C259" s="6"/>
      <c r="D259" s="6"/>
      <c r="E259" s="6"/>
      <c r="F259" s="6"/>
      <c r="G259" s="76"/>
      <c r="H259" s="76"/>
      <c r="I259" s="6"/>
      <c r="J259" s="24">
        <f>H259</f>
        <v>0</v>
      </c>
      <c r="K259"/>
      <c r="L259" s="20">
        <v>32</v>
      </c>
      <c r="M259" s="25" t="s">
        <v>26</v>
      </c>
    </row>
    <row r="260" spans="1:14">
      <c r="A260" s="22" t="s">
        <v>0</v>
      </c>
      <c r="B260" s="23" t="s">
        <v>14</v>
      </c>
      <c r="C260" s="6"/>
      <c r="D260" s="6"/>
      <c r="E260" s="6"/>
      <c r="F260" s="6"/>
      <c r="G260" s="76">
        <v>4</v>
      </c>
      <c r="H260" s="76">
        <v>39</v>
      </c>
      <c r="I260" s="6"/>
      <c r="J260" s="24">
        <f>G260+H260</f>
        <v>43</v>
      </c>
      <c r="K260"/>
      <c r="L260" s="20">
        <v>0</v>
      </c>
      <c r="M260" s="25" t="s">
        <v>27</v>
      </c>
    </row>
    <row r="261" spans="1:14" ht="13.5" thickBot="1">
      <c r="A261" s="27" t="s">
        <v>29</v>
      </c>
      <c r="B261" s="28"/>
      <c r="C261" s="29"/>
      <c r="D261" s="29">
        <f>SUM(D255:D260)</f>
        <v>24</v>
      </c>
      <c r="E261" s="29">
        <f>SUM(E255:E260)</f>
        <v>259</v>
      </c>
      <c r="F261" s="29">
        <f>SUM(F255:F260)</f>
        <v>0</v>
      </c>
      <c r="G261" s="29">
        <f>SUM(G255:G260)</f>
        <v>79</v>
      </c>
      <c r="H261" s="29">
        <f>SUM(H255:H260)</f>
        <v>338</v>
      </c>
      <c r="I261" s="29"/>
      <c r="J261" s="30">
        <f>SUM(J255:J260)</f>
        <v>700</v>
      </c>
      <c r="K261"/>
      <c r="L261" s="20">
        <v>1</v>
      </c>
      <c r="M261" s="25" t="s">
        <v>28</v>
      </c>
    </row>
    <row r="262" spans="1:14">
      <c r="A262" s="31" t="s">
        <v>7</v>
      </c>
      <c r="B262" s="32" t="s">
        <v>15</v>
      </c>
      <c r="C262" s="33"/>
      <c r="D262" s="33"/>
      <c r="E262" s="33"/>
      <c r="F262" s="33"/>
      <c r="G262" s="77"/>
      <c r="H262" s="77"/>
      <c r="I262" s="33"/>
      <c r="J262" s="34"/>
      <c r="K262"/>
      <c r="L262" s="20">
        <v>1</v>
      </c>
      <c r="M262" s="25" t="s">
        <v>30</v>
      </c>
    </row>
    <row r="263" spans="1:14">
      <c r="A263" s="31" t="s">
        <v>7</v>
      </c>
      <c r="B263" s="32" t="s">
        <v>8</v>
      </c>
      <c r="C263" s="33"/>
      <c r="D263" s="33"/>
      <c r="E263" s="33"/>
      <c r="F263" s="33"/>
      <c r="G263" s="77">
        <v>3</v>
      </c>
      <c r="H263" s="77">
        <v>20</v>
      </c>
      <c r="I263" s="33"/>
      <c r="J263" s="34">
        <f>G263+H263</f>
        <v>23</v>
      </c>
      <c r="K263"/>
      <c r="L263" s="35">
        <f>SUM(L257:L262)</f>
        <v>259</v>
      </c>
      <c r="M263" s="21"/>
    </row>
    <row r="264" spans="1:14" ht="13.5" thickBot="1">
      <c r="A264" s="27" t="s">
        <v>31</v>
      </c>
      <c r="B264" s="28"/>
      <c r="C264" s="29"/>
      <c r="D264" s="29"/>
      <c r="E264" s="29"/>
      <c r="F264" s="29"/>
      <c r="G264" s="29">
        <f>SUM(G262:G263)</f>
        <v>3</v>
      </c>
      <c r="H264" s="29">
        <f>SUM(H262:H263)</f>
        <v>20</v>
      </c>
      <c r="I264" s="29"/>
      <c r="J264" s="30">
        <f>SUM(J262:J263)</f>
        <v>23</v>
      </c>
      <c r="K264"/>
    </row>
    <row r="265" spans="1:14">
      <c r="A265" s="31" t="s">
        <v>105</v>
      </c>
      <c r="B265" s="32" t="s">
        <v>8</v>
      </c>
      <c r="C265" s="33"/>
      <c r="D265" s="33">
        <v>1</v>
      </c>
      <c r="E265" s="33"/>
      <c r="F265" s="33"/>
      <c r="G265" s="77">
        <v>5</v>
      </c>
      <c r="H265" s="77">
        <v>13</v>
      </c>
      <c r="I265" s="33"/>
      <c r="J265" s="34">
        <f>D265+G265+H265</f>
        <v>19</v>
      </c>
      <c r="K265"/>
    </row>
    <row r="266" spans="1:14" ht="13.5" thickBot="1">
      <c r="A266" s="27" t="s">
        <v>106</v>
      </c>
      <c r="B266" s="28"/>
      <c r="C266" s="29"/>
      <c r="D266" s="29">
        <f>SUM(D265:D265)</f>
        <v>1</v>
      </c>
      <c r="E266" s="29"/>
      <c r="F266" s="29"/>
      <c r="G266" s="29">
        <f>SUM(G265:G265)</f>
        <v>5</v>
      </c>
      <c r="H266" s="29">
        <f>SUM(H265:H265)</f>
        <v>13</v>
      </c>
      <c r="I266" s="29"/>
      <c r="J266" s="30">
        <f>SUM(J265:J265)</f>
        <v>19</v>
      </c>
      <c r="K266"/>
    </row>
    <row r="267" spans="1:14">
      <c r="A267" s="22" t="s">
        <v>108</v>
      </c>
      <c r="B267" s="32" t="s">
        <v>10</v>
      </c>
      <c r="C267" s="6"/>
      <c r="D267" s="6"/>
      <c r="E267" s="6"/>
      <c r="F267" s="6"/>
      <c r="G267" s="76"/>
      <c r="H267" s="76"/>
      <c r="I267" s="6"/>
      <c r="J267" s="24">
        <f>H267</f>
        <v>0</v>
      </c>
      <c r="K267"/>
    </row>
    <row r="268" spans="1:14">
      <c r="A268" s="22" t="s">
        <v>32</v>
      </c>
      <c r="B268" s="32" t="s">
        <v>33</v>
      </c>
      <c r="C268" s="6">
        <v>3</v>
      </c>
      <c r="D268" s="6"/>
      <c r="E268" s="6"/>
      <c r="F268" s="6"/>
      <c r="G268" s="76"/>
      <c r="H268" s="76"/>
      <c r="I268" s="6"/>
      <c r="J268" s="24">
        <f>C268</f>
        <v>3</v>
      </c>
      <c r="K268"/>
    </row>
    <row r="269" spans="1:14" ht="13.5" thickBot="1">
      <c r="A269" s="36" t="s">
        <v>34</v>
      </c>
      <c r="B269" s="37"/>
      <c r="C269" s="29">
        <f>SUM(C267:C268)</f>
        <v>3</v>
      </c>
      <c r="D269" s="29"/>
      <c r="E269" s="29"/>
      <c r="F269" s="29"/>
      <c r="G269" s="29"/>
      <c r="H269" s="29"/>
      <c r="I269" s="29"/>
      <c r="J269" s="30">
        <f>SUM(J267:J268)</f>
        <v>3</v>
      </c>
      <c r="K269"/>
    </row>
    <row r="270" spans="1:14" ht="13.5" thickBot="1">
      <c r="A270" s="78" t="s">
        <v>35</v>
      </c>
      <c r="B270" s="79"/>
      <c r="C270" s="80">
        <f t="shared" ref="C270:H270" si="10">C261+C264+C266+C269</f>
        <v>3</v>
      </c>
      <c r="D270" s="80">
        <f t="shared" si="10"/>
        <v>25</v>
      </c>
      <c r="E270" s="80">
        <f t="shared" si="10"/>
        <v>259</v>
      </c>
      <c r="F270" s="80">
        <f t="shared" si="10"/>
        <v>0</v>
      </c>
      <c r="G270" s="80">
        <f t="shared" si="10"/>
        <v>87</v>
      </c>
      <c r="H270" s="80">
        <f t="shared" si="10"/>
        <v>371</v>
      </c>
      <c r="I270" s="80"/>
      <c r="J270" s="80">
        <f>J261+J264+J266+J269</f>
        <v>745</v>
      </c>
      <c r="K270"/>
    </row>
    <row r="271" spans="1:14">
      <c r="B271" s="38" t="s">
        <v>36</v>
      </c>
      <c r="C271" s="39"/>
      <c r="L271" s="26"/>
    </row>
    <row r="272" spans="1:14">
      <c r="A272" s="7" t="s">
        <v>37</v>
      </c>
      <c r="B272" s="8">
        <f>D261+D264+D266+D269</f>
        <v>25</v>
      </c>
      <c r="C272" s="6"/>
    </row>
    <row r="273" spans="1:14">
      <c r="A273" s="7" t="s">
        <v>38</v>
      </c>
      <c r="B273" s="8">
        <f>E270</f>
        <v>259</v>
      </c>
      <c r="C273" s="6"/>
    </row>
    <row r="274" spans="1:14">
      <c r="A274" s="7" t="s">
        <v>2615</v>
      </c>
      <c r="B274" s="8">
        <f>F261+F264+F266+F269</f>
        <v>0</v>
      </c>
      <c r="C274" s="6"/>
    </row>
    <row r="275" spans="1:14">
      <c r="A275" s="7" t="s">
        <v>39</v>
      </c>
      <c r="B275" s="8">
        <f>J257</f>
        <v>61</v>
      </c>
      <c r="C275" s="6"/>
    </row>
    <row r="276" spans="1:14">
      <c r="A276" s="7" t="s">
        <v>40</v>
      </c>
      <c r="B276" s="8">
        <f>J258+J263+J265-D265</f>
        <v>354</v>
      </c>
      <c r="C276" s="6"/>
    </row>
    <row r="277" spans="1:14">
      <c r="A277" s="7" t="s">
        <v>41</v>
      </c>
      <c r="B277" s="8">
        <f>J259</f>
        <v>0</v>
      </c>
      <c r="C277" s="6"/>
    </row>
    <row r="278" spans="1:14">
      <c r="A278" s="7" t="s">
        <v>42</v>
      </c>
      <c r="B278" s="8">
        <f>J260</f>
        <v>43</v>
      </c>
      <c r="C278" s="6"/>
    </row>
    <row r="279" spans="1:14">
      <c r="A279" s="7" t="s">
        <v>43</v>
      </c>
      <c r="B279" s="8">
        <f>J267</f>
        <v>0</v>
      </c>
      <c r="C279" s="6"/>
    </row>
    <row r="280" spans="1:14">
      <c r="A280" s="7" t="s">
        <v>44</v>
      </c>
      <c r="B280" s="8">
        <f>J268</f>
        <v>3</v>
      </c>
      <c r="C280" s="6"/>
    </row>
    <row r="281" spans="1:14">
      <c r="A281" s="7"/>
      <c r="B281" s="81">
        <f>SUM(B272:B280)</f>
        <v>745</v>
      </c>
      <c r="C281" s="6"/>
    </row>
    <row r="283" spans="1:14" ht="13.5" thickBot="1"/>
    <row r="284" spans="1:14" ht="13.5" thickBot="1">
      <c r="A284" s="85" t="s">
        <v>3287</v>
      </c>
      <c r="B284" s="9"/>
    </row>
    <row r="285" spans="1:14" ht="13.5" thickBot="1">
      <c r="A285" s="11" t="s">
        <v>17</v>
      </c>
      <c r="B285" s="12" t="s">
        <v>18</v>
      </c>
      <c r="C285" s="13" t="s">
        <v>16</v>
      </c>
      <c r="D285" s="14" t="s">
        <v>15</v>
      </c>
      <c r="E285" s="14" t="s">
        <v>6</v>
      </c>
      <c r="F285" s="14" t="s">
        <v>19</v>
      </c>
      <c r="G285" s="74" t="s">
        <v>20</v>
      </c>
      <c r="H285" s="74" t="s">
        <v>21</v>
      </c>
      <c r="I285" s="14" t="s">
        <v>22</v>
      </c>
      <c r="J285" s="15" t="s">
        <v>9</v>
      </c>
      <c r="K285"/>
    </row>
    <row r="286" spans="1:14">
      <c r="A286" s="16" t="s">
        <v>0</v>
      </c>
      <c r="B286" s="17" t="s">
        <v>15</v>
      </c>
      <c r="C286" s="18"/>
      <c r="D286" s="6">
        <v>26</v>
      </c>
      <c r="E286" s="18"/>
      <c r="F286" s="18"/>
      <c r="G286" s="75"/>
      <c r="H286" s="75"/>
      <c r="I286" s="18"/>
      <c r="J286" s="19">
        <f>D286</f>
        <v>26</v>
      </c>
      <c r="K286"/>
    </row>
    <row r="287" spans="1:14">
      <c r="A287" s="22" t="s">
        <v>0</v>
      </c>
      <c r="B287" s="23" t="s">
        <v>6</v>
      </c>
      <c r="C287" s="6"/>
      <c r="D287" s="6"/>
      <c r="E287" s="6">
        <v>260</v>
      </c>
      <c r="F287" s="6"/>
      <c r="G287" s="76"/>
      <c r="H287" s="76"/>
      <c r="I287" s="6"/>
      <c r="J287" s="24">
        <f>E287+F287</f>
        <v>260</v>
      </c>
      <c r="K287"/>
      <c r="L287" s="20" t="s">
        <v>23</v>
      </c>
      <c r="M287" s="25" t="s">
        <v>2764</v>
      </c>
      <c r="N287" s="98"/>
    </row>
    <row r="288" spans="1:14">
      <c r="A288" s="22" t="s">
        <v>0</v>
      </c>
      <c r="B288" s="23" t="s">
        <v>13</v>
      </c>
      <c r="C288" s="6"/>
      <c r="D288" s="6"/>
      <c r="E288" s="6"/>
      <c r="F288" s="6"/>
      <c r="G288" s="76">
        <v>1</v>
      </c>
      <c r="H288" s="76">
        <v>60</v>
      </c>
      <c r="I288" s="6"/>
      <c r="J288" s="24">
        <f>G288+H288+I288</f>
        <v>61</v>
      </c>
      <c r="K288"/>
      <c r="L288" s="20">
        <v>176</v>
      </c>
      <c r="M288" s="25" t="s">
        <v>24</v>
      </c>
    </row>
    <row r="289" spans="1:14">
      <c r="A289" s="22" t="s">
        <v>0</v>
      </c>
      <c r="B289" s="23" t="s">
        <v>8</v>
      </c>
      <c r="C289" s="6"/>
      <c r="D289" s="6"/>
      <c r="E289" s="6"/>
      <c r="F289" s="6"/>
      <c r="G289" s="76">
        <v>74</v>
      </c>
      <c r="H289" s="76">
        <v>239</v>
      </c>
      <c r="I289" s="6"/>
      <c r="J289" s="24">
        <f>G289+H289+I289</f>
        <v>313</v>
      </c>
      <c r="K289"/>
      <c r="L289" s="20">
        <v>50</v>
      </c>
      <c r="M289" s="25" t="s">
        <v>25</v>
      </c>
      <c r="N289" s="98"/>
    </row>
    <row r="290" spans="1:14">
      <c r="A290" s="22" t="s">
        <v>0</v>
      </c>
      <c r="B290" s="23" t="s">
        <v>12</v>
      </c>
      <c r="C290" s="6"/>
      <c r="D290" s="6"/>
      <c r="E290" s="6"/>
      <c r="F290" s="6"/>
      <c r="G290" s="76"/>
      <c r="H290" s="76"/>
      <c r="I290" s="6"/>
      <c r="J290" s="24">
        <f>H290</f>
        <v>0</v>
      </c>
      <c r="K290"/>
      <c r="L290" s="20">
        <v>32</v>
      </c>
      <c r="M290" s="25" t="s">
        <v>26</v>
      </c>
    </row>
    <row r="291" spans="1:14">
      <c r="A291" s="22" t="s">
        <v>0</v>
      </c>
      <c r="B291" s="23" t="s">
        <v>14</v>
      </c>
      <c r="C291" s="6"/>
      <c r="D291" s="6"/>
      <c r="E291" s="6"/>
      <c r="F291" s="6"/>
      <c r="G291" s="76">
        <v>4</v>
      </c>
      <c r="H291" s="76">
        <v>39</v>
      </c>
      <c r="I291" s="6"/>
      <c r="J291" s="24">
        <f>G291+H291</f>
        <v>43</v>
      </c>
      <c r="K291"/>
      <c r="L291" s="20">
        <v>0</v>
      </c>
      <c r="M291" s="25" t="s">
        <v>27</v>
      </c>
    </row>
    <row r="292" spans="1:14" ht="13.5" thickBot="1">
      <c r="A292" s="27" t="s">
        <v>29</v>
      </c>
      <c r="B292" s="28"/>
      <c r="C292" s="29"/>
      <c r="D292" s="29">
        <f>SUM(D286:D291)</f>
        <v>26</v>
      </c>
      <c r="E292" s="29">
        <f>SUM(E286:E291)</f>
        <v>260</v>
      </c>
      <c r="F292" s="29">
        <f>SUM(F286:F291)</f>
        <v>0</v>
      </c>
      <c r="G292" s="29">
        <f>SUM(G286:G291)</f>
        <v>79</v>
      </c>
      <c r="H292" s="29">
        <f>SUM(H286:H291)</f>
        <v>338</v>
      </c>
      <c r="I292" s="29"/>
      <c r="J292" s="30">
        <f>SUM(J286:J291)</f>
        <v>703</v>
      </c>
      <c r="K292"/>
      <c r="L292" s="20">
        <v>1</v>
      </c>
      <c r="M292" s="25" t="s">
        <v>28</v>
      </c>
    </row>
    <row r="293" spans="1:14">
      <c r="A293" s="31" t="s">
        <v>7</v>
      </c>
      <c r="B293" s="32" t="s">
        <v>15</v>
      </c>
      <c r="C293" s="33"/>
      <c r="D293" s="33"/>
      <c r="E293" s="33"/>
      <c r="F293" s="33"/>
      <c r="G293" s="77"/>
      <c r="H293" s="77"/>
      <c r="I293" s="33"/>
      <c r="J293" s="34"/>
      <c r="K293"/>
      <c r="L293" s="20">
        <v>1</v>
      </c>
      <c r="M293" s="25" t="s">
        <v>30</v>
      </c>
    </row>
    <row r="294" spans="1:14">
      <c r="A294" s="31" t="s">
        <v>7</v>
      </c>
      <c r="B294" s="32" t="s">
        <v>8</v>
      </c>
      <c r="C294" s="33"/>
      <c r="D294" s="33"/>
      <c r="E294" s="33"/>
      <c r="F294" s="33"/>
      <c r="G294" s="77">
        <v>3</v>
      </c>
      <c r="H294" s="77">
        <v>22</v>
      </c>
      <c r="I294" s="33"/>
      <c r="J294" s="34">
        <f>G294+H294</f>
        <v>25</v>
      </c>
      <c r="K294"/>
      <c r="L294" s="35">
        <f>SUM(L288:L293)</f>
        <v>260</v>
      </c>
      <c r="M294" s="21"/>
    </row>
    <row r="295" spans="1:14" ht="13.5" thickBot="1">
      <c r="A295" s="27" t="s">
        <v>31</v>
      </c>
      <c r="B295" s="28"/>
      <c r="C295" s="29"/>
      <c r="D295" s="29"/>
      <c r="E295" s="29"/>
      <c r="F295" s="29"/>
      <c r="G295" s="29">
        <f>SUM(G293:G294)</f>
        <v>3</v>
      </c>
      <c r="H295" s="29">
        <f>SUM(H293:H294)</f>
        <v>22</v>
      </c>
      <c r="I295" s="29"/>
      <c r="J295" s="30">
        <f>SUM(J293:J294)</f>
        <v>25</v>
      </c>
      <c r="K295"/>
    </row>
    <row r="296" spans="1:14">
      <c r="A296" s="31" t="s">
        <v>105</v>
      </c>
      <c r="B296" s="32" t="s">
        <v>8</v>
      </c>
      <c r="C296" s="33"/>
      <c r="D296" s="33">
        <v>1</v>
      </c>
      <c r="E296" s="33"/>
      <c r="F296" s="33"/>
      <c r="G296" s="77">
        <v>5</v>
      </c>
      <c r="H296" s="77">
        <v>13</v>
      </c>
      <c r="I296" s="33"/>
      <c r="J296" s="34">
        <f>D296+G296+H296</f>
        <v>19</v>
      </c>
      <c r="K296"/>
    </row>
    <row r="297" spans="1:14" ht="13.5" thickBot="1">
      <c r="A297" s="27" t="s">
        <v>106</v>
      </c>
      <c r="B297" s="28"/>
      <c r="C297" s="29"/>
      <c r="D297" s="29">
        <f>SUM(D296:D296)</f>
        <v>1</v>
      </c>
      <c r="E297" s="29"/>
      <c r="F297" s="29"/>
      <c r="G297" s="29">
        <f>SUM(G296:G296)</f>
        <v>5</v>
      </c>
      <c r="H297" s="29">
        <f>SUM(H296:H296)</f>
        <v>13</v>
      </c>
      <c r="I297" s="29"/>
      <c r="J297" s="30">
        <f>SUM(J296:J296)</f>
        <v>19</v>
      </c>
      <c r="K297"/>
    </row>
    <row r="298" spans="1:14">
      <c r="A298" s="22" t="s">
        <v>108</v>
      </c>
      <c r="B298" s="32" t="s">
        <v>10</v>
      </c>
      <c r="C298" s="6"/>
      <c r="D298" s="6"/>
      <c r="E298" s="6"/>
      <c r="F298" s="6"/>
      <c r="G298" s="76"/>
      <c r="H298" s="76"/>
      <c r="I298" s="6"/>
      <c r="J298" s="24">
        <f>H298</f>
        <v>0</v>
      </c>
      <c r="K298"/>
    </row>
    <row r="299" spans="1:14">
      <c r="A299" s="22" t="s">
        <v>32</v>
      </c>
      <c r="B299" s="32" t="s">
        <v>33</v>
      </c>
      <c r="C299" s="6">
        <v>3</v>
      </c>
      <c r="D299" s="6"/>
      <c r="E299" s="6"/>
      <c r="F299" s="6"/>
      <c r="G299" s="76"/>
      <c r="H299" s="76"/>
      <c r="I299" s="6"/>
      <c r="J299" s="24">
        <f>C299</f>
        <v>3</v>
      </c>
      <c r="K299"/>
    </row>
    <row r="300" spans="1:14" ht="13.5" thickBot="1">
      <c r="A300" s="36" t="s">
        <v>34</v>
      </c>
      <c r="B300" s="37"/>
      <c r="C300" s="29">
        <f>SUM(C298:C299)</f>
        <v>3</v>
      </c>
      <c r="D300" s="29"/>
      <c r="E300" s="29"/>
      <c r="F300" s="29"/>
      <c r="G300" s="29"/>
      <c r="H300" s="29"/>
      <c r="I300" s="29"/>
      <c r="J300" s="30">
        <f>SUM(J298:J299)</f>
        <v>3</v>
      </c>
      <c r="K300"/>
    </row>
    <row r="301" spans="1:14" ht="13.5" thickBot="1">
      <c r="A301" s="78" t="s">
        <v>35</v>
      </c>
      <c r="B301" s="79"/>
      <c r="C301" s="80">
        <f t="shared" ref="C301:H301" si="11">C292+C295+C297+C300</f>
        <v>3</v>
      </c>
      <c r="D301" s="80">
        <f t="shared" si="11"/>
        <v>27</v>
      </c>
      <c r="E301" s="80">
        <f t="shared" si="11"/>
        <v>260</v>
      </c>
      <c r="F301" s="80">
        <f t="shared" si="11"/>
        <v>0</v>
      </c>
      <c r="G301" s="80">
        <f t="shared" si="11"/>
        <v>87</v>
      </c>
      <c r="H301" s="80">
        <f t="shared" si="11"/>
        <v>373</v>
      </c>
      <c r="I301" s="80"/>
      <c r="J301" s="80">
        <f>J292+J295+J297+J300</f>
        <v>750</v>
      </c>
      <c r="K301"/>
    </row>
    <row r="302" spans="1:14">
      <c r="B302" s="38" t="s">
        <v>36</v>
      </c>
      <c r="C302" s="39"/>
      <c r="L302" s="26"/>
    </row>
    <row r="303" spans="1:14">
      <c r="A303" s="7" t="s">
        <v>37</v>
      </c>
      <c r="B303" s="8">
        <f>D292+D295+D297+D300</f>
        <v>27</v>
      </c>
      <c r="C303" s="6"/>
    </row>
    <row r="304" spans="1:14">
      <c r="A304" s="7" t="s">
        <v>38</v>
      </c>
      <c r="B304" s="8">
        <f>E301</f>
        <v>260</v>
      </c>
      <c r="C304" s="6"/>
    </row>
    <row r="305" spans="1:14">
      <c r="A305" s="7" t="s">
        <v>2615</v>
      </c>
      <c r="B305" s="8">
        <f>F292+F295+F297+F300</f>
        <v>0</v>
      </c>
      <c r="C305" s="6"/>
    </row>
    <row r="306" spans="1:14">
      <c r="A306" s="7" t="s">
        <v>39</v>
      </c>
      <c r="B306" s="8">
        <f>J288</f>
        <v>61</v>
      </c>
      <c r="C306" s="6"/>
    </row>
    <row r="307" spans="1:14">
      <c r="A307" s="7" t="s">
        <v>40</v>
      </c>
      <c r="B307" s="8">
        <f>J289+J294+J296-D296</f>
        <v>356</v>
      </c>
      <c r="C307" s="6"/>
    </row>
    <row r="308" spans="1:14">
      <c r="A308" s="7" t="s">
        <v>41</v>
      </c>
      <c r="B308" s="8">
        <f>J290</f>
        <v>0</v>
      </c>
      <c r="C308" s="6"/>
    </row>
    <row r="309" spans="1:14">
      <c r="A309" s="7" t="s">
        <v>42</v>
      </c>
      <c r="B309" s="8">
        <f>J291</f>
        <v>43</v>
      </c>
      <c r="C309" s="6"/>
    </row>
    <row r="310" spans="1:14">
      <c r="A310" s="7" t="s">
        <v>43</v>
      </c>
      <c r="B310" s="8">
        <f>J298</f>
        <v>0</v>
      </c>
      <c r="C310" s="6"/>
    </row>
    <row r="311" spans="1:14">
      <c r="A311" s="7" t="s">
        <v>44</v>
      </c>
      <c r="B311" s="8">
        <f>J299</f>
        <v>3</v>
      </c>
      <c r="C311" s="6"/>
    </row>
    <row r="312" spans="1:14">
      <c r="A312" s="7"/>
      <c r="B312" s="81">
        <f>SUM(B303:B311)</f>
        <v>750</v>
      </c>
      <c r="C312" s="6"/>
    </row>
    <row r="314" spans="1:14" ht="13.5" thickBot="1"/>
    <row r="315" spans="1:14" ht="13.5" thickBot="1">
      <c r="A315" s="85" t="s">
        <v>3283</v>
      </c>
      <c r="B315" s="9"/>
    </row>
    <row r="316" spans="1:14" ht="13.5" thickBot="1">
      <c r="A316" s="11" t="s">
        <v>17</v>
      </c>
      <c r="B316" s="12" t="s">
        <v>18</v>
      </c>
      <c r="C316" s="13" t="s">
        <v>16</v>
      </c>
      <c r="D316" s="14" t="s">
        <v>15</v>
      </c>
      <c r="E316" s="14" t="s">
        <v>6</v>
      </c>
      <c r="F316" s="14" t="s">
        <v>19</v>
      </c>
      <c r="G316" s="74" t="s">
        <v>20</v>
      </c>
      <c r="H316" s="74" t="s">
        <v>21</v>
      </c>
      <c r="I316" s="14" t="s">
        <v>22</v>
      </c>
      <c r="J316" s="15" t="s">
        <v>9</v>
      </c>
      <c r="K316"/>
    </row>
    <row r="317" spans="1:14">
      <c r="A317" s="16" t="s">
        <v>0</v>
      </c>
      <c r="B317" s="17" t="s">
        <v>15</v>
      </c>
      <c r="C317" s="18"/>
      <c r="D317" s="6">
        <v>26</v>
      </c>
      <c r="E317" s="18"/>
      <c r="F317" s="18"/>
      <c r="G317" s="75"/>
      <c r="H317" s="75"/>
      <c r="I317" s="18"/>
      <c r="J317" s="19">
        <f>D317</f>
        <v>26</v>
      </c>
      <c r="K317"/>
    </row>
    <row r="318" spans="1:14">
      <c r="A318" s="22" t="s">
        <v>0</v>
      </c>
      <c r="B318" s="23" t="s">
        <v>6</v>
      </c>
      <c r="C318" s="6"/>
      <c r="D318" s="6"/>
      <c r="E318" s="6">
        <v>260</v>
      </c>
      <c r="F318" s="6"/>
      <c r="G318" s="76"/>
      <c r="H318" s="76"/>
      <c r="I318" s="6"/>
      <c r="J318" s="24">
        <f>E318+F318</f>
        <v>260</v>
      </c>
      <c r="K318"/>
      <c r="L318" s="20" t="s">
        <v>23</v>
      </c>
      <c r="M318" s="25" t="s">
        <v>2764</v>
      </c>
      <c r="N318" s="98"/>
    </row>
    <row r="319" spans="1:14">
      <c r="A319" s="22" t="s">
        <v>0</v>
      </c>
      <c r="B319" s="23" t="s">
        <v>13</v>
      </c>
      <c r="C319" s="6"/>
      <c r="D319" s="6"/>
      <c r="E319" s="6"/>
      <c r="F319" s="6"/>
      <c r="G319" s="76">
        <v>1</v>
      </c>
      <c r="H319" s="76">
        <v>60</v>
      </c>
      <c r="I319" s="6"/>
      <c r="J319" s="24">
        <f>G319+H319+I319</f>
        <v>61</v>
      </c>
      <c r="K319"/>
      <c r="L319" s="20">
        <v>176</v>
      </c>
      <c r="M319" s="25" t="s">
        <v>24</v>
      </c>
    </row>
    <row r="320" spans="1:14">
      <c r="A320" s="22" t="s">
        <v>0</v>
      </c>
      <c r="B320" s="23" t="s">
        <v>8</v>
      </c>
      <c r="C320" s="6"/>
      <c r="D320" s="6"/>
      <c r="E320" s="6"/>
      <c r="F320" s="6"/>
      <c r="G320" s="76">
        <v>71</v>
      </c>
      <c r="H320" s="76">
        <v>243</v>
      </c>
      <c r="I320" s="6"/>
      <c r="J320" s="24">
        <f>G320+H320+I320</f>
        <v>314</v>
      </c>
      <c r="K320"/>
      <c r="L320" s="20">
        <v>50</v>
      </c>
      <c r="M320" s="25" t="s">
        <v>25</v>
      </c>
      <c r="N320" s="98"/>
    </row>
    <row r="321" spans="1:13">
      <c r="A321" s="22" t="s">
        <v>0</v>
      </c>
      <c r="B321" s="23" t="s">
        <v>12</v>
      </c>
      <c r="C321" s="6"/>
      <c r="D321" s="6"/>
      <c r="E321" s="6"/>
      <c r="F321" s="6"/>
      <c r="G321" s="76"/>
      <c r="H321" s="76"/>
      <c r="I321" s="6"/>
      <c r="J321" s="24">
        <f>H321</f>
        <v>0</v>
      </c>
      <c r="K321"/>
      <c r="L321" s="20">
        <v>32</v>
      </c>
      <c r="M321" s="25" t="s">
        <v>26</v>
      </c>
    </row>
    <row r="322" spans="1:13">
      <c r="A322" s="22" t="s">
        <v>0</v>
      </c>
      <c r="B322" s="23" t="s">
        <v>14</v>
      </c>
      <c r="C322" s="6"/>
      <c r="D322" s="6"/>
      <c r="E322" s="6"/>
      <c r="F322" s="6"/>
      <c r="G322" s="76">
        <v>4</v>
      </c>
      <c r="H322" s="76">
        <v>39</v>
      </c>
      <c r="I322" s="6"/>
      <c r="J322" s="24">
        <f>G322+H322</f>
        <v>43</v>
      </c>
      <c r="K322"/>
      <c r="L322" s="20">
        <v>0</v>
      </c>
      <c r="M322" s="25" t="s">
        <v>27</v>
      </c>
    </row>
    <row r="323" spans="1:13" ht="13.5" thickBot="1">
      <c r="A323" s="27" t="s">
        <v>29</v>
      </c>
      <c r="B323" s="28"/>
      <c r="C323" s="29"/>
      <c r="D323" s="29">
        <f>SUM(D317:D322)</f>
        <v>26</v>
      </c>
      <c r="E323" s="29">
        <f>SUM(E317:E322)</f>
        <v>260</v>
      </c>
      <c r="F323" s="29">
        <f>SUM(F317:F322)</f>
        <v>0</v>
      </c>
      <c r="G323" s="29">
        <f>SUM(G317:G322)</f>
        <v>76</v>
      </c>
      <c r="H323" s="29">
        <f>SUM(H317:H322)</f>
        <v>342</v>
      </c>
      <c r="I323" s="29"/>
      <c r="J323" s="30">
        <f>SUM(J317:J322)</f>
        <v>704</v>
      </c>
      <c r="K323"/>
      <c r="L323" s="20">
        <v>1</v>
      </c>
      <c r="M323" s="25" t="s">
        <v>28</v>
      </c>
    </row>
    <row r="324" spans="1:13">
      <c r="A324" s="31" t="s">
        <v>7</v>
      </c>
      <c r="B324" s="32" t="s">
        <v>15</v>
      </c>
      <c r="C324" s="33"/>
      <c r="D324" s="33"/>
      <c r="E324" s="33"/>
      <c r="F324" s="33"/>
      <c r="G324" s="77"/>
      <c r="H324" s="77"/>
      <c r="I324" s="33"/>
      <c r="J324" s="34"/>
      <c r="K324"/>
      <c r="L324" s="20">
        <v>1</v>
      </c>
      <c r="M324" s="25" t="s">
        <v>30</v>
      </c>
    </row>
    <row r="325" spans="1:13">
      <c r="A325" s="31" t="s">
        <v>7</v>
      </c>
      <c r="B325" s="32" t="s">
        <v>8</v>
      </c>
      <c r="C325" s="33"/>
      <c r="D325" s="33"/>
      <c r="E325" s="33"/>
      <c r="F325" s="33"/>
      <c r="G325" s="77">
        <v>3</v>
      </c>
      <c r="H325" s="77">
        <v>23</v>
      </c>
      <c r="I325" s="33"/>
      <c r="J325" s="34">
        <f>G325+H325</f>
        <v>26</v>
      </c>
      <c r="K325"/>
      <c r="L325" s="35">
        <f>SUM(L319:L324)</f>
        <v>260</v>
      </c>
      <c r="M325" s="21"/>
    </row>
    <row r="326" spans="1:13" ht="13.5" thickBot="1">
      <c r="A326" s="27" t="s">
        <v>31</v>
      </c>
      <c r="B326" s="28"/>
      <c r="C326" s="29"/>
      <c r="D326" s="29"/>
      <c r="E326" s="29"/>
      <c r="F326" s="29"/>
      <c r="G326" s="29">
        <f>SUM(G324:G325)</f>
        <v>3</v>
      </c>
      <c r="H326" s="29">
        <f>SUM(H324:H325)</f>
        <v>23</v>
      </c>
      <c r="I326" s="29"/>
      <c r="J326" s="30">
        <f>SUM(J324:J325)</f>
        <v>26</v>
      </c>
      <c r="K326"/>
    </row>
    <row r="327" spans="1:13">
      <c r="A327" s="31" t="s">
        <v>105</v>
      </c>
      <c r="B327" s="32" t="s">
        <v>8</v>
      </c>
      <c r="C327" s="33"/>
      <c r="D327" s="33">
        <v>1</v>
      </c>
      <c r="E327" s="33"/>
      <c r="F327" s="33"/>
      <c r="G327" s="77">
        <v>5</v>
      </c>
      <c r="H327" s="77">
        <v>13</v>
      </c>
      <c r="I327" s="33"/>
      <c r="J327" s="34">
        <f>D327+G327+H327</f>
        <v>19</v>
      </c>
      <c r="K327"/>
    </row>
    <row r="328" spans="1:13" ht="13.5" thickBot="1">
      <c r="A328" s="27" t="s">
        <v>106</v>
      </c>
      <c r="B328" s="28"/>
      <c r="C328" s="29"/>
      <c r="D328" s="29">
        <f>SUM(D327:D327)</f>
        <v>1</v>
      </c>
      <c r="E328" s="29"/>
      <c r="F328" s="29"/>
      <c r="G328" s="29">
        <f>SUM(G327:G327)</f>
        <v>5</v>
      </c>
      <c r="H328" s="29">
        <f>SUM(H327:H327)</f>
        <v>13</v>
      </c>
      <c r="I328" s="29"/>
      <c r="J328" s="30">
        <f>SUM(J327:J327)</f>
        <v>19</v>
      </c>
      <c r="K328"/>
    </row>
    <row r="329" spans="1:13">
      <c r="A329" s="22" t="s">
        <v>108</v>
      </c>
      <c r="B329" s="32" t="s">
        <v>10</v>
      </c>
      <c r="C329" s="6"/>
      <c r="D329" s="6"/>
      <c r="E329" s="6"/>
      <c r="F329" s="6"/>
      <c r="G329" s="76"/>
      <c r="H329" s="76"/>
      <c r="I329" s="6"/>
      <c r="J329" s="24">
        <f>H329</f>
        <v>0</v>
      </c>
      <c r="K329"/>
    </row>
    <row r="330" spans="1:13">
      <c r="A330" s="22" t="s">
        <v>32</v>
      </c>
      <c r="B330" s="32" t="s">
        <v>33</v>
      </c>
      <c r="C330" s="6">
        <v>3</v>
      </c>
      <c r="D330" s="6"/>
      <c r="E330" s="6"/>
      <c r="F330" s="6"/>
      <c r="G330" s="76"/>
      <c r="H330" s="76"/>
      <c r="I330" s="6"/>
      <c r="J330" s="24">
        <f>C330</f>
        <v>3</v>
      </c>
      <c r="K330"/>
    </row>
    <row r="331" spans="1:13" ht="13.5" thickBot="1">
      <c r="A331" s="36" t="s">
        <v>34</v>
      </c>
      <c r="B331" s="37"/>
      <c r="C331" s="29">
        <f>SUM(C329:C330)</f>
        <v>3</v>
      </c>
      <c r="D331" s="29"/>
      <c r="E331" s="29"/>
      <c r="F331" s="29"/>
      <c r="G331" s="29"/>
      <c r="H331" s="29"/>
      <c r="I331" s="29"/>
      <c r="J331" s="30">
        <f>SUM(J329:J330)</f>
        <v>3</v>
      </c>
      <c r="K331"/>
    </row>
    <row r="332" spans="1:13" ht="13.5" thickBot="1">
      <c r="A332" s="78" t="s">
        <v>35</v>
      </c>
      <c r="B332" s="79"/>
      <c r="C332" s="80">
        <f t="shared" ref="C332:H332" si="12">C323+C326+C328+C331</f>
        <v>3</v>
      </c>
      <c r="D332" s="80">
        <f t="shared" si="12"/>
        <v>27</v>
      </c>
      <c r="E332" s="80">
        <f t="shared" si="12"/>
        <v>260</v>
      </c>
      <c r="F332" s="80">
        <f t="shared" si="12"/>
        <v>0</v>
      </c>
      <c r="G332" s="80">
        <f t="shared" si="12"/>
        <v>84</v>
      </c>
      <c r="H332" s="80">
        <f t="shared" si="12"/>
        <v>378</v>
      </c>
      <c r="I332" s="80"/>
      <c r="J332" s="80">
        <f>J323+J326+J328+J331</f>
        <v>752</v>
      </c>
      <c r="K332"/>
    </row>
    <row r="333" spans="1:13">
      <c r="B333" s="38" t="s">
        <v>36</v>
      </c>
      <c r="C333" s="39"/>
      <c r="L333" s="26"/>
    </row>
    <row r="334" spans="1:13">
      <c r="A334" s="7" t="s">
        <v>37</v>
      </c>
      <c r="B334" s="8">
        <f>D323+D326+D328+D331</f>
        <v>27</v>
      </c>
      <c r="C334" s="6"/>
    </row>
    <row r="335" spans="1:13">
      <c r="A335" s="7" t="s">
        <v>38</v>
      </c>
      <c r="B335" s="8">
        <f>E332</f>
        <v>260</v>
      </c>
      <c r="C335" s="6"/>
    </row>
    <row r="336" spans="1:13">
      <c r="A336" s="7" t="s">
        <v>2615</v>
      </c>
      <c r="B336" s="8">
        <f>F323+F326+F328+F331</f>
        <v>0</v>
      </c>
      <c r="C336" s="6"/>
    </row>
    <row r="337" spans="1:14">
      <c r="A337" s="7" t="s">
        <v>39</v>
      </c>
      <c r="B337" s="8">
        <f>J319</f>
        <v>61</v>
      </c>
      <c r="C337" s="6"/>
    </row>
    <row r="338" spans="1:14">
      <c r="A338" s="7" t="s">
        <v>40</v>
      </c>
      <c r="B338" s="8">
        <f>J320+J325+J327-D327</f>
        <v>358</v>
      </c>
      <c r="C338" s="6"/>
    </row>
    <row r="339" spans="1:14">
      <c r="A339" s="7" t="s">
        <v>41</v>
      </c>
      <c r="B339" s="8">
        <f>J321</f>
        <v>0</v>
      </c>
      <c r="C339" s="6"/>
    </row>
    <row r="340" spans="1:14">
      <c r="A340" s="7" t="s">
        <v>42</v>
      </c>
      <c r="B340" s="8">
        <f>J322</f>
        <v>43</v>
      </c>
      <c r="C340" s="6"/>
    </row>
    <row r="341" spans="1:14">
      <c r="A341" s="7" t="s">
        <v>43</v>
      </c>
      <c r="B341" s="8">
        <f>J329</f>
        <v>0</v>
      </c>
      <c r="C341" s="6"/>
    </row>
    <row r="342" spans="1:14">
      <c r="A342" s="7" t="s">
        <v>44</v>
      </c>
      <c r="B342" s="8">
        <f>J330</f>
        <v>3</v>
      </c>
      <c r="C342" s="6"/>
    </row>
    <row r="343" spans="1:14">
      <c r="A343" s="7"/>
      <c r="B343" s="81">
        <f>SUM(B334:B342)</f>
        <v>752</v>
      </c>
      <c r="C343" s="6"/>
    </row>
    <row r="346" spans="1:14" ht="13.5" thickBot="1"/>
    <row r="347" spans="1:14" ht="13.5" thickBot="1">
      <c r="A347" s="85" t="s">
        <v>3278</v>
      </c>
      <c r="B347" s="9"/>
    </row>
    <row r="348" spans="1:14" ht="13.5" thickBot="1">
      <c r="A348" s="11" t="s">
        <v>17</v>
      </c>
      <c r="B348" s="12" t="s">
        <v>18</v>
      </c>
      <c r="C348" s="13" t="s">
        <v>16</v>
      </c>
      <c r="D348" s="14" t="s">
        <v>15</v>
      </c>
      <c r="E348" s="14" t="s">
        <v>6</v>
      </c>
      <c r="F348" s="14" t="s">
        <v>19</v>
      </c>
      <c r="G348" s="74" t="s">
        <v>20</v>
      </c>
      <c r="H348" s="74" t="s">
        <v>21</v>
      </c>
      <c r="I348" s="14" t="s">
        <v>22</v>
      </c>
      <c r="J348" s="15" t="s">
        <v>9</v>
      </c>
      <c r="K348"/>
    </row>
    <row r="349" spans="1:14">
      <c r="A349" s="16" t="s">
        <v>0</v>
      </c>
      <c r="B349" s="17" t="s">
        <v>15</v>
      </c>
      <c r="C349" s="18"/>
      <c r="D349" s="6">
        <v>26</v>
      </c>
      <c r="E349" s="18"/>
      <c r="F349" s="18"/>
      <c r="G349" s="75"/>
      <c r="H349" s="75"/>
      <c r="I349" s="18"/>
      <c r="J349" s="19">
        <f>D349</f>
        <v>26</v>
      </c>
      <c r="K349"/>
    </row>
    <row r="350" spans="1:14">
      <c r="A350" s="22" t="s">
        <v>0</v>
      </c>
      <c r="B350" s="23" t="s">
        <v>6</v>
      </c>
      <c r="C350" s="6"/>
      <c r="D350" s="6"/>
      <c r="E350" s="6">
        <v>260</v>
      </c>
      <c r="F350" s="6"/>
      <c r="G350" s="76"/>
      <c r="H350" s="76"/>
      <c r="I350" s="6"/>
      <c r="J350" s="24">
        <f>E350+F350</f>
        <v>260</v>
      </c>
      <c r="K350"/>
      <c r="L350" s="20" t="s">
        <v>23</v>
      </c>
      <c r="M350" s="25" t="s">
        <v>2764</v>
      </c>
      <c r="N350" s="98" t="s">
        <v>3215</v>
      </c>
    </row>
    <row r="351" spans="1:14">
      <c r="A351" s="22" t="s">
        <v>0</v>
      </c>
      <c r="B351" s="23" t="s">
        <v>13</v>
      </c>
      <c r="C351" s="6"/>
      <c r="D351" s="6"/>
      <c r="E351" s="6"/>
      <c r="F351" s="6"/>
      <c r="G351" s="76">
        <v>1</v>
      </c>
      <c r="H351" s="76">
        <v>60</v>
      </c>
      <c r="I351" s="6"/>
      <c r="J351" s="24">
        <f>G351+H351+I351</f>
        <v>61</v>
      </c>
      <c r="K351"/>
      <c r="L351" s="20">
        <v>176</v>
      </c>
      <c r="M351" s="25" t="s">
        <v>24</v>
      </c>
    </row>
    <row r="352" spans="1:14">
      <c r="A352" s="22" t="s">
        <v>0</v>
      </c>
      <c r="B352" s="23" t="s">
        <v>8</v>
      </c>
      <c r="C352" s="6"/>
      <c r="D352" s="6"/>
      <c r="E352" s="6"/>
      <c r="F352" s="6"/>
      <c r="G352" s="76">
        <v>71</v>
      </c>
      <c r="H352" s="76">
        <v>242</v>
      </c>
      <c r="I352" s="6"/>
      <c r="J352" s="24">
        <f>G352+H352+I352</f>
        <v>313</v>
      </c>
      <c r="K352"/>
      <c r="L352" s="20">
        <v>50</v>
      </c>
      <c r="M352" s="25" t="s">
        <v>25</v>
      </c>
      <c r="N352" s="98"/>
    </row>
    <row r="353" spans="1:13">
      <c r="A353" s="22" t="s">
        <v>0</v>
      </c>
      <c r="B353" s="23" t="s">
        <v>12</v>
      </c>
      <c r="C353" s="6"/>
      <c r="D353" s="6"/>
      <c r="E353" s="6"/>
      <c r="F353" s="6"/>
      <c r="G353" s="76"/>
      <c r="H353" s="76"/>
      <c r="I353" s="6"/>
      <c r="J353" s="24">
        <f>H353</f>
        <v>0</v>
      </c>
      <c r="K353"/>
      <c r="L353" s="20">
        <v>32</v>
      </c>
      <c r="M353" s="25" t="s">
        <v>26</v>
      </c>
    </row>
    <row r="354" spans="1:13">
      <c r="A354" s="22" t="s">
        <v>0</v>
      </c>
      <c r="B354" s="23" t="s">
        <v>14</v>
      </c>
      <c r="C354" s="6"/>
      <c r="D354" s="6"/>
      <c r="E354" s="6"/>
      <c r="F354" s="6"/>
      <c r="G354" s="76">
        <v>4</v>
      </c>
      <c r="H354" s="76">
        <v>39</v>
      </c>
      <c r="I354" s="6"/>
      <c r="J354" s="24">
        <f>G354+H354</f>
        <v>43</v>
      </c>
      <c r="K354"/>
      <c r="L354" s="20">
        <v>0</v>
      </c>
      <c r="M354" s="25" t="s">
        <v>27</v>
      </c>
    </row>
    <row r="355" spans="1:13" ht="13.5" thickBot="1">
      <c r="A355" s="27" t="s">
        <v>29</v>
      </c>
      <c r="B355" s="28"/>
      <c r="C355" s="29"/>
      <c r="D355" s="29">
        <f>SUM(D349:D354)</f>
        <v>26</v>
      </c>
      <c r="E355" s="29">
        <f>SUM(E349:E354)</f>
        <v>260</v>
      </c>
      <c r="F355" s="29">
        <f>SUM(F349:F354)</f>
        <v>0</v>
      </c>
      <c r="G355" s="29">
        <f>SUM(G349:G354)</f>
        <v>76</v>
      </c>
      <c r="H355" s="29">
        <f>SUM(H349:H354)</f>
        <v>341</v>
      </c>
      <c r="I355" s="29"/>
      <c r="J355" s="30">
        <f>SUM(J349:J354)</f>
        <v>703</v>
      </c>
      <c r="K355"/>
      <c r="L355" s="20">
        <v>1</v>
      </c>
      <c r="M355" s="25" t="s">
        <v>28</v>
      </c>
    </row>
    <row r="356" spans="1:13">
      <c r="A356" s="31" t="s">
        <v>7</v>
      </c>
      <c r="B356" s="32" t="s">
        <v>15</v>
      </c>
      <c r="C356" s="33"/>
      <c r="D356" s="33"/>
      <c r="E356" s="33"/>
      <c r="F356" s="33"/>
      <c r="G356" s="77"/>
      <c r="H356" s="77"/>
      <c r="I356" s="33"/>
      <c r="J356" s="34"/>
      <c r="K356"/>
      <c r="L356" s="20">
        <v>1</v>
      </c>
      <c r="M356" s="25" t="s">
        <v>30</v>
      </c>
    </row>
    <row r="357" spans="1:13">
      <c r="A357" s="31" t="s">
        <v>7</v>
      </c>
      <c r="B357" s="32" t="s">
        <v>8</v>
      </c>
      <c r="C357" s="33"/>
      <c r="D357" s="33"/>
      <c r="E357" s="33"/>
      <c r="F357" s="33"/>
      <c r="G357" s="77">
        <v>3</v>
      </c>
      <c r="H357" s="77">
        <v>24</v>
      </c>
      <c r="I357" s="33"/>
      <c r="J357" s="34">
        <f>G357+H357</f>
        <v>27</v>
      </c>
      <c r="K357"/>
      <c r="L357" s="35">
        <f>SUM(L351:L356)</f>
        <v>260</v>
      </c>
      <c r="M357" s="21"/>
    </row>
    <row r="358" spans="1:13" ht="13.5" thickBot="1">
      <c r="A358" s="27" t="s">
        <v>31</v>
      </c>
      <c r="B358" s="28"/>
      <c r="C358" s="29"/>
      <c r="D358" s="29"/>
      <c r="E358" s="29"/>
      <c r="F358" s="29"/>
      <c r="G358" s="29">
        <f>SUM(G356:G357)</f>
        <v>3</v>
      </c>
      <c r="H358" s="29">
        <f>SUM(H356:H357)</f>
        <v>24</v>
      </c>
      <c r="I358" s="29"/>
      <c r="J358" s="30">
        <f>SUM(J356:J357)</f>
        <v>27</v>
      </c>
      <c r="K358"/>
    </row>
    <row r="359" spans="1:13">
      <c r="A359" s="31" t="s">
        <v>105</v>
      </c>
      <c r="B359" s="32" t="s">
        <v>8</v>
      </c>
      <c r="C359" s="33"/>
      <c r="D359" s="33">
        <v>1</v>
      </c>
      <c r="E359" s="33"/>
      <c r="F359" s="33"/>
      <c r="G359" s="77">
        <v>5</v>
      </c>
      <c r="H359" s="77">
        <v>13</v>
      </c>
      <c r="I359" s="33"/>
      <c r="J359" s="34">
        <f>D359+G359+H359</f>
        <v>19</v>
      </c>
      <c r="K359"/>
    </row>
    <row r="360" spans="1:13" ht="13.5" thickBot="1">
      <c r="A360" s="27" t="s">
        <v>106</v>
      </c>
      <c r="B360" s="28"/>
      <c r="C360" s="29"/>
      <c r="D360" s="29">
        <f>SUM(D359:D359)</f>
        <v>1</v>
      </c>
      <c r="E360" s="29"/>
      <c r="F360" s="29"/>
      <c r="G360" s="29">
        <f>SUM(G359:G359)</f>
        <v>5</v>
      </c>
      <c r="H360" s="29">
        <f>SUM(H359:H359)</f>
        <v>13</v>
      </c>
      <c r="I360" s="29"/>
      <c r="J360" s="30">
        <f>SUM(J359:J359)</f>
        <v>19</v>
      </c>
      <c r="K360"/>
    </row>
    <row r="361" spans="1:13">
      <c r="A361" s="22" t="s">
        <v>108</v>
      </c>
      <c r="B361" s="32" t="s">
        <v>10</v>
      </c>
      <c r="C361" s="6"/>
      <c r="D361" s="6"/>
      <c r="E361" s="6"/>
      <c r="F361" s="6"/>
      <c r="G361" s="76"/>
      <c r="H361" s="76"/>
      <c r="I361" s="6"/>
      <c r="J361" s="24">
        <f>H361</f>
        <v>0</v>
      </c>
      <c r="K361"/>
    </row>
    <row r="362" spans="1:13">
      <c r="A362" s="22" t="s">
        <v>32</v>
      </c>
      <c r="B362" s="32" t="s">
        <v>33</v>
      </c>
      <c r="C362" s="6">
        <v>3</v>
      </c>
      <c r="D362" s="6"/>
      <c r="E362" s="6"/>
      <c r="F362" s="6"/>
      <c r="G362" s="76"/>
      <c r="H362" s="76"/>
      <c r="I362" s="6"/>
      <c r="J362" s="24">
        <f>C362</f>
        <v>3</v>
      </c>
      <c r="K362"/>
    </row>
    <row r="363" spans="1:13" ht="13.5" thickBot="1">
      <c r="A363" s="36" t="s">
        <v>34</v>
      </c>
      <c r="B363" s="37"/>
      <c r="C363" s="29">
        <f>SUM(C361:C362)</f>
        <v>3</v>
      </c>
      <c r="D363" s="29"/>
      <c r="E363" s="29"/>
      <c r="F363" s="29"/>
      <c r="G363" s="29"/>
      <c r="H363" s="29"/>
      <c r="I363" s="29"/>
      <c r="J363" s="30">
        <f>SUM(J361:J362)</f>
        <v>3</v>
      </c>
      <c r="K363"/>
    </row>
    <row r="364" spans="1:13" ht="13.5" thickBot="1">
      <c r="A364" s="78" t="s">
        <v>35</v>
      </c>
      <c r="B364" s="79"/>
      <c r="C364" s="80">
        <f t="shared" ref="C364:H364" si="13">C355+C358+C360+C363</f>
        <v>3</v>
      </c>
      <c r="D364" s="80">
        <f t="shared" si="13"/>
        <v>27</v>
      </c>
      <c r="E364" s="80">
        <f t="shared" si="13"/>
        <v>260</v>
      </c>
      <c r="F364" s="80">
        <f t="shared" si="13"/>
        <v>0</v>
      </c>
      <c r="G364" s="80">
        <f t="shared" si="13"/>
        <v>84</v>
      </c>
      <c r="H364" s="80">
        <f t="shared" si="13"/>
        <v>378</v>
      </c>
      <c r="I364" s="80"/>
      <c r="J364" s="80">
        <f>J355+J358+J360+J363</f>
        <v>752</v>
      </c>
      <c r="K364"/>
    </row>
    <row r="365" spans="1:13">
      <c r="B365" s="38" t="s">
        <v>36</v>
      </c>
      <c r="C365" s="39"/>
      <c r="L365" s="26"/>
    </row>
    <row r="366" spans="1:13">
      <c r="A366" s="7" t="s">
        <v>37</v>
      </c>
      <c r="B366" s="8">
        <f>D355+D358+D360+D363</f>
        <v>27</v>
      </c>
      <c r="C366" s="6"/>
    </row>
    <row r="367" spans="1:13">
      <c r="A367" s="7" t="s">
        <v>38</v>
      </c>
      <c r="B367" s="8">
        <f>E364</f>
        <v>260</v>
      </c>
      <c r="C367" s="6"/>
    </row>
    <row r="368" spans="1:13">
      <c r="A368" s="7" t="s">
        <v>2615</v>
      </c>
      <c r="B368" s="8">
        <f>F355+F358+F360+F363</f>
        <v>0</v>
      </c>
      <c r="C368" s="6"/>
    </row>
    <row r="369" spans="1:14">
      <c r="A369" s="7" t="s">
        <v>39</v>
      </c>
      <c r="B369" s="8">
        <f>J351</f>
        <v>61</v>
      </c>
      <c r="C369" s="6"/>
    </row>
    <row r="370" spans="1:14">
      <c r="A370" s="7" t="s">
        <v>40</v>
      </c>
      <c r="B370" s="8">
        <f>J352+J357+J359-D359</f>
        <v>358</v>
      </c>
      <c r="C370" s="6"/>
    </row>
    <row r="371" spans="1:14">
      <c r="A371" s="7" t="s">
        <v>41</v>
      </c>
      <c r="B371" s="8">
        <f>J353</f>
        <v>0</v>
      </c>
      <c r="C371" s="6"/>
    </row>
    <row r="372" spans="1:14">
      <c r="A372" s="7" t="s">
        <v>42</v>
      </c>
      <c r="B372" s="8">
        <f>J354</f>
        <v>43</v>
      </c>
      <c r="C372" s="6"/>
    </row>
    <row r="373" spans="1:14">
      <c r="A373" s="7" t="s">
        <v>43</v>
      </c>
      <c r="B373" s="8">
        <f>J361</f>
        <v>0</v>
      </c>
      <c r="C373" s="6"/>
    </row>
    <row r="374" spans="1:14">
      <c r="A374" s="7" t="s">
        <v>44</v>
      </c>
      <c r="B374" s="8">
        <f>J362</f>
        <v>3</v>
      </c>
      <c r="C374" s="6"/>
    </row>
    <row r="375" spans="1:14">
      <c r="A375" s="7"/>
      <c r="B375" s="81">
        <f>SUM(B366:B374)</f>
        <v>752</v>
      </c>
      <c r="C375" s="6"/>
    </row>
    <row r="378" spans="1:14" ht="13.5" thickBot="1"/>
    <row r="379" spans="1:14" ht="13.5" thickBot="1">
      <c r="A379" s="85" t="s">
        <v>3266</v>
      </c>
      <c r="B379" s="9"/>
    </row>
    <row r="380" spans="1:14" ht="13.5" thickBot="1">
      <c r="A380" s="11" t="s">
        <v>17</v>
      </c>
      <c r="B380" s="12" t="s">
        <v>18</v>
      </c>
      <c r="C380" s="13" t="s">
        <v>16</v>
      </c>
      <c r="D380" s="14" t="s">
        <v>15</v>
      </c>
      <c r="E380" s="14" t="s">
        <v>6</v>
      </c>
      <c r="F380" s="14" t="s">
        <v>19</v>
      </c>
      <c r="G380" s="74" t="s">
        <v>20</v>
      </c>
      <c r="H380" s="74" t="s">
        <v>21</v>
      </c>
      <c r="I380" s="14" t="s">
        <v>22</v>
      </c>
      <c r="J380" s="15" t="s">
        <v>9</v>
      </c>
      <c r="K380"/>
    </row>
    <row r="381" spans="1:14">
      <c r="A381" s="16" t="s">
        <v>0</v>
      </c>
      <c r="B381" s="17" t="s">
        <v>15</v>
      </c>
      <c r="C381" s="18"/>
      <c r="D381" s="6">
        <v>26</v>
      </c>
      <c r="E381" s="18"/>
      <c r="F381" s="18"/>
      <c r="G381" s="75"/>
      <c r="H381" s="75"/>
      <c r="I381" s="18"/>
      <c r="J381" s="19">
        <f>D381</f>
        <v>26</v>
      </c>
      <c r="K381"/>
    </row>
    <row r="382" spans="1:14">
      <c r="A382" s="22" t="s">
        <v>0</v>
      </c>
      <c r="B382" s="23" t="s">
        <v>6</v>
      </c>
      <c r="C382" s="6"/>
      <c r="D382" s="6"/>
      <c r="E382" s="6">
        <v>260</v>
      </c>
      <c r="F382" s="6"/>
      <c r="G382" s="76"/>
      <c r="H382" s="76"/>
      <c r="I382" s="6"/>
      <c r="J382" s="24">
        <f>E382+F382</f>
        <v>260</v>
      </c>
      <c r="K382"/>
      <c r="L382" s="20" t="s">
        <v>23</v>
      </c>
      <c r="M382" s="25" t="s">
        <v>2764</v>
      </c>
      <c r="N382" s="98" t="s">
        <v>3215</v>
      </c>
    </row>
    <row r="383" spans="1:14">
      <c r="A383" s="22" t="s">
        <v>0</v>
      </c>
      <c r="B383" s="23" t="s">
        <v>13</v>
      </c>
      <c r="C383" s="6"/>
      <c r="D383" s="6"/>
      <c r="E383" s="6"/>
      <c r="F383" s="6"/>
      <c r="G383" s="76">
        <v>1</v>
      </c>
      <c r="H383" s="76">
        <v>59</v>
      </c>
      <c r="I383" s="6"/>
      <c r="J383" s="24">
        <f>G383+H383+I383</f>
        <v>60</v>
      </c>
      <c r="K383"/>
      <c r="L383" s="20">
        <v>176</v>
      </c>
      <c r="M383" s="25" t="s">
        <v>24</v>
      </c>
    </row>
    <row r="384" spans="1:14">
      <c r="A384" s="22" t="s">
        <v>0</v>
      </c>
      <c r="B384" s="23" t="s">
        <v>8</v>
      </c>
      <c r="C384" s="6"/>
      <c r="D384" s="6"/>
      <c r="E384" s="6"/>
      <c r="F384" s="6"/>
      <c r="G384" s="76">
        <v>71</v>
      </c>
      <c r="H384" s="76">
        <v>241</v>
      </c>
      <c r="I384" s="6"/>
      <c r="J384" s="24">
        <f>G384+H384+I384</f>
        <v>312</v>
      </c>
      <c r="K384"/>
      <c r="L384" s="20">
        <v>50</v>
      </c>
      <c r="M384" s="25" t="s">
        <v>25</v>
      </c>
      <c r="N384" s="98"/>
    </row>
    <row r="385" spans="1:13">
      <c r="A385" s="22" t="s">
        <v>0</v>
      </c>
      <c r="B385" s="23" t="s">
        <v>12</v>
      </c>
      <c r="C385" s="6"/>
      <c r="D385" s="6"/>
      <c r="E385" s="6"/>
      <c r="F385" s="6"/>
      <c r="G385" s="76"/>
      <c r="H385" s="76"/>
      <c r="I385" s="6"/>
      <c r="J385" s="24">
        <f>H385</f>
        <v>0</v>
      </c>
      <c r="K385"/>
      <c r="L385" s="20">
        <v>32</v>
      </c>
      <c r="M385" s="25" t="s">
        <v>26</v>
      </c>
    </row>
    <row r="386" spans="1:13">
      <c r="A386" s="22" t="s">
        <v>0</v>
      </c>
      <c r="B386" s="23" t="s">
        <v>14</v>
      </c>
      <c r="C386" s="6"/>
      <c r="D386" s="6"/>
      <c r="E386" s="6"/>
      <c r="F386" s="6"/>
      <c r="G386" s="76">
        <v>4</v>
      </c>
      <c r="H386" s="76">
        <v>39</v>
      </c>
      <c r="I386" s="6"/>
      <c r="J386" s="24">
        <f>G386+H386</f>
        <v>43</v>
      </c>
      <c r="K386"/>
      <c r="L386" s="20">
        <v>0</v>
      </c>
      <c r="M386" s="25" t="s">
        <v>27</v>
      </c>
    </row>
    <row r="387" spans="1:13" ht="13.5" thickBot="1">
      <c r="A387" s="27" t="s">
        <v>29</v>
      </c>
      <c r="B387" s="28"/>
      <c r="C387" s="29"/>
      <c r="D387" s="29">
        <f>SUM(D381:D386)</f>
        <v>26</v>
      </c>
      <c r="E387" s="29">
        <f>SUM(E381:E386)</f>
        <v>260</v>
      </c>
      <c r="F387" s="29">
        <f>SUM(F381:F386)</f>
        <v>0</v>
      </c>
      <c r="G387" s="29">
        <f>SUM(G381:G386)</f>
        <v>76</v>
      </c>
      <c r="H387" s="29">
        <f>SUM(H381:H386)</f>
        <v>339</v>
      </c>
      <c r="I387" s="29"/>
      <c r="J387" s="30">
        <f>SUM(J381:J386)</f>
        <v>701</v>
      </c>
      <c r="K387"/>
      <c r="L387" s="20">
        <v>1</v>
      </c>
      <c r="M387" s="25" t="s">
        <v>28</v>
      </c>
    </row>
    <row r="388" spans="1:13">
      <c r="A388" s="31" t="s">
        <v>7</v>
      </c>
      <c r="B388" s="32" t="s">
        <v>15</v>
      </c>
      <c r="C388" s="33"/>
      <c r="D388" s="33"/>
      <c r="E388" s="33"/>
      <c r="F388" s="33"/>
      <c r="G388" s="77"/>
      <c r="H388" s="77"/>
      <c r="I388" s="33"/>
      <c r="J388" s="34"/>
      <c r="K388"/>
      <c r="L388" s="20">
        <v>1</v>
      </c>
      <c r="M388" s="25" t="s">
        <v>30</v>
      </c>
    </row>
    <row r="389" spans="1:13">
      <c r="A389" s="31" t="s">
        <v>7</v>
      </c>
      <c r="B389" s="32" t="s">
        <v>8</v>
      </c>
      <c r="C389" s="33"/>
      <c r="D389" s="33"/>
      <c r="E389" s="33"/>
      <c r="F389" s="33"/>
      <c r="G389" s="77">
        <v>3</v>
      </c>
      <c r="H389" s="77">
        <v>24</v>
      </c>
      <c r="I389" s="33"/>
      <c r="J389" s="34">
        <f>G389+H389</f>
        <v>27</v>
      </c>
      <c r="K389"/>
      <c r="L389" s="35">
        <f>SUM(L383:L388)</f>
        <v>260</v>
      </c>
      <c r="M389" s="21"/>
    </row>
    <row r="390" spans="1:13" ht="13.5" thickBot="1">
      <c r="A390" s="27" t="s">
        <v>31</v>
      </c>
      <c r="B390" s="28"/>
      <c r="C390" s="29"/>
      <c r="D390" s="29"/>
      <c r="E390" s="29"/>
      <c r="F390" s="29"/>
      <c r="G390" s="29">
        <f>SUM(G388:G389)</f>
        <v>3</v>
      </c>
      <c r="H390" s="29">
        <f>SUM(H388:H389)</f>
        <v>24</v>
      </c>
      <c r="I390" s="29"/>
      <c r="J390" s="30">
        <f>SUM(J388:J389)</f>
        <v>27</v>
      </c>
      <c r="K390"/>
    </row>
    <row r="391" spans="1:13">
      <c r="A391" s="31" t="s">
        <v>105</v>
      </c>
      <c r="B391" s="32" t="s">
        <v>8</v>
      </c>
      <c r="C391" s="33"/>
      <c r="D391" s="33">
        <v>1</v>
      </c>
      <c r="E391" s="33"/>
      <c r="F391" s="33"/>
      <c r="G391" s="77">
        <v>5</v>
      </c>
      <c r="H391" s="77">
        <v>13</v>
      </c>
      <c r="I391" s="33"/>
      <c r="J391" s="34">
        <f>D391+G391+H391</f>
        <v>19</v>
      </c>
      <c r="K391"/>
    </row>
    <row r="392" spans="1:13" ht="13.5" thickBot="1">
      <c r="A392" s="27" t="s">
        <v>106</v>
      </c>
      <c r="B392" s="28"/>
      <c r="C392" s="29"/>
      <c r="D392" s="29">
        <f>SUM(D391:D391)</f>
        <v>1</v>
      </c>
      <c r="E392" s="29"/>
      <c r="F392" s="29"/>
      <c r="G392" s="29">
        <f>SUM(G391:G391)</f>
        <v>5</v>
      </c>
      <c r="H392" s="29">
        <f>SUM(H391:H391)</f>
        <v>13</v>
      </c>
      <c r="I392" s="29"/>
      <c r="J392" s="30">
        <f>SUM(J391:J391)</f>
        <v>19</v>
      </c>
      <c r="K392"/>
    </row>
    <row r="393" spans="1:13">
      <c r="A393" s="22" t="s">
        <v>108</v>
      </c>
      <c r="B393" s="32" t="s">
        <v>10</v>
      </c>
      <c r="C393" s="6"/>
      <c r="D393" s="6"/>
      <c r="E393" s="6"/>
      <c r="F393" s="6"/>
      <c r="G393" s="76"/>
      <c r="H393" s="76"/>
      <c r="I393" s="6"/>
      <c r="J393" s="24">
        <f>H393</f>
        <v>0</v>
      </c>
      <c r="K393"/>
    </row>
    <row r="394" spans="1:13">
      <c r="A394" s="22" t="s">
        <v>32</v>
      </c>
      <c r="B394" s="32" t="s">
        <v>33</v>
      </c>
      <c r="C394" s="6">
        <v>3</v>
      </c>
      <c r="D394" s="6"/>
      <c r="E394" s="6"/>
      <c r="F394" s="6"/>
      <c r="G394" s="76"/>
      <c r="H394" s="76"/>
      <c r="I394" s="6"/>
      <c r="J394" s="24">
        <f>C394</f>
        <v>3</v>
      </c>
      <c r="K394"/>
    </row>
    <row r="395" spans="1:13" ht="13.5" thickBot="1">
      <c r="A395" s="36" t="s">
        <v>34</v>
      </c>
      <c r="B395" s="37"/>
      <c r="C395" s="29">
        <f>SUM(C393:C394)</f>
        <v>3</v>
      </c>
      <c r="D395" s="29"/>
      <c r="E395" s="29"/>
      <c r="F395" s="29"/>
      <c r="G395" s="29"/>
      <c r="H395" s="29"/>
      <c r="I395" s="29"/>
      <c r="J395" s="30">
        <f>SUM(J393:J394)</f>
        <v>3</v>
      </c>
      <c r="K395"/>
    </row>
    <row r="396" spans="1:13" ht="13.5" thickBot="1">
      <c r="A396" s="78" t="s">
        <v>35</v>
      </c>
      <c r="B396" s="79"/>
      <c r="C396" s="80">
        <f t="shared" ref="C396:H396" si="14">C387+C390+C392+C395</f>
        <v>3</v>
      </c>
      <c r="D396" s="80">
        <f t="shared" si="14"/>
        <v>27</v>
      </c>
      <c r="E396" s="80">
        <f t="shared" si="14"/>
        <v>260</v>
      </c>
      <c r="F396" s="80">
        <f t="shared" si="14"/>
        <v>0</v>
      </c>
      <c r="G396" s="80">
        <f t="shared" si="14"/>
        <v>84</v>
      </c>
      <c r="H396" s="80">
        <f t="shared" si="14"/>
        <v>376</v>
      </c>
      <c r="I396" s="80"/>
      <c r="J396" s="80">
        <f>J387+J390+J392+J395</f>
        <v>750</v>
      </c>
      <c r="K396"/>
    </row>
    <row r="397" spans="1:13">
      <c r="B397" s="38" t="s">
        <v>36</v>
      </c>
      <c r="C397" s="39"/>
      <c r="L397" s="26"/>
    </row>
    <row r="398" spans="1:13">
      <c r="A398" s="7" t="s">
        <v>37</v>
      </c>
      <c r="B398" s="8">
        <f>D387+D390+D392+D395</f>
        <v>27</v>
      </c>
      <c r="C398" s="6"/>
    </row>
    <row r="399" spans="1:13">
      <c r="A399" s="7" t="s">
        <v>38</v>
      </c>
      <c r="B399" s="8">
        <f>E396</f>
        <v>260</v>
      </c>
      <c r="C399" s="6"/>
    </row>
    <row r="400" spans="1:13">
      <c r="A400" s="7" t="s">
        <v>2615</v>
      </c>
      <c r="B400" s="8">
        <f>F387+F390+F392+F395</f>
        <v>0</v>
      </c>
      <c r="C400" s="6"/>
    </row>
    <row r="401" spans="1:14">
      <c r="A401" s="7" t="s">
        <v>39</v>
      </c>
      <c r="B401" s="8">
        <f>J383</f>
        <v>60</v>
      </c>
      <c r="C401" s="6"/>
    </row>
    <row r="402" spans="1:14">
      <c r="A402" s="7" t="s">
        <v>40</v>
      </c>
      <c r="B402" s="8">
        <f>J384+J389+J391-D391</f>
        <v>357</v>
      </c>
      <c r="C402" s="6"/>
    </row>
    <row r="403" spans="1:14">
      <c r="A403" s="7" t="s">
        <v>41</v>
      </c>
      <c r="B403" s="8">
        <f>J385</f>
        <v>0</v>
      </c>
      <c r="C403" s="6"/>
    </row>
    <row r="404" spans="1:14">
      <c r="A404" s="7" t="s">
        <v>42</v>
      </c>
      <c r="B404" s="8">
        <f>J386</f>
        <v>43</v>
      </c>
      <c r="C404" s="6"/>
    </row>
    <row r="405" spans="1:14">
      <c r="A405" s="7" t="s">
        <v>43</v>
      </c>
      <c r="B405" s="8">
        <f>J393</f>
        <v>0</v>
      </c>
      <c r="C405" s="6"/>
    </row>
    <row r="406" spans="1:14">
      <c r="A406" s="7" t="s">
        <v>44</v>
      </c>
      <c r="B406" s="8">
        <f>J394</f>
        <v>3</v>
      </c>
      <c r="C406" s="6"/>
    </row>
    <row r="407" spans="1:14">
      <c r="A407" s="7"/>
      <c r="B407" s="81">
        <f>SUM(B398:B406)</f>
        <v>750</v>
      </c>
      <c r="C407" s="6"/>
    </row>
    <row r="410" spans="1:14" ht="13.5" thickBot="1"/>
    <row r="411" spans="1:14" ht="13.5" thickBot="1">
      <c r="A411" s="85" t="s">
        <v>3214</v>
      </c>
      <c r="B411" s="9"/>
    </row>
    <row r="412" spans="1:14" ht="13.5" thickBot="1">
      <c r="A412" s="11" t="s">
        <v>17</v>
      </c>
      <c r="B412" s="12" t="s">
        <v>18</v>
      </c>
      <c r="C412" s="13" t="s">
        <v>16</v>
      </c>
      <c r="D412" s="14" t="s">
        <v>15</v>
      </c>
      <c r="E412" s="14" t="s">
        <v>6</v>
      </c>
      <c r="F412" s="14" t="s">
        <v>19</v>
      </c>
      <c r="G412" s="74" t="s">
        <v>20</v>
      </c>
      <c r="H412" s="74" t="s">
        <v>21</v>
      </c>
      <c r="I412" s="14" t="s">
        <v>22</v>
      </c>
      <c r="J412" s="15" t="s">
        <v>9</v>
      </c>
      <c r="K412"/>
    </row>
    <row r="413" spans="1:14">
      <c r="A413" s="16" t="s">
        <v>0</v>
      </c>
      <c r="B413" s="17" t="s">
        <v>15</v>
      </c>
      <c r="C413" s="18"/>
      <c r="D413" s="6">
        <v>26</v>
      </c>
      <c r="E413" s="18"/>
      <c r="F413" s="18"/>
      <c r="G413" s="75"/>
      <c r="H413" s="75"/>
      <c r="I413" s="18"/>
      <c r="J413" s="19">
        <f>D413</f>
        <v>26</v>
      </c>
      <c r="K413"/>
    </row>
    <row r="414" spans="1:14">
      <c r="A414" s="22" t="s">
        <v>0</v>
      </c>
      <c r="B414" s="23" t="s">
        <v>6</v>
      </c>
      <c r="C414" s="6"/>
      <c r="D414" s="6"/>
      <c r="E414" s="6">
        <v>260</v>
      </c>
      <c r="F414" s="6"/>
      <c r="G414" s="76"/>
      <c r="H414" s="76"/>
      <c r="I414" s="6"/>
      <c r="J414" s="24">
        <f>E414+F414</f>
        <v>260</v>
      </c>
      <c r="K414"/>
      <c r="L414" s="20" t="s">
        <v>23</v>
      </c>
      <c r="M414" s="25" t="s">
        <v>2764</v>
      </c>
      <c r="N414" s="98" t="s">
        <v>3215</v>
      </c>
    </row>
    <row r="415" spans="1:14">
      <c r="A415" s="22" t="s">
        <v>0</v>
      </c>
      <c r="B415" s="23" t="s">
        <v>13</v>
      </c>
      <c r="C415" s="6"/>
      <c r="D415" s="6"/>
      <c r="E415" s="6"/>
      <c r="F415" s="6"/>
      <c r="G415" s="76">
        <v>1</v>
      </c>
      <c r="H415" s="76">
        <v>58</v>
      </c>
      <c r="I415" s="6"/>
      <c r="J415" s="24">
        <f>G415+H415+I415</f>
        <v>59</v>
      </c>
      <c r="K415"/>
      <c r="L415" s="20">
        <v>176</v>
      </c>
      <c r="M415" s="25" t="s">
        <v>24</v>
      </c>
    </row>
    <row r="416" spans="1:14">
      <c r="A416" s="22" t="s">
        <v>0</v>
      </c>
      <c r="B416" s="23" t="s">
        <v>8</v>
      </c>
      <c r="C416" s="6"/>
      <c r="D416" s="6"/>
      <c r="E416" s="6"/>
      <c r="F416" s="6"/>
      <c r="G416" s="76">
        <v>70</v>
      </c>
      <c r="H416" s="76">
        <v>238</v>
      </c>
      <c r="I416" s="6"/>
      <c r="J416" s="24">
        <f>G416+H416+I416</f>
        <v>308</v>
      </c>
      <c r="K416"/>
      <c r="L416" s="20">
        <v>50</v>
      </c>
      <c r="M416" s="25" t="s">
        <v>25</v>
      </c>
      <c r="N416" s="98"/>
    </row>
    <row r="417" spans="1:13">
      <c r="A417" s="22" t="s">
        <v>0</v>
      </c>
      <c r="B417" s="23" t="s">
        <v>12</v>
      </c>
      <c r="C417" s="6"/>
      <c r="D417" s="6"/>
      <c r="E417" s="6"/>
      <c r="F417" s="6"/>
      <c r="G417" s="76"/>
      <c r="H417" s="76"/>
      <c r="I417" s="6"/>
      <c r="J417" s="24">
        <f>H417</f>
        <v>0</v>
      </c>
      <c r="K417"/>
      <c r="L417" s="20">
        <v>32</v>
      </c>
      <c r="M417" s="25" t="s">
        <v>26</v>
      </c>
    </row>
    <row r="418" spans="1:13">
      <c r="A418" s="22" t="s">
        <v>0</v>
      </c>
      <c r="B418" s="23" t="s">
        <v>14</v>
      </c>
      <c r="C418" s="6"/>
      <c r="D418" s="6"/>
      <c r="E418" s="6"/>
      <c r="F418" s="6"/>
      <c r="G418" s="76">
        <v>4</v>
      </c>
      <c r="H418" s="76">
        <v>39</v>
      </c>
      <c r="I418" s="6"/>
      <c r="J418" s="24">
        <f>G418+H418</f>
        <v>43</v>
      </c>
      <c r="K418"/>
      <c r="L418" s="20">
        <v>0</v>
      </c>
      <c r="M418" s="25" t="s">
        <v>27</v>
      </c>
    </row>
    <row r="419" spans="1:13" ht="13.5" thickBot="1">
      <c r="A419" s="27" t="s">
        <v>29</v>
      </c>
      <c r="B419" s="28"/>
      <c r="C419" s="29"/>
      <c r="D419" s="29">
        <f>SUM(D413:D418)</f>
        <v>26</v>
      </c>
      <c r="E419" s="29">
        <f>SUM(E413:E418)</f>
        <v>260</v>
      </c>
      <c r="F419" s="29">
        <f>SUM(F413:F418)</f>
        <v>0</v>
      </c>
      <c r="G419" s="29">
        <f>SUM(G413:G418)</f>
        <v>75</v>
      </c>
      <c r="H419" s="29">
        <f>SUM(H413:H418)</f>
        <v>335</v>
      </c>
      <c r="I419" s="29"/>
      <c r="J419" s="30">
        <f>SUM(J413:J418)</f>
        <v>696</v>
      </c>
      <c r="K419"/>
      <c r="L419" s="20">
        <v>1</v>
      </c>
      <c r="M419" s="25" t="s">
        <v>28</v>
      </c>
    </row>
    <row r="420" spans="1:13">
      <c r="A420" s="31" t="s">
        <v>7</v>
      </c>
      <c r="B420" s="32" t="s">
        <v>15</v>
      </c>
      <c r="C420" s="33"/>
      <c r="D420" s="33"/>
      <c r="E420" s="33"/>
      <c r="F420" s="33"/>
      <c r="G420" s="77"/>
      <c r="H420" s="77"/>
      <c r="I420" s="33"/>
      <c r="J420" s="34"/>
      <c r="K420"/>
      <c r="L420" s="20">
        <v>1</v>
      </c>
      <c r="M420" s="25" t="s">
        <v>30</v>
      </c>
    </row>
    <row r="421" spans="1:13">
      <c r="A421" s="31" t="s">
        <v>7</v>
      </c>
      <c r="B421" s="32" t="s">
        <v>8</v>
      </c>
      <c r="C421" s="33"/>
      <c r="D421" s="33"/>
      <c r="E421" s="33"/>
      <c r="F421" s="33"/>
      <c r="G421" s="77">
        <v>3</v>
      </c>
      <c r="H421" s="77">
        <v>25</v>
      </c>
      <c r="I421" s="33"/>
      <c r="J421" s="34">
        <f>G421+H421</f>
        <v>28</v>
      </c>
      <c r="K421"/>
      <c r="L421" s="35">
        <f>SUM(L415:L420)</f>
        <v>260</v>
      </c>
      <c r="M421" s="21"/>
    </row>
    <row r="422" spans="1:13" ht="13.5" thickBot="1">
      <c r="A422" s="27" t="s">
        <v>31</v>
      </c>
      <c r="B422" s="28"/>
      <c r="C422" s="29"/>
      <c r="D422" s="29"/>
      <c r="E422" s="29"/>
      <c r="F422" s="29"/>
      <c r="G422" s="29">
        <f>SUM(G420:G421)</f>
        <v>3</v>
      </c>
      <c r="H422" s="29">
        <f>SUM(H420:H421)</f>
        <v>25</v>
      </c>
      <c r="I422" s="29"/>
      <c r="J422" s="30">
        <f>SUM(J420:J421)</f>
        <v>28</v>
      </c>
      <c r="K422"/>
    </row>
    <row r="423" spans="1:13">
      <c r="A423" s="31" t="s">
        <v>105</v>
      </c>
      <c r="B423" s="32" t="s">
        <v>8</v>
      </c>
      <c r="C423" s="33"/>
      <c r="D423" s="33">
        <v>1</v>
      </c>
      <c r="E423" s="33"/>
      <c r="F423" s="33"/>
      <c r="G423" s="77">
        <v>4</v>
      </c>
      <c r="H423" s="77">
        <v>14</v>
      </c>
      <c r="I423" s="33"/>
      <c r="J423" s="34">
        <f>D423+G423+H423</f>
        <v>19</v>
      </c>
      <c r="K423"/>
    </row>
    <row r="424" spans="1:13" ht="13.5" thickBot="1">
      <c r="A424" s="27" t="s">
        <v>106</v>
      </c>
      <c r="B424" s="28"/>
      <c r="C424" s="29"/>
      <c r="D424" s="29">
        <f>SUM(D423:D423)</f>
        <v>1</v>
      </c>
      <c r="E424" s="29"/>
      <c r="F424" s="29"/>
      <c r="G424" s="29">
        <f>SUM(G423:G423)</f>
        <v>4</v>
      </c>
      <c r="H424" s="29">
        <f>SUM(H423:H423)</f>
        <v>14</v>
      </c>
      <c r="I424" s="29"/>
      <c r="J424" s="30">
        <f>SUM(J423:J423)</f>
        <v>19</v>
      </c>
      <c r="K424"/>
    </row>
    <row r="425" spans="1:13">
      <c r="A425" s="22" t="s">
        <v>108</v>
      </c>
      <c r="B425" s="32" t="s">
        <v>10</v>
      </c>
      <c r="C425" s="6"/>
      <c r="D425" s="6"/>
      <c r="E425" s="6"/>
      <c r="F425" s="6"/>
      <c r="G425" s="76"/>
      <c r="H425" s="76"/>
      <c r="I425" s="6"/>
      <c r="J425" s="24">
        <f>H425</f>
        <v>0</v>
      </c>
      <c r="K425"/>
    </row>
    <row r="426" spans="1:13">
      <c r="A426" s="22" t="s">
        <v>32</v>
      </c>
      <c r="B426" s="32" t="s">
        <v>33</v>
      </c>
      <c r="C426" s="6">
        <v>3</v>
      </c>
      <c r="D426" s="6"/>
      <c r="E426" s="6"/>
      <c r="F426" s="6"/>
      <c r="G426" s="76"/>
      <c r="H426" s="76"/>
      <c r="I426" s="6"/>
      <c r="J426" s="24">
        <f>C426</f>
        <v>3</v>
      </c>
      <c r="K426"/>
    </row>
    <row r="427" spans="1:13" ht="13.5" thickBot="1">
      <c r="A427" s="36" t="s">
        <v>34</v>
      </c>
      <c r="B427" s="37"/>
      <c r="C427" s="29">
        <f>SUM(C425:C426)</f>
        <v>3</v>
      </c>
      <c r="D427" s="29"/>
      <c r="E427" s="29"/>
      <c r="F427" s="29"/>
      <c r="G427" s="29"/>
      <c r="H427" s="29"/>
      <c r="I427" s="29"/>
      <c r="J427" s="30">
        <f>SUM(J425:J426)</f>
        <v>3</v>
      </c>
      <c r="K427"/>
    </row>
    <row r="428" spans="1:13" ht="13.5" thickBot="1">
      <c r="A428" s="78" t="s">
        <v>35</v>
      </c>
      <c r="B428" s="79"/>
      <c r="C428" s="80">
        <f t="shared" ref="C428:H428" si="15">C419+C422+C424+C427</f>
        <v>3</v>
      </c>
      <c r="D428" s="80">
        <f t="shared" si="15"/>
        <v>27</v>
      </c>
      <c r="E428" s="80">
        <f t="shared" si="15"/>
        <v>260</v>
      </c>
      <c r="F428" s="80">
        <f t="shared" si="15"/>
        <v>0</v>
      </c>
      <c r="G428" s="80">
        <f t="shared" si="15"/>
        <v>82</v>
      </c>
      <c r="H428" s="80">
        <f t="shared" si="15"/>
        <v>374</v>
      </c>
      <c r="I428" s="80"/>
      <c r="J428" s="80">
        <f>J419+J422+J424+J427</f>
        <v>746</v>
      </c>
      <c r="K428"/>
    </row>
    <row r="429" spans="1:13">
      <c r="B429" s="38" t="s">
        <v>36</v>
      </c>
      <c r="C429" s="39"/>
      <c r="L429" s="26"/>
    </row>
    <row r="430" spans="1:13">
      <c r="A430" s="7" t="s">
        <v>37</v>
      </c>
      <c r="B430" s="8">
        <f>D419+D422+D424+D427</f>
        <v>27</v>
      </c>
      <c r="C430" s="6"/>
    </row>
    <row r="431" spans="1:13">
      <c r="A431" s="7" t="s">
        <v>38</v>
      </c>
      <c r="B431" s="8">
        <f>E428</f>
        <v>260</v>
      </c>
      <c r="C431" s="6"/>
    </row>
    <row r="432" spans="1:13">
      <c r="A432" s="7" t="s">
        <v>2615</v>
      </c>
      <c r="B432" s="8">
        <f>F419+F422+F424+F427</f>
        <v>0</v>
      </c>
      <c r="C432" s="6"/>
    </row>
    <row r="433" spans="1:14">
      <c r="A433" s="7" t="s">
        <v>39</v>
      </c>
      <c r="B433" s="8">
        <f>J415</f>
        <v>59</v>
      </c>
      <c r="C433" s="6"/>
    </row>
    <row r="434" spans="1:14">
      <c r="A434" s="7" t="s">
        <v>40</v>
      </c>
      <c r="B434" s="8">
        <f>J416+J421+J423-D423</f>
        <v>354</v>
      </c>
      <c r="C434" s="6"/>
    </row>
    <row r="435" spans="1:14">
      <c r="A435" s="7" t="s">
        <v>41</v>
      </c>
      <c r="B435" s="8">
        <f>J417</f>
        <v>0</v>
      </c>
      <c r="C435" s="6"/>
    </row>
    <row r="436" spans="1:14">
      <c r="A436" s="7" t="s">
        <v>42</v>
      </c>
      <c r="B436" s="8">
        <f>J418</f>
        <v>43</v>
      </c>
      <c r="C436" s="6"/>
    </row>
    <row r="437" spans="1:14">
      <c r="A437" s="7" t="s">
        <v>43</v>
      </c>
      <c r="B437" s="8">
        <f>J425</f>
        <v>0</v>
      </c>
      <c r="C437" s="6"/>
    </row>
    <row r="438" spans="1:14">
      <c r="A438" s="7" t="s">
        <v>44</v>
      </c>
      <c r="B438" s="8">
        <f>J426</f>
        <v>3</v>
      </c>
      <c r="C438" s="6"/>
    </row>
    <row r="439" spans="1:14">
      <c r="A439" s="7"/>
      <c r="B439" s="81">
        <f>SUM(B430:B438)</f>
        <v>746</v>
      </c>
      <c r="C439" s="6"/>
    </row>
    <row r="442" spans="1:14" ht="13.5" thickBot="1"/>
    <row r="443" spans="1:14" ht="13.5" thickBot="1">
      <c r="A443" s="85" t="s">
        <v>3210</v>
      </c>
      <c r="B443" s="9"/>
    </row>
    <row r="444" spans="1:14" ht="13.5" thickBot="1">
      <c r="A444" s="11" t="s">
        <v>17</v>
      </c>
      <c r="B444" s="12" t="s">
        <v>18</v>
      </c>
      <c r="C444" s="13" t="s">
        <v>16</v>
      </c>
      <c r="D444" s="14" t="s">
        <v>15</v>
      </c>
      <c r="E444" s="14" t="s">
        <v>6</v>
      </c>
      <c r="F444" s="14" t="s">
        <v>19</v>
      </c>
      <c r="G444" s="74" t="s">
        <v>20</v>
      </c>
      <c r="H444" s="74" t="s">
        <v>21</v>
      </c>
      <c r="I444" s="14" t="s">
        <v>22</v>
      </c>
      <c r="J444" s="15" t="s">
        <v>9</v>
      </c>
      <c r="K444"/>
    </row>
    <row r="445" spans="1:14">
      <c r="A445" s="16" t="s">
        <v>0</v>
      </c>
      <c r="B445" s="17" t="s">
        <v>15</v>
      </c>
      <c r="C445" s="18"/>
      <c r="D445" s="6">
        <v>26</v>
      </c>
      <c r="E445" s="18"/>
      <c r="F445" s="18"/>
      <c r="G445" s="75"/>
      <c r="H445" s="75"/>
      <c r="I445" s="18"/>
      <c r="J445" s="19">
        <f>D445</f>
        <v>26</v>
      </c>
      <c r="K445"/>
    </row>
    <row r="446" spans="1:14">
      <c r="A446" s="22" t="s">
        <v>0</v>
      </c>
      <c r="B446" s="23" t="s">
        <v>6</v>
      </c>
      <c r="C446" s="6"/>
      <c r="D446" s="6"/>
      <c r="E446" s="6">
        <v>261</v>
      </c>
      <c r="F446" s="6"/>
      <c r="G446" s="76"/>
      <c r="H446" s="76"/>
      <c r="I446" s="6"/>
      <c r="J446" s="24">
        <f>E446+F446</f>
        <v>261</v>
      </c>
      <c r="K446"/>
      <c r="L446" s="20" t="s">
        <v>23</v>
      </c>
      <c r="M446" s="25" t="s">
        <v>2764</v>
      </c>
      <c r="N446" s="98" t="s">
        <v>3211</v>
      </c>
    </row>
    <row r="447" spans="1:14">
      <c r="A447" s="22" t="s">
        <v>0</v>
      </c>
      <c r="B447" s="23" t="s">
        <v>13</v>
      </c>
      <c r="C447" s="6"/>
      <c r="D447" s="6"/>
      <c r="E447" s="6"/>
      <c r="F447" s="6"/>
      <c r="G447" s="76">
        <v>1</v>
      </c>
      <c r="H447" s="76">
        <v>58</v>
      </c>
      <c r="I447" s="6"/>
      <c r="J447" s="24">
        <f>G447+H447+I447</f>
        <v>59</v>
      </c>
      <c r="K447"/>
      <c r="L447" s="20">
        <v>177</v>
      </c>
      <c r="M447" s="25" t="s">
        <v>24</v>
      </c>
    </row>
    <row r="448" spans="1:14">
      <c r="A448" s="22" t="s">
        <v>0</v>
      </c>
      <c r="B448" s="23" t="s">
        <v>8</v>
      </c>
      <c r="C448" s="6"/>
      <c r="D448" s="6"/>
      <c r="E448" s="6"/>
      <c r="F448" s="6"/>
      <c r="G448" s="76">
        <v>70</v>
      </c>
      <c r="H448" s="76">
        <v>240</v>
      </c>
      <c r="I448" s="6"/>
      <c r="J448" s="24">
        <f>G448+H448+I448</f>
        <v>310</v>
      </c>
      <c r="K448"/>
      <c r="L448" s="20">
        <v>50</v>
      </c>
      <c r="M448" s="25" t="s">
        <v>25</v>
      </c>
      <c r="N448" s="98"/>
    </row>
    <row r="449" spans="1:13">
      <c r="A449" s="22" t="s">
        <v>0</v>
      </c>
      <c r="B449" s="23" t="s">
        <v>12</v>
      </c>
      <c r="C449" s="6"/>
      <c r="D449" s="6"/>
      <c r="E449" s="6"/>
      <c r="F449" s="6"/>
      <c r="G449" s="76"/>
      <c r="H449" s="76"/>
      <c r="I449" s="6"/>
      <c r="J449" s="24">
        <f>H449</f>
        <v>0</v>
      </c>
      <c r="K449"/>
      <c r="L449" s="20">
        <v>32</v>
      </c>
      <c r="M449" s="25" t="s">
        <v>26</v>
      </c>
    </row>
    <row r="450" spans="1:13">
      <c r="A450" s="22" t="s">
        <v>0</v>
      </c>
      <c r="B450" s="23" t="s">
        <v>14</v>
      </c>
      <c r="C450" s="6"/>
      <c r="D450" s="6"/>
      <c r="E450" s="6"/>
      <c r="F450" s="6"/>
      <c r="G450" s="76">
        <v>4</v>
      </c>
      <c r="H450" s="76">
        <v>39</v>
      </c>
      <c r="I450" s="6"/>
      <c r="J450" s="24">
        <f>G450+H450</f>
        <v>43</v>
      </c>
      <c r="K450"/>
      <c r="L450" s="20">
        <v>0</v>
      </c>
      <c r="M450" s="25" t="s">
        <v>27</v>
      </c>
    </row>
    <row r="451" spans="1:13" ht="13.5" thickBot="1">
      <c r="A451" s="27" t="s">
        <v>29</v>
      </c>
      <c r="B451" s="28"/>
      <c r="C451" s="29"/>
      <c r="D451" s="29">
        <f>SUM(D445:D450)</f>
        <v>26</v>
      </c>
      <c r="E451" s="29">
        <f>SUM(E445:E450)</f>
        <v>261</v>
      </c>
      <c r="F451" s="29">
        <f>SUM(F445:F450)</f>
        <v>0</v>
      </c>
      <c r="G451" s="29">
        <f>SUM(G445:G450)</f>
        <v>75</v>
      </c>
      <c r="H451" s="29">
        <f>SUM(H445:H450)</f>
        <v>337</v>
      </c>
      <c r="I451" s="29"/>
      <c r="J451" s="30">
        <f>SUM(J445:J450)</f>
        <v>699</v>
      </c>
      <c r="K451"/>
      <c r="L451" s="20">
        <v>1</v>
      </c>
      <c r="M451" s="25" t="s">
        <v>28</v>
      </c>
    </row>
    <row r="452" spans="1:13">
      <c r="A452" s="31" t="s">
        <v>7</v>
      </c>
      <c r="B452" s="32" t="s">
        <v>15</v>
      </c>
      <c r="C452" s="33"/>
      <c r="D452" s="33"/>
      <c r="E452" s="33"/>
      <c r="F452" s="33"/>
      <c r="G452" s="77"/>
      <c r="H452" s="77"/>
      <c r="I452" s="33"/>
      <c r="J452" s="34"/>
      <c r="K452"/>
      <c r="L452" s="20">
        <v>1</v>
      </c>
      <c r="M452" s="25" t="s">
        <v>30</v>
      </c>
    </row>
    <row r="453" spans="1:13">
      <c r="A453" s="31" t="s">
        <v>7</v>
      </c>
      <c r="B453" s="32" t="s">
        <v>8</v>
      </c>
      <c r="C453" s="33"/>
      <c r="D453" s="33"/>
      <c r="E453" s="33"/>
      <c r="F453" s="33"/>
      <c r="G453" s="77">
        <v>3</v>
      </c>
      <c r="H453" s="77">
        <v>26</v>
      </c>
      <c r="I453" s="33"/>
      <c r="J453" s="34">
        <f>G453+H453</f>
        <v>29</v>
      </c>
      <c r="K453"/>
      <c r="L453" s="35">
        <f>SUM(L447:L452)</f>
        <v>261</v>
      </c>
      <c r="M453" s="21"/>
    </row>
    <row r="454" spans="1:13" ht="13.5" thickBot="1">
      <c r="A454" s="27" t="s">
        <v>31</v>
      </c>
      <c r="B454" s="28"/>
      <c r="C454" s="29"/>
      <c r="D454" s="29"/>
      <c r="E454" s="29"/>
      <c r="F454" s="29"/>
      <c r="G454" s="29">
        <f>SUM(G452:G453)</f>
        <v>3</v>
      </c>
      <c r="H454" s="29">
        <f>SUM(H452:H453)</f>
        <v>26</v>
      </c>
      <c r="I454" s="29"/>
      <c r="J454" s="30">
        <f>SUM(J452:J453)</f>
        <v>29</v>
      </c>
      <c r="K454"/>
    </row>
    <row r="455" spans="1:13">
      <c r="A455" s="31" t="s">
        <v>105</v>
      </c>
      <c r="B455" s="32" t="s">
        <v>8</v>
      </c>
      <c r="C455" s="33"/>
      <c r="D455" s="33">
        <v>1</v>
      </c>
      <c r="E455" s="33"/>
      <c r="F455" s="33"/>
      <c r="G455" s="77">
        <v>4</v>
      </c>
      <c r="H455" s="77">
        <v>14</v>
      </c>
      <c r="I455" s="33"/>
      <c r="J455" s="34">
        <f>D455+G455+H455</f>
        <v>19</v>
      </c>
      <c r="K455"/>
    </row>
    <row r="456" spans="1:13" ht="13.5" thickBot="1">
      <c r="A456" s="27" t="s">
        <v>106</v>
      </c>
      <c r="B456" s="28"/>
      <c r="C456" s="29"/>
      <c r="D456" s="29">
        <f>SUM(D455:D455)</f>
        <v>1</v>
      </c>
      <c r="E456" s="29"/>
      <c r="F456" s="29"/>
      <c r="G456" s="29">
        <f>SUM(G455:G455)</f>
        <v>4</v>
      </c>
      <c r="H456" s="29">
        <f>SUM(H455:H455)</f>
        <v>14</v>
      </c>
      <c r="I456" s="29"/>
      <c r="J456" s="30">
        <f>SUM(J455:J455)</f>
        <v>19</v>
      </c>
      <c r="K456"/>
    </row>
    <row r="457" spans="1:13">
      <c r="A457" s="22" t="s">
        <v>108</v>
      </c>
      <c r="B457" s="32" t="s">
        <v>10</v>
      </c>
      <c r="C457" s="6"/>
      <c r="D457" s="6"/>
      <c r="E457" s="6"/>
      <c r="F457" s="6"/>
      <c r="G457" s="76"/>
      <c r="H457" s="76"/>
      <c r="I457" s="6"/>
      <c r="J457" s="24">
        <f>H457</f>
        <v>0</v>
      </c>
      <c r="K457"/>
    </row>
    <row r="458" spans="1:13">
      <c r="A458" s="22" t="s">
        <v>32</v>
      </c>
      <c r="B458" s="32" t="s">
        <v>33</v>
      </c>
      <c r="C458" s="6">
        <v>3</v>
      </c>
      <c r="D458" s="6"/>
      <c r="E458" s="6"/>
      <c r="F458" s="6"/>
      <c r="G458" s="76"/>
      <c r="H458" s="76"/>
      <c r="I458" s="6"/>
      <c r="J458" s="24">
        <f>C458</f>
        <v>3</v>
      </c>
      <c r="K458"/>
    </row>
    <row r="459" spans="1:13" ht="13.5" thickBot="1">
      <c r="A459" s="36" t="s">
        <v>34</v>
      </c>
      <c r="B459" s="37"/>
      <c r="C459" s="29">
        <f>SUM(C457:C458)</f>
        <v>3</v>
      </c>
      <c r="D459" s="29"/>
      <c r="E459" s="29"/>
      <c r="F459" s="29"/>
      <c r="G459" s="29"/>
      <c r="H459" s="29"/>
      <c r="I459" s="29"/>
      <c r="J459" s="30">
        <f>SUM(J457:J458)</f>
        <v>3</v>
      </c>
      <c r="K459"/>
    </row>
    <row r="460" spans="1:13" ht="13.5" thickBot="1">
      <c r="A460" s="78" t="s">
        <v>35</v>
      </c>
      <c r="B460" s="79"/>
      <c r="C460" s="80">
        <f t="shared" ref="C460:H460" si="16">C451+C454+C456+C459</f>
        <v>3</v>
      </c>
      <c r="D460" s="80">
        <f t="shared" si="16"/>
        <v>27</v>
      </c>
      <c r="E460" s="80">
        <f t="shared" si="16"/>
        <v>261</v>
      </c>
      <c r="F460" s="80">
        <f t="shared" si="16"/>
        <v>0</v>
      </c>
      <c r="G460" s="80">
        <f t="shared" si="16"/>
        <v>82</v>
      </c>
      <c r="H460" s="80">
        <f t="shared" si="16"/>
        <v>377</v>
      </c>
      <c r="I460" s="80"/>
      <c r="J460" s="80">
        <f>J451+J454+J456+J459</f>
        <v>750</v>
      </c>
      <c r="K460"/>
    </row>
    <row r="461" spans="1:13">
      <c r="B461" s="38" t="s">
        <v>36</v>
      </c>
      <c r="C461" s="39"/>
      <c r="L461" s="26"/>
    </row>
    <row r="462" spans="1:13">
      <c r="A462" s="7" t="s">
        <v>37</v>
      </c>
      <c r="B462" s="8">
        <f>D451+D454+D456+D459</f>
        <v>27</v>
      </c>
      <c r="C462" s="6"/>
    </row>
    <row r="463" spans="1:13">
      <c r="A463" s="7" t="s">
        <v>38</v>
      </c>
      <c r="B463" s="8">
        <f>E460</f>
        <v>261</v>
      </c>
      <c r="C463" s="6"/>
    </row>
    <row r="464" spans="1:13">
      <c r="A464" s="7" t="s">
        <v>2615</v>
      </c>
      <c r="B464" s="8">
        <f>F451+F454+F456+F459</f>
        <v>0</v>
      </c>
      <c r="C464" s="6"/>
    </row>
    <row r="465" spans="1:14">
      <c r="A465" s="7" t="s">
        <v>39</v>
      </c>
      <c r="B465" s="8">
        <f>J447</f>
        <v>59</v>
      </c>
      <c r="C465" s="6"/>
    </row>
    <row r="466" spans="1:14">
      <c r="A466" s="7" t="s">
        <v>40</v>
      </c>
      <c r="B466" s="8">
        <f>J448+J453+J455-D455</f>
        <v>357</v>
      </c>
      <c r="C466" s="6"/>
    </row>
    <row r="467" spans="1:14">
      <c r="A467" s="7" t="s">
        <v>41</v>
      </c>
      <c r="B467" s="8">
        <f>J449</f>
        <v>0</v>
      </c>
      <c r="C467" s="6"/>
    </row>
    <row r="468" spans="1:14">
      <c r="A468" s="7" t="s">
        <v>42</v>
      </c>
      <c r="B468" s="8">
        <f>J450</f>
        <v>43</v>
      </c>
      <c r="C468" s="6"/>
    </row>
    <row r="469" spans="1:14">
      <c r="A469" s="7" t="s">
        <v>43</v>
      </c>
      <c r="B469" s="8">
        <f>J457</f>
        <v>0</v>
      </c>
      <c r="C469" s="6"/>
    </row>
    <row r="470" spans="1:14">
      <c r="A470" s="7" t="s">
        <v>44</v>
      </c>
      <c r="B470" s="8">
        <f>J458</f>
        <v>3</v>
      </c>
      <c r="C470" s="6"/>
    </row>
    <row r="471" spans="1:14">
      <c r="A471" s="7"/>
      <c r="B471" s="81">
        <f>SUM(B462:B470)</f>
        <v>750</v>
      </c>
      <c r="C471" s="6"/>
    </row>
    <row r="474" spans="1:14" ht="13.5" thickBot="1"/>
    <row r="475" spans="1:14" ht="13.5" thickBot="1">
      <c r="A475" s="85" t="s">
        <v>3203</v>
      </c>
      <c r="B475" s="9"/>
    </row>
    <row r="476" spans="1:14" ht="13.5" thickBot="1">
      <c r="A476" s="11" t="s">
        <v>17</v>
      </c>
      <c r="B476" s="12" t="s">
        <v>18</v>
      </c>
      <c r="C476" s="13" t="s">
        <v>16</v>
      </c>
      <c r="D476" s="14" t="s">
        <v>15</v>
      </c>
      <c r="E476" s="14" t="s">
        <v>6</v>
      </c>
      <c r="F476" s="14" t="s">
        <v>19</v>
      </c>
      <c r="G476" s="74" t="s">
        <v>20</v>
      </c>
      <c r="H476" s="74" t="s">
        <v>21</v>
      </c>
      <c r="I476" s="14" t="s">
        <v>22</v>
      </c>
      <c r="J476" s="15" t="s">
        <v>9</v>
      </c>
      <c r="K476"/>
    </row>
    <row r="477" spans="1:14">
      <c r="A477" s="16" t="s">
        <v>0</v>
      </c>
      <c r="B477" s="17" t="s">
        <v>15</v>
      </c>
      <c r="C477" s="18"/>
      <c r="D477" s="6">
        <v>26</v>
      </c>
      <c r="E477" s="18"/>
      <c r="F477" s="18"/>
      <c r="G477" s="75"/>
      <c r="H477" s="75"/>
      <c r="I477" s="18"/>
      <c r="J477" s="19">
        <f>D477</f>
        <v>26</v>
      </c>
      <c r="K477"/>
    </row>
    <row r="478" spans="1:14">
      <c r="A478" s="22" t="s">
        <v>0</v>
      </c>
      <c r="B478" s="23" t="s">
        <v>6</v>
      </c>
      <c r="C478" s="6"/>
      <c r="D478" s="6"/>
      <c r="E478" s="6">
        <v>263</v>
      </c>
      <c r="F478" s="6"/>
      <c r="G478" s="76"/>
      <c r="H478" s="76"/>
      <c r="I478" s="6"/>
      <c r="J478" s="24">
        <f>E478+F478</f>
        <v>263</v>
      </c>
      <c r="K478"/>
      <c r="L478" s="20" t="s">
        <v>23</v>
      </c>
      <c r="M478" s="25" t="s">
        <v>2764</v>
      </c>
      <c r="N478" s="98"/>
    </row>
    <row r="479" spans="1:14">
      <c r="A479" s="22" t="s">
        <v>0</v>
      </c>
      <c r="B479" s="23" t="s">
        <v>13</v>
      </c>
      <c r="C479" s="6"/>
      <c r="D479" s="6"/>
      <c r="E479" s="6"/>
      <c r="F479" s="6"/>
      <c r="G479" s="76">
        <v>1</v>
      </c>
      <c r="H479" s="76">
        <v>58</v>
      </c>
      <c r="I479" s="6"/>
      <c r="J479" s="24">
        <f>G479+H479+I479</f>
        <v>59</v>
      </c>
      <c r="K479"/>
      <c r="L479" s="20">
        <v>180</v>
      </c>
      <c r="M479" s="25" t="s">
        <v>24</v>
      </c>
    </row>
    <row r="480" spans="1:14">
      <c r="A480" s="22" t="s">
        <v>0</v>
      </c>
      <c r="B480" s="23" t="s">
        <v>8</v>
      </c>
      <c r="C480" s="6"/>
      <c r="D480" s="6"/>
      <c r="E480" s="6"/>
      <c r="F480" s="6"/>
      <c r="G480" s="76">
        <v>70</v>
      </c>
      <c r="H480" s="76">
        <v>238</v>
      </c>
      <c r="I480" s="6"/>
      <c r="J480" s="24">
        <f>G480+H480+I480</f>
        <v>308</v>
      </c>
      <c r="K480"/>
      <c r="L480" s="20">
        <v>50</v>
      </c>
      <c r="M480" s="25" t="s">
        <v>25</v>
      </c>
      <c r="N480" s="98"/>
    </row>
    <row r="481" spans="1:13">
      <c r="A481" s="22" t="s">
        <v>0</v>
      </c>
      <c r="B481" s="23" t="s">
        <v>12</v>
      </c>
      <c r="C481" s="6"/>
      <c r="D481" s="6"/>
      <c r="E481" s="6"/>
      <c r="F481" s="6"/>
      <c r="G481" s="76"/>
      <c r="H481" s="76"/>
      <c r="I481" s="6"/>
      <c r="J481" s="24">
        <f>H481</f>
        <v>0</v>
      </c>
      <c r="K481"/>
      <c r="L481" s="20">
        <v>33</v>
      </c>
      <c r="M481" s="25" t="s">
        <v>26</v>
      </c>
    </row>
    <row r="482" spans="1:13">
      <c r="A482" s="22" t="s">
        <v>0</v>
      </c>
      <c r="B482" s="23" t="s">
        <v>14</v>
      </c>
      <c r="C482" s="6"/>
      <c r="D482" s="6"/>
      <c r="E482" s="6"/>
      <c r="F482" s="6"/>
      <c r="G482" s="76">
        <v>4</v>
      </c>
      <c r="H482" s="76">
        <v>41</v>
      </c>
      <c r="I482" s="6"/>
      <c r="J482" s="24">
        <f>G482+H482</f>
        <v>45</v>
      </c>
      <c r="K482"/>
      <c r="L482" s="20">
        <v>0</v>
      </c>
      <c r="M482" s="25" t="s">
        <v>27</v>
      </c>
    </row>
    <row r="483" spans="1:13" ht="13.5" thickBot="1">
      <c r="A483" s="27" t="s">
        <v>29</v>
      </c>
      <c r="B483" s="28"/>
      <c r="C483" s="29"/>
      <c r="D483" s="29">
        <f>SUM(D477:D482)</f>
        <v>26</v>
      </c>
      <c r="E483" s="29">
        <f>SUM(E477:E482)</f>
        <v>263</v>
      </c>
      <c r="F483" s="29">
        <f>SUM(F477:F482)</f>
        <v>0</v>
      </c>
      <c r="G483" s="29">
        <f>SUM(G477:G482)</f>
        <v>75</v>
      </c>
      <c r="H483" s="29">
        <f>SUM(H477:H482)</f>
        <v>337</v>
      </c>
      <c r="I483" s="29"/>
      <c r="J483" s="30">
        <f>SUM(J477:J482)</f>
        <v>701</v>
      </c>
      <c r="K483"/>
      <c r="L483" s="20">
        <v>1</v>
      </c>
      <c r="M483" s="25" t="s">
        <v>28</v>
      </c>
    </row>
    <row r="484" spans="1:13">
      <c r="A484" s="31" t="s">
        <v>7</v>
      </c>
      <c r="B484" s="32" t="s">
        <v>15</v>
      </c>
      <c r="C484" s="33"/>
      <c r="D484" s="33"/>
      <c r="E484" s="33"/>
      <c r="F484" s="33"/>
      <c r="G484" s="77"/>
      <c r="H484" s="77"/>
      <c r="I484" s="33"/>
      <c r="J484" s="34"/>
      <c r="K484"/>
      <c r="L484" s="20">
        <v>1</v>
      </c>
      <c r="M484" s="25" t="s">
        <v>30</v>
      </c>
    </row>
    <row r="485" spans="1:13">
      <c r="A485" s="31" t="s">
        <v>7</v>
      </c>
      <c r="B485" s="32" t="s">
        <v>8</v>
      </c>
      <c r="C485" s="33"/>
      <c r="D485" s="33"/>
      <c r="E485" s="33"/>
      <c r="F485" s="33"/>
      <c r="G485" s="77">
        <v>3</v>
      </c>
      <c r="H485" s="77">
        <v>26</v>
      </c>
      <c r="I485" s="33"/>
      <c r="J485" s="34">
        <f>G485+H485</f>
        <v>29</v>
      </c>
      <c r="K485"/>
      <c r="L485" s="35">
        <f>SUM(L479:L484)</f>
        <v>265</v>
      </c>
      <c r="M485" s="21"/>
    </row>
    <row r="486" spans="1:13" ht="13.5" thickBot="1">
      <c r="A486" s="27" t="s">
        <v>31</v>
      </c>
      <c r="B486" s="28"/>
      <c r="C486" s="29"/>
      <c r="D486" s="29"/>
      <c r="E486" s="29"/>
      <c r="F486" s="29"/>
      <c r="G486" s="29">
        <f>SUM(G484:G485)</f>
        <v>3</v>
      </c>
      <c r="H486" s="29">
        <f>SUM(H484:H485)</f>
        <v>26</v>
      </c>
      <c r="I486" s="29"/>
      <c r="J486" s="30">
        <f>SUM(J484:J485)</f>
        <v>29</v>
      </c>
      <c r="K486"/>
    </row>
    <row r="487" spans="1:13">
      <c r="A487" s="31" t="s">
        <v>105</v>
      </c>
      <c r="B487" s="32" t="s">
        <v>8</v>
      </c>
      <c r="C487" s="33"/>
      <c r="D487" s="33">
        <v>1</v>
      </c>
      <c r="E487" s="33"/>
      <c r="F487" s="33"/>
      <c r="G487" s="77">
        <v>4</v>
      </c>
      <c r="H487" s="77">
        <v>14</v>
      </c>
      <c r="I487" s="33"/>
      <c r="J487" s="34">
        <f>D487+G487+H487</f>
        <v>19</v>
      </c>
      <c r="K487"/>
    </row>
    <row r="488" spans="1:13" ht="13.5" thickBot="1">
      <c r="A488" s="27" t="s">
        <v>106</v>
      </c>
      <c r="B488" s="28"/>
      <c r="C488" s="29"/>
      <c r="D488" s="29">
        <f>SUM(D487:D487)</f>
        <v>1</v>
      </c>
      <c r="E488" s="29"/>
      <c r="F488" s="29"/>
      <c r="G488" s="29">
        <f>SUM(G487:G487)</f>
        <v>4</v>
      </c>
      <c r="H488" s="29">
        <f>SUM(H487:H487)</f>
        <v>14</v>
      </c>
      <c r="I488" s="29"/>
      <c r="J488" s="30">
        <f>SUM(J487:J487)</f>
        <v>19</v>
      </c>
      <c r="K488"/>
    </row>
    <row r="489" spans="1:13">
      <c r="A489" s="22" t="s">
        <v>108</v>
      </c>
      <c r="B489" s="32" t="s">
        <v>10</v>
      </c>
      <c r="C489" s="6"/>
      <c r="D489" s="6"/>
      <c r="E489" s="6"/>
      <c r="F489" s="6"/>
      <c r="G489" s="76"/>
      <c r="H489" s="76"/>
      <c r="I489" s="6"/>
      <c r="J489" s="24">
        <f>H489</f>
        <v>0</v>
      </c>
      <c r="K489"/>
    </row>
    <row r="490" spans="1:13">
      <c r="A490" s="22" t="s">
        <v>32</v>
      </c>
      <c r="B490" s="32" t="s">
        <v>33</v>
      </c>
      <c r="C490" s="6">
        <v>3</v>
      </c>
      <c r="D490" s="6"/>
      <c r="E490" s="6"/>
      <c r="F490" s="6"/>
      <c r="G490" s="76"/>
      <c r="H490" s="76"/>
      <c r="I490" s="6"/>
      <c r="J490" s="24">
        <f>C490</f>
        <v>3</v>
      </c>
      <c r="K490"/>
    </row>
    <row r="491" spans="1:13" ht="13.5" thickBot="1">
      <c r="A491" s="36" t="s">
        <v>34</v>
      </c>
      <c r="B491" s="37"/>
      <c r="C491" s="29">
        <f>SUM(C489:C490)</f>
        <v>3</v>
      </c>
      <c r="D491" s="29"/>
      <c r="E491" s="29"/>
      <c r="F491" s="29"/>
      <c r="G491" s="29"/>
      <c r="H491" s="29"/>
      <c r="I491" s="29"/>
      <c r="J491" s="30">
        <f>SUM(J489:J490)</f>
        <v>3</v>
      </c>
      <c r="K491"/>
    </row>
    <row r="492" spans="1:13" ht="13.5" thickBot="1">
      <c r="A492" s="78" t="s">
        <v>35</v>
      </c>
      <c r="B492" s="79"/>
      <c r="C492" s="80">
        <f t="shared" ref="C492:H492" si="17">C483+C486+C488+C491</f>
        <v>3</v>
      </c>
      <c r="D492" s="80">
        <f t="shared" si="17"/>
        <v>27</v>
      </c>
      <c r="E492" s="80">
        <f t="shared" si="17"/>
        <v>263</v>
      </c>
      <c r="F492" s="80">
        <f t="shared" si="17"/>
        <v>0</v>
      </c>
      <c r="G492" s="80">
        <f t="shared" si="17"/>
        <v>82</v>
      </c>
      <c r="H492" s="80">
        <f t="shared" si="17"/>
        <v>377</v>
      </c>
      <c r="I492" s="80"/>
      <c r="J492" s="80">
        <f>J483+J486+J488+J491</f>
        <v>752</v>
      </c>
      <c r="K492"/>
    </row>
    <row r="493" spans="1:13">
      <c r="B493" s="38" t="s">
        <v>36</v>
      </c>
      <c r="C493" s="39"/>
      <c r="L493" s="26"/>
    </row>
    <row r="494" spans="1:13">
      <c r="A494" s="7" t="s">
        <v>37</v>
      </c>
      <c r="B494" s="8">
        <f>D483+D486+D488+D491</f>
        <v>27</v>
      </c>
      <c r="C494" s="6"/>
    </row>
    <row r="495" spans="1:13">
      <c r="A495" s="7" t="s">
        <v>38</v>
      </c>
      <c r="B495" s="8">
        <f>E492</f>
        <v>263</v>
      </c>
      <c r="C495" s="6"/>
    </row>
    <row r="496" spans="1:13">
      <c r="A496" s="7" t="s">
        <v>2615</v>
      </c>
      <c r="B496" s="8">
        <f>F483+F486+F488+F491</f>
        <v>0</v>
      </c>
      <c r="C496" s="6"/>
    </row>
    <row r="497" spans="1:14">
      <c r="A497" s="7" t="s">
        <v>39</v>
      </c>
      <c r="B497" s="8">
        <f>J479</f>
        <v>59</v>
      </c>
      <c r="C497" s="6"/>
    </row>
    <row r="498" spans="1:14">
      <c r="A498" s="7" t="s">
        <v>40</v>
      </c>
      <c r="B498" s="8">
        <f>J480+J485+J487-D487</f>
        <v>355</v>
      </c>
      <c r="C498" s="6"/>
    </row>
    <row r="499" spans="1:14">
      <c r="A499" s="7" t="s">
        <v>41</v>
      </c>
      <c r="B499" s="8">
        <f>J481</f>
        <v>0</v>
      </c>
      <c r="C499" s="6"/>
    </row>
    <row r="500" spans="1:14">
      <c r="A500" s="7" t="s">
        <v>42</v>
      </c>
      <c r="B500" s="8">
        <f>J482</f>
        <v>45</v>
      </c>
      <c r="C500" s="6"/>
    </row>
    <row r="501" spans="1:14">
      <c r="A501" s="7" t="s">
        <v>43</v>
      </c>
      <c r="B501" s="8">
        <f>J489</f>
        <v>0</v>
      </c>
      <c r="C501" s="6"/>
    </row>
    <row r="502" spans="1:14">
      <c r="A502" s="7" t="s">
        <v>44</v>
      </c>
      <c r="B502" s="8">
        <f>J490</f>
        <v>3</v>
      </c>
      <c r="C502" s="6"/>
    </row>
    <row r="503" spans="1:14">
      <c r="A503" s="7"/>
      <c r="B503" s="81">
        <f>SUM(B494:B502)</f>
        <v>752</v>
      </c>
      <c r="C503" s="6"/>
    </row>
    <row r="506" spans="1:14" ht="13.5" thickBot="1"/>
    <row r="507" spans="1:14" ht="13.5" thickBot="1">
      <c r="A507" s="85" t="s">
        <v>3168</v>
      </c>
      <c r="B507" s="9"/>
    </row>
    <row r="508" spans="1:14" ht="13.5" thickBot="1">
      <c r="A508" s="11" t="s">
        <v>17</v>
      </c>
      <c r="B508" s="12" t="s">
        <v>18</v>
      </c>
      <c r="C508" s="13" t="s">
        <v>16</v>
      </c>
      <c r="D508" s="14" t="s">
        <v>15</v>
      </c>
      <c r="E508" s="14" t="s">
        <v>6</v>
      </c>
      <c r="F508" s="14" t="s">
        <v>19</v>
      </c>
      <c r="G508" s="74" t="s">
        <v>20</v>
      </c>
      <c r="H508" s="74" t="s">
        <v>21</v>
      </c>
      <c r="I508" s="14" t="s">
        <v>22</v>
      </c>
      <c r="J508" s="15" t="s">
        <v>9</v>
      </c>
      <c r="K508"/>
    </row>
    <row r="509" spans="1:14">
      <c r="A509" s="16" t="s">
        <v>0</v>
      </c>
      <c r="B509" s="17" t="s">
        <v>15</v>
      </c>
      <c r="C509" s="18"/>
      <c r="D509" s="6">
        <v>26</v>
      </c>
      <c r="E509" s="18"/>
      <c r="F509" s="18"/>
      <c r="G509" s="75"/>
      <c r="H509" s="75"/>
      <c r="I509" s="18"/>
      <c r="J509" s="19">
        <f>D509</f>
        <v>26</v>
      </c>
      <c r="K509"/>
    </row>
    <row r="510" spans="1:14">
      <c r="A510" s="22" t="s">
        <v>0</v>
      </c>
      <c r="B510" s="23" t="s">
        <v>6</v>
      </c>
      <c r="C510" s="6"/>
      <c r="D510" s="6"/>
      <c r="E510" s="6">
        <v>263</v>
      </c>
      <c r="F510" s="6"/>
      <c r="G510" s="76"/>
      <c r="H510" s="76"/>
      <c r="I510" s="6"/>
      <c r="J510" s="24">
        <f>E510+F510</f>
        <v>263</v>
      </c>
      <c r="K510"/>
      <c r="L510" s="20" t="s">
        <v>23</v>
      </c>
      <c r="M510" s="25" t="s">
        <v>2764</v>
      </c>
      <c r="N510" s="98"/>
    </row>
    <row r="511" spans="1:14">
      <c r="A511" s="22" t="s">
        <v>0</v>
      </c>
      <c r="B511" s="23" t="s">
        <v>13</v>
      </c>
      <c r="C511" s="6"/>
      <c r="D511" s="6"/>
      <c r="E511" s="6"/>
      <c r="F511" s="6"/>
      <c r="G511" s="76">
        <v>1</v>
      </c>
      <c r="H511" s="76">
        <v>57</v>
      </c>
      <c r="I511" s="6"/>
      <c r="J511" s="24">
        <f>G511+H511+I511</f>
        <v>58</v>
      </c>
      <c r="K511"/>
      <c r="L511" s="20">
        <v>180</v>
      </c>
      <c r="M511" s="25" t="s">
        <v>24</v>
      </c>
    </row>
    <row r="512" spans="1:14">
      <c r="A512" s="22" t="s">
        <v>0</v>
      </c>
      <c r="B512" s="23" t="s">
        <v>8</v>
      </c>
      <c r="C512" s="6"/>
      <c r="D512" s="6"/>
      <c r="E512" s="6"/>
      <c r="F512" s="6"/>
      <c r="G512" s="76">
        <v>69</v>
      </c>
      <c r="H512" s="76">
        <v>238</v>
      </c>
      <c r="I512" s="6"/>
      <c r="J512" s="24">
        <f>G512+H512+I512</f>
        <v>307</v>
      </c>
      <c r="K512"/>
      <c r="L512" s="20">
        <v>50</v>
      </c>
      <c r="M512" s="25" t="s">
        <v>25</v>
      </c>
      <c r="N512" s="98"/>
    </row>
    <row r="513" spans="1:13">
      <c r="A513" s="22" t="s">
        <v>0</v>
      </c>
      <c r="B513" s="23" t="s">
        <v>12</v>
      </c>
      <c r="C513" s="6"/>
      <c r="D513" s="6"/>
      <c r="E513" s="6"/>
      <c r="F513" s="6"/>
      <c r="G513" s="76"/>
      <c r="H513" s="76"/>
      <c r="I513" s="6"/>
      <c r="J513" s="24">
        <f>H513</f>
        <v>0</v>
      </c>
      <c r="K513"/>
      <c r="L513" s="20">
        <v>33</v>
      </c>
      <c r="M513" s="25" t="s">
        <v>26</v>
      </c>
    </row>
    <row r="514" spans="1:13">
      <c r="A514" s="22" t="s">
        <v>0</v>
      </c>
      <c r="B514" s="23" t="s">
        <v>14</v>
      </c>
      <c r="C514" s="6"/>
      <c r="D514" s="6"/>
      <c r="E514" s="6"/>
      <c r="F514" s="6"/>
      <c r="G514" s="76">
        <v>4</v>
      </c>
      <c r="H514" s="76">
        <v>41</v>
      </c>
      <c r="I514" s="6"/>
      <c r="J514" s="24">
        <f>G514+H514</f>
        <v>45</v>
      </c>
      <c r="K514"/>
      <c r="L514" s="20">
        <v>0</v>
      </c>
      <c r="M514" s="25" t="s">
        <v>27</v>
      </c>
    </row>
    <row r="515" spans="1:13" ht="13.5" thickBot="1">
      <c r="A515" s="27" t="s">
        <v>29</v>
      </c>
      <c r="B515" s="28"/>
      <c r="C515" s="29"/>
      <c r="D515" s="29">
        <f>SUM(D509:D514)</f>
        <v>26</v>
      </c>
      <c r="E515" s="29">
        <f>SUM(E509:E514)</f>
        <v>263</v>
      </c>
      <c r="F515" s="29">
        <f>SUM(F509:F514)</f>
        <v>0</v>
      </c>
      <c r="G515" s="29">
        <f>SUM(G509:G514)</f>
        <v>74</v>
      </c>
      <c r="H515" s="29">
        <f>SUM(H509:H514)</f>
        <v>336</v>
      </c>
      <c r="I515" s="29"/>
      <c r="J515" s="30">
        <f>SUM(J509:J514)</f>
        <v>699</v>
      </c>
      <c r="K515"/>
      <c r="L515" s="20">
        <v>1</v>
      </c>
      <c r="M515" s="25" t="s">
        <v>28</v>
      </c>
    </row>
    <row r="516" spans="1:13">
      <c r="A516" s="31" t="s">
        <v>7</v>
      </c>
      <c r="B516" s="32" t="s">
        <v>15</v>
      </c>
      <c r="C516" s="33"/>
      <c r="D516" s="33"/>
      <c r="E516" s="33"/>
      <c r="F516" s="33"/>
      <c r="G516" s="77"/>
      <c r="H516" s="77"/>
      <c r="I516" s="33"/>
      <c r="J516" s="34"/>
      <c r="K516"/>
      <c r="L516" s="20">
        <v>1</v>
      </c>
      <c r="M516" s="25" t="s">
        <v>30</v>
      </c>
    </row>
    <row r="517" spans="1:13">
      <c r="A517" s="31" t="s">
        <v>7</v>
      </c>
      <c r="B517" s="32" t="s">
        <v>8</v>
      </c>
      <c r="C517" s="33"/>
      <c r="D517" s="33"/>
      <c r="E517" s="33"/>
      <c r="F517" s="33"/>
      <c r="G517" s="77">
        <v>4</v>
      </c>
      <c r="H517" s="77">
        <v>26</v>
      </c>
      <c r="I517" s="33"/>
      <c r="J517" s="34">
        <f>G517+H517</f>
        <v>30</v>
      </c>
      <c r="K517"/>
      <c r="L517" s="35">
        <f>SUM(L511:L516)</f>
        <v>265</v>
      </c>
      <c r="M517" s="21"/>
    </row>
    <row r="518" spans="1:13" ht="13.5" thickBot="1">
      <c r="A518" s="27" t="s">
        <v>31</v>
      </c>
      <c r="B518" s="28"/>
      <c r="C518" s="29"/>
      <c r="D518" s="29"/>
      <c r="E518" s="29"/>
      <c r="F518" s="29"/>
      <c r="G518" s="29">
        <f>SUM(G516:G517)</f>
        <v>4</v>
      </c>
      <c r="H518" s="29">
        <f>SUM(H516:H517)</f>
        <v>26</v>
      </c>
      <c r="I518" s="29"/>
      <c r="J518" s="30">
        <f>SUM(J516:J517)</f>
        <v>30</v>
      </c>
      <c r="K518"/>
    </row>
    <row r="519" spans="1:13">
      <c r="A519" s="31" t="s">
        <v>105</v>
      </c>
      <c r="B519" s="32" t="s">
        <v>8</v>
      </c>
      <c r="C519" s="33"/>
      <c r="D519" s="33">
        <v>1</v>
      </c>
      <c r="E519" s="33"/>
      <c r="F519" s="33"/>
      <c r="G519" s="77">
        <v>4</v>
      </c>
      <c r="H519" s="77">
        <v>14</v>
      </c>
      <c r="I519" s="33"/>
      <c r="J519" s="34">
        <f>D519+G519+H519</f>
        <v>19</v>
      </c>
      <c r="K519"/>
    </row>
    <row r="520" spans="1:13" ht="13.5" thickBot="1">
      <c r="A520" s="27" t="s">
        <v>106</v>
      </c>
      <c r="B520" s="28"/>
      <c r="C520" s="29"/>
      <c r="D520" s="29">
        <f>SUM(D519:D519)</f>
        <v>1</v>
      </c>
      <c r="E520" s="29"/>
      <c r="F520" s="29"/>
      <c r="G520" s="29">
        <f>SUM(G519:G519)</f>
        <v>4</v>
      </c>
      <c r="H520" s="29">
        <f>SUM(H519:H519)</f>
        <v>14</v>
      </c>
      <c r="I520" s="29"/>
      <c r="J520" s="30">
        <f>SUM(J519:J519)</f>
        <v>19</v>
      </c>
      <c r="K520"/>
    </row>
    <row r="521" spans="1:13">
      <c r="A521" s="22" t="s">
        <v>108</v>
      </c>
      <c r="B521" s="32" t="s">
        <v>10</v>
      </c>
      <c r="C521" s="6"/>
      <c r="D521" s="6"/>
      <c r="E521" s="6"/>
      <c r="F521" s="6"/>
      <c r="G521" s="76"/>
      <c r="H521" s="76"/>
      <c r="I521" s="6"/>
      <c r="J521" s="24">
        <f>H521</f>
        <v>0</v>
      </c>
      <c r="K521"/>
    </row>
    <row r="522" spans="1:13">
      <c r="A522" s="22" t="s">
        <v>32</v>
      </c>
      <c r="B522" s="32" t="s">
        <v>33</v>
      </c>
      <c r="C522" s="6">
        <v>4</v>
      </c>
      <c r="D522" s="6"/>
      <c r="E522" s="6"/>
      <c r="F522" s="6"/>
      <c r="G522" s="76"/>
      <c r="H522" s="76"/>
      <c r="I522" s="6"/>
      <c r="J522" s="24">
        <f>C522</f>
        <v>4</v>
      </c>
      <c r="K522"/>
    </row>
    <row r="523" spans="1:13" ht="13.5" thickBot="1">
      <c r="A523" s="36" t="s">
        <v>34</v>
      </c>
      <c r="B523" s="37"/>
      <c r="C523" s="29">
        <f>SUM(C521:C522)</f>
        <v>4</v>
      </c>
      <c r="D523" s="29"/>
      <c r="E523" s="29"/>
      <c r="F523" s="29"/>
      <c r="G523" s="29"/>
      <c r="H523" s="29"/>
      <c r="I523" s="29"/>
      <c r="J523" s="30">
        <f>SUM(J521:J522)</f>
        <v>4</v>
      </c>
      <c r="K523"/>
    </row>
    <row r="524" spans="1:13" ht="13.5" thickBot="1">
      <c r="A524" s="78" t="s">
        <v>35</v>
      </c>
      <c r="B524" s="79"/>
      <c r="C524" s="80">
        <f t="shared" ref="C524:H524" si="18">C515+C518+C520+C523</f>
        <v>4</v>
      </c>
      <c r="D524" s="80">
        <f t="shared" si="18"/>
        <v>27</v>
      </c>
      <c r="E524" s="80">
        <f t="shared" si="18"/>
        <v>263</v>
      </c>
      <c r="F524" s="80">
        <f t="shared" si="18"/>
        <v>0</v>
      </c>
      <c r="G524" s="80">
        <f t="shared" si="18"/>
        <v>82</v>
      </c>
      <c r="H524" s="80">
        <f t="shared" si="18"/>
        <v>376</v>
      </c>
      <c r="I524" s="80"/>
      <c r="J524" s="80">
        <f>J515+J518+J520+J523</f>
        <v>752</v>
      </c>
      <c r="K524"/>
    </row>
    <row r="525" spans="1:13">
      <c r="B525" s="38" t="s">
        <v>36</v>
      </c>
      <c r="C525" s="39"/>
      <c r="L525" s="26"/>
    </row>
    <row r="526" spans="1:13">
      <c r="A526" s="7" t="s">
        <v>37</v>
      </c>
      <c r="B526" s="8">
        <f>D515+D518+D520+D523</f>
        <v>27</v>
      </c>
      <c r="C526" s="6"/>
    </row>
    <row r="527" spans="1:13">
      <c r="A527" s="7" t="s">
        <v>38</v>
      </c>
      <c r="B527" s="8">
        <f>E524</f>
        <v>263</v>
      </c>
      <c r="C527" s="6"/>
    </row>
    <row r="528" spans="1:13">
      <c r="A528" s="7" t="s">
        <v>2615</v>
      </c>
      <c r="B528" s="8">
        <f>F515+F518+F520+F523</f>
        <v>0</v>
      </c>
      <c r="C528" s="6"/>
    </row>
    <row r="529" spans="1:14">
      <c r="A529" s="7" t="s">
        <v>39</v>
      </c>
      <c r="B529" s="8">
        <f>J511</f>
        <v>58</v>
      </c>
      <c r="C529" s="6"/>
    </row>
    <row r="530" spans="1:14">
      <c r="A530" s="7" t="s">
        <v>40</v>
      </c>
      <c r="B530" s="8">
        <f>J512+J517+J519-D519</f>
        <v>355</v>
      </c>
      <c r="C530" s="6"/>
    </row>
    <row r="531" spans="1:14">
      <c r="A531" s="7" t="s">
        <v>41</v>
      </c>
      <c r="B531" s="8">
        <f>J513</f>
        <v>0</v>
      </c>
      <c r="C531" s="6"/>
    </row>
    <row r="532" spans="1:14">
      <c r="A532" s="7" t="s">
        <v>42</v>
      </c>
      <c r="B532" s="8">
        <f>J514</f>
        <v>45</v>
      </c>
      <c r="C532" s="6"/>
    </row>
    <row r="533" spans="1:14">
      <c r="A533" s="7" t="s">
        <v>43</v>
      </c>
      <c r="B533" s="8">
        <f>J521</f>
        <v>0</v>
      </c>
      <c r="C533" s="6"/>
    </row>
    <row r="534" spans="1:14">
      <c r="A534" s="7" t="s">
        <v>44</v>
      </c>
      <c r="B534" s="8">
        <f>J522</f>
        <v>4</v>
      </c>
      <c r="C534" s="6"/>
    </row>
    <row r="535" spans="1:14">
      <c r="A535" s="7"/>
      <c r="B535" s="81">
        <f>SUM(B526:B534)</f>
        <v>752</v>
      </c>
      <c r="C535" s="6"/>
    </row>
    <row r="538" spans="1:14" ht="13.5" thickBot="1"/>
    <row r="539" spans="1:14" ht="13.5" thickBot="1">
      <c r="A539" s="85" t="s">
        <v>3132</v>
      </c>
      <c r="B539" s="9"/>
    </row>
    <row r="540" spans="1:14" ht="13.5" thickBot="1">
      <c r="A540" s="11" t="s">
        <v>17</v>
      </c>
      <c r="B540" s="12" t="s">
        <v>18</v>
      </c>
      <c r="C540" s="13" t="s">
        <v>16</v>
      </c>
      <c r="D540" s="14" t="s">
        <v>15</v>
      </c>
      <c r="E540" s="14" t="s">
        <v>6</v>
      </c>
      <c r="F540" s="14" t="s">
        <v>19</v>
      </c>
      <c r="G540" s="74" t="s">
        <v>20</v>
      </c>
      <c r="H540" s="74" t="s">
        <v>21</v>
      </c>
      <c r="I540" s="14" t="s">
        <v>22</v>
      </c>
      <c r="J540" s="15" t="s">
        <v>9</v>
      </c>
      <c r="K540"/>
    </row>
    <row r="541" spans="1:14">
      <c r="A541" s="16" t="s">
        <v>0</v>
      </c>
      <c r="B541" s="17" t="s">
        <v>15</v>
      </c>
      <c r="C541" s="18"/>
      <c r="D541" s="6">
        <v>27</v>
      </c>
      <c r="E541" s="18"/>
      <c r="F541" s="18"/>
      <c r="G541" s="75"/>
      <c r="H541" s="75"/>
      <c r="I541" s="18"/>
      <c r="J541" s="19">
        <f>D541</f>
        <v>27</v>
      </c>
      <c r="K541"/>
    </row>
    <row r="542" spans="1:14">
      <c r="A542" s="22" t="s">
        <v>0</v>
      </c>
      <c r="B542" s="23" t="s">
        <v>6</v>
      </c>
      <c r="C542" s="6"/>
      <c r="D542" s="6"/>
      <c r="E542" s="6">
        <v>265</v>
      </c>
      <c r="F542" s="6"/>
      <c r="G542" s="76"/>
      <c r="H542" s="76"/>
      <c r="I542" s="6"/>
      <c r="J542" s="24">
        <f>E542+F542</f>
        <v>265</v>
      </c>
      <c r="K542"/>
      <c r="L542" s="20" t="s">
        <v>23</v>
      </c>
      <c r="M542" s="25" t="s">
        <v>2764</v>
      </c>
      <c r="N542" s="98"/>
    </row>
    <row r="543" spans="1:14">
      <c r="A543" s="22" t="s">
        <v>0</v>
      </c>
      <c r="B543" s="23" t="s">
        <v>13</v>
      </c>
      <c r="C543" s="6"/>
      <c r="D543" s="6"/>
      <c r="E543" s="6"/>
      <c r="F543" s="6"/>
      <c r="G543" s="76">
        <v>1</v>
      </c>
      <c r="H543" s="76">
        <v>57</v>
      </c>
      <c r="I543" s="6"/>
      <c r="J543" s="24">
        <f>G543+H543+I543</f>
        <v>58</v>
      </c>
      <c r="K543"/>
      <c r="L543" s="20">
        <v>180</v>
      </c>
      <c r="M543" s="25" t="s">
        <v>24</v>
      </c>
    </row>
    <row r="544" spans="1:14">
      <c r="A544" s="22" t="s">
        <v>0</v>
      </c>
      <c r="B544" s="23" t="s">
        <v>8</v>
      </c>
      <c r="C544" s="6"/>
      <c r="D544" s="6"/>
      <c r="E544" s="6"/>
      <c r="F544" s="6"/>
      <c r="G544" s="76">
        <v>69</v>
      </c>
      <c r="H544" s="76">
        <v>234</v>
      </c>
      <c r="I544" s="6"/>
      <c r="J544" s="24">
        <f>G544+H544+I544</f>
        <v>303</v>
      </c>
      <c r="K544"/>
      <c r="L544" s="20">
        <v>50</v>
      </c>
      <c r="M544" s="25" t="s">
        <v>25</v>
      </c>
      <c r="N544" s="98"/>
    </row>
    <row r="545" spans="1:13">
      <c r="A545" s="22" t="s">
        <v>0</v>
      </c>
      <c r="B545" s="23" t="s">
        <v>12</v>
      </c>
      <c r="C545" s="6"/>
      <c r="D545" s="6"/>
      <c r="E545" s="6"/>
      <c r="F545" s="6"/>
      <c r="G545" s="76"/>
      <c r="H545" s="76"/>
      <c r="I545" s="6"/>
      <c r="J545" s="24">
        <f>H545</f>
        <v>0</v>
      </c>
      <c r="K545"/>
      <c r="L545" s="20">
        <v>33</v>
      </c>
      <c r="M545" s="25" t="s">
        <v>26</v>
      </c>
    </row>
    <row r="546" spans="1:13">
      <c r="A546" s="22" t="s">
        <v>0</v>
      </c>
      <c r="B546" s="23" t="s">
        <v>14</v>
      </c>
      <c r="C546" s="6"/>
      <c r="D546" s="6"/>
      <c r="E546" s="6"/>
      <c r="F546" s="6"/>
      <c r="G546" s="76">
        <v>4</v>
      </c>
      <c r="H546" s="76">
        <v>41</v>
      </c>
      <c r="I546" s="6"/>
      <c r="J546" s="24">
        <f>G546+H546</f>
        <v>45</v>
      </c>
      <c r="K546"/>
      <c r="L546" s="20">
        <v>0</v>
      </c>
      <c r="M546" s="25" t="s">
        <v>27</v>
      </c>
    </row>
    <row r="547" spans="1:13" ht="13.5" thickBot="1">
      <c r="A547" s="27" t="s">
        <v>29</v>
      </c>
      <c r="B547" s="28"/>
      <c r="C547" s="29"/>
      <c r="D547" s="29">
        <f>SUM(D541:D546)</f>
        <v>27</v>
      </c>
      <c r="E547" s="29">
        <f>SUM(E541:E546)</f>
        <v>265</v>
      </c>
      <c r="F547" s="29">
        <f>SUM(F541:F546)</f>
        <v>0</v>
      </c>
      <c r="G547" s="29">
        <f>SUM(G541:G546)</f>
        <v>74</v>
      </c>
      <c r="H547" s="29">
        <f>SUM(H541:H546)</f>
        <v>332</v>
      </c>
      <c r="I547" s="29"/>
      <c r="J547" s="30">
        <f>SUM(J541:J546)</f>
        <v>698</v>
      </c>
      <c r="K547"/>
      <c r="L547" s="20">
        <v>1</v>
      </c>
      <c r="M547" s="25" t="s">
        <v>28</v>
      </c>
    </row>
    <row r="548" spans="1:13">
      <c r="A548" s="31" t="s">
        <v>7</v>
      </c>
      <c r="B548" s="32" t="s">
        <v>15</v>
      </c>
      <c r="C548" s="33"/>
      <c r="D548" s="33"/>
      <c r="E548" s="33"/>
      <c r="F548" s="33"/>
      <c r="G548" s="77"/>
      <c r="H548" s="77"/>
      <c r="I548" s="33"/>
      <c r="J548" s="34"/>
      <c r="K548"/>
      <c r="L548" s="20">
        <v>1</v>
      </c>
      <c r="M548" s="25" t="s">
        <v>30</v>
      </c>
    </row>
    <row r="549" spans="1:13">
      <c r="A549" s="31" t="s">
        <v>7</v>
      </c>
      <c r="B549" s="32" t="s">
        <v>8</v>
      </c>
      <c r="C549" s="33"/>
      <c r="D549" s="33"/>
      <c r="E549" s="33"/>
      <c r="F549" s="33"/>
      <c r="G549" s="77">
        <v>4</v>
      </c>
      <c r="H549" s="77">
        <v>25</v>
      </c>
      <c r="I549" s="33"/>
      <c r="J549" s="34">
        <f>G549+H549</f>
        <v>29</v>
      </c>
      <c r="K549"/>
      <c r="L549" s="35">
        <f>SUM(L543:L548)</f>
        <v>265</v>
      </c>
      <c r="M549" s="21"/>
    </row>
    <row r="550" spans="1:13" ht="13.5" thickBot="1">
      <c r="A550" s="27" t="s">
        <v>31</v>
      </c>
      <c r="B550" s="28"/>
      <c r="C550" s="29"/>
      <c r="D550" s="29"/>
      <c r="E550" s="29"/>
      <c r="F550" s="29"/>
      <c r="G550" s="29">
        <f>SUM(G548:G549)</f>
        <v>4</v>
      </c>
      <c r="H550" s="29">
        <f>SUM(H548:H549)</f>
        <v>25</v>
      </c>
      <c r="I550" s="29"/>
      <c r="J550" s="30">
        <f>SUM(J548:J549)</f>
        <v>29</v>
      </c>
      <c r="K550"/>
    </row>
    <row r="551" spans="1:13">
      <c r="A551" s="31" t="s">
        <v>105</v>
      </c>
      <c r="B551" s="32" t="s">
        <v>8</v>
      </c>
      <c r="C551" s="33"/>
      <c r="D551" s="33">
        <v>1</v>
      </c>
      <c r="E551" s="33"/>
      <c r="F551" s="33"/>
      <c r="G551" s="77">
        <v>4</v>
      </c>
      <c r="H551" s="77">
        <v>14</v>
      </c>
      <c r="I551" s="33"/>
      <c r="J551" s="34">
        <f>D551+G551+H551</f>
        <v>19</v>
      </c>
      <c r="K551"/>
    </row>
    <row r="552" spans="1:13" ht="13.5" thickBot="1">
      <c r="A552" s="27" t="s">
        <v>106</v>
      </c>
      <c r="B552" s="28"/>
      <c r="C552" s="29"/>
      <c r="D552" s="29">
        <f>SUM(D551:D551)</f>
        <v>1</v>
      </c>
      <c r="E552" s="29"/>
      <c r="F552" s="29"/>
      <c r="G552" s="29">
        <f>SUM(G551:G551)</f>
        <v>4</v>
      </c>
      <c r="H552" s="29">
        <f>SUM(H551:H551)</f>
        <v>14</v>
      </c>
      <c r="I552" s="29"/>
      <c r="J552" s="30">
        <f>SUM(J551:J551)</f>
        <v>19</v>
      </c>
      <c r="K552"/>
    </row>
    <row r="553" spans="1:13">
      <c r="A553" s="22" t="s">
        <v>108</v>
      </c>
      <c r="B553" s="32" t="s">
        <v>10</v>
      </c>
      <c r="C553" s="6"/>
      <c r="D553" s="6"/>
      <c r="E553" s="6"/>
      <c r="F553" s="6"/>
      <c r="G553" s="76"/>
      <c r="H553" s="76"/>
      <c r="I553" s="6"/>
      <c r="J553" s="24">
        <f>H553</f>
        <v>0</v>
      </c>
      <c r="K553"/>
    </row>
    <row r="554" spans="1:13">
      <c r="A554" s="22" t="s">
        <v>32</v>
      </c>
      <c r="B554" s="32" t="s">
        <v>33</v>
      </c>
      <c r="C554" s="6">
        <v>4</v>
      </c>
      <c r="D554" s="6"/>
      <c r="E554" s="6"/>
      <c r="F554" s="6"/>
      <c r="G554" s="76"/>
      <c r="H554" s="76"/>
      <c r="I554" s="6"/>
      <c r="J554" s="24">
        <f>C554</f>
        <v>4</v>
      </c>
      <c r="K554"/>
    </row>
    <row r="555" spans="1:13" ht="13.5" thickBot="1">
      <c r="A555" s="36" t="s">
        <v>34</v>
      </c>
      <c r="B555" s="37"/>
      <c r="C555" s="29">
        <f>SUM(C553:C554)</f>
        <v>4</v>
      </c>
      <c r="D555" s="29"/>
      <c r="E555" s="29"/>
      <c r="F555" s="29"/>
      <c r="G555" s="29"/>
      <c r="H555" s="29"/>
      <c r="I555" s="29"/>
      <c r="J555" s="30">
        <f>SUM(J553:J554)</f>
        <v>4</v>
      </c>
      <c r="K555"/>
    </row>
    <row r="556" spans="1:13" ht="13.5" thickBot="1">
      <c r="A556" s="78" t="s">
        <v>35</v>
      </c>
      <c r="B556" s="79"/>
      <c r="C556" s="80">
        <f t="shared" ref="C556:H556" si="19">C547+C550+C552+C555</f>
        <v>4</v>
      </c>
      <c r="D556" s="80">
        <f t="shared" si="19"/>
        <v>28</v>
      </c>
      <c r="E556" s="80">
        <f t="shared" si="19"/>
        <v>265</v>
      </c>
      <c r="F556" s="80">
        <f t="shared" si="19"/>
        <v>0</v>
      </c>
      <c r="G556" s="80">
        <f t="shared" si="19"/>
        <v>82</v>
      </c>
      <c r="H556" s="80">
        <f t="shared" si="19"/>
        <v>371</v>
      </c>
      <c r="I556" s="80"/>
      <c r="J556" s="80">
        <f>J547+J550+J552+J555</f>
        <v>750</v>
      </c>
      <c r="K556"/>
    </row>
    <row r="557" spans="1:13">
      <c r="B557" s="38" t="s">
        <v>36</v>
      </c>
      <c r="C557" s="39"/>
      <c r="L557" s="26"/>
    </row>
    <row r="558" spans="1:13">
      <c r="A558" s="7" t="s">
        <v>37</v>
      </c>
      <c r="B558" s="8">
        <f>D547+D550+D552+D555</f>
        <v>28</v>
      </c>
      <c r="C558" s="6"/>
    </row>
    <row r="559" spans="1:13">
      <c r="A559" s="7" t="s">
        <v>38</v>
      </c>
      <c r="B559" s="8">
        <f>E556</f>
        <v>265</v>
      </c>
      <c r="C559" s="6"/>
    </row>
    <row r="560" spans="1:13">
      <c r="A560" s="7" t="s">
        <v>2615</v>
      </c>
      <c r="B560" s="8">
        <f>F547+F550+F552+F555</f>
        <v>0</v>
      </c>
      <c r="C560" s="6"/>
    </row>
    <row r="561" spans="1:14">
      <c r="A561" s="7" t="s">
        <v>39</v>
      </c>
      <c r="B561" s="8">
        <f>J543</f>
        <v>58</v>
      </c>
      <c r="C561" s="6"/>
    </row>
    <row r="562" spans="1:14">
      <c r="A562" s="7" t="s">
        <v>40</v>
      </c>
      <c r="B562" s="8">
        <f>J544+J549+J551-D551</f>
        <v>350</v>
      </c>
      <c r="C562" s="6"/>
    </row>
    <row r="563" spans="1:14">
      <c r="A563" s="7" t="s">
        <v>41</v>
      </c>
      <c r="B563" s="8">
        <f>J545</f>
        <v>0</v>
      </c>
      <c r="C563" s="6"/>
    </row>
    <row r="564" spans="1:14">
      <c r="A564" s="7" t="s">
        <v>42</v>
      </c>
      <c r="B564" s="8">
        <f>J546</f>
        <v>45</v>
      </c>
      <c r="C564" s="6"/>
    </row>
    <row r="565" spans="1:14">
      <c r="A565" s="7" t="s">
        <v>43</v>
      </c>
      <c r="B565" s="8">
        <f>J553</f>
        <v>0</v>
      </c>
      <c r="C565" s="6"/>
    </row>
    <row r="566" spans="1:14">
      <c r="A566" s="7" t="s">
        <v>44</v>
      </c>
      <c r="B566" s="8">
        <f>J554</f>
        <v>4</v>
      </c>
      <c r="C566" s="6"/>
    </row>
    <row r="567" spans="1:14">
      <c r="A567" s="7"/>
      <c r="B567" s="81">
        <f>SUM(B558:B566)</f>
        <v>750</v>
      </c>
      <c r="C567" s="6"/>
    </row>
    <row r="570" spans="1:14" ht="13.5" thickBot="1"/>
    <row r="571" spans="1:14" ht="13.5" thickBot="1">
      <c r="A571" s="85" t="s">
        <v>3129</v>
      </c>
      <c r="B571" s="9"/>
    </row>
    <row r="572" spans="1:14" ht="13.5" thickBot="1">
      <c r="A572" s="11" t="s">
        <v>17</v>
      </c>
      <c r="B572" s="12" t="s">
        <v>18</v>
      </c>
      <c r="C572" s="13" t="s">
        <v>16</v>
      </c>
      <c r="D572" s="14" t="s">
        <v>15</v>
      </c>
      <c r="E572" s="14" t="s">
        <v>6</v>
      </c>
      <c r="F572" s="14" t="s">
        <v>19</v>
      </c>
      <c r="G572" s="74" t="s">
        <v>20</v>
      </c>
      <c r="H572" s="74" t="s">
        <v>21</v>
      </c>
      <c r="I572" s="14" t="s">
        <v>22</v>
      </c>
      <c r="J572" s="15" t="s">
        <v>9</v>
      </c>
      <c r="K572"/>
    </row>
    <row r="573" spans="1:14">
      <c r="A573" s="16" t="s">
        <v>0</v>
      </c>
      <c r="B573" s="17" t="s">
        <v>15</v>
      </c>
      <c r="C573" s="18"/>
      <c r="D573" s="6">
        <v>27</v>
      </c>
      <c r="E573" s="18"/>
      <c r="F573" s="18"/>
      <c r="G573" s="75"/>
      <c r="H573" s="75"/>
      <c r="I573" s="18"/>
      <c r="J573" s="19">
        <f>D573</f>
        <v>27</v>
      </c>
      <c r="K573"/>
    </row>
    <row r="574" spans="1:14">
      <c r="A574" s="22" t="s">
        <v>0</v>
      </c>
      <c r="B574" s="23" t="s">
        <v>6</v>
      </c>
      <c r="C574" s="6"/>
      <c r="D574" s="6"/>
      <c r="E574" s="6">
        <v>265</v>
      </c>
      <c r="F574" s="6"/>
      <c r="G574" s="76"/>
      <c r="H574" s="76"/>
      <c r="I574" s="6"/>
      <c r="J574" s="24">
        <f>E574+F574</f>
        <v>265</v>
      </c>
      <c r="K574"/>
      <c r="L574" s="20" t="s">
        <v>23</v>
      </c>
      <c r="M574" s="25" t="s">
        <v>2764</v>
      </c>
      <c r="N574" s="98" t="s">
        <v>3130</v>
      </c>
    </row>
    <row r="575" spans="1:14">
      <c r="A575" s="22" t="s">
        <v>0</v>
      </c>
      <c r="B575" s="23" t="s">
        <v>13</v>
      </c>
      <c r="C575" s="6"/>
      <c r="D575" s="6"/>
      <c r="E575" s="6"/>
      <c r="F575" s="6"/>
      <c r="G575" s="76">
        <v>1</v>
      </c>
      <c r="H575" s="76">
        <v>56</v>
      </c>
      <c r="I575" s="6"/>
      <c r="J575" s="24">
        <f>G575+H575+I575</f>
        <v>57</v>
      </c>
      <c r="K575"/>
      <c r="L575" s="20">
        <v>180</v>
      </c>
      <c r="M575" s="25" t="s">
        <v>24</v>
      </c>
    </row>
    <row r="576" spans="1:14">
      <c r="A576" s="22" t="s">
        <v>0</v>
      </c>
      <c r="B576" s="23" t="s">
        <v>8</v>
      </c>
      <c r="C576" s="6"/>
      <c r="D576" s="6"/>
      <c r="E576" s="6"/>
      <c r="F576" s="6"/>
      <c r="G576" s="76">
        <v>71</v>
      </c>
      <c r="H576" s="76">
        <v>237</v>
      </c>
      <c r="I576" s="6"/>
      <c r="J576" s="24">
        <f>G576+H576+I576</f>
        <v>308</v>
      </c>
      <c r="K576"/>
      <c r="L576" s="20">
        <v>50</v>
      </c>
      <c r="M576" s="25" t="s">
        <v>25</v>
      </c>
      <c r="N576" s="98" t="s">
        <v>3131</v>
      </c>
    </row>
    <row r="577" spans="1:13">
      <c r="A577" s="22" t="s">
        <v>0</v>
      </c>
      <c r="B577" s="23" t="s">
        <v>12</v>
      </c>
      <c r="C577" s="6"/>
      <c r="D577" s="6"/>
      <c r="E577" s="6"/>
      <c r="F577" s="6"/>
      <c r="G577" s="76"/>
      <c r="H577" s="76"/>
      <c r="I577" s="6"/>
      <c r="J577" s="24">
        <f>H577</f>
        <v>0</v>
      </c>
      <c r="K577"/>
      <c r="L577" s="20">
        <v>33</v>
      </c>
      <c r="M577" s="25" t="s">
        <v>26</v>
      </c>
    </row>
    <row r="578" spans="1:13">
      <c r="A578" s="22" t="s">
        <v>0</v>
      </c>
      <c r="B578" s="23" t="s">
        <v>14</v>
      </c>
      <c r="C578" s="6"/>
      <c r="D578" s="6"/>
      <c r="E578" s="6"/>
      <c r="F578" s="6"/>
      <c r="G578" s="76">
        <v>4</v>
      </c>
      <c r="H578" s="76">
        <v>41</v>
      </c>
      <c r="I578" s="6"/>
      <c r="J578" s="24">
        <f>G578+H578</f>
        <v>45</v>
      </c>
      <c r="K578"/>
      <c r="L578" s="20">
        <v>0</v>
      </c>
      <c r="M578" s="25" t="s">
        <v>27</v>
      </c>
    </row>
    <row r="579" spans="1:13" ht="13.5" thickBot="1">
      <c r="A579" s="27" t="s">
        <v>29</v>
      </c>
      <c r="B579" s="28"/>
      <c r="C579" s="29"/>
      <c r="D579" s="29">
        <f>SUM(D573:D578)</f>
        <v>27</v>
      </c>
      <c r="E579" s="29">
        <f>SUM(E573:E578)</f>
        <v>265</v>
      </c>
      <c r="F579" s="29">
        <f>SUM(F573:F578)</f>
        <v>0</v>
      </c>
      <c r="G579" s="29">
        <f>SUM(G573:G578)</f>
        <v>76</v>
      </c>
      <c r="H579" s="29">
        <f>SUM(H573:H578)</f>
        <v>334</v>
      </c>
      <c r="I579" s="29"/>
      <c r="J579" s="30">
        <f>SUM(J573:J578)</f>
        <v>702</v>
      </c>
      <c r="K579"/>
      <c r="L579" s="20">
        <v>1</v>
      </c>
      <c r="M579" s="25" t="s">
        <v>28</v>
      </c>
    </row>
    <row r="580" spans="1:13">
      <c r="A580" s="31" t="s">
        <v>7</v>
      </c>
      <c r="B580" s="32" t="s">
        <v>15</v>
      </c>
      <c r="C580" s="33"/>
      <c r="D580" s="33"/>
      <c r="E580" s="33"/>
      <c r="F580" s="33"/>
      <c r="G580" s="77"/>
      <c r="H580" s="77"/>
      <c r="I580" s="33"/>
      <c r="J580" s="34"/>
      <c r="K580"/>
      <c r="L580" s="20">
        <v>1</v>
      </c>
      <c r="M580" s="25" t="s">
        <v>30</v>
      </c>
    </row>
    <row r="581" spans="1:13">
      <c r="A581" s="31" t="s">
        <v>7</v>
      </c>
      <c r="B581" s="32" t="s">
        <v>8</v>
      </c>
      <c r="C581" s="33"/>
      <c r="D581" s="33"/>
      <c r="E581" s="33"/>
      <c r="F581" s="33"/>
      <c r="G581" s="77">
        <v>4</v>
      </c>
      <c r="H581" s="77">
        <v>26</v>
      </c>
      <c r="I581" s="33"/>
      <c r="J581" s="34">
        <f>G581+H581</f>
        <v>30</v>
      </c>
      <c r="K581"/>
      <c r="L581" s="35">
        <f>SUM(L575:L580)</f>
        <v>265</v>
      </c>
      <c r="M581" s="21"/>
    </row>
    <row r="582" spans="1:13" ht="13.5" thickBot="1">
      <c r="A582" s="27" t="s">
        <v>31</v>
      </c>
      <c r="B582" s="28"/>
      <c r="C582" s="29"/>
      <c r="D582" s="29"/>
      <c r="E582" s="29"/>
      <c r="F582" s="29"/>
      <c r="G582" s="29">
        <f>SUM(G580:G581)</f>
        <v>4</v>
      </c>
      <c r="H582" s="29">
        <f>SUM(H580:H581)</f>
        <v>26</v>
      </c>
      <c r="I582" s="29"/>
      <c r="J582" s="30">
        <f>SUM(J580:J581)</f>
        <v>30</v>
      </c>
      <c r="K582"/>
    </row>
    <row r="583" spans="1:13">
      <c r="A583" s="31" t="s">
        <v>105</v>
      </c>
      <c r="B583" s="32" t="s">
        <v>8</v>
      </c>
      <c r="C583" s="33"/>
      <c r="D583" s="33">
        <v>1</v>
      </c>
      <c r="E583" s="33"/>
      <c r="F583" s="33"/>
      <c r="G583" s="77">
        <v>4</v>
      </c>
      <c r="H583" s="77">
        <v>14</v>
      </c>
      <c r="I583" s="33"/>
      <c r="J583" s="34">
        <f>D583+G583+H583</f>
        <v>19</v>
      </c>
      <c r="K583"/>
    </row>
    <row r="584" spans="1:13" ht="13.5" thickBot="1">
      <c r="A584" s="27" t="s">
        <v>106</v>
      </c>
      <c r="B584" s="28"/>
      <c r="C584" s="29"/>
      <c r="D584" s="29">
        <f>SUM(D583:D583)</f>
        <v>1</v>
      </c>
      <c r="E584" s="29"/>
      <c r="F584" s="29"/>
      <c r="G584" s="29">
        <f>SUM(G583:G583)</f>
        <v>4</v>
      </c>
      <c r="H584" s="29">
        <f>SUM(H583:H583)</f>
        <v>14</v>
      </c>
      <c r="I584" s="29"/>
      <c r="J584" s="30">
        <f>SUM(J583:J583)</f>
        <v>19</v>
      </c>
      <c r="K584"/>
    </row>
    <row r="585" spans="1:13">
      <c r="A585" s="22" t="s">
        <v>108</v>
      </c>
      <c r="B585" s="32" t="s">
        <v>10</v>
      </c>
      <c r="C585" s="6"/>
      <c r="D585" s="6"/>
      <c r="E585" s="6"/>
      <c r="F585" s="6"/>
      <c r="G585" s="76"/>
      <c r="H585" s="76"/>
      <c r="I585" s="6"/>
      <c r="J585" s="24">
        <f>H585</f>
        <v>0</v>
      </c>
      <c r="K585"/>
    </row>
    <row r="586" spans="1:13">
      <c r="A586" s="22" t="s">
        <v>32</v>
      </c>
      <c r="B586" s="32" t="s">
        <v>33</v>
      </c>
      <c r="C586" s="6">
        <v>4</v>
      </c>
      <c r="D586" s="6"/>
      <c r="E586" s="6"/>
      <c r="F586" s="6"/>
      <c r="G586" s="76"/>
      <c r="H586" s="76"/>
      <c r="I586" s="6"/>
      <c r="J586" s="24">
        <f>C586</f>
        <v>4</v>
      </c>
      <c r="K586"/>
    </row>
    <row r="587" spans="1:13" ht="13.5" thickBot="1">
      <c r="A587" s="36" t="s">
        <v>34</v>
      </c>
      <c r="B587" s="37"/>
      <c r="C587" s="29">
        <f>SUM(C585:C586)</f>
        <v>4</v>
      </c>
      <c r="D587" s="29"/>
      <c r="E587" s="29"/>
      <c r="F587" s="29"/>
      <c r="G587" s="29"/>
      <c r="H587" s="29"/>
      <c r="I587" s="29"/>
      <c r="J587" s="30">
        <f>SUM(J585:J586)</f>
        <v>4</v>
      </c>
      <c r="K587"/>
    </row>
    <row r="588" spans="1:13" ht="13.5" thickBot="1">
      <c r="A588" s="78" t="s">
        <v>35</v>
      </c>
      <c r="B588" s="79"/>
      <c r="C588" s="80">
        <f t="shared" ref="C588:H588" si="20">C579+C582+C584+C587</f>
        <v>4</v>
      </c>
      <c r="D588" s="80">
        <f t="shared" si="20"/>
        <v>28</v>
      </c>
      <c r="E588" s="80">
        <f t="shared" si="20"/>
        <v>265</v>
      </c>
      <c r="F588" s="80">
        <f t="shared" si="20"/>
        <v>0</v>
      </c>
      <c r="G588" s="80">
        <f t="shared" si="20"/>
        <v>84</v>
      </c>
      <c r="H588" s="80">
        <f t="shared" si="20"/>
        <v>374</v>
      </c>
      <c r="I588" s="80"/>
      <c r="J588" s="80">
        <f>J579+J582+J584+J587</f>
        <v>755</v>
      </c>
      <c r="K588"/>
    </row>
    <row r="589" spans="1:13">
      <c r="B589" s="38" t="s">
        <v>36</v>
      </c>
      <c r="C589" s="39"/>
      <c r="L589" s="26"/>
    </row>
    <row r="590" spans="1:13">
      <c r="A590" s="7" t="s">
        <v>37</v>
      </c>
      <c r="B590" s="8">
        <f>D579+D582+D584+D587</f>
        <v>28</v>
      </c>
      <c r="C590" s="6"/>
    </row>
    <row r="591" spans="1:13">
      <c r="A591" s="7" t="s">
        <v>38</v>
      </c>
      <c r="B591" s="8">
        <f>E588</f>
        <v>265</v>
      </c>
      <c r="C591" s="6"/>
    </row>
    <row r="592" spans="1:13">
      <c r="A592" s="7" t="s">
        <v>2615</v>
      </c>
      <c r="B592" s="8">
        <f>F579+F582+F584+F587</f>
        <v>0</v>
      </c>
      <c r="C592" s="6"/>
    </row>
    <row r="593" spans="1:13">
      <c r="A593" s="7" t="s">
        <v>39</v>
      </c>
      <c r="B593" s="8">
        <f>J575</f>
        <v>57</v>
      </c>
      <c r="C593" s="6"/>
    </row>
    <row r="594" spans="1:13">
      <c r="A594" s="7" t="s">
        <v>40</v>
      </c>
      <c r="B594" s="8">
        <f>J576+J581+J583-D583</f>
        <v>356</v>
      </c>
      <c r="C594" s="6"/>
    </row>
    <row r="595" spans="1:13">
      <c r="A595" s="7" t="s">
        <v>41</v>
      </c>
      <c r="B595" s="8">
        <f>J577</f>
        <v>0</v>
      </c>
      <c r="C595" s="6"/>
    </row>
    <row r="596" spans="1:13">
      <c r="A596" s="7" t="s">
        <v>42</v>
      </c>
      <c r="B596" s="8">
        <f>J578</f>
        <v>45</v>
      </c>
      <c r="C596" s="6"/>
    </row>
    <row r="597" spans="1:13">
      <c r="A597" s="7" t="s">
        <v>43</v>
      </c>
      <c r="B597" s="8">
        <f>J585</f>
        <v>0</v>
      </c>
      <c r="C597" s="6"/>
    </row>
    <row r="598" spans="1:13">
      <c r="A598" s="7" t="s">
        <v>44</v>
      </c>
      <c r="B598" s="8">
        <f>J586</f>
        <v>4</v>
      </c>
      <c r="C598" s="6"/>
    </row>
    <row r="599" spans="1:13">
      <c r="A599" s="7"/>
      <c r="B599" s="81">
        <f>SUM(B590:B598)</f>
        <v>755</v>
      </c>
      <c r="C599" s="6"/>
    </row>
    <row r="602" spans="1:13" ht="13.5" thickBot="1"/>
    <row r="603" spans="1:13" ht="13.5" thickBot="1">
      <c r="A603" s="85" t="s">
        <v>3111</v>
      </c>
      <c r="B603" s="9"/>
    </row>
    <row r="604" spans="1:13" ht="13.5" thickBot="1">
      <c r="A604" s="11" t="s">
        <v>17</v>
      </c>
      <c r="B604" s="12" t="s">
        <v>18</v>
      </c>
      <c r="C604" s="13" t="s">
        <v>16</v>
      </c>
      <c r="D604" s="14" t="s">
        <v>15</v>
      </c>
      <c r="E604" s="14" t="s">
        <v>6</v>
      </c>
      <c r="F604" s="14" t="s">
        <v>19</v>
      </c>
      <c r="G604" s="74" t="s">
        <v>20</v>
      </c>
      <c r="H604" s="74" t="s">
        <v>21</v>
      </c>
      <c r="I604" s="14" t="s">
        <v>22</v>
      </c>
      <c r="J604" s="15" t="s">
        <v>9</v>
      </c>
      <c r="K604"/>
    </row>
    <row r="605" spans="1:13">
      <c r="A605" s="16" t="s">
        <v>0</v>
      </c>
      <c r="B605" s="17" t="s">
        <v>15</v>
      </c>
      <c r="C605" s="18"/>
      <c r="D605" s="6">
        <v>27</v>
      </c>
      <c r="E605" s="18"/>
      <c r="F605" s="18"/>
      <c r="G605" s="75"/>
      <c r="H605" s="75"/>
      <c r="I605" s="18"/>
      <c r="J605" s="19">
        <f>D605</f>
        <v>27</v>
      </c>
      <c r="K605"/>
    </row>
    <row r="606" spans="1:13">
      <c r="A606" s="22" t="s">
        <v>0</v>
      </c>
      <c r="B606" s="23" t="s">
        <v>6</v>
      </c>
      <c r="C606" s="6"/>
      <c r="D606" s="6"/>
      <c r="E606" s="6">
        <v>263</v>
      </c>
      <c r="F606" s="6">
        <v>2</v>
      </c>
      <c r="G606" s="76"/>
      <c r="H606" s="76"/>
      <c r="I606" s="6"/>
      <c r="J606" s="24">
        <f>E606+F606</f>
        <v>265</v>
      </c>
      <c r="K606"/>
      <c r="L606" s="20" t="s">
        <v>23</v>
      </c>
      <c r="M606" s="25" t="s">
        <v>2764</v>
      </c>
    </row>
    <row r="607" spans="1:13">
      <c r="A607" s="22" t="s">
        <v>0</v>
      </c>
      <c r="B607" s="23" t="s">
        <v>13</v>
      </c>
      <c r="C607" s="6"/>
      <c r="D607" s="6"/>
      <c r="E607" s="6"/>
      <c r="F607" s="6"/>
      <c r="G607" s="76"/>
      <c r="H607" s="76">
        <v>57</v>
      </c>
      <c r="I607" s="6"/>
      <c r="J607" s="24">
        <f>G607+H607+I607</f>
        <v>57</v>
      </c>
      <c r="K607"/>
      <c r="L607" s="20">
        <v>181</v>
      </c>
      <c r="M607" s="25" t="s">
        <v>24</v>
      </c>
    </row>
    <row r="608" spans="1:13">
      <c r="A608" s="22" t="s">
        <v>0</v>
      </c>
      <c r="B608" s="23" t="s">
        <v>8</v>
      </c>
      <c r="C608" s="6"/>
      <c r="D608" s="6"/>
      <c r="E608" s="6"/>
      <c r="F608" s="6"/>
      <c r="G608" s="76">
        <v>71</v>
      </c>
      <c r="H608" s="76">
        <v>235</v>
      </c>
      <c r="I608" s="6"/>
      <c r="J608" s="24">
        <f>G608+H608+I608</f>
        <v>306</v>
      </c>
      <c r="K608"/>
      <c r="L608" s="20">
        <v>50</v>
      </c>
      <c r="M608" s="25" t="s">
        <v>25</v>
      </c>
    </row>
    <row r="609" spans="1:13">
      <c r="A609" s="22" t="s">
        <v>0</v>
      </c>
      <c r="B609" s="23" t="s">
        <v>12</v>
      </c>
      <c r="C609" s="6"/>
      <c r="D609" s="6"/>
      <c r="E609" s="6"/>
      <c r="F609" s="6"/>
      <c r="G609" s="76"/>
      <c r="H609" s="76">
        <v>0</v>
      </c>
      <c r="I609" s="6"/>
      <c r="J609" s="24">
        <f>H609</f>
        <v>0</v>
      </c>
      <c r="K609"/>
      <c r="L609" s="20">
        <v>32</v>
      </c>
      <c r="M609" s="25" t="s">
        <v>26</v>
      </c>
    </row>
    <row r="610" spans="1:13">
      <c r="A610" s="22" t="s">
        <v>0</v>
      </c>
      <c r="B610" s="23" t="s">
        <v>14</v>
      </c>
      <c r="C610" s="6"/>
      <c r="D610" s="6"/>
      <c r="E610" s="6"/>
      <c r="F610" s="6"/>
      <c r="G610" s="76">
        <v>4</v>
      </c>
      <c r="H610" s="76">
        <v>41</v>
      </c>
      <c r="I610" s="6"/>
      <c r="J610" s="24">
        <f>G610+H610</f>
        <v>45</v>
      </c>
      <c r="K610"/>
      <c r="L610" s="20">
        <v>0</v>
      </c>
      <c r="M610" s="25" t="s">
        <v>27</v>
      </c>
    </row>
    <row r="611" spans="1:13" ht="13.5" thickBot="1">
      <c r="A611" s="27" t="s">
        <v>29</v>
      </c>
      <c r="B611" s="28"/>
      <c r="C611" s="29"/>
      <c r="D611" s="29">
        <f>SUM(D605:D610)</f>
        <v>27</v>
      </c>
      <c r="E611" s="29">
        <f>SUM(E605:E610)</f>
        <v>263</v>
      </c>
      <c r="F611" s="29">
        <f>SUM(F605:F610)</f>
        <v>2</v>
      </c>
      <c r="G611" s="29">
        <f>SUM(G605:G610)</f>
        <v>75</v>
      </c>
      <c r="H611" s="29">
        <f>SUM(H605:H610)</f>
        <v>333</v>
      </c>
      <c r="I611" s="29"/>
      <c r="J611" s="30">
        <f>SUM(J605:J610)</f>
        <v>700</v>
      </c>
      <c r="K611"/>
      <c r="L611" s="20">
        <v>1</v>
      </c>
      <c r="M611" s="25" t="s">
        <v>28</v>
      </c>
    </row>
    <row r="612" spans="1:13">
      <c r="A612" s="31" t="s">
        <v>7</v>
      </c>
      <c r="B612" s="32" t="s">
        <v>15</v>
      </c>
      <c r="C612" s="33"/>
      <c r="D612" s="33"/>
      <c r="E612" s="33"/>
      <c r="F612" s="33"/>
      <c r="G612" s="77"/>
      <c r="H612" s="77"/>
      <c r="I612" s="33"/>
      <c r="J612" s="34"/>
      <c r="K612"/>
      <c r="L612" s="20">
        <v>1</v>
      </c>
      <c r="M612" s="25" t="s">
        <v>30</v>
      </c>
    </row>
    <row r="613" spans="1:13">
      <c r="A613" s="31" t="s">
        <v>7</v>
      </c>
      <c r="B613" s="32" t="s">
        <v>8</v>
      </c>
      <c r="C613" s="33"/>
      <c r="D613" s="33"/>
      <c r="E613" s="33"/>
      <c r="F613" s="33"/>
      <c r="G613" s="77">
        <v>4</v>
      </c>
      <c r="H613" s="77">
        <v>26</v>
      </c>
      <c r="I613" s="33"/>
      <c r="J613" s="34">
        <f>G613+H613</f>
        <v>30</v>
      </c>
      <c r="K613"/>
      <c r="L613" s="35">
        <f>SUM(L607:L612)</f>
        <v>265</v>
      </c>
      <c r="M613" s="21"/>
    </row>
    <row r="614" spans="1:13" ht="13.5" thickBot="1">
      <c r="A614" s="27" t="s">
        <v>31</v>
      </c>
      <c r="B614" s="28"/>
      <c r="C614" s="29"/>
      <c r="D614" s="29"/>
      <c r="E614" s="29"/>
      <c r="F614" s="29"/>
      <c r="G614" s="29">
        <f>SUM(G612:G613)</f>
        <v>4</v>
      </c>
      <c r="H614" s="29">
        <f>SUM(H612:H613)</f>
        <v>26</v>
      </c>
      <c r="I614" s="29"/>
      <c r="J614" s="30">
        <f>SUM(J612:J613)</f>
        <v>30</v>
      </c>
      <c r="K614"/>
    </row>
    <row r="615" spans="1:13">
      <c r="A615" s="31" t="s">
        <v>105</v>
      </c>
      <c r="B615" s="32" t="s">
        <v>8</v>
      </c>
      <c r="C615" s="33"/>
      <c r="D615" s="33">
        <v>1</v>
      </c>
      <c r="E615" s="33"/>
      <c r="F615" s="33"/>
      <c r="G615" s="77">
        <v>4</v>
      </c>
      <c r="H615" s="77">
        <v>14</v>
      </c>
      <c r="I615" s="33"/>
      <c r="J615" s="34">
        <f>D615+G615+H615</f>
        <v>19</v>
      </c>
      <c r="K615"/>
    </row>
    <row r="616" spans="1:13" ht="13.5" thickBot="1">
      <c r="A616" s="27" t="s">
        <v>106</v>
      </c>
      <c r="B616" s="28"/>
      <c r="C616" s="29"/>
      <c r="D616" s="29">
        <f>SUM(D615:D615)</f>
        <v>1</v>
      </c>
      <c r="E616" s="29"/>
      <c r="F616" s="29"/>
      <c r="G616" s="29">
        <f>SUM(G615:G615)</f>
        <v>4</v>
      </c>
      <c r="H616" s="29">
        <f>SUM(H615:H615)</f>
        <v>14</v>
      </c>
      <c r="I616" s="29"/>
      <c r="J616" s="30">
        <f>SUM(J615:J615)</f>
        <v>19</v>
      </c>
      <c r="K616"/>
    </row>
    <row r="617" spans="1:13">
      <c r="A617" s="22" t="s">
        <v>108</v>
      </c>
      <c r="B617" s="32" t="s">
        <v>10</v>
      </c>
      <c r="C617" s="6"/>
      <c r="D617" s="6"/>
      <c r="E617" s="6"/>
      <c r="F617" s="6"/>
      <c r="G617" s="76"/>
      <c r="H617" s="76"/>
      <c r="I617" s="6"/>
      <c r="J617" s="24">
        <f>H617</f>
        <v>0</v>
      </c>
      <c r="K617"/>
    </row>
    <row r="618" spans="1:13">
      <c r="A618" s="22" t="s">
        <v>32</v>
      </c>
      <c r="B618" s="32" t="s">
        <v>33</v>
      </c>
      <c r="C618" s="6">
        <v>4</v>
      </c>
      <c r="D618" s="6"/>
      <c r="E618" s="6"/>
      <c r="F618" s="6"/>
      <c r="G618" s="76"/>
      <c r="H618" s="76"/>
      <c r="I618" s="6"/>
      <c r="J618" s="24">
        <f>C618</f>
        <v>4</v>
      </c>
      <c r="K618"/>
    </row>
    <row r="619" spans="1:13" ht="13.5" thickBot="1">
      <c r="A619" s="36" t="s">
        <v>34</v>
      </c>
      <c r="B619" s="37"/>
      <c r="C619" s="29">
        <f>SUM(C617:C618)</f>
        <v>4</v>
      </c>
      <c r="D619" s="29"/>
      <c r="E619" s="29"/>
      <c r="F619" s="29"/>
      <c r="G619" s="29"/>
      <c r="H619" s="29"/>
      <c r="I619" s="29"/>
      <c r="J619" s="30">
        <f>SUM(J617:J618)</f>
        <v>4</v>
      </c>
      <c r="K619"/>
    </row>
    <row r="620" spans="1:13" ht="13.5" thickBot="1">
      <c r="A620" s="78" t="s">
        <v>35</v>
      </c>
      <c r="B620" s="79"/>
      <c r="C620" s="80">
        <f t="shared" ref="C620:H620" si="21">C611+C614+C616+C619</f>
        <v>4</v>
      </c>
      <c r="D620" s="80">
        <f t="shared" si="21"/>
        <v>28</v>
      </c>
      <c r="E620" s="80">
        <f t="shared" si="21"/>
        <v>263</v>
      </c>
      <c r="F620" s="80">
        <f t="shared" si="21"/>
        <v>2</v>
      </c>
      <c r="G620" s="80">
        <f t="shared" si="21"/>
        <v>83</v>
      </c>
      <c r="H620" s="80">
        <f t="shared" si="21"/>
        <v>373</v>
      </c>
      <c r="I620" s="80"/>
      <c r="J620" s="80">
        <f>J611+J614+J616+J619</f>
        <v>753</v>
      </c>
      <c r="K620"/>
    </row>
    <row r="621" spans="1:13">
      <c r="B621" s="38" t="s">
        <v>36</v>
      </c>
      <c r="C621" s="39"/>
      <c r="L621" s="26"/>
    </row>
    <row r="622" spans="1:13">
      <c r="A622" s="7" t="s">
        <v>37</v>
      </c>
      <c r="B622" s="8">
        <f>D611+D614+D616+D619</f>
        <v>28</v>
      </c>
      <c r="C622" s="6"/>
    </row>
    <row r="623" spans="1:13">
      <c r="A623" s="7" t="s">
        <v>38</v>
      </c>
      <c r="B623" s="8">
        <f>E620</f>
        <v>263</v>
      </c>
      <c r="C623" s="6"/>
    </row>
    <row r="624" spans="1:13">
      <c r="A624" s="7" t="s">
        <v>2615</v>
      </c>
      <c r="B624" s="8">
        <f>F611+F614+F616+F619</f>
        <v>2</v>
      </c>
      <c r="C624" s="6"/>
    </row>
    <row r="625" spans="1:13">
      <c r="A625" s="7" t="s">
        <v>39</v>
      </c>
      <c r="B625" s="8">
        <f>J607</f>
        <v>57</v>
      </c>
      <c r="C625" s="6"/>
    </row>
    <row r="626" spans="1:13">
      <c r="A626" s="7" t="s">
        <v>40</v>
      </c>
      <c r="B626" s="8">
        <f>J608+J613+J615-D615</f>
        <v>354</v>
      </c>
      <c r="C626" s="6"/>
    </row>
    <row r="627" spans="1:13">
      <c r="A627" s="7" t="s">
        <v>41</v>
      </c>
      <c r="B627" s="8">
        <f>J609</f>
        <v>0</v>
      </c>
      <c r="C627" s="6"/>
    </row>
    <row r="628" spans="1:13">
      <c r="A628" s="7" t="s">
        <v>42</v>
      </c>
      <c r="B628" s="8">
        <f>J610</f>
        <v>45</v>
      </c>
      <c r="C628" s="6"/>
    </row>
    <row r="629" spans="1:13">
      <c r="A629" s="7" t="s">
        <v>43</v>
      </c>
      <c r="B629" s="8">
        <f>J617</f>
        <v>0</v>
      </c>
      <c r="C629" s="6"/>
    </row>
    <row r="630" spans="1:13">
      <c r="A630" s="7" t="s">
        <v>44</v>
      </c>
      <c r="B630" s="8">
        <f>J618</f>
        <v>4</v>
      </c>
      <c r="C630" s="6"/>
    </row>
    <row r="631" spans="1:13">
      <c r="A631" s="7"/>
      <c r="B631" s="81">
        <f>SUM(B622:B630)</f>
        <v>753</v>
      </c>
      <c r="C631" s="6"/>
    </row>
    <row r="633" spans="1:13" ht="13.5" thickBot="1"/>
    <row r="634" spans="1:13" ht="13.5" thickBot="1">
      <c r="A634" s="85" t="s">
        <v>3105</v>
      </c>
      <c r="B634" s="9"/>
    </row>
    <row r="635" spans="1:13" ht="13.5" thickBot="1">
      <c r="A635" s="11" t="s">
        <v>17</v>
      </c>
      <c r="B635" s="12" t="s">
        <v>18</v>
      </c>
      <c r="C635" s="13" t="s">
        <v>16</v>
      </c>
      <c r="D635" s="14" t="s">
        <v>15</v>
      </c>
      <c r="E635" s="14" t="s">
        <v>6</v>
      </c>
      <c r="F635" s="14" t="s">
        <v>19</v>
      </c>
      <c r="G635" s="74" t="s">
        <v>20</v>
      </c>
      <c r="H635" s="74" t="s">
        <v>21</v>
      </c>
      <c r="I635" s="14" t="s">
        <v>22</v>
      </c>
      <c r="J635" s="15" t="s">
        <v>9</v>
      </c>
      <c r="K635"/>
    </row>
    <row r="636" spans="1:13">
      <c r="A636" s="16" t="s">
        <v>0</v>
      </c>
      <c r="B636" s="17" t="s">
        <v>15</v>
      </c>
      <c r="C636" s="18"/>
      <c r="D636" s="6">
        <v>27</v>
      </c>
      <c r="E636" s="18"/>
      <c r="F636" s="18"/>
      <c r="G636" s="75"/>
      <c r="H636" s="75"/>
      <c r="I636" s="18"/>
      <c r="J636" s="19">
        <f>D636</f>
        <v>27</v>
      </c>
      <c r="K636"/>
    </row>
    <row r="637" spans="1:13">
      <c r="A637" s="22" t="s">
        <v>0</v>
      </c>
      <c r="B637" s="23" t="s">
        <v>6</v>
      </c>
      <c r="C637" s="6"/>
      <c r="D637" s="6"/>
      <c r="E637" s="6">
        <v>263</v>
      </c>
      <c r="F637" s="6">
        <v>2</v>
      </c>
      <c r="G637" s="76"/>
      <c r="H637" s="76"/>
      <c r="I637" s="6"/>
      <c r="J637" s="24">
        <f>E637+F637</f>
        <v>265</v>
      </c>
      <c r="K637"/>
      <c r="L637" s="20" t="s">
        <v>23</v>
      </c>
      <c r="M637" s="25" t="s">
        <v>2764</v>
      </c>
    </row>
    <row r="638" spans="1:13">
      <c r="A638" s="22" t="s">
        <v>0</v>
      </c>
      <c r="B638" s="23" t="s">
        <v>13</v>
      </c>
      <c r="C638" s="6"/>
      <c r="D638" s="6"/>
      <c r="E638" s="6"/>
      <c r="F638" s="6"/>
      <c r="G638" s="76"/>
      <c r="H638" s="76">
        <v>57</v>
      </c>
      <c r="I638" s="6"/>
      <c r="J638" s="24">
        <f>G638+H638+I638</f>
        <v>57</v>
      </c>
      <c r="K638"/>
      <c r="L638" s="20">
        <v>181</v>
      </c>
      <c r="M638" s="25" t="s">
        <v>24</v>
      </c>
    </row>
    <row r="639" spans="1:13">
      <c r="A639" s="22" t="s">
        <v>0</v>
      </c>
      <c r="B639" s="23" t="s">
        <v>8</v>
      </c>
      <c r="C639" s="6"/>
      <c r="D639" s="6"/>
      <c r="E639" s="6"/>
      <c r="F639" s="6"/>
      <c r="G639" s="76">
        <v>72</v>
      </c>
      <c r="H639" s="76">
        <v>234</v>
      </c>
      <c r="I639" s="6"/>
      <c r="J639" s="24">
        <f>G639+H639+I639</f>
        <v>306</v>
      </c>
      <c r="K639"/>
      <c r="L639" s="20">
        <v>50</v>
      </c>
      <c r="M639" s="25" t="s">
        <v>25</v>
      </c>
    </row>
    <row r="640" spans="1:13">
      <c r="A640" s="22" t="s">
        <v>0</v>
      </c>
      <c r="B640" s="23" t="s">
        <v>12</v>
      </c>
      <c r="C640" s="6"/>
      <c r="D640" s="6"/>
      <c r="E640" s="6"/>
      <c r="F640" s="6"/>
      <c r="G640" s="76"/>
      <c r="H640" s="76">
        <v>0</v>
      </c>
      <c r="I640" s="6"/>
      <c r="J640" s="24">
        <f>H640</f>
        <v>0</v>
      </c>
      <c r="K640"/>
      <c r="L640" s="20">
        <v>32</v>
      </c>
      <c r="M640" s="25" t="s">
        <v>26</v>
      </c>
    </row>
    <row r="641" spans="1:13">
      <c r="A641" s="22" t="s">
        <v>0</v>
      </c>
      <c r="B641" s="23" t="s">
        <v>14</v>
      </c>
      <c r="C641" s="6"/>
      <c r="D641" s="6"/>
      <c r="E641" s="6"/>
      <c r="F641" s="6"/>
      <c r="G641" s="76">
        <v>4</v>
      </c>
      <c r="H641" s="76">
        <v>42</v>
      </c>
      <c r="I641" s="6"/>
      <c r="J641" s="24">
        <f>G641+H641</f>
        <v>46</v>
      </c>
      <c r="K641"/>
      <c r="L641" s="20">
        <v>0</v>
      </c>
      <c r="M641" s="25" t="s">
        <v>27</v>
      </c>
    </row>
    <row r="642" spans="1:13" ht="13.5" thickBot="1">
      <c r="A642" s="27" t="s">
        <v>29</v>
      </c>
      <c r="B642" s="28"/>
      <c r="C642" s="29"/>
      <c r="D642" s="29">
        <f>SUM(D636:D641)</f>
        <v>27</v>
      </c>
      <c r="E642" s="29">
        <f>SUM(E636:E641)</f>
        <v>263</v>
      </c>
      <c r="F642" s="29">
        <f>SUM(F636:F641)</f>
        <v>2</v>
      </c>
      <c r="G642" s="29">
        <f>SUM(G636:G641)</f>
        <v>76</v>
      </c>
      <c r="H642" s="29">
        <f>SUM(H636:H641)</f>
        <v>333</v>
      </c>
      <c r="I642" s="29"/>
      <c r="J642" s="30">
        <f>SUM(J636:J641)</f>
        <v>701</v>
      </c>
      <c r="K642"/>
      <c r="L642" s="20">
        <v>1</v>
      </c>
      <c r="M642" s="25" t="s">
        <v>28</v>
      </c>
    </row>
    <row r="643" spans="1:13">
      <c r="A643" s="31" t="s">
        <v>7</v>
      </c>
      <c r="B643" s="32" t="s">
        <v>15</v>
      </c>
      <c r="C643" s="33"/>
      <c r="D643" s="33"/>
      <c r="E643" s="33"/>
      <c r="F643" s="33"/>
      <c r="G643" s="77"/>
      <c r="H643" s="77"/>
      <c r="I643" s="33"/>
      <c r="J643" s="34"/>
      <c r="K643"/>
      <c r="L643" s="20">
        <v>1</v>
      </c>
      <c r="M643" s="25" t="s">
        <v>30</v>
      </c>
    </row>
    <row r="644" spans="1:13">
      <c r="A644" s="31" t="s">
        <v>7</v>
      </c>
      <c r="B644" s="32" t="s">
        <v>8</v>
      </c>
      <c r="C644" s="33"/>
      <c r="D644" s="33"/>
      <c r="E644" s="33"/>
      <c r="F644" s="33"/>
      <c r="G644" s="77">
        <v>4</v>
      </c>
      <c r="H644" s="77">
        <v>26</v>
      </c>
      <c r="I644" s="33"/>
      <c r="J644" s="34">
        <f>G644+H644</f>
        <v>30</v>
      </c>
      <c r="K644"/>
      <c r="L644" s="35">
        <f>SUM(L638:L643)</f>
        <v>265</v>
      </c>
      <c r="M644" s="21"/>
    </row>
    <row r="645" spans="1:13" ht="13.5" thickBot="1">
      <c r="A645" s="27" t="s">
        <v>31</v>
      </c>
      <c r="B645" s="28"/>
      <c r="C645" s="29"/>
      <c r="D645" s="29"/>
      <c r="E645" s="29"/>
      <c r="F645" s="29"/>
      <c r="G645" s="29">
        <f>SUM(G643:G644)</f>
        <v>4</v>
      </c>
      <c r="H645" s="29">
        <f>SUM(H643:H644)</f>
        <v>26</v>
      </c>
      <c r="I645" s="29"/>
      <c r="J645" s="30">
        <f>SUM(J643:J644)</f>
        <v>30</v>
      </c>
      <c r="K645"/>
    </row>
    <row r="646" spans="1:13">
      <c r="A646" s="31" t="s">
        <v>105</v>
      </c>
      <c r="B646" s="32" t="s">
        <v>8</v>
      </c>
      <c r="C646" s="33"/>
      <c r="D646" s="33">
        <v>1</v>
      </c>
      <c r="E646" s="33"/>
      <c r="F646" s="33"/>
      <c r="G646" s="77">
        <v>4</v>
      </c>
      <c r="H646" s="77">
        <v>14</v>
      </c>
      <c r="I646" s="33"/>
      <c r="J646" s="34">
        <f>D646+G646+H646</f>
        <v>19</v>
      </c>
      <c r="K646"/>
    </row>
    <row r="647" spans="1:13" ht="13.5" thickBot="1">
      <c r="A647" s="27" t="s">
        <v>106</v>
      </c>
      <c r="B647" s="28"/>
      <c r="C647" s="29"/>
      <c r="D647" s="29">
        <f>SUM(D646:D646)</f>
        <v>1</v>
      </c>
      <c r="E647" s="29"/>
      <c r="F647" s="29"/>
      <c r="G647" s="29">
        <f>SUM(G646:G646)</f>
        <v>4</v>
      </c>
      <c r="H647" s="29">
        <f>SUM(H646:H646)</f>
        <v>14</v>
      </c>
      <c r="I647" s="29"/>
      <c r="J647" s="30">
        <f>SUM(J646:J646)</f>
        <v>19</v>
      </c>
      <c r="K647"/>
    </row>
    <row r="648" spans="1:13">
      <c r="A648" s="22" t="s">
        <v>108</v>
      </c>
      <c r="B648" s="32" t="s">
        <v>10</v>
      </c>
      <c r="C648" s="6"/>
      <c r="D648" s="6"/>
      <c r="E648" s="6"/>
      <c r="F648" s="6"/>
      <c r="G648" s="76"/>
      <c r="H648" s="76"/>
      <c r="I648" s="6"/>
      <c r="J648" s="24">
        <f>H648</f>
        <v>0</v>
      </c>
      <c r="K648"/>
    </row>
    <row r="649" spans="1:13">
      <c r="A649" s="22" t="s">
        <v>32</v>
      </c>
      <c r="B649" s="32" t="s">
        <v>33</v>
      </c>
      <c r="C649" s="6">
        <v>4</v>
      </c>
      <c r="D649" s="6"/>
      <c r="E649" s="6"/>
      <c r="F649" s="6"/>
      <c r="G649" s="76"/>
      <c r="H649" s="76"/>
      <c r="I649" s="6"/>
      <c r="J649" s="24">
        <f>C649</f>
        <v>4</v>
      </c>
      <c r="K649"/>
    </row>
    <row r="650" spans="1:13" ht="13.5" thickBot="1">
      <c r="A650" s="36" t="s">
        <v>34</v>
      </c>
      <c r="B650" s="37"/>
      <c r="C650" s="29">
        <f>SUM(C648:C649)</f>
        <v>4</v>
      </c>
      <c r="D650" s="29"/>
      <c r="E650" s="29"/>
      <c r="F650" s="29"/>
      <c r="G650" s="29"/>
      <c r="H650" s="29"/>
      <c r="I650" s="29"/>
      <c r="J650" s="30">
        <f>SUM(J648:J649)</f>
        <v>4</v>
      </c>
      <c r="K650"/>
    </row>
    <row r="651" spans="1:13" ht="13.5" thickBot="1">
      <c r="A651" s="78" t="s">
        <v>35</v>
      </c>
      <c r="B651" s="79"/>
      <c r="C651" s="80">
        <f t="shared" ref="C651:H651" si="22">C642+C645+C647+C650</f>
        <v>4</v>
      </c>
      <c r="D651" s="80">
        <f t="shared" si="22"/>
        <v>28</v>
      </c>
      <c r="E651" s="80">
        <f t="shared" si="22"/>
        <v>263</v>
      </c>
      <c r="F651" s="80">
        <f t="shared" si="22"/>
        <v>2</v>
      </c>
      <c r="G651" s="80">
        <f t="shared" si="22"/>
        <v>84</v>
      </c>
      <c r="H651" s="80">
        <f t="shared" si="22"/>
        <v>373</v>
      </c>
      <c r="I651" s="80"/>
      <c r="J651" s="80">
        <f>J642+J645+J647+J650</f>
        <v>754</v>
      </c>
      <c r="K651"/>
    </row>
    <row r="652" spans="1:13">
      <c r="B652" s="38" t="s">
        <v>36</v>
      </c>
      <c r="C652" s="39"/>
      <c r="L652" s="26"/>
    </row>
    <row r="653" spans="1:13">
      <c r="A653" s="7" t="s">
        <v>37</v>
      </c>
      <c r="B653" s="8">
        <f>D642+D645+D647+D650</f>
        <v>28</v>
      </c>
      <c r="C653" s="6"/>
    </row>
    <row r="654" spans="1:13">
      <c r="A654" s="7" t="s">
        <v>38</v>
      </c>
      <c r="B654" s="8">
        <f>E651</f>
        <v>263</v>
      </c>
      <c r="C654" s="6"/>
    </row>
    <row r="655" spans="1:13">
      <c r="A655" s="7" t="s">
        <v>2615</v>
      </c>
      <c r="B655" s="8">
        <f>F642+F645+F647+F650</f>
        <v>2</v>
      </c>
      <c r="C655" s="6"/>
    </row>
    <row r="656" spans="1:13">
      <c r="A656" s="7" t="s">
        <v>39</v>
      </c>
      <c r="B656" s="8">
        <f>J638</f>
        <v>57</v>
      </c>
      <c r="C656" s="6"/>
    </row>
    <row r="657" spans="1:13">
      <c r="A657" s="7" t="s">
        <v>40</v>
      </c>
      <c r="B657" s="8">
        <f>J639+J644+J646-D646</f>
        <v>354</v>
      </c>
      <c r="C657" s="6"/>
    </row>
    <row r="658" spans="1:13">
      <c r="A658" s="7" t="s">
        <v>41</v>
      </c>
      <c r="B658" s="8">
        <f>J640</f>
        <v>0</v>
      </c>
      <c r="C658" s="6"/>
    </row>
    <row r="659" spans="1:13">
      <c r="A659" s="7" t="s">
        <v>42</v>
      </c>
      <c r="B659" s="8">
        <f>J641</f>
        <v>46</v>
      </c>
      <c r="C659" s="6"/>
    </row>
    <row r="660" spans="1:13">
      <c r="A660" s="7" t="s">
        <v>43</v>
      </c>
      <c r="B660" s="8">
        <f>J648</f>
        <v>0</v>
      </c>
      <c r="C660" s="6"/>
    </row>
    <row r="661" spans="1:13">
      <c r="A661" s="7" t="s">
        <v>44</v>
      </c>
      <c r="B661" s="8">
        <f>J649</f>
        <v>4</v>
      </c>
      <c r="C661" s="6"/>
    </row>
    <row r="662" spans="1:13">
      <c r="A662" s="7"/>
      <c r="B662" s="81">
        <f>SUM(B653:B661)</f>
        <v>754</v>
      </c>
      <c r="C662" s="6"/>
    </row>
    <row r="664" spans="1:13" ht="13.5" thickBot="1"/>
    <row r="665" spans="1:13" ht="13.5" thickBot="1">
      <c r="A665" s="85" t="s">
        <v>3084</v>
      </c>
      <c r="B665" s="9"/>
    </row>
    <row r="666" spans="1:13" ht="13.5" thickBot="1">
      <c r="A666" s="11" t="s">
        <v>17</v>
      </c>
      <c r="B666" s="12" t="s">
        <v>18</v>
      </c>
      <c r="C666" s="13" t="s">
        <v>16</v>
      </c>
      <c r="D666" s="14" t="s">
        <v>15</v>
      </c>
      <c r="E666" s="14" t="s">
        <v>6</v>
      </c>
      <c r="F666" s="14" t="s">
        <v>19</v>
      </c>
      <c r="G666" s="74" t="s">
        <v>20</v>
      </c>
      <c r="H666" s="74" t="s">
        <v>21</v>
      </c>
      <c r="I666" s="14" t="s">
        <v>22</v>
      </c>
      <c r="J666" s="15" t="s">
        <v>9</v>
      </c>
      <c r="K666"/>
    </row>
    <row r="667" spans="1:13">
      <c r="A667" s="16" t="s">
        <v>0</v>
      </c>
      <c r="B667" s="17" t="s">
        <v>15</v>
      </c>
      <c r="C667" s="18"/>
      <c r="D667" s="6">
        <v>26</v>
      </c>
      <c r="E667" s="18"/>
      <c r="F667" s="18"/>
      <c r="G667" s="75"/>
      <c r="H667" s="75"/>
      <c r="I667" s="18"/>
      <c r="J667" s="19">
        <f>D667</f>
        <v>26</v>
      </c>
      <c r="K667"/>
    </row>
    <row r="668" spans="1:13">
      <c r="A668" s="22" t="s">
        <v>0</v>
      </c>
      <c r="B668" s="23" t="s">
        <v>6</v>
      </c>
      <c r="C668" s="6"/>
      <c r="D668" s="6"/>
      <c r="E668" s="6">
        <v>263</v>
      </c>
      <c r="F668" s="6">
        <v>2</v>
      </c>
      <c r="G668" s="76"/>
      <c r="H668" s="76"/>
      <c r="I668" s="6"/>
      <c r="J668" s="24">
        <f>E668+F668</f>
        <v>265</v>
      </c>
      <c r="K668"/>
      <c r="L668" s="20" t="s">
        <v>23</v>
      </c>
      <c r="M668" s="25" t="s">
        <v>2764</v>
      </c>
    </row>
    <row r="669" spans="1:13">
      <c r="A669" s="22" t="s">
        <v>0</v>
      </c>
      <c r="B669" s="23" t="s">
        <v>13</v>
      </c>
      <c r="C669" s="6"/>
      <c r="D669" s="6"/>
      <c r="E669" s="6"/>
      <c r="F669" s="6"/>
      <c r="G669" s="76"/>
      <c r="H669" s="76">
        <v>56</v>
      </c>
      <c r="I669" s="6"/>
      <c r="J669" s="24">
        <f>G669+H669+I669</f>
        <v>56</v>
      </c>
      <c r="K669"/>
      <c r="L669" s="20">
        <v>181</v>
      </c>
      <c r="M669" s="25" t="s">
        <v>24</v>
      </c>
    </row>
    <row r="670" spans="1:13">
      <c r="A670" s="22" t="s">
        <v>0</v>
      </c>
      <c r="B670" s="23" t="s">
        <v>8</v>
      </c>
      <c r="C670" s="6"/>
      <c r="D670" s="6"/>
      <c r="E670" s="6"/>
      <c r="F670" s="6"/>
      <c r="G670" s="76">
        <v>72</v>
      </c>
      <c r="H670" s="76">
        <v>230</v>
      </c>
      <c r="I670" s="6"/>
      <c r="J670" s="24">
        <f>G670+H670+I670</f>
        <v>302</v>
      </c>
      <c r="K670"/>
      <c r="L670" s="20">
        <v>50</v>
      </c>
      <c r="M670" s="25" t="s">
        <v>25</v>
      </c>
    </row>
    <row r="671" spans="1:13">
      <c r="A671" s="22" t="s">
        <v>0</v>
      </c>
      <c r="B671" s="23" t="s">
        <v>12</v>
      </c>
      <c r="C671" s="6"/>
      <c r="D671" s="6"/>
      <c r="E671" s="6"/>
      <c r="F671" s="6"/>
      <c r="G671" s="76"/>
      <c r="H671" s="76">
        <v>0</v>
      </c>
      <c r="I671" s="6"/>
      <c r="J671" s="24">
        <f>H671</f>
        <v>0</v>
      </c>
      <c r="K671"/>
      <c r="L671" s="20">
        <v>32</v>
      </c>
      <c r="M671" s="25" t="s">
        <v>26</v>
      </c>
    </row>
    <row r="672" spans="1:13">
      <c r="A672" s="22" t="s">
        <v>0</v>
      </c>
      <c r="B672" s="23" t="s">
        <v>14</v>
      </c>
      <c r="C672" s="6"/>
      <c r="D672" s="6"/>
      <c r="E672" s="6"/>
      <c r="F672" s="6"/>
      <c r="G672" s="76">
        <v>4</v>
      </c>
      <c r="H672" s="76">
        <v>42</v>
      </c>
      <c r="I672" s="6"/>
      <c r="J672" s="24">
        <f>G672+H672</f>
        <v>46</v>
      </c>
      <c r="K672"/>
      <c r="L672" s="20">
        <v>0</v>
      </c>
      <c r="M672" s="25" t="s">
        <v>27</v>
      </c>
    </row>
    <row r="673" spans="1:13" ht="13.5" thickBot="1">
      <c r="A673" s="27" t="s">
        <v>29</v>
      </c>
      <c r="B673" s="28"/>
      <c r="C673" s="29"/>
      <c r="D673" s="29">
        <f>SUM(D667:D672)</f>
        <v>26</v>
      </c>
      <c r="E673" s="29">
        <f>SUM(E667:E672)</f>
        <v>263</v>
      </c>
      <c r="F673" s="29">
        <f>SUM(F667:F672)</f>
        <v>2</v>
      </c>
      <c r="G673" s="29">
        <f>SUM(G667:G672)</f>
        <v>76</v>
      </c>
      <c r="H673" s="29">
        <f>SUM(H667:H672)</f>
        <v>328</v>
      </c>
      <c r="I673" s="29"/>
      <c r="J673" s="30">
        <f>SUM(J667:J672)</f>
        <v>695</v>
      </c>
      <c r="K673"/>
      <c r="L673" s="20">
        <v>1</v>
      </c>
      <c r="M673" s="25" t="s">
        <v>28</v>
      </c>
    </row>
    <row r="674" spans="1:13">
      <c r="A674" s="31" t="s">
        <v>7</v>
      </c>
      <c r="B674" s="32" t="s">
        <v>15</v>
      </c>
      <c r="C674" s="33"/>
      <c r="D674" s="33"/>
      <c r="E674" s="33"/>
      <c r="F674" s="33"/>
      <c r="G674" s="77"/>
      <c r="H674" s="77"/>
      <c r="I674" s="33"/>
      <c r="J674" s="34"/>
      <c r="K674"/>
      <c r="L674" s="20">
        <v>1</v>
      </c>
      <c r="M674" s="25" t="s">
        <v>30</v>
      </c>
    </row>
    <row r="675" spans="1:13">
      <c r="A675" s="31" t="s">
        <v>7</v>
      </c>
      <c r="B675" s="32" t="s">
        <v>8</v>
      </c>
      <c r="C675" s="33"/>
      <c r="D675" s="33"/>
      <c r="E675" s="33"/>
      <c r="F675" s="33"/>
      <c r="G675" s="77">
        <v>4</v>
      </c>
      <c r="H675" s="77">
        <v>24</v>
      </c>
      <c r="I675" s="33"/>
      <c r="J675" s="34">
        <f>G675+H675</f>
        <v>28</v>
      </c>
      <c r="K675"/>
      <c r="L675" s="35">
        <f>SUM(L669:L674)</f>
        <v>265</v>
      </c>
      <c r="M675" s="21"/>
    </row>
    <row r="676" spans="1:13" ht="13.5" thickBot="1">
      <c r="A676" s="27" t="s">
        <v>31</v>
      </c>
      <c r="B676" s="28"/>
      <c r="C676" s="29"/>
      <c r="D676" s="29"/>
      <c r="E676" s="29"/>
      <c r="F676" s="29"/>
      <c r="G676" s="29">
        <f>SUM(G674:G675)</f>
        <v>4</v>
      </c>
      <c r="H676" s="29">
        <f>SUM(H674:H675)</f>
        <v>24</v>
      </c>
      <c r="I676" s="29"/>
      <c r="J676" s="30">
        <f>SUM(J674:J675)</f>
        <v>28</v>
      </c>
      <c r="K676"/>
    </row>
    <row r="677" spans="1:13">
      <c r="A677" s="31" t="s">
        <v>105</v>
      </c>
      <c r="B677" s="32" t="s">
        <v>8</v>
      </c>
      <c r="C677" s="33"/>
      <c r="D677" s="33">
        <v>1</v>
      </c>
      <c r="E677" s="33"/>
      <c r="F677" s="33"/>
      <c r="G677" s="77">
        <v>4</v>
      </c>
      <c r="H677" s="77">
        <v>14</v>
      </c>
      <c r="I677" s="33"/>
      <c r="J677" s="34">
        <f>D677+G677+H677</f>
        <v>19</v>
      </c>
      <c r="K677"/>
    </row>
    <row r="678" spans="1:13" ht="13.5" thickBot="1">
      <c r="A678" s="27" t="s">
        <v>106</v>
      </c>
      <c r="B678" s="28"/>
      <c r="C678" s="29"/>
      <c r="D678" s="29">
        <f>SUM(D677:D677)</f>
        <v>1</v>
      </c>
      <c r="E678" s="29"/>
      <c r="F678" s="29"/>
      <c r="G678" s="29">
        <f>SUM(G677:G677)</f>
        <v>4</v>
      </c>
      <c r="H678" s="29">
        <f>SUM(H677:H677)</f>
        <v>14</v>
      </c>
      <c r="I678" s="29"/>
      <c r="J678" s="30">
        <f>SUM(J677:J677)</f>
        <v>19</v>
      </c>
      <c r="K678"/>
    </row>
    <row r="679" spans="1:13">
      <c r="A679" s="22" t="s">
        <v>108</v>
      </c>
      <c r="B679" s="32" t="s">
        <v>10</v>
      </c>
      <c r="C679" s="6"/>
      <c r="D679" s="6"/>
      <c r="E679" s="6"/>
      <c r="F679" s="6"/>
      <c r="G679" s="76"/>
      <c r="H679" s="76"/>
      <c r="I679" s="6"/>
      <c r="J679" s="24">
        <f>H679</f>
        <v>0</v>
      </c>
      <c r="K679"/>
    </row>
    <row r="680" spans="1:13">
      <c r="A680" s="22" t="s">
        <v>32</v>
      </c>
      <c r="B680" s="32" t="s">
        <v>33</v>
      </c>
      <c r="C680" s="6">
        <v>4</v>
      </c>
      <c r="D680" s="6"/>
      <c r="E680" s="6"/>
      <c r="F680" s="6"/>
      <c r="G680" s="76"/>
      <c r="H680" s="76"/>
      <c r="I680" s="6"/>
      <c r="J680" s="24">
        <f>C680</f>
        <v>4</v>
      </c>
      <c r="K680"/>
    </row>
    <row r="681" spans="1:13" ht="13.5" thickBot="1">
      <c r="A681" s="36" t="s">
        <v>34</v>
      </c>
      <c r="B681" s="37"/>
      <c r="C681" s="29">
        <f>SUM(C679:C680)</f>
        <v>4</v>
      </c>
      <c r="D681" s="29"/>
      <c r="E681" s="29"/>
      <c r="F681" s="29"/>
      <c r="G681" s="29"/>
      <c r="H681" s="29"/>
      <c r="I681" s="29"/>
      <c r="J681" s="30">
        <f>SUM(J679:J680)</f>
        <v>4</v>
      </c>
      <c r="K681"/>
    </row>
    <row r="682" spans="1:13" ht="13.5" thickBot="1">
      <c r="A682" s="78" t="s">
        <v>35</v>
      </c>
      <c r="B682" s="79"/>
      <c r="C682" s="80">
        <f t="shared" ref="C682:H682" si="23">C673+C676+C678+C681</f>
        <v>4</v>
      </c>
      <c r="D682" s="80">
        <f t="shared" si="23"/>
        <v>27</v>
      </c>
      <c r="E682" s="80">
        <f t="shared" si="23"/>
        <v>263</v>
      </c>
      <c r="F682" s="80">
        <f t="shared" si="23"/>
        <v>2</v>
      </c>
      <c r="G682" s="80">
        <f t="shared" si="23"/>
        <v>84</v>
      </c>
      <c r="H682" s="80">
        <f t="shared" si="23"/>
        <v>366</v>
      </c>
      <c r="I682" s="80"/>
      <c r="J682" s="80">
        <f>J673+J676+J678+J681</f>
        <v>746</v>
      </c>
      <c r="K682"/>
    </row>
    <row r="683" spans="1:13">
      <c r="B683" s="38" t="s">
        <v>36</v>
      </c>
      <c r="C683" s="39"/>
      <c r="L683" s="26"/>
    </row>
    <row r="684" spans="1:13">
      <c r="A684" s="7" t="s">
        <v>37</v>
      </c>
      <c r="B684" s="8">
        <f>D673+D676+D678+D681</f>
        <v>27</v>
      </c>
      <c r="C684" s="6"/>
    </row>
    <row r="685" spans="1:13">
      <c r="A685" s="7" t="s">
        <v>38</v>
      </c>
      <c r="B685" s="8">
        <f>E682</f>
        <v>263</v>
      </c>
      <c r="C685" s="6"/>
    </row>
    <row r="686" spans="1:13">
      <c r="A686" s="7" t="s">
        <v>2615</v>
      </c>
      <c r="B686" s="8">
        <f>F673+F676+F678+F681</f>
        <v>2</v>
      </c>
      <c r="C686" s="6"/>
    </row>
    <row r="687" spans="1:13">
      <c r="A687" s="7" t="s">
        <v>39</v>
      </c>
      <c r="B687" s="8">
        <f>J669</f>
        <v>56</v>
      </c>
      <c r="C687" s="6"/>
    </row>
    <row r="688" spans="1:13">
      <c r="A688" s="7" t="s">
        <v>40</v>
      </c>
      <c r="B688" s="8">
        <f>J670+J675+J677-D677</f>
        <v>348</v>
      </c>
      <c r="C688" s="6"/>
    </row>
    <row r="689" spans="1:13">
      <c r="A689" s="7" t="s">
        <v>41</v>
      </c>
      <c r="B689" s="8">
        <f>J671</f>
        <v>0</v>
      </c>
      <c r="C689" s="6"/>
    </row>
    <row r="690" spans="1:13">
      <c r="A690" s="7" t="s">
        <v>42</v>
      </c>
      <c r="B690" s="8">
        <f>J672</f>
        <v>46</v>
      </c>
      <c r="C690" s="6"/>
    </row>
    <row r="691" spans="1:13">
      <c r="A691" s="7" t="s">
        <v>43</v>
      </c>
      <c r="B691" s="8">
        <f>J679</f>
        <v>0</v>
      </c>
      <c r="C691" s="6"/>
    </row>
    <row r="692" spans="1:13">
      <c r="A692" s="7" t="s">
        <v>44</v>
      </c>
      <c r="B692" s="8">
        <f>J680</f>
        <v>4</v>
      </c>
      <c r="C692" s="6"/>
    </row>
    <row r="693" spans="1:13">
      <c r="A693" s="7"/>
      <c r="B693" s="81">
        <f>SUM(B684:B692)</f>
        <v>746</v>
      </c>
      <c r="C693" s="6"/>
    </row>
    <row r="696" spans="1:13" ht="13.5" thickBot="1"/>
    <row r="697" spans="1:13" ht="13.5" thickBot="1">
      <c r="A697" s="85" t="s">
        <v>3068</v>
      </c>
      <c r="B697" s="9"/>
    </row>
    <row r="698" spans="1:13" ht="13.5" thickBot="1">
      <c r="A698" s="11" t="s">
        <v>17</v>
      </c>
      <c r="B698" s="12" t="s">
        <v>18</v>
      </c>
      <c r="C698" s="13" t="s">
        <v>16</v>
      </c>
      <c r="D698" s="14" t="s">
        <v>15</v>
      </c>
      <c r="E698" s="14" t="s">
        <v>6</v>
      </c>
      <c r="F698" s="14" t="s">
        <v>19</v>
      </c>
      <c r="G698" s="74" t="s">
        <v>20</v>
      </c>
      <c r="H698" s="74" t="s">
        <v>21</v>
      </c>
      <c r="I698" s="14" t="s">
        <v>22</v>
      </c>
      <c r="J698" s="15" t="s">
        <v>9</v>
      </c>
      <c r="K698"/>
    </row>
    <row r="699" spans="1:13">
      <c r="A699" s="16" t="s">
        <v>0</v>
      </c>
      <c r="B699" s="17" t="s">
        <v>15</v>
      </c>
      <c r="C699" s="18"/>
      <c r="D699" s="6">
        <v>25</v>
      </c>
      <c r="E699" s="18"/>
      <c r="F699" s="18"/>
      <c r="G699" s="75"/>
      <c r="H699" s="75"/>
      <c r="I699" s="18"/>
      <c r="J699" s="19">
        <f>D699</f>
        <v>25</v>
      </c>
      <c r="K699"/>
    </row>
    <row r="700" spans="1:13">
      <c r="A700" s="22" t="s">
        <v>0</v>
      </c>
      <c r="B700" s="23" t="s">
        <v>6</v>
      </c>
      <c r="C700" s="6"/>
      <c r="D700" s="6"/>
      <c r="E700" s="6">
        <v>263</v>
      </c>
      <c r="F700" s="6">
        <v>2</v>
      </c>
      <c r="G700" s="76"/>
      <c r="H700" s="76"/>
      <c r="I700" s="6"/>
      <c r="J700" s="24">
        <f>E700+F700</f>
        <v>265</v>
      </c>
      <c r="K700"/>
      <c r="L700" s="20" t="s">
        <v>23</v>
      </c>
      <c r="M700" s="25" t="s">
        <v>2764</v>
      </c>
    </row>
    <row r="701" spans="1:13">
      <c r="A701" s="22" t="s">
        <v>0</v>
      </c>
      <c r="B701" s="23" t="s">
        <v>13</v>
      </c>
      <c r="C701" s="6"/>
      <c r="D701" s="6"/>
      <c r="E701" s="6"/>
      <c r="F701" s="6"/>
      <c r="G701" s="76"/>
      <c r="H701" s="76">
        <v>54</v>
      </c>
      <c r="I701" s="6"/>
      <c r="J701" s="24">
        <f>G701+H701+I701</f>
        <v>54</v>
      </c>
      <c r="K701"/>
      <c r="L701" s="20">
        <v>181</v>
      </c>
      <c r="M701" s="25" t="s">
        <v>24</v>
      </c>
    </row>
    <row r="702" spans="1:13">
      <c r="A702" s="22" t="s">
        <v>0</v>
      </c>
      <c r="B702" s="23" t="s">
        <v>8</v>
      </c>
      <c r="C702" s="6"/>
      <c r="D702" s="6"/>
      <c r="E702" s="6"/>
      <c r="F702" s="6"/>
      <c r="G702" s="76">
        <v>69</v>
      </c>
      <c r="H702" s="76">
        <v>232</v>
      </c>
      <c r="I702" s="6"/>
      <c r="J702" s="24">
        <f>G702+H702+I702</f>
        <v>301</v>
      </c>
      <c r="K702"/>
      <c r="L702" s="20">
        <v>50</v>
      </c>
      <c r="M702" s="25" t="s">
        <v>25</v>
      </c>
    </row>
    <row r="703" spans="1:13">
      <c r="A703" s="22" t="s">
        <v>0</v>
      </c>
      <c r="B703" s="23" t="s">
        <v>12</v>
      </c>
      <c r="C703" s="6"/>
      <c r="D703" s="6"/>
      <c r="E703" s="6"/>
      <c r="F703" s="6"/>
      <c r="G703" s="76"/>
      <c r="H703" s="76">
        <v>0</v>
      </c>
      <c r="I703" s="6"/>
      <c r="J703" s="24">
        <f>H703</f>
        <v>0</v>
      </c>
      <c r="K703"/>
      <c r="L703" s="20">
        <v>32</v>
      </c>
      <c r="M703" s="25" t="s">
        <v>26</v>
      </c>
    </row>
    <row r="704" spans="1:13">
      <c r="A704" s="22" t="s">
        <v>0</v>
      </c>
      <c r="B704" s="23" t="s">
        <v>14</v>
      </c>
      <c r="C704" s="6"/>
      <c r="D704" s="6"/>
      <c r="E704" s="6"/>
      <c r="F704" s="6"/>
      <c r="G704" s="76">
        <v>4</v>
      </c>
      <c r="H704" s="76">
        <v>42</v>
      </c>
      <c r="I704" s="6"/>
      <c r="J704" s="24">
        <f>G704+H704</f>
        <v>46</v>
      </c>
      <c r="K704"/>
      <c r="L704" s="20">
        <v>0</v>
      </c>
      <c r="M704" s="25" t="s">
        <v>27</v>
      </c>
    </row>
    <row r="705" spans="1:13" ht="13.5" thickBot="1">
      <c r="A705" s="27" t="s">
        <v>29</v>
      </c>
      <c r="B705" s="28"/>
      <c r="C705" s="29"/>
      <c r="D705" s="29">
        <f>SUM(D699:D704)</f>
        <v>25</v>
      </c>
      <c r="E705" s="29">
        <f>SUM(E699:E704)</f>
        <v>263</v>
      </c>
      <c r="F705" s="29">
        <f>SUM(F699:F704)</f>
        <v>2</v>
      </c>
      <c r="G705" s="29">
        <f>SUM(G699:G704)</f>
        <v>73</v>
      </c>
      <c r="H705" s="29">
        <f>SUM(H699:H704)</f>
        <v>328</v>
      </c>
      <c r="I705" s="29"/>
      <c r="J705" s="30">
        <f>SUM(J699:J704)</f>
        <v>691</v>
      </c>
      <c r="K705"/>
      <c r="L705" s="20">
        <v>1</v>
      </c>
      <c r="M705" s="25" t="s">
        <v>28</v>
      </c>
    </row>
    <row r="706" spans="1:13">
      <c r="A706" s="31" t="s">
        <v>7</v>
      </c>
      <c r="B706" s="32" t="s">
        <v>15</v>
      </c>
      <c r="C706" s="33"/>
      <c r="D706" s="33"/>
      <c r="E706" s="33"/>
      <c r="F706" s="33"/>
      <c r="G706" s="77"/>
      <c r="H706" s="77"/>
      <c r="I706" s="33"/>
      <c r="J706" s="34"/>
      <c r="K706"/>
      <c r="L706" s="20">
        <v>1</v>
      </c>
      <c r="M706" s="25" t="s">
        <v>30</v>
      </c>
    </row>
    <row r="707" spans="1:13">
      <c r="A707" s="31" t="s">
        <v>7</v>
      </c>
      <c r="B707" s="32" t="s">
        <v>8</v>
      </c>
      <c r="C707" s="33"/>
      <c r="D707" s="33"/>
      <c r="E707" s="33"/>
      <c r="F707" s="33"/>
      <c r="G707" s="77">
        <v>4</v>
      </c>
      <c r="H707" s="77">
        <v>24</v>
      </c>
      <c r="I707" s="33"/>
      <c r="J707" s="34">
        <f>G707+H707</f>
        <v>28</v>
      </c>
      <c r="K707"/>
      <c r="L707" s="35">
        <f>SUM(L701:L706)</f>
        <v>265</v>
      </c>
      <c r="M707" s="21"/>
    </row>
    <row r="708" spans="1:13" ht="13.5" thickBot="1">
      <c r="A708" s="27" t="s">
        <v>31</v>
      </c>
      <c r="B708" s="28"/>
      <c r="C708" s="29"/>
      <c r="D708" s="29"/>
      <c r="E708" s="29"/>
      <c r="F708" s="29"/>
      <c r="G708" s="29">
        <f>SUM(G706:G707)</f>
        <v>4</v>
      </c>
      <c r="H708" s="29">
        <f>SUM(H706:H707)</f>
        <v>24</v>
      </c>
      <c r="I708" s="29"/>
      <c r="J708" s="30">
        <f>SUM(J706:J707)</f>
        <v>28</v>
      </c>
      <c r="K708"/>
    </row>
    <row r="709" spans="1:13">
      <c r="A709" s="31" t="s">
        <v>105</v>
      </c>
      <c r="B709" s="32" t="s">
        <v>8</v>
      </c>
      <c r="C709" s="33"/>
      <c r="D709" s="33"/>
      <c r="E709" s="33"/>
      <c r="F709" s="33"/>
      <c r="G709" s="77">
        <v>5</v>
      </c>
      <c r="H709" s="77">
        <v>14</v>
      </c>
      <c r="I709" s="33"/>
      <c r="J709" s="34">
        <f>G709+H709</f>
        <v>19</v>
      </c>
      <c r="K709"/>
    </row>
    <row r="710" spans="1:13" ht="13.5" thickBot="1">
      <c r="A710" s="27" t="s">
        <v>106</v>
      </c>
      <c r="B710" s="28"/>
      <c r="C710" s="29"/>
      <c r="D710" s="29"/>
      <c r="E710" s="29"/>
      <c r="F710" s="29"/>
      <c r="G710" s="29">
        <f>SUM(G709:G709)</f>
        <v>5</v>
      </c>
      <c r="H710" s="29">
        <f>SUM(H709:H709)</f>
        <v>14</v>
      </c>
      <c r="I710" s="29"/>
      <c r="J710" s="30">
        <f>SUM(J709:J709)</f>
        <v>19</v>
      </c>
      <c r="K710"/>
    </row>
    <row r="711" spans="1:13">
      <c r="A711" s="22" t="s">
        <v>108</v>
      </c>
      <c r="B711" s="32" t="s">
        <v>10</v>
      </c>
      <c r="C711" s="6"/>
      <c r="D711" s="6"/>
      <c r="E711" s="6"/>
      <c r="F711" s="6"/>
      <c r="G711" s="76"/>
      <c r="H711" s="76"/>
      <c r="I711" s="6"/>
      <c r="J711" s="24">
        <f>H711</f>
        <v>0</v>
      </c>
      <c r="K711"/>
    </row>
    <row r="712" spans="1:13">
      <c r="A712" s="22" t="s">
        <v>32</v>
      </c>
      <c r="B712" s="32" t="s">
        <v>33</v>
      </c>
      <c r="C712" s="6">
        <v>4</v>
      </c>
      <c r="D712" s="6"/>
      <c r="E712" s="6"/>
      <c r="F712" s="6"/>
      <c r="G712" s="76"/>
      <c r="H712" s="76"/>
      <c r="I712" s="6"/>
      <c r="J712" s="24">
        <f>C712</f>
        <v>4</v>
      </c>
      <c r="K712"/>
    </row>
    <row r="713" spans="1:13" ht="13.5" thickBot="1">
      <c r="A713" s="36" t="s">
        <v>34</v>
      </c>
      <c r="B713" s="37"/>
      <c r="C713" s="29">
        <f>SUM(C711:C712)</f>
        <v>4</v>
      </c>
      <c r="D713" s="29"/>
      <c r="E713" s="29"/>
      <c r="F713" s="29"/>
      <c r="G713" s="29"/>
      <c r="H713" s="29"/>
      <c r="I713" s="29"/>
      <c r="J713" s="30">
        <f>SUM(J711:J712)</f>
        <v>4</v>
      </c>
      <c r="K713"/>
    </row>
    <row r="714" spans="1:13" ht="13.5" thickBot="1">
      <c r="A714" s="78" t="s">
        <v>35</v>
      </c>
      <c r="B714" s="79"/>
      <c r="C714" s="80">
        <f t="shared" ref="C714:H714" si="24">C705+C708+C710+C713</f>
        <v>4</v>
      </c>
      <c r="D714" s="80">
        <f t="shared" si="24"/>
        <v>25</v>
      </c>
      <c r="E714" s="80">
        <f t="shared" si="24"/>
        <v>263</v>
      </c>
      <c r="F714" s="80">
        <f t="shared" si="24"/>
        <v>2</v>
      </c>
      <c r="G714" s="80">
        <f t="shared" si="24"/>
        <v>82</v>
      </c>
      <c r="H714" s="80">
        <f t="shared" si="24"/>
        <v>366</v>
      </c>
      <c r="I714" s="80"/>
      <c r="J714" s="80">
        <f>J705+J708+J710+J713</f>
        <v>742</v>
      </c>
      <c r="K714"/>
    </row>
    <row r="715" spans="1:13">
      <c r="B715" s="38" t="s">
        <v>36</v>
      </c>
      <c r="C715" s="39"/>
      <c r="L715" s="26"/>
    </row>
    <row r="716" spans="1:13">
      <c r="A716" s="7" t="s">
        <v>37</v>
      </c>
      <c r="B716" s="8">
        <f>D705+D708+D710+D713</f>
        <v>25</v>
      </c>
      <c r="C716" s="6"/>
    </row>
    <row r="717" spans="1:13">
      <c r="A717" s="7" t="s">
        <v>38</v>
      </c>
      <c r="B717" s="8">
        <f>E714</f>
        <v>263</v>
      </c>
      <c r="C717" s="6"/>
    </row>
    <row r="718" spans="1:13">
      <c r="A718" s="7" t="s">
        <v>2615</v>
      </c>
      <c r="B718" s="8">
        <f>F705+F708+F710+F713</f>
        <v>2</v>
      </c>
      <c r="C718" s="6"/>
    </row>
    <row r="719" spans="1:13">
      <c r="A719" s="7" t="s">
        <v>39</v>
      </c>
      <c r="B719" s="8">
        <f>J701</f>
        <v>54</v>
      </c>
      <c r="C719" s="6"/>
    </row>
    <row r="720" spans="1:13">
      <c r="A720" s="7" t="s">
        <v>40</v>
      </c>
      <c r="B720" s="8">
        <f>J702+J707+J709</f>
        <v>348</v>
      </c>
      <c r="C720" s="6"/>
    </row>
    <row r="721" spans="1:13">
      <c r="A721" s="7" t="s">
        <v>41</v>
      </c>
      <c r="B721" s="8">
        <f>J703</f>
        <v>0</v>
      </c>
      <c r="C721" s="6"/>
    </row>
    <row r="722" spans="1:13">
      <c r="A722" s="7" t="s">
        <v>42</v>
      </c>
      <c r="B722" s="8">
        <f>J704</f>
        <v>46</v>
      </c>
      <c r="C722" s="6"/>
    </row>
    <row r="723" spans="1:13">
      <c r="A723" s="7" t="s">
        <v>43</v>
      </c>
      <c r="B723" s="8">
        <f>J711</f>
        <v>0</v>
      </c>
      <c r="C723" s="6"/>
    </row>
    <row r="724" spans="1:13">
      <c r="A724" s="7" t="s">
        <v>44</v>
      </c>
      <c r="B724" s="8">
        <f>J712</f>
        <v>4</v>
      </c>
      <c r="C724" s="6"/>
    </row>
    <row r="725" spans="1:13">
      <c r="A725" s="7"/>
      <c r="B725" s="81">
        <f>SUM(B716:B724)</f>
        <v>742</v>
      </c>
      <c r="C725" s="6"/>
    </row>
    <row r="728" spans="1:13" ht="13.5" thickBot="1"/>
    <row r="729" spans="1:13" ht="13.5" thickBot="1">
      <c r="A729" s="85" t="s">
        <v>3055</v>
      </c>
      <c r="B729" s="9"/>
    </row>
    <row r="730" spans="1:13" ht="13.5" thickBot="1">
      <c r="A730" s="11" t="s">
        <v>17</v>
      </c>
      <c r="B730" s="12" t="s">
        <v>18</v>
      </c>
      <c r="C730" s="13" t="s">
        <v>16</v>
      </c>
      <c r="D730" s="14" t="s">
        <v>15</v>
      </c>
      <c r="E730" s="14" t="s">
        <v>6</v>
      </c>
      <c r="F730" s="14" t="s">
        <v>19</v>
      </c>
      <c r="G730" s="74" t="s">
        <v>20</v>
      </c>
      <c r="H730" s="74" t="s">
        <v>21</v>
      </c>
      <c r="I730" s="14" t="s">
        <v>22</v>
      </c>
      <c r="J730" s="15" t="s">
        <v>9</v>
      </c>
      <c r="K730"/>
    </row>
    <row r="731" spans="1:13">
      <c r="A731" s="16" t="s">
        <v>0</v>
      </c>
      <c r="B731" s="17" t="s">
        <v>15</v>
      </c>
      <c r="C731" s="18"/>
      <c r="D731" s="6">
        <v>24</v>
      </c>
      <c r="E731" s="18"/>
      <c r="F731" s="18"/>
      <c r="G731" s="75"/>
      <c r="H731" s="75"/>
      <c r="I731" s="18"/>
      <c r="J731" s="19">
        <f>D731</f>
        <v>24</v>
      </c>
      <c r="K731"/>
    </row>
    <row r="732" spans="1:13">
      <c r="A732" s="22" t="s">
        <v>0</v>
      </c>
      <c r="B732" s="23" t="s">
        <v>6</v>
      </c>
      <c r="C732" s="6"/>
      <c r="D732" s="6"/>
      <c r="E732" s="6">
        <v>263</v>
      </c>
      <c r="F732" s="6">
        <v>2</v>
      </c>
      <c r="G732" s="76"/>
      <c r="H732" s="76"/>
      <c r="I732" s="6"/>
      <c r="J732" s="24">
        <f>E732+F732</f>
        <v>265</v>
      </c>
      <c r="K732"/>
      <c r="L732" s="20" t="s">
        <v>23</v>
      </c>
      <c r="M732" s="25" t="s">
        <v>2764</v>
      </c>
    </row>
    <row r="733" spans="1:13">
      <c r="A733" s="22" t="s">
        <v>0</v>
      </c>
      <c r="B733" s="23" t="s">
        <v>13</v>
      </c>
      <c r="C733" s="6"/>
      <c r="D733" s="6"/>
      <c r="E733" s="6"/>
      <c r="F733" s="6"/>
      <c r="G733" s="76"/>
      <c r="H733" s="76">
        <v>55</v>
      </c>
      <c r="I733" s="6"/>
      <c r="J733" s="24">
        <f>G733+H733+I733</f>
        <v>55</v>
      </c>
      <c r="K733"/>
      <c r="L733" s="20">
        <v>181</v>
      </c>
      <c r="M733" s="25" t="s">
        <v>24</v>
      </c>
    </row>
    <row r="734" spans="1:13">
      <c r="A734" s="22" t="s">
        <v>0</v>
      </c>
      <c r="B734" s="23" t="s">
        <v>8</v>
      </c>
      <c r="C734" s="6"/>
      <c r="D734" s="6"/>
      <c r="E734" s="6"/>
      <c r="F734" s="6"/>
      <c r="G734" s="76">
        <v>68</v>
      </c>
      <c r="H734" s="76">
        <v>229</v>
      </c>
      <c r="I734" s="6"/>
      <c r="J734" s="24">
        <f>G734+H734+I734</f>
        <v>297</v>
      </c>
      <c r="K734"/>
      <c r="L734" s="20">
        <v>50</v>
      </c>
      <c r="M734" s="25" t="s">
        <v>25</v>
      </c>
    </row>
    <row r="735" spans="1:13">
      <c r="A735" s="22" t="s">
        <v>0</v>
      </c>
      <c r="B735" s="23" t="s">
        <v>12</v>
      </c>
      <c r="C735" s="6"/>
      <c r="D735" s="6"/>
      <c r="E735" s="6"/>
      <c r="F735" s="6"/>
      <c r="G735" s="76"/>
      <c r="H735" s="76">
        <v>0</v>
      </c>
      <c r="I735" s="6"/>
      <c r="J735" s="24">
        <f>H735</f>
        <v>0</v>
      </c>
      <c r="K735"/>
      <c r="L735" s="20">
        <v>32</v>
      </c>
      <c r="M735" s="25" t="s">
        <v>26</v>
      </c>
    </row>
    <row r="736" spans="1:13">
      <c r="A736" s="22" t="s">
        <v>0</v>
      </c>
      <c r="B736" s="23" t="s">
        <v>14</v>
      </c>
      <c r="C736" s="6"/>
      <c r="D736" s="6"/>
      <c r="E736" s="6"/>
      <c r="F736" s="6"/>
      <c r="G736" s="76">
        <v>4</v>
      </c>
      <c r="H736" s="76">
        <v>42</v>
      </c>
      <c r="I736" s="6"/>
      <c r="J736" s="24">
        <f>G736+H736</f>
        <v>46</v>
      </c>
      <c r="K736"/>
      <c r="L736" s="20">
        <v>0</v>
      </c>
      <c r="M736" s="25" t="s">
        <v>27</v>
      </c>
    </row>
    <row r="737" spans="1:13" ht="13.5" thickBot="1">
      <c r="A737" s="27" t="s">
        <v>29</v>
      </c>
      <c r="B737" s="28"/>
      <c r="C737" s="29"/>
      <c r="D737" s="29">
        <f>SUM(D731:D736)</f>
        <v>24</v>
      </c>
      <c r="E737" s="29">
        <f>SUM(E731:E736)</f>
        <v>263</v>
      </c>
      <c r="F737" s="29">
        <f>SUM(F731:F736)</f>
        <v>2</v>
      </c>
      <c r="G737" s="29">
        <f>SUM(G731:G736)</f>
        <v>72</v>
      </c>
      <c r="H737" s="29">
        <f>SUM(H731:H736)</f>
        <v>326</v>
      </c>
      <c r="I737" s="29"/>
      <c r="J737" s="30">
        <f>SUM(J731:J736)</f>
        <v>687</v>
      </c>
      <c r="K737"/>
      <c r="L737" s="20">
        <v>1</v>
      </c>
      <c r="M737" s="25" t="s">
        <v>28</v>
      </c>
    </row>
    <row r="738" spans="1:13">
      <c r="A738" s="31" t="s">
        <v>7</v>
      </c>
      <c r="B738" s="32" t="s">
        <v>15</v>
      </c>
      <c r="C738" s="33"/>
      <c r="D738" s="33"/>
      <c r="E738" s="33"/>
      <c r="F738" s="33"/>
      <c r="G738" s="77"/>
      <c r="H738" s="77"/>
      <c r="I738" s="33"/>
      <c r="J738" s="34"/>
      <c r="K738"/>
      <c r="L738" s="20">
        <v>1</v>
      </c>
      <c r="M738" s="25" t="s">
        <v>30</v>
      </c>
    </row>
    <row r="739" spans="1:13">
      <c r="A739" s="31" t="s">
        <v>7</v>
      </c>
      <c r="B739" s="32" t="s">
        <v>8</v>
      </c>
      <c r="C739" s="33"/>
      <c r="D739" s="33"/>
      <c r="E739" s="33"/>
      <c r="F739" s="33"/>
      <c r="G739" s="77">
        <v>4</v>
      </c>
      <c r="H739" s="77">
        <v>25</v>
      </c>
      <c r="I739" s="33"/>
      <c r="J739" s="34">
        <f>G739+H739</f>
        <v>29</v>
      </c>
      <c r="K739"/>
      <c r="L739" s="35">
        <f>SUM(L733:L738)</f>
        <v>265</v>
      </c>
      <c r="M739" s="21"/>
    </row>
    <row r="740" spans="1:13" ht="13.5" thickBot="1">
      <c r="A740" s="27" t="s">
        <v>31</v>
      </c>
      <c r="B740" s="28"/>
      <c r="C740" s="29"/>
      <c r="D740" s="29"/>
      <c r="E740" s="29"/>
      <c r="F740" s="29"/>
      <c r="G740" s="29">
        <f>SUM(G738:G739)</f>
        <v>4</v>
      </c>
      <c r="H740" s="29">
        <f>SUM(H738:H739)</f>
        <v>25</v>
      </c>
      <c r="I740" s="29"/>
      <c r="J740" s="30">
        <f>SUM(J738:J739)</f>
        <v>29</v>
      </c>
      <c r="K740"/>
    </row>
    <row r="741" spans="1:13">
      <c r="A741" s="31" t="s">
        <v>105</v>
      </c>
      <c r="B741" s="32" t="s">
        <v>8</v>
      </c>
      <c r="C741" s="33"/>
      <c r="D741" s="33"/>
      <c r="E741" s="33"/>
      <c r="F741" s="33"/>
      <c r="G741" s="77">
        <v>5</v>
      </c>
      <c r="H741" s="77">
        <v>13</v>
      </c>
      <c r="I741" s="33"/>
      <c r="J741" s="34">
        <f>G741+H741</f>
        <v>18</v>
      </c>
      <c r="K741"/>
    </row>
    <row r="742" spans="1:13" ht="13.5" thickBot="1">
      <c r="A742" s="27" t="s">
        <v>106</v>
      </c>
      <c r="B742" s="28"/>
      <c r="C742" s="29"/>
      <c r="D742" s="29"/>
      <c r="E742" s="29"/>
      <c r="F742" s="29"/>
      <c r="G742" s="29">
        <f>SUM(G741:G741)</f>
        <v>5</v>
      </c>
      <c r="H742" s="29">
        <f>SUM(H741:H741)</f>
        <v>13</v>
      </c>
      <c r="I742" s="29"/>
      <c r="J742" s="30">
        <f>SUM(J741:J741)</f>
        <v>18</v>
      </c>
      <c r="K742"/>
    </row>
    <row r="743" spans="1:13">
      <c r="A743" s="22" t="s">
        <v>108</v>
      </c>
      <c r="B743" s="32" t="s">
        <v>10</v>
      </c>
      <c r="C743" s="6"/>
      <c r="D743" s="6"/>
      <c r="E743" s="6"/>
      <c r="F743" s="6"/>
      <c r="G743" s="76"/>
      <c r="H743" s="76"/>
      <c r="I743" s="6"/>
      <c r="J743" s="24">
        <f>H743</f>
        <v>0</v>
      </c>
      <c r="K743"/>
    </row>
    <row r="744" spans="1:13">
      <c r="A744" s="22" t="s">
        <v>32</v>
      </c>
      <c r="B744" s="32" t="s">
        <v>33</v>
      </c>
      <c r="C744" s="6">
        <v>4</v>
      </c>
      <c r="D744" s="6"/>
      <c r="E744" s="6"/>
      <c r="F744" s="6"/>
      <c r="G744" s="76"/>
      <c r="H744" s="76"/>
      <c r="I744" s="6"/>
      <c r="J744" s="24">
        <f>C744</f>
        <v>4</v>
      </c>
      <c r="K744"/>
    </row>
    <row r="745" spans="1:13" ht="13.5" thickBot="1">
      <c r="A745" s="36" t="s">
        <v>34</v>
      </c>
      <c r="B745" s="37"/>
      <c r="C745" s="29">
        <f>SUM(C743:C744)</f>
        <v>4</v>
      </c>
      <c r="D745" s="29"/>
      <c r="E745" s="29"/>
      <c r="F745" s="29"/>
      <c r="G745" s="29"/>
      <c r="H745" s="29"/>
      <c r="I745" s="29"/>
      <c r="J745" s="30">
        <f>SUM(J743:J744)</f>
        <v>4</v>
      </c>
      <c r="K745"/>
    </row>
    <row r="746" spans="1:13" ht="13.5" thickBot="1">
      <c r="A746" s="78" t="s">
        <v>35</v>
      </c>
      <c r="B746" s="79"/>
      <c r="C746" s="80">
        <f t="shared" ref="C746:H746" si="25">C737+C740+C742+C745</f>
        <v>4</v>
      </c>
      <c r="D746" s="80">
        <f t="shared" si="25"/>
        <v>24</v>
      </c>
      <c r="E746" s="80">
        <f t="shared" si="25"/>
        <v>263</v>
      </c>
      <c r="F746" s="80">
        <f t="shared" si="25"/>
        <v>2</v>
      </c>
      <c r="G746" s="80">
        <f t="shared" si="25"/>
        <v>81</v>
      </c>
      <c r="H746" s="80">
        <f t="shared" si="25"/>
        <v>364</v>
      </c>
      <c r="I746" s="80"/>
      <c r="J746" s="80">
        <f>J737+J740+J742+J745</f>
        <v>738</v>
      </c>
      <c r="K746"/>
    </row>
    <row r="747" spans="1:13">
      <c r="B747" s="38" t="s">
        <v>36</v>
      </c>
      <c r="C747" s="39"/>
      <c r="L747" s="26"/>
    </row>
    <row r="748" spans="1:13">
      <c r="A748" s="7" t="s">
        <v>37</v>
      </c>
      <c r="B748" s="8">
        <f>D737+D740+D742+D745</f>
        <v>24</v>
      </c>
      <c r="C748" s="6"/>
    </row>
    <row r="749" spans="1:13">
      <c r="A749" s="7" t="s">
        <v>38</v>
      </c>
      <c r="B749" s="8">
        <f>E746</f>
        <v>263</v>
      </c>
      <c r="C749" s="6"/>
    </row>
    <row r="750" spans="1:13">
      <c r="A750" s="7" t="s">
        <v>2615</v>
      </c>
      <c r="B750" s="8">
        <f>F737+F740+F742+F745</f>
        <v>2</v>
      </c>
      <c r="C750" s="6"/>
    </row>
    <row r="751" spans="1:13">
      <c r="A751" s="7" t="s">
        <v>39</v>
      </c>
      <c r="B751" s="8">
        <f>J733</f>
        <v>55</v>
      </c>
      <c r="C751" s="6"/>
    </row>
    <row r="752" spans="1:13">
      <c r="A752" s="7" t="s">
        <v>40</v>
      </c>
      <c r="B752" s="8">
        <f>J734+J739+J741</f>
        <v>344</v>
      </c>
      <c r="C752" s="6"/>
    </row>
    <row r="753" spans="1:13">
      <c r="A753" s="7" t="s">
        <v>41</v>
      </c>
      <c r="B753" s="8">
        <f>J735</f>
        <v>0</v>
      </c>
      <c r="C753" s="6"/>
    </row>
    <row r="754" spans="1:13">
      <c r="A754" s="7" t="s">
        <v>42</v>
      </c>
      <c r="B754" s="8">
        <f>J736</f>
        <v>46</v>
      </c>
      <c r="C754" s="6"/>
    </row>
    <row r="755" spans="1:13">
      <c r="A755" s="7" t="s">
        <v>43</v>
      </c>
      <c r="B755" s="8">
        <f>J743</f>
        <v>0</v>
      </c>
      <c r="C755" s="6"/>
    </row>
    <row r="756" spans="1:13">
      <c r="A756" s="7" t="s">
        <v>44</v>
      </c>
      <c r="B756" s="8">
        <f>J744</f>
        <v>4</v>
      </c>
      <c r="C756" s="6"/>
    </row>
    <row r="757" spans="1:13">
      <c r="A757" s="7"/>
      <c r="B757" s="81">
        <f>SUM(B748:B756)</f>
        <v>738</v>
      </c>
      <c r="C757" s="6"/>
    </row>
    <row r="759" spans="1:13" ht="13.5" thickBot="1"/>
    <row r="760" spans="1:13" ht="13.5" thickBot="1">
      <c r="A760" s="85" t="s">
        <v>3039</v>
      </c>
      <c r="B760" s="9"/>
    </row>
    <row r="761" spans="1:13" ht="13.5" thickBot="1">
      <c r="A761" s="11" t="s">
        <v>17</v>
      </c>
      <c r="B761" s="12" t="s">
        <v>18</v>
      </c>
      <c r="C761" s="13" t="s">
        <v>16</v>
      </c>
      <c r="D761" s="14" t="s">
        <v>15</v>
      </c>
      <c r="E761" s="14" t="s">
        <v>6</v>
      </c>
      <c r="F761" s="14" t="s">
        <v>19</v>
      </c>
      <c r="G761" s="74" t="s">
        <v>20</v>
      </c>
      <c r="H761" s="74" t="s">
        <v>21</v>
      </c>
      <c r="I761" s="14" t="s">
        <v>22</v>
      </c>
      <c r="J761" s="15" t="s">
        <v>9</v>
      </c>
      <c r="K761"/>
    </row>
    <row r="762" spans="1:13">
      <c r="A762" s="16" t="s">
        <v>0</v>
      </c>
      <c r="B762" s="17" t="s">
        <v>15</v>
      </c>
      <c r="C762" s="18"/>
      <c r="D762" s="6">
        <v>24</v>
      </c>
      <c r="E762" s="18"/>
      <c r="F762" s="18"/>
      <c r="G762" s="75"/>
      <c r="H762" s="75"/>
      <c r="I762" s="18"/>
      <c r="J762" s="19">
        <f>D762</f>
        <v>24</v>
      </c>
      <c r="K762"/>
    </row>
    <row r="763" spans="1:13">
      <c r="A763" s="22" t="s">
        <v>0</v>
      </c>
      <c r="B763" s="23" t="s">
        <v>6</v>
      </c>
      <c r="C763" s="6"/>
      <c r="D763" s="6"/>
      <c r="E763" s="6">
        <v>263</v>
      </c>
      <c r="F763" s="6">
        <v>2</v>
      </c>
      <c r="G763" s="76"/>
      <c r="H763" s="76"/>
      <c r="I763" s="6"/>
      <c r="J763" s="24">
        <f>E763+F763</f>
        <v>265</v>
      </c>
      <c r="K763"/>
      <c r="L763" s="20" t="s">
        <v>23</v>
      </c>
      <c r="M763" s="25" t="s">
        <v>2764</v>
      </c>
    </row>
    <row r="764" spans="1:13">
      <c r="A764" s="22" t="s">
        <v>0</v>
      </c>
      <c r="B764" s="23" t="s">
        <v>13</v>
      </c>
      <c r="C764" s="6"/>
      <c r="D764" s="6"/>
      <c r="E764" s="6"/>
      <c r="F764" s="6"/>
      <c r="G764" s="76"/>
      <c r="H764" s="76">
        <v>55</v>
      </c>
      <c r="I764" s="6"/>
      <c r="J764" s="24">
        <f>G764+H764+I764</f>
        <v>55</v>
      </c>
      <c r="K764"/>
      <c r="L764" s="20">
        <v>181</v>
      </c>
      <c r="M764" s="25" t="s">
        <v>24</v>
      </c>
    </row>
    <row r="765" spans="1:13">
      <c r="A765" s="22" t="s">
        <v>0</v>
      </c>
      <c r="B765" s="23" t="s">
        <v>8</v>
      </c>
      <c r="C765" s="6"/>
      <c r="D765" s="6"/>
      <c r="E765" s="6"/>
      <c r="F765" s="6"/>
      <c r="G765" s="76">
        <v>68</v>
      </c>
      <c r="H765" s="76">
        <v>226</v>
      </c>
      <c r="I765" s="6"/>
      <c r="J765" s="24">
        <f>G765+H765+I765</f>
        <v>294</v>
      </c>
      <c r="K765"/>
      <c r="L765" s="20">
        <v>50</v>
      </c>
      <c r="M765" s="25" t="s">
        <v>25</v>
      </c>
    </row>
    <row r="766" spans="1:13">
      <c r="A766" s="22" t="s">
        <v>0</v>
      </c>
      <c r="B766" s="23" t="s">
        <v>12</v>
      </c>
      <c r="C766" s="6"/>
      <c r="D766" s="6"/>
      <c r="E766" s="6"/>
      <c r="F766" s="6"/>
      <c r="G766" s="76"/>
      <c r="H766" s="76">
        <v>0</v>
      </c>
      <c r="I766" s="6"/>
      <c r="J766" s="24">
        <f>H766</f>
        <v>0</v>
      </c>
      <c r="K766"/>
      <c r="L766" s="20">
        <v>32</v>
      </c>
      <c r="M766" s="25" t="s">
        <v>26</v>
      </c>
    </row>
    <row r="767" spans="1:13">
      <c r="A767" s="22" t="s">
        <v>0</v>
      </c>
      <c r="B767" s="23" t="s">
        <v>14</v>
      </c>
      <c r="C767" s="6"/>
      <c r="D767" s="6"/>
      <c r="E767" s="6"/>
      <c r="F767" s="6"/>
      <c r="G767" s="76">
        <v>4</v>
      </c>
      <c r="H767" s="76">
        <v>43</v>
      </c>
      <c r="I767" s="6"/>
      <c r="J767" s="24">
        <f>G767+H767</f>
        <v>47</v>
      </c>
      <c r="K767"/>
      <c r="L767" s="20">
        <v>0</v>
      </c>
      <c r="M767" s="25" t="s">
        <v>27</v>
      </c>
    </row>
    <row r="768" spans="1:13" ht="13.5" thickBot="1">
      <c r="A768" s="27" t="s">
        <v>29</v>
      </c>
      <c r="B768" s="28"/>
      <c r="C768" s="29"/>
      <c r="D768" s="29">
        <f>SUM(D762:D767)</f>
        <v>24</v>
      </c>
      <c r="E768" s="29">
        <f>SUM(E762:E767)</f>
        <v>263</v>
      </c>
      <c r="F768" s="29">
        <f>SUM(F762:F767)</f>
        <v>2</v>
      </c>
      <c r="G768" s="29">
        <f>SUM(G762:G767)</f>
        <v>72</v>
      </c>
      <c r="H768" s="29">
        <f>SUM(H762:H767)</f>
        <v>324</v>
      </c>
      <c r="I768" s="29"/>
      <c r="J768" s="30">
        <f>SUM(J762:J767)</f>
        <v>685</v>
      </c>
      <c r="K768"/>
      <c r="L768" s="20">
        <v>1</v>
      </c>
      <c r="M768" s="25" t="s">
        <v>28</v>
      </c>
    </row>
    <row r="769" spans="1:13">
      <c r="A769" s="31" t="s">
        <v>7</v>
      </c>
      <c r="B769" s="32" t="s">
        <v>15</v>
      </c>
      <c r="C769" s="33"/>
      <c r="D769" s="33"/>
      <c r="E769" s="33"/>
      <c r="F769" s="33"/>
      <c r="G769" s="77"/>
      <c r="H769" s="77"/>
      <c r="I769" s="33"/>
      <c r="J769" s="34"/>
      <c r="K769"/>
      <c r="L769" s="20">
        <v>1</v>
      </c>
      <c r="M769" s="25" t="s">
        <v>30</v>
      </c>
    </row>
    <row r="770" spans="1:13">
      <c r="A770" s="31" t="s">
        <v>7</v>
      </c>
      <c r="B770" s="32" t="s">
        <v>8</v>
      </c>
      <c r="C770" s="33"/>
      <c r="D770" s="33"/>
      <c r="E770" s="33"/>
      <c r="F770" s="33"/>
      <c r="G770" s="77">
        <v>4</v>
      </c>
      <c r="H770" s="77">
        <v>25</v>
      </c>
      <c r="I770" s="33"/>
      <c r="J770" s="34">
        <f>G770+H770</f>
        <v>29</v>
      </c>
      <c r="K770"/>
      <c r="L770" s="35">
        <f>SUM(L764:L769)</f>
        <v>265</v>
      </c>
      <c r="M770" s="21"/>
    </row>
    <row r="771" spans="1:13" ht="13.5" thickBot="1">
      <c r="A771" s="27" t="s">
        <v>31</v>
      </c>
      <c r="B771" s="28"/>
      <c r="C771" s="29"/>
      <c r="D771" s="29"/>
      <c r="E771" s="29"/>
      <c r="F771" s="29"/>
      <c r="G771" s="29">
        <f>SUM(G769:G770)</f>
        <v>4</v>
      </c>
      <c r="H771" s="29">
        <f>SUM(H769:H770)</f>
        <v>25</v>
      </c>
      <c r="I771" s="29"/>
      <c r="J771" s="30">
        <f>SUM(J769:J770)</f>
        <v>29</v>
      </c>
      <c r="K771"/>
    </row>
    <row r="772" spans="1:13">
      <c r="A772" s="31" t="s">
        <v>105</v>
      </c>
      <c r="B772" s="32" t="s">
        <v>8</v>
      </c>
      <c r="C772" s="33"/>
      <c r="D772" s="33"/>
      <c r="E772" s="33"/>
      <c r="F772" s="33"/>
      <c r="G772" s="77">
        <v>5</v>
      </c>
      <c r="H772" s="77">
        <v>11</v>
      </c>
      <c r="I772" s="33"/>
      <c r="J772" s="34">
        <f>G772+H772</f>
        <v>16</v>
      </c>
      <c r="K772"/>
    </row>
    <row r="773" spans="1:13" ht="13.5" thickBot="1">
      <c r="A773" s="27" t="s">
        <v>106</v>
      </c>
      <c r="B773" s="28"/>
      <c r="C773" s="29"/>
      <c r="D773" s="29"/>
      <c r="E773" s="29"/>
      <c r="F773" s="29"/>
      <c r="G773" s="29">
        <f>SUM(G772:G772)</f>
        <v>5</v>
      </c>
      <c r="H773" s="29">
        <f>SUM(H772:H772)</f>
        <v>11</v>
      </c>
      <c r="I773" s="29"/>
      <c r="J773" s="30">
        <f>SUM(J772:J772)</f>
        <v>16</v>
      </c>
      <c r="K773"/>
    </row>
    <row r="774" spans="1:13">
      <c r="A774" s="22" t="s">
        <v>108</v>
      </c>
      <c r="B774" s="32" t="s">
        <v>10</v>
      </c>
      <c r="C774" s="6"/>
      <c r="D774" s="6"/>
      <c r="E774" s="6"/>
      <c r="F774" s="6"/>
      <c r="G774" s="76"/>
      <c r="H774" s="76"/>
      <c r="I774" s="6"/>
      <c r="J774" s="24">
        <f>H774</f>
        <v>0</v>
      </c>
      <c r="K774"/>
    </row>
    <row r="775" spans="1:13">
      <c r="A775" s="22" t="s">
        <v>32</v>
      </c>
      <c r="B775" s="32" t="s">
        <v>33</v>
      </c>
      <c r="C775" s="6">
        <v>4</v>
      </c>
      <c r="D775" s="6"/>
      <c r="E775" s="6"/>
      <c r="F775" s="6"/>
      <c r="G775" s="76"/>
      <c r="H775" s="76"/>
      <c r="I775" s="6"/>
      <c r="J775" s="24">
        <f>C775</f>
        <v>4</v>
      </c>
      <c r="K775"/>
    </row>
    <row r="776" spans="1:13" ht="13.5" thickBot="1">
      <c r="A776" s="36" t="s">
        <v>34</v>
      </c>
      <c r="B776" s="37"/>
      <c r="C776" s="29">
        <f>SUM(C774:C775)</f>
        <v>4</v>
      </c>
      <c r="D776" s="29"/>
      <c r="E776" s="29"/>
      <c r="F776" s="29"/>
      <c r="G776" s="29"/>
      <c r="H776" s="29"/>
      <c r="I776" s="29"/>
      <c r="J776" s="30">
        <f>SUM(J774:J775)</f>
        <v>4</v>
      </c>
      <c r="K776"/>
    </row>
    <row r="777" spans="1:13" ht="13.5" thickBot="1">
      <c r="A777" s="78" t="s">
        <v>35</v>
      </c>
      <c r="B777" s="79"/>
      <c r="C777" s="80">
        <f t="shared" ref="C777:H777" si="26">C768+C771+C773+C776</f>
        <v>4</v>
      </c>
      <c r="D777" s="80">
        <f t="shared" si="26"/>
        <v>24</v>
      </c>
      <c r="E777" s="80">
        <f t="shared" si="26"/>
        <v>263</v>
      </c>
      <c r="F777" s="80">
        <f t="shared" si="26"/>
        <v>2</v>
      </c>
      <c r="G777" s="80">
        <f t="shared" si="26"/>
        <v>81</v>
      </c>
      <c r="H777" s="80">
        <f t="shared" si="26"/>
        <v>360</v>
      </c>
      <c r="I777" s="80"/>
      <c r="J777" s="80">
        <f>J768+J771+J773+J776</f>
        <v>734</v>
      </c>
      <c r="K777"/>
    </row>
    <row r="778" spans="1:13">
      <c r="B778" s="38" t="s">
        <v>36</v>
      </c>
      <c r="C778" s="39"/>
      <c r="L778" s="26"/>
    </row>
    <row r="779" spans="1:13">
      <c r="A779" s="7" t="s">
        <v>37</v>
      </c>
      <c r="B779" s="8">
        <f>D768+D771+D773+D776</f>
        <v>24</v>
      </c>
      <c r="C779" s="6"/>
    </row>
    <row r="780" spans="1:13">
      <c r="A780" s="7" t="s">
        <v>38</v>
      </c>
      <c r="B780" s="8">
        <f>E777</f>
        <v>263</v>
      </c>
      <c r="C780" s="6"/>
    </row>
    <row r="781" spans="1:13">
      <c r="A781" s="7" t="s">
        <v>2615</v>
      </c>
      <c r="B781" s="8">
        <f>F768+F771+F773+F776</f>
        <v>2</v>
      </c>
      <c r="C781" s="6"/>
    </row>
    <row r="782" spans="1:13">
      <c r="A782" s="7" t="s">
        <v>39</v>
      </c>
      <c r="B782" s="8">
        <f>J764</f>
        <v>55</v>
      </c>
      <c r="C782" s="6"/>
    </row>
    <row r="783" spans="1:13">
      <c r="A783" s="7" t="s">
        <v>40</v>
      </c>
      <c r="B783" s="8">
        <f>J765+J770+J772</f>
        <v>339</v>
      </c>
      <c r="C783" s="6"/>
    </row>
    <row r="784" spans="1:13">
      <c r="A784" s="7" t="s">
        <v>41</v>
      </c>
      <c r="B784" s="8">
        <f>J766</f>
        <v>0</v>
      </c>
      <c r="C784" s="6"/>
    </row>
    <row r="785" spans="1:13">
      <c r="A785" s="7" t="s">
        <v>42</v>
      </c>
      <c r="B785" s="8">
        <f>J767</f>
        <v>47</v>
      </c>
      <c r="C785" s="6"/>
    </row>
    <row r="786" spans="1:13">
      <c r="A786" s="7" t="s">
        <v>43</v>
      </c>
      <c r="B786" s="8">
        <f>J774</f>
        <v>0</v>
      </c>
      <c r="C786" s="6"/>
    </row>
    <row r="787" spans="1:13">
      <c r="A787" s="7" t="s">
        <v>44</v>
      </c>
      <c r="B787" s="8">
        <f>J775</f>
        <v>4</v>
      </c>
      <c r="C787" s="6"/>
    </row>
    <row r="788" spans="1:13">
      <c r="A788" s="7"/>
      <c r="B788" s="81">
        <f>SUM(B779:B787)</f>
        <v>734</v>
      </c>
      <c r="C788" s="6"/>
    </row>
    <row r="790" spans="1:13" ht="13.5" thickBot="1"/>
    <row r="791" spans="1:13" ht="13.5" thickBot="1">
      <c r="A791" s="85" t="s">
        <v>3025</v>
      </c>
      <c r="B791" s="9"/>
    </row>
    <row r="792" spans="1:13" ht="13.5" thickBot="1">
      <c r="A792" s="11" t="s">
        <v>17</v>
      </c>
      <c r="B792" s="12" t="s">
        <v>18</v>
      </c>
      <c r="C792" s="13" t="s">
        <v>16</v>
      </c>
      <c r="D792" s="14" t="s">
        <v>15</v>
      </c>
      <c r="E792" s="14" t="s">
        <v>6</v>
      </c>
      <c r="F792" s="14" t="s">
        <v>19</v>
      </c>
      <c r="G792" s="74" t="s">
        <v>20</v>
      </c>
      <c r="H792" s="74" t="s">
        <v>21</v>
      </c>
      <c r="I792" s="14" t="s">
        <v>22</v>
      </c>
      <c r="J792" s="15" t="s">
        <v>9</v>
      </c>
      <c r="K792"/>
    </row>
    <row r="793" spans="1:13">
      <c r="A793" s="16" t="s">
        <v>0</v>
      </c>
      <c r="B793" s="17" t="s">
        <v>15</v>
      </c>
      <c r="C793" s="18"/>
      <c r="D793" s="6">
        <v>24</v>
      </c>
      <c r="E793" s="18"/>
      <c r="F793" s="18"/>
      <c r="G793" s="75"/>
      <c r="H793" s="75"/>
      <c r="I793" s="18"/>
      <c r="J793" s="19">
        <f>D793</f>
        <v>24</v>
      </c>
      <c r="K793"/>
    </row>
    <row r="794" spans="1:13">
      <c r="A794" s="22" t="s">
        <v>0</v>
      </c>
      <c r="B794" s="23" t="s">
        <v>6</v>
      </c>
      <c r="C794" s="6"/>
      <c r="D794" s="6"/>
      <c r="E794" s="6">
        <v>263</v>
      </c>
      <c r="F794" s="6">
        <v>2</v>
      </c>
      <c r="G794" s="76"/>
      <c r="H794" s="76"/>
      <c r="I794" s="6"/>
      <c r="J794" s="24">
        <f>E794+F794</f>
        <v>265</v>
      </c>
      <c r="K794"/>
      <c r="L794" s="20" t="s">
        <v>23</v>
      </c>
      <c r="M794" s="25" t="s">
        <v>2764</v>
      </c>
    </row>
    <row r="795" spans="1:13">
      <c r="A795" s="22" t="s">
        <v>0</v>
      </c>
      <c r="B795" s="23" t="s">
        <v>13</v>
      </c>
      <c r="C795" s="6"/>
      <c r="D795" s="6"/>
      <c r="E795" s="6"/>
      <c r="F795" s="6"/>
      <c r="G795" s="76"/>
      <c r="H795" s="76">
        <v>55</v>
      </c>
      <c r="I795" s="6"/>
      <c r="J795" s="24">
        <f>G795+H795+I795</f>
        <v>55</v>
      </c>
      <c r="K795"/>
      <c r="L795" s="20">
        <v>181</v>
      </c>
      <c r="M795" s="25" t="s">
        <v>24</v>
      </c>
    </row>
    <row r="796" spans="1:13">
      <c r="A796" s="22" t="s">
        <v>0</v>
      </c>
      <c r="B796" s="23" t="s">
        <v>8</v>
      </c>
      <c r="C796" s="6"/>
      <c r="D796" s="6"/>
      <c r="E796" s="6"/>
      <c r="F796" s="6"/>
      <c r="G796" s="76">
        <v>67</v>
      </c>
      <c r="H796" s="76">
        <v>223</v>
      </c>
      <c r="I796" s="6"/>
      <c r="J796" s="24">
        <f>G796+H796+I796</f>
        <v>290</v>
      </c>
      <c r="K796"/>
      <c r="L796" s="20">
        <v>50</v>
      </c>
      <c r="M796" s="25" t="s">
        <v>25</v>
      </c>
    </row>
    <row r="797" spans="1:13">
      <c r="A797" s="22" t="s">
        <v>0</v>
      </c>
      <c r="B797" s="23" t="s">
        <v>12</v>
      </c>
      <c r="C797" s="6"/>
      <c r="D797" s="6"/>
      <c r="E797" s="6"/>
      <c r="F797" s="6"/>
      <c r="G797" s="76"/>
      <c r="H797" s="76">
        <v>0</v>
      </c>
      <c r="I797" s="6"/>
      <c r="J797" s="24">
        <f>H797</f>
        <v>0</v>
      </c>
      <c r="K797"/>
      <c r="L797" s="20">
        <v>32</v>
      </c>
      <c r="M797" s="25" t="s">
        <v>26</v>
      </c>
    </row>
    <row r="798" spans="1:13">
      <c r="A798" s="22" t="s">
        <v>0</v>
      </c>
      <c r="B798" s="23" t="s">
        <v>14</v>
      </c>
      <c r="C798" s="6"/>
      <c r="D798" s="6"/>
      <c r="E798" s="6"/>
      <c r="F798" s="6"/>
      <c r="G798" s="76">
        <v>5</v>
      </c>
      <c r="H798" s="76">
        <v>43</v>
      </c>
      <c r="I798" s="6"/>
      <c r="J798" s="24">
        <f>G798+H798</f>
        <v>48</v>
      </c>
      <c r="K798"/>
      <c r="L798" s="20">
        <v>0</v>
      </c>
      <c r="M798" s="25" t="s">
        <v>27</v>
      </c>
    </row>
    <row r="799" spans="1:13" ht="13.5" thickBot="1">
      <c r="A799" s="27" t="s">
        <v>29</v>
      </c>
      <c r="B799" s="28"/>
      <c r="C799" s="29"/>
      <c r="D799" s="29">
        <f>SUM(D793:D798)</f>
        <v>24</v>
      </c>
      <c r="E799" s="29">
        <f>SUM(E793:E798)</f>
        <v>263</v>
      </c>
      <c r="F799" s="29">
        <f>SUM(F793:F798)</f>
        <v>2</v>
      </c>
      <c r="G799" s="29">
        <f>SUM(G793:G798)</f>
        <v>72</v>
      </c>
      <c r="H799" s="29">
        <f>SUM(H793:H798)</f>
        <v>321</v>
      </c>
      <c r="I799" s="29"/>
      <c r="J799" s="30">
        <f>SUM(J793:J798)</f>
        <v>682</v>
      </c>
      <c r="K799"/>
      <c r="L799" s="20">
        <v>1</v>
      </c>
      <c r="M799" s="25" t="s">
        <v>28</v>
      </c>
    </row>
    <row r="800" spans="1:13">
      <c r="A800" s="31" t="s">
        <v>7</v>
      </c>
      <c r="B800" s="32" t="s">
        <v>15</v>
      </c>
      <c r="C800" s="33"/>
      <c r="D800" s="33"/>
      <c r="E800" s="33"/>
      <c r="F800" s="33"/>
      <c r="G800" s="77"/>
      <c r="H800" s="77"/>
      <c r="I800" s="33"/>
      <c r="J800" s="34"/>
      <c r="K800"/>
      <c r="L800" s="20">
        <v>1</v>
      </c>
      <c r="M800" s="25" t="s">
        <v>30</v>
      </c>
    </row>
    <row r="801" spans="1:13">
      <c r="A801" s="31" t="s">
        <v>7</v>
      </c>
      <c r="B801" s="32" t="s">
        <v>8</v>
      </c>
      <c r="C801" s="33"/>
      <c r="D801" s="33"/>
      <c r="E801" s="33"/>
      <c r="F801" s="33"/>
      <c r="G801" s="77">
        <v>4</v>
      </c>
      <c r="H801" s="77">
        <v>25</v>
      </c>
      <c r="I801" s="33"/>
      <c r="J801" s="34">
        <f>G801+H801</f>
        <v>29</v>
      </c>
      <c r="K801"/>
      <c r="L801" s="35">
        <f>SUM(L795:L800)</f>
        <v>265</v>
      </c>
      <c r="M801" s="21"/>
    </row>
    <row r="802" spans="1:13" ht="13.5" thickBot="1">
      <c r="A802" s="27" t="s">
        <v>31</v>
      </c>
      <c r="B802" s="28"/>
      <c r="C802" s="29"/>
      <c r="D802" s="29"/>
      <c r="E802" s="29"/>
      <c r="F802" s="29"/>
      <c r="G802" s="29">
        <f>SUM(G800:G801)</f>
        <v>4</v>
      </c>
      <c r="H802" s="29">
        <f>SUM(H800:H801)</f>
        <v>25</v>
      </c>
      <c r="I802" s="29"/>
      <c r="J802" s="30">
        <f>SUM(J800:J801)</f>
        <v>29</v>
      </c>
      <c r="K802"/>
    </row>
    <row r="803" spans="1:13">
      <c r="A803" s="31" t="s">
        <v>105</v>
      </c>
      <c r="B803" s="32" t="s">
        <v>8</v>
      </c>
      <c r="C803" s="33"/>
      <c r="D803" s="33"/>
      <c r="E803" s="33"/>
      <c r="F803" s="33"/>
      <c r="G803" s="77">
        <v>5</v>
      </c>
      <c r="H803" s="77">
        <v>11</v>
      </c>
      <c r="I803" s="33"/>
      <c r="J803" s="34">
        <f>G803+H803</f>
        <v>16</v>
      </c>
      <c r="K803"/>
    </row>
    <row r="804" spans="1:13" ht="13.5" thickBot="1">
      <c r="A804" s="27" t="s">
        <v>106</v>
      </c>
      <c r="B804" s="28"/>
      <c r="C804" s="29"/>
      <c r="D804" s="29"/>
      <c r="E804" s="29"/>
      <c r="F804" s="29"/>
      <c r="G804" s="29">
        <f>SUM(G803:G803)</f>
        <v>5</v>
      </c>
      <c r="H804" s="29">
        <f>SUM(H803:H803)</f>
        <v>11</v>
      </c>
      <c r="I804" s="29"/>
      <c r="J804" s="30">
        <f>SUM(J803:J803)</f>
        <v>16</v>
      </c>
      <c r="K804"/>
    </row>
    <row r="805" spans="1:13">
      <c r="A805" s="22" t="s">
        <v>108</v>
      </c>
      <c r="B805" s="32" t="s">
        <v>10</v>
      </c>
      <c r="C805" s="6"/>
      <c r="D805" s="6"/>
      <c r="E805" s="6"/>
      <c r="F805" s="6"/>
      <c r="G805" s="76"/>
      <c r="H805" s="76"/>
      <c r="I805" s="6"/>
      <c r="J805" s="24">
        <f>H805</f>
        <v>0</v>
      </c>
      <c r="K805"/>
    </row>
    <row r="806" spans="1:13">
      <c r="A806" s="22" t="s">
        <v>32</v>
      </c>
      <c r="B806" s="32" t="s">
        <v>33</v>
      </c>
      <c r="C806" s="6">
        <v>4</v>
      </c>
      <c r="D806" s="6"/>
      <c r="E806" s="6"/>
      <c r="F806" s="6"/>
      <c r="G806" s="76"/>
      <c r="H806" s="76"/>
      <c r="I806" s="6"/>
      <c r="J806" s="24">
        <f>C806</f>
        <v>4</v>
      </c>
      <c r="K806"/>
    </row>
    <row r="807" spans="1:13" ht="13.5" thickBot="1">
      <c r="A807" s="36" t="s">
        <v>34</v>
      </c>
      <c r="B807" s="37"/>
      <c r="C807" s="29">
        <f>SUM(C805:C806)</f>
        <v>4</v>
      </c>
      <c r="D807" s="29"/>
      <c r="E807" s="29"/>
      <c r="F807" s="29"/>
      <c r="G807" s="29"/>
      <c r="H807" s="29"/>
      <c r="I807" s="29"/>
      <c r="J807" s="30">
        <f>SUM(J805:J806)</f>
        <v>4</v>
      </c>
      <c r="K807"/>
    </row>
    <row r="808" spans="1:13" ht="13.5" thickBot="1">
      <c r="A808" s="78" t="s">
        <v>35</v>
      </c>
      <c r="B808" s="79"/>
      <c r="C808" s="80">
        <f t="shared" ref="C808:H808" si="27">C799+C802+C804+C807</f>
        <v>4</v>
      </c>
      <c r="D808" s="80">
        <f t="shared" si="27"/>
        <v>24</v>
      </c>
      <c r="E808" s="80">
        <f t="shared" si="27"/>
        <v>263</v>
      </c>
      <c r="F808" s="80">
        <f t="shared" si="27"/>
        <v>2</v>
      </c>
      <c r="G808" s="80">
        <f t="shared" si="27"/>
        <v>81</v>
      </c>
      <c r="H808" s="80">
        <f t="shared" si="27"/>
        <v>357</v>
      </c>
      <c r="I808" s="80"/>
      <c r="J808" s="80">
        <f>J799+J802+J804+J807</f>
        <v>731</v>
      </c>
      <c r="K808"/>
    </row>
    <row r="809" spans="1:13">
      <c r="B809" s="38" t="s">
        <v>36</v>
      </c>
      <c r="C809" s="39"/>
      <c r="L809" s="26"/>
    </row>
    <row r="810" spans="1:13">
      <c r="A810" s="7" t="s">
        <v>37</v>
      </c>
      <c r="B810" s="8">
        <f>D799+D802+D804+D807</f>
        <v>24</v>
      </c>
      <c r="C810" s="6"/>
    </row>
    <row r="811" spans="1:13">
      <c r="A811" s="7" t="s">
        <v>38</v>
      </c>
      <c r="B811" s="8">
        <f>E808</f>
        <v>263</v>
      </c>
      <c r="C811" s="6"/>
    </row>
    <row r="812" spans="1:13">
      <c r="A812" s="7" t="s">
        <v>2615</v>
      </c>
      <c r="B812" s="8">
        <f>F799+F802+F804+F807</f>
        <v>2</v>
      </c>
      <c r="C812" s="6"/>
    </row>
    <row r="813" spans="1:13">
      <c r="A813" s="7" t="s">
        <v>39</v>
      </c>
      <c r="B813" s="8">
        <f>J795</f>
        <v>55</v>
      </c>
      <c r="C813" s="6"/>
    </row>
    <row r="814" spans="1:13">
      <c r="A814" s="7" t="s">
        <v>40</v>
      </c>
      <c r="B814" s="8">
        <f>J796+J801+J803</f>
        <v>335</v>
      </c>
      <c r="C814" s="6"/>
    </row>
    <row r="815" spans="1:13">
      <c r="A815" s="7" t="s">
        <v>41</v>
      </c>
      <c r="B815" s="8">
        <f>J797</f>
        <v>0</v>
      </c>
      <c r="C815" s="6"/>
    </row>
    <row r="816" spans="1:13">
      <c r="A816" s="7" t="s">
        <v>42</v>
      </c>
      <c r="B816" s="8">
        <f>J798</f>
        <v>48</v>
      </c>
      <c r="C816" s="6"/>
    </row>
    <row r="817" spans="1:13">
      <c r="A817" s="7" t="s">
        <v>43</v>
      </c>
      <c r="B817" s="8">
        <f>J805</f>
        <v>0</v>
      </c>
      <c r="C817" s="6"/>
    </row>
    <row r="818" spans="1:13">
      <c r="A818" s="7" t="s">
        <v>44</v>
      </c>
      <c r="B818" s="8">
        <f>J806</f>
        <v>4</v>
      </c>
      <c r="C818" s="6"/>
    </row>
    <row r="819" spans="1:13">
      <c r="A819" s="7"/>
      <c r="B819" s="81">
        <f>SUM(B810:B818)</f>
        <v>731</v>
      </c>
      <c r="C819" s="6"/>
    </row>
    <row r="821" spans="1:13" ht="13.5" thickBot="1"/>
    <row r="822" spans="1:13" ht="13.5" thickBot="1">
      <c r="A822" s="85" t="s">
        <v>3005</v>
      </c>
      <c r="B822" s="9"/>
    </row>
    <row r="823" spans="1:13" ht="13.5" thickBot="1">
      <c r="A823" s="11" t="s">
        <v>17</v>
      </c>
      <c r="B823" s="12" t="s">
        <v>18</v>
      </c>
      <c r="C823" s="13" t="s">
        <v>16</v>
      </c>
      <c r="D823" s="14" t="s">
        <v>15</v>
      </c>
      <c r="E823" s="14" t="s">
        <v>6</v>
      </c>
      <c r="F823" s="14" t="s">
        <v>19</v>
      </c>
      <c r="G823" s="74" t="s">
        <v>20</v>
      </c>
      <c r="H823" s="74" t="s">
        <v>21</v>
      </c>
      <c r="I823" s="14" t="s">
        <v>22</v>
      </c>
      <c r="J823" s="15" t="s">
        <v>9</v>
      </c>
      <c r="K823"/>
    </row>
    <row r="824" spans="1:13">
      <c r="A824" s="16" t="s">
        <v>0</v>
      </c>
      <c r="B824" s="17" t="s">
        <v>15</v>
      </c>
      <c r="C824" s="18"/>
      <c r="D824" s="6">
        <v>26</v>
      </c>
      <c r="E824" s="18"/>
      <c r="F824" s="18"/>
      <c r="G824" s="75"/>
      <c r="H824" s="75"/>
      <c r="I824" s="18"/>
      <c r="J824" s="19">
        <f>D824</f>
        <v>26</v>
      </c>
      <c r="K824"/>
    </row>
    <row r="825" spans="1:13">
      <c r="A825" s="22" t="s">
        <v>0</v>
      </c>
      <c r="B825" s="23" t="s">
        <v>6</v>
      </c>
      <c r="C825" s="6"/>
      <c r="D825" s="6"/>
      <c r="E825" s="6">
        <v>263</v>
      </c>
      <c r="F825" s="6">
        <v>2</v>
      </c>
      <c r="G825" s="76"/>
      <c r="H825" s="76"/>
      <c r="I825" s="6"/>
      <c r="J825" s="24">
        <f>E825+F825</f>
        <v>265</v>
      </c>
      <c r="K825"/>
      <c r="L825" s="20" t="s">
        <v>23</v>
      </c>
      <c r="M825" s="25" t="s">
        <v>2764</v>
      </c>
    </row>
    <row r="826" spans="1:13">
      <c r="A826" s="22" t="s">
        <v>0</v>
      </c>
      <c r="B826" s="23" t="s">
        <v>13</v>
      </c>
      <c r="C826" s="6"/>
      <c r="D826" s="6"/>
      <c r="E826" s="6"/>
      <c r="F826" s="6"/>
      <c r="G826" s="76"/>
      <c r="H826" s="76">
        <v>55</v>
      </c>
      <c r="I826" s="6"/>
      <c r="J826" s="24">
        <f>G826+H826+I826</f>
        <v>55</v>
      </c>
      <c r="K826"/>
      <c r="L826" s="20">
        <v>181</v>
      </c>
      <c r="M826" s="25" t="s">
        <v>24</v>
      </c>
    </row>
    <row r="827" spans="1:13">
      <c r="A827" s="22" t="s">
        <v>0</v>
      </c>
      <c r="B827" s="23" t="s">
        <v>8</v>
      </c>
      <c r="C827" s="6"/>
      <c r="D827" s="6"/>
      <c r="E827" s="6"/>
      <c r="F827" s="6"/>
      <c r="G827" s="76">
        <v>66</v>
      </c>
      <c r="H827" s="76">
        <v>223</v>
      </c>
      <c r="I827" s="6"/>
      <c r="J827" s="24">
        <f>G827+H827+I827</f>
        <v>289</v>
      </c>
      <c r="K827"/>
      <c r="L827" s="20">
        <v>50</v>
      </c>
      <c r="M827" s="25" t="s">
        <v>25</v>
      </c>
    </row>
    <row r="828" spans="1:13">
      <c r="A828" s="22" t="s">
        <v>0</v>
      </c>
      <c r="B828" s="23" t="s">
        <v>12</v>
      </c>
      <c r="C828" s="6"/>
      <c r="D828" s="6"/>
      <c r="E828" s="6"/>
      <c r="F828" s="6"/>
      <c r="G828" s="76"/>
      <c r="H828" s="76">
        <v>0</v>
      </c>
      <c r="I828" s="6"/>
      <c r="J828" s="24">
        <f>H828</f>
        <v>0</v>
      </c>
      <c r="K828"/>
      <c r="L828" s="20">
        <v>32</v>
      </c>
      <c r="M828" s="25" t="s">
        <v>26</v>
      </c>
    </row>
    <row r="829" spans="1:13">
      <c r="A829" s="22" t="s">
        <v>0</v>
      </c>
      <c r="B829" s="23" t="s">
        <v>14</v>
      </c>
      <c r="C829" s="6"/>
      <c r="D829" s="6"/>
      <c r="E829" s="6"/>
      <c r="F829" s="6"/>
      <c r="G829" s="76">
        <v>5</v>
      </c>
      <c r="H829" s="76">
        <v>43</v>
      </c>
      <c r="I829" s="6"/>
      <c r="J829" s="24">
        <f>G829+H829</f>
        <v>48</v>
      </c>
      <c r="K829"/>
      <c r="L829" s="20">
        <v>0</v>
      </c>
      <c r="M829" s="25" t="s">
        <v>27</v>
      </c>
    </row>
    <row r="830" spans="1:13" ht="13.5" thickBot="1">
      <c r="A830" s="27" t="s">
        <v>29</v>
      </c>
      <c r="B830" s="28"/>
      <c r="C830" s="29"/>
      <c r="D830" s="29">
        <f>SUM(D824:D829)</f>
        <v>26</v>
      </c>
      <c r="E830" s="29">
        <f>SUM(E824:E829)</f>
        <v>263</v>
      </c>
      <c r="F830" s="29">
        <f>SUM(F824:F829)</f>
        <v>2</v>
      </c>
      <c r="G830" s="29">
        <f>SUM(G824:G829)</f>
        <v>71</v>
      </c>
      <c r="H830" s="29">
        <f>SUM(H824:H829)</f>
        <v>321</v>
      </c>
      <c r="I830" s="29"/>
      <c r="J830" s="30">
        <f>SUM(J824:J829)</f>
        <v>683</v>
      </c>
      <c r="K830"/>
      <c r="L830" s="20">
        <v>1</v>
      </c>
      <c r="M830" s="25" t="s">
        <v>28</v>
      </c>
    </row>
    <row r="831" spans="1:13">
      <c r="A831" s="31" t="s">
        <v>7</v>
      </c>
      <c r="B831" s="32" t="s">
        <v>15</v>
      </c>
      <c r="C831" s="33"/>
      <c r="D831" s="33"/>
      <c r="E831" s="33"/>
      <c r="F831" s="33"/>
      <c r="G831" s="77"/>
      <c r="H831" s="77"/>
      <c r="I831" s="33"/>
      <c r="J831" s="34"/>
      <c r="K831"/>
      <c r="L831" s="20">
        <v>1</v>
      </c>
      <c r="M831" s="25" t="s">
        <v>30</v>
      </c>
    </row>
    <row r="832" spans="1:13">
      <c r="A832" s="31" t="s">
        <v>7</v>
      </c>
      <c r="B832" s="32" t="s">
        <v>8</v>
      </c>
      <c r="C832" s="33"/>
      <c r="D832" s="33"/>
      <c r="E832" s="33"/>
      <c r="F832" s="33"/>
      <c r="G832" s="77">
        <v>4</v>
      </c>
      <c r="H832" s="77">
        <v>25</v>
      </c>
      <c r="I832" s="33"/>
      <c r="J832" s="34">
        <f>G832+H832</f>
        <v>29</v>
      </c>
      <c r="K832"/>
      <c r="L832" s="35">
        <f>SUM(L826:L831)</f>
        <v>265</v>
      </c>
      <c r="M832" s="21"/>
    </row>
    <row r="833" spans="1:12" ht="13.5" thickBot="1">
      <c r="A833" s="27" t="s">
        <v>31</v>
      </c>
      <c r="B833" s="28"/>
      <c r="C833" s="29"/>
      <c r="D833" s="29"/>
      <c r="E833" s="29"/>
      <c r="F833" s="29"/>
      <c r="G833" s="29">
        <f>SUM(G831:G832)</f>
        <v>4</v>
      </c>
      <c r="H833" s="29">
        <f>SUM(H831:H832)</f>
        <v>25</v>
      </c>
      <c r="I833" s="29"/>
      <c r="J833" s="30">
        <f>SUM(J831:J832)</f>
        <v>29</v>
      </c>
      <c r="K833"/>
    </row>
    <row r="834" spans="1:12">
      <c r="A834" s="31" t="s">
        <v>105</v>
      </c>
      <c r="B834" s="32" t="s">
        <v>8</v>
      </c>
      <c r="C834" s="33"/>
      <c r="D834" s="33"/>
      <c r="E834" s="33"/>
      <c r="F834" s="33"/>
      <c r="G834" s="77">
        <v>5</v>
      </c>
      <c r="H834" s="77">
        <v>11</v>
      </c>
      <c r="I834" s="33"/>
      <c r="J834" s="34">
        <f>G834+H834</f>
        <v>16</v>
      </c>
      <c r="K834"/>
    </row>
    <row r="835" spans="1:12" ht="13.5" thickBot="1">
      <c r="A835" s="27" t="s">
        <v>106</v>
      </c>
      <c r="B835" s="28"/>
      <c r="C835" s="29"/>
      <c r="D835" s="29"/>
      <c r="E835" s="29"/>
      <c r="F835" s="29"/>
      <c r="G835" s="29">
        <f>SUM(G834:G834)</f>
        <v>5</v>
      </c>
      <c r="H835" s="29">
        <f>SUM(H834:H834)</f>
        <v>11</v>
      </c>
      <c r="I835" s="29"/>
      <c r="J835" s="30">
        <f>SUM(J834:J834)</f>
        <v>16</v>
      </c>
      <c r="K835"/>
    </row>
    <row r="836" spans="1:12">
      <c r="A836" s="22" t="s">
        <v>108</v>
      </c>
      <c r="B836" s="32" t="s">
        <v>10</v>
      </c>
      <c r="C836" s="6"/>
      <c r="D836" s="6"/>
      <c r="E836" s="6"/>
      <c r="F836" s="6"/>
      <c r="G836" s="76"/>
      <c r="H836" s="76"/>
      <c r="I836" s="6"/>
      <c r="J836" s="24">
        <f>H836</f>
        <v>0</v>
      </c>
      <c r="K836"/>
    </row>
    <row r="837" spans="1:12">
      <c r="A837" s="22" t="s">
        <v>32</v>
      </c>
      <c r="B837" s="32" t="s">
        <v>33</v>
      </c>
      <c r="C837" s="6">
        <v>4</v>
      </c>
      <c r="D837" s="6"/>
      <c r="E837" s="6"/>
      <c r="F837" s="6"/>
      <c r="G837" s="76"/>
      <c r="H837" s="76"/>
      <c r="I837" s="6"/>
      <c r="J837" s="24">
        <f>C837</f>
        <v>4</v>
      </c>
      <c r="K837"/>
    </row>
    <row r="838" spans="1:12" ht="13.5" thickBot="1">
      <c r="A838" s="36" t="s">
        <v>34</v>
      </c>
      <c r="B838" s="37"/>
      <c r="C838" s="29">
        <f>SUM(C836:C837)</f>
        <v>4</v>
      </c>
      <c r="D838" s="29"/>
      <c r="E838" s="29"/>
      <c r="F838" s="29"/>
      <c r="G838" s="29"/>
      <c r="H838" s="29"/>
      <c r="I838" s="29"/>
      <c r="J838" s="30">
        <f>SUM(J836:J837)</f>
        <v>4</v>
      </c>
      <c r="K838"/>
    </row>
    <row r="839" spans="1:12" ht="13.5" thickBot="1">
      <c r="A839" s="78" t="s">
        <v>35</v>
      </c>
      <c r="B839" s="79"/>
      <c r="C839" s="80">
        <f t="shared" ref="C839:H839" si="28">C830+C833+C835+C838</f>
        <v>4</v>
      </c>
      <c r="D839" s="80">
        <f t="shared" si="28"/>
        <v>26</v>
      </c>
      <c r="E839" s="80">
        <f t="shared" si="28"/>
        <v>263</v>
      </c>
      <c r="F839" s="80">
        <f t="shared" si="28"/>
        <v>2</v>
      </c>
      <c r="G839" s="80">
        <f t="shared" si="28"/>
        <v>80</v>
      </c>
      <c r="H839" s="80">
        <f t="shared" si="28"/>
        <v>357</v>
      </c>
      <c r="I839" s="80"/>
      <c r="J839" s="80">
        <f>J830+J833+J835+J838</f>
        <v>732</v>
      </c>
      <c r="K839"/>
    </row>
    <row r="840" spans="1:12">
      <c r="B840" s="38" t="s">
        <v>36</v>
      </c>
      <c r="C840" s="39"/>
      <c r="L840" s="26"/>
    </row>
    <row r="841" spans="1:12">
      <c r="A841" s="7" t="s">
        <v>37</v>
      </c>
      <c r="B841" s="8">
        <f>D830+D833+D835+D838</f>
        <v>26</v>
      </c>
      <c r="C841" s="6"/>
    </row>
    <row r="842" spans="1:12">
      <c r="A842" s="7" t="s">
        <v>38</v>
      </c>
      <c r="B842" s="8">
        <f>E839</f>
        <v>263</v>
      </c>
      <c r="C842" s="6"/>
    </row>
    <row r="843" spans="1:12">
      <c r="A843" s="7" t="s">
        <v>2615</v>
      </c>
      <c r="B843" s="8">
        <f>F830+F833+F835+F838</f>
        <v>2</v>
      </c>
      <c r="C843" s="6"/>
    </row>
    <row r="844" spans="1:12">
      <c r="A844" s="7" t="s">
        <v>39</v>
      </c>
      <c r="B844" s="8">
        <f>J826</f>
        <v>55</v>
      </c>
      <c r="C844" s="6"/>
    </row>
    <row r="845" spans="1:12">
      <c r="A845" s="7" t="s">
        <v>40</v>
      </c>
      <c r="B845" s="8">
        <f>J827+J832+J834</f>
        <v>334</v>
      </c>
      <c r="C845" s="6"/>
    </row>
    <row r="846" spans="1:12">
      <c r="A846" s="7" t="s">
        <v>41</v>
      </c>
      <c r="B846" s="8">
        <f>J828</f>
        <v>0</v>
      </c>
      <c r="C846" s="6"/>
    </row>
    <row r="847" spans="1:12">
      <c r="A847" s="7" t="s">
        <v>42</v>
      </c>
      <c r="B847" s="8">
        <f>J829</f>
        <v>48</v>
      </c>
      <c r="C847" s="6"/>
    </row>
    <row r="848" spans="1:12">
      <c r="A848" s="7" t="s">
        <v>43</v>
      </c>
      <c r="B848" s="8">
        <f>J836</f>
        <v>0</v>
      </c>
      <c r="C848" s="6"/>
    </row>
    <row r="849" spans="1:13">
      <c r="A849" s="7" t="s">
        <v>44</v>
      </c>
      <c r="B849" s="8">
        <f>J837</f>
        <v>4</v>
      </c>
      <c r="C849" s="6"/>
    </row>
    <row r="850" spans="1:13">
      <c r="A850" s="7"/>
      <c r="B850" s="81">
        <f>SUM(B841:B849)</f>
        <v>732</v>
      </c>
      <c r="C850" s="6"/>
    </row>
    <row r="852" spans="1:13" ht="13.5" thickBot="1"/>
    <row r="853" spans="1:13" ht="13.5" thickBot="1">
      <c r="A853" s="85" t="s">
        <v>2994</v>
      </c>
      <c r="B853" s="9"/>
    </row>
    <row r="854" spans="1:13" ht="13.5" thickBot="1">
      <c r="A854" s="11" t="s">
        <v>17</v>
      </c>
      <c r="B854" s="12" t="s">
        <v>18</v>
      </c>
      <c r="C854" s="13" t="s">
        <v>16</v>
      </c>
      <c r="D854" s="14" t="s">
        <v>15</v>
      </c>
      <c r="E854" s="14" t="s">
        <v>6</v>
      </c>
      <c r="F854" s="14" t="s">
        <v>19</v>
      </c>
      <c r="G854" s="74" t="s">
        <v>20</v>
      </c>
      <c r="H854" s="74" t="s">
        <v>21</v>
      </c>
      <c r="I854" s="14" t="s">
        <v>22</v>
      </c>
      <c r="J854" s="15" t="s">
        <v>9</v>
      </c>
      <c r="K854"/>
    </row>
    <row r="855" spans="1:13">
      <c r="A855" s="16" t="s">
        <v>0</v>
      </c>
      <c r="B855" s="17" t="s">
        <v>15</v>
      </c>
      <c r="C855" s="18"/>
      <c r="D855" s="6">
        <v>27</v>
      </c>
      <c r="E855" s="18"/>
      <c r="F855" s="18"/>
      <c r="G855" s="75"/>
      <c r="H855" s="75"/>
      <c r="I855" s="18"/>
      <c r="J855" s="19">
        <f>D855</f>
        <v>27</v>
      </c>
      <c r="K855"/>
    </row>
    <row r="856" spans="1:13">
      <c r="A856" s="22" t="s">
        <v>0</v>
      </c>
      <c r="B856" s="23" t="s">
        <v>6</v>
      </c>
      <c r="C856" s="6"/>
      <c r="D856" s="6"/>
      <c r="E856" s="6">
        <v>263</v>
      </c>
      <c r="F856" s="6">
        <v>2</v>
      </c>
      <c r="G856" s="76"/>
      <c r="H856" s="76"/>
      <c r="I856" s="6"/>
      <c r="J856" s="24">
        <f>E856+F856</f>
        <v>265</v>
      </c>
      <c r="K856"/>
      <c r="L856" s="20" t="s">
        <v>23</v>
      </c>
      <c r="M856" s="25" t="s">
        <v>2764</v>
      </c>
    </row>
    <row r="857" spans="1:13">
      <c r="A857" s="22" t="s">
        <v>0</v>
      </c>
      <c r="B857" s="23" t="s">
        <v>13</v>
      </c>
      <c r="C857" s="6"/>
      <c r="D857" s="6"/>
      <c r="E857" s="6"/>
      <c r="F857" s="6"/>
      <c r="G857" s="76"/>
      <c r="H857" s="76">
        <v>55</v>
      </c>
      <c r="I857" s="6"/>
      <c r="J857" s="24">
        <f>G857+H857+I857</f>
        <v>55</v>
      </c>
      <c r="K857"/>
      <c r="L857" s="20">
        <v>181</v>
      </c>
      <c r="M857" s="25" t="s">
        <v>24</v>
      </c>
    </row>
    <row r="858" spans="1:13">
      <c r="A858" s="22" t="s">
        <v>0</v>
      </c>
      <c r="B858" s="23" t="s">
        <v>8</v>
      </c>
      <c r="C858" s="6"/>
      <c r="D858" s="6"/>
      <c r="E858" s="6"/>
      <c r="F858" s="6"/>
      <c r="G858" s="76">
        <v>67</v>
      </c>
      <c r="H858" s="76">
        <v>222</v>
      </c>
      <c r="I858" s="6"/>
      <c r="J858" s="24">
        <f>G858+H858+I858</f>
        <v>289</v>
      </c>
      <c r="K858"/>
      <c r="L858" s="20">
        <v>50</v>
      </c>
      <c r="M858" s="25" t="s">
        <v>25</v>
      </c>
    </row>
    <row r="859" spans="1:13">
      <c r="A859" s="22" t="s">
        <v>0</v>
      </c>
      <c r="B859" s="23" t="s">
        <v>12</v>
      </c>
      <c r="C859" s="6"/>
      <c r="D859" s="6"/>
      <c r="E859" s="6"/>
      <c r="F859" s="6"/>
      <c r="G859" s="76"/>
      <c r="H859" s="76">
        <v>0</v>
      </c>
      <c r="I859" s="6"/>
      <c r="J859" s="24">
        <f>H859</f>
        <v>0</v>
      </c>
      <c r="K859"/>
      <c r="L859" s="20">
        <v>32</v>
      </c>
      <c r="M859" s="25" t="s">
        <v>26</v>
      </c>
    </row>
    <row r="860" spans="1:13">
      <c r="A860" s="22" t="s">
        <v>0</v>
      </c>
      <c r="B860" s="23" t="s">
        <v>14</v>
      </c>
      <c r="C860" s="6"/>
      <c r="D860" s="6"/>
      <c r="E860" s="6"/>
      <c r="F860" s="6"/>
      <c r="G860" s="76">
        <v>5</v>
      </c>
      <c r="H860" s="76">
        <v>43</v>
      </c>
      <c r="I860" s="6"/>
      <c r="J860" s="24">
        <f>G860+H860</f>
        <v>48</v>
      </c>
      <c r="K860"/>
      <c r="L860" s="20">
        <v>0</v>
      </c>
      <c r="M860" s="25" t="s">
        <v>27</v>
      </c>
    </row>
    <row r="861" spans="1:13" ht="13.5" thickBot="1">
      <c r="A861" s="27" t="s">
        <v>29</v>
      </c>
      <c r="B861" s="28"/>
      <c r="C861" s="29"/>
      <c r="D861" s="29">
        <f>SUM(D855:D860)</f>
        <v>27</v>
      </c>
      <c r="E861" s="29">
        <f>SUM(E855:E860)</f>
        <v>263</v>
      </c>
      <c r="F861" s="29">
        <f>SUM(F855:F860)</f>
        <v>2</v>
      </c>
      <c r="G861" s="29">
        <f>SUM(G855:G860)</f>
        <v>72</v>
      </c>
      <c r="H861" s="29">
        <f>SUM(H855:H860)</f>
        <v>320</v>
      </c>
      <c r="I861" s="29"/>
      <c r="J861" s="30">
        <f>SUM(J855:J860)</f>
        <v>684</v>
      </c>
      <c r="K861"/>
      <c r="L861" s="20">
        <v>1</v>
      </c>
      <c r="M861" s="25" t="s">
        <v>28</v>
      </c>
    </row>
    <row r="862" spans="1:13">
      <c r="A862" s="31" t="s">
        <v>7</v>
      </c>
      <c r="B862" s="32" t="s">
        <v>15</v>
      </c>
      <c r="C862" s="33"/>
      <c r="D862" s="33"/>
      <c r="E862" s="33"/>
      <c r="F862" s="33"/>
      <c r="G862" s="77"/>
      <c r="H862" s="77"/>
      <c r="I862" s="33"/>
      <c r="J862" s="34"/>
      <c r="K862"/>
      <c r="L862" s="20">
        <v>1</v>
      </c>
      <c r="M862" s="25" t="s">
        <v>30</v>
      </c>
    </row>
    <row r="863" spans="1:13">
      <c r="A863" s="31" t="s">
        <v>7</v>
      </c>
      <c r="B863" s="32" t="s">
        <v>8</v>
      </c>
      <c r="C863" s="33"/>
      <c r="D863" s="33"/>
      <c r="E863" s="33"/>
      <c r="F863" s="33"/>
      <c r="G863" s="77">
        <v>4</v>
      </c>
      <c r="H863" s="77">
        <v>25</v>
      </c>
      <c r="I863" s="33"/>
      <c r="J863" s="34">
        <f>G863+H863</f>
        <v>29</v>
      </c>
      <c r="K863"/>
      <c r="L863" s="35">
        <f>SUM(L857:L862)</f>
        <v>265</v>
      </c>
      <c r="M863" s="21"/>
    </row>
    <row r="864" spans="1:13" ht="13.5" thickBot="1">
      <c r="A864" s="27" t="s">
        <v>31</v>
      </c>
      <c r="B864" s="28"/>
      <c r="C864" s="29"/>
      <c r="D864" s="29"/>
      <c r="E864" s="29"/>
      <c r="F864" s="29"/>
      <c r="G864" s="29">
        <f>SUM(G862:G863)</f>
        <v>4</v>
      </c>
      <c r="H864" s="29">
        <f>SUM(H862:H863)</f>
        <v>25</v>
      </c>
      <c r="I864" s="29"/>
      <c r="J864" s="30">
        <f>SUM(J862:J863)</f>
        <v>29</v>
      </c>
      <c r="K864"/>
    </row>
    <row r="865" spans="1:12">
      <c r="A865" s="31" t="s">
        <v>105</v>
      </c>
      <c r="B865" s="32" t="s">
        <v>8</v>
      </c>
      <c r="C865" s="33"/>
      <c r="D865" s="33"/>
      <c r="E865" s="33"/>
      <c r="F865" s="33"/>
      <c r="G865" s="77">
        <v>5</v>
      </c>
      <c r="H865" s="77">
        <v>11</v>
      </c>
      <c r="I865" s="33"/>
      <c r="J865" s="34">
        <f>G865+H865</f>
        <v>16</v>
      </c>
      <c r="K865"/>
    </row>
    <row r="866" spans="1:12" ht="13.5" thickBot="1">
      <c r="A866" s="27" t="s">
        <v>106</v>
      </c>
      <c r="B866" s="28"/>
      <c r="C866" s="29"/>
      <c r="D866" s="29"/>
      <c r="E866" s="29"/>
      <c r="F866" s="29"/>
      <c r="G866" s="29">
        <f>SUM(G865:G865)</f>
        <v>5</v>
      </c>
      <c r="H866" s="29">
        <f>SUM(H865:H865)</f>
        <v>11</v>
      </c>
      <c r="I866" s="29"/>
      <c r="J866" s="30">
        <f>SUM(J865:J865)</f>
        <v>16</v>
      </c>
      <c r="K866"/>
    </row>
    <row r="867" spans="1:12">
      <c r="A867" s="22" t="s">
        <v>108</v>
      </c>
      <c r="B867" s="32" t="s">
        <v>10</v>
      </c>
      <c r="C867" s="6"/>
      <c r="D867" s="6"/>
      <c r="E867" s="6"/>
      <c r="F867" s="6"/>
      <c r="G867" s="76"/>
      <c r="H867" s="76"/>
      <c r="I867" s="6"/>
      <c r="J867" s="24">
        <f>H867</f>
        <v>0</v>
      </c>
      <c r="K867"/>
    </row>
    <row r="868" spans="1:12">
      <c r="A868" s="22" t="s">
        <v>32</v>
      </c>
      <c r="B868" s="32" t="s">
        <v>33</v>
      </c>
      <c r="C868" s="6">
        <v>4</v>
      </c>
      <c r="D868" s="6"/>
      <c r="E868" s="6"/>
      <c r="F868" s="6"/>
      <c r="G868" s="76"/>
      <c r="H868" s="76"/>
      <c r="I868" s="6"/>
      <c r="J868" s="24">
        <f>C868</f>
        <v>4</v>
      </c>
      <c r="K868"/>
    </row>
    <row r="869" spans="1:12" ht="13.5" thickBot="1">
      <c r="A869" s="36" t="s">
        <v>34</v>
      </c>
      <c r="B869" s="37"/>
      <c r="C869" s="29">
        <f>SUM(C867:C868)</f>
        <v>4</v>
      </c>
      <c r="D869" s="29"/>
      <c r="E869" s="29"/>
      <c r="F869" s="29"/>
      <c r="G869" s="29"/>
      <c r="H869" s="29"/>
      <c r="I869" s="29"/>
      <c r="J869" s="30">
        <f>SUM(J867:J868)</f>
        <v>4</v>
      </c>
      <c r="K869"/>
    </row>
    <row r="870" spans="1:12" ht="13.5" thickBot="1">
      <c r="A870" s="78" t="s">
        <v>35</v>
      </c>
      <c r="B870" s="79"/>
      <c r="C870" s="80">
        <f t="shared" ref="C870:H870" si="29">C861+C864+C866+C869</f>
        <v>4</v>
      </c>
      <c r="D870" s="80">
        <f t="shared" si="29"/>
        <v>27</v>
      </c>
      <c r="E870" s="80">
        <f t="shared" si="29"/>
        <v>263</v>
      </c>
      <c r="F870" s="80">
        <f t="shared" si="29"/>
        <v>2</v>
      </c>
      <c r="G870" s="80">
        <f t="shared" si="29"/>
        <v>81</v>
      </c>
      <c r="H870" s="80">
        <f t="shared" si="29"/>
        <v>356</v>
      </c>
      <c r="I870" s="80"/>
      <c r="J870" s="80">
        <f>J861+J864+J866+J869</f>
        <v>733</v>
      </c>
      <c r="K870"/>
    </row>
    <row r="871" spans="1:12">
      <c r="B871" s="38" t="s">
        <v>36</v>
      </c>
      <c r="C871" s="39"/>
      <c r="L871" s="26"/>
    </row>
    <row r="872" spans="1:12">
      <c r="A872" s="7" t="s">
        <v>37</v>
      </c>
      <c r="B872" s="8">
        <f>D861+D864+D866+D869</f>
        <v>27</v>
      </c>
      <c r="C872" s="6"/>
    </row>
    <row r="873" spans="1:12">
      <c r="A873" s="7" t="s">
        <v>38</v>
      </c>
      <c r="B873" s="8">
        <f>E870</f>
        <v>263</v>
      </c>
      <c r="C873" s="6"/>
    </row>
    <row r="874" spans="1:12">
      <c r="A874" s="7" t="s">
        <v>2615</v>
      </c>
      <c r="B874" s="8">
        <f>F861+F864+F866+F869</f>
        <v>2</v>
      </c>
      <c r="C874" s="6"/>
    </row>
    <row r="875" spans="1:12">
      <c r="A875" s="7" t="s">
        <v>39</v>
      </c>
      <c r="B875" s="8">
        <f>J857</f>
        <v>55</v>
      </c>
      <c r="C875" s="6"/>
    </row>
    <row r="876" spans="1:12">
      <c r="A876" s="7" t="s">
        <v>40</v>
      </c>
      <c r="B876" s="8">
        <f>J858+J863+J865</f>
        <v>334</v>
      </c>
      <c r="C876" s="6"/>
    </row>
    <row r="877" spans="1:12">
      <c r="A877" s="7" t="s">
        <v>41</v>
      </c>
      <c r="B877" s="8">
        <f>J859</f>
        <v>0</v>
      </c>
      <c r="C877" s="6"/>
    </row>
    <row r="878" spans="1:12">
      <c r="A878" s="7" t="s">
        <v>42</v>
      </c>
      <c r="B878" s="8">
        <f>J860</f>
        <v>48</v>
      </c>
      <c r="C878" s="6"/>
    </row>
    <row r="879" spans="1:12">
      <c r="A879" s="7" t="s">
        <v>43</v>
      </c>
      <c r="B879" s="8">
        <f>J867</f>
        <v>0</v>
      </c>
      <c r="C879" s="6"/>
    </row>
    <row r="880" spans="1:12">
      <c r="A880" s="7" t="s">
        <v>44</v>
      </c>
      <c r="B880" s="8">
        <f>J868</f>
        <v>4</v>
      </c>
      <c r="C880" s="6"/>
    </row>
    <row r="881" spans="1:13">
      <c r="A881" s="7"/>
      <c r="B881" s="81">
        <f>SUM(B872:B880)</f>
        <v>733</v>
      </c>
      <c r="C881" s="6"/>
    </row>
    <row r="884" spans="1:13" ht="13.5" thickBot="1"/>
    <row r="885" spans="1:13" ht="13.5" thickBot="1">
      <c r="A885" s="85" t="s">
        <v>2980</v>
      </c>
      <c r="B885" s="9"/>
    </row>
    <row r="886" spans="1:13" ht="13.5" thickBot="1">
      <c r="A886" s="11" t="s">
        <v>17</v>
      </c>
      <c r="B886" s="12" t="s">
        <v>18</v>
      </c>
      <c r="C886" s="13" t="s">
        <v>16</v>
      </c>
      <c r="D886" s="14" t="s">
        <v>15</v>
      </c>
      <c r="E886" s="14" t="s">
        <v>6</v>
      </c>
      <c r="F886" s="14" t="s">
        <v>19</v>
      </c>
      <c r="G886" s="74" t="s">
        <v>20</v>
      </c>
      <c r="H886" s="74" t="s">
        <v>21</v>
      </c>
      <c r="I886" s="14" t="s">
        <v>22</v>
      </c>
      <c r="J886" s="15" t="s">
        <v>9</v>
      </c>
      <c r="K886"/>
    </row>
    <row r="887" spans="1:13">
      <c r="A887" s="16" t="s">
        <v>0</v>
      </c>
      <c r="B887" s="17" t="s">
        <v>15</v>
      </c>
      <c r="C887" s="18"/>
      <c r="D887" s="6">
        <v>27</v>
      </c>
      <c r="E887" s="18"/>
      <c r="F887" s="18"/>
      <c r="G887" s="75"/>
      <c r="H887" s="75"/>
      <c r="I887" s="18"/>
      <c r="J887" s="19">
        <f>D887</f>
        <v>27</v>
      </c>
      <c r="K887"/>
    </row>
    <row r="888" spans="1:13">
      <c r="A888" s="22" t="s">
        <v>0</v>
      </c>
      <c r="B888" s="23" t="s">
        <v>6</v>
      </c>
      <c r="C888" s="6"/>
      <c r="D888" s="6"/>
      <c r="E888" s="6">
        <v>263</v>
      </c>
      <c r="F888" s="6">
        <v>2</v>
      </c>
      <c r="G888" s="76"/>
      <c r="H888" s="76"/>
      <c r="I888" s="6"/>
      <c r="J888" s="24">
        <f>E888+F888</f>
        <v>265</v>
      </c>
      <c r="K888"/>
      <c r="L888" s="20" t="s">
        <v>23</v>
      </c>
      <c r="M888" s="25" t="s">
        <v>2764</v>
      </c>
    </row>
    <row r="889" spans="1:13">
      <c r="A889" s="22" t="s">
        <v>0</v>
      </c>
      <c r="B889" s="23" t="s">
        <v>13</v>
      </c>
      <c r="C889" s="6"/>
      <c r="D889" s="6"/>
      <c r="E889" s="6"/>
      <c r="F889" s="6"/>
      <c r="G889" s="76"/>
      <c r="H889" s="76">
        <v>55</v>
      </c>
      <c r="I889" s="6"/>
      <c r="J889" s="24">
        <f>G889+H889+I889</f>
        <v>55</v>
      </c>
      <c r="K889"/>
      <c r="L889" s="20">
        <v>181</v>
      </c>
      <c r="M889" s="25" t="s">
        <v>24</v>
      </c>
    </row>
    <row r="890" spans="1:13">
      <c r="A890" s="22" t="s">
        <v>0</v>
      </c>
      <c r="B890" s="23" t="s">
        <v>8</v>
      </c>
      <c r="C890" s="6"/>
      <c r="D890" s="6"/>
      <c r="E890" s="6"/>
      <c r="F890" s="6"/>
      <c r="G890" s="76">
        <v>66</v>
      </c>
      <c r="H890" s="76">
        <v>221</v>
      </c>
      <c r="I890" s="6"/>
      <c r="J890" s="24">
        <f>G890+H890+I890</f>
        <v>287</v>
      </c>
      <c r="K890"/>
      <c r="L890" s="20">
        <v>50</v>
      </c>
      <c r="M890" s="25" t="s">
        <v>25</v>
      </c>
    </row>
    <row r="891" spans="1:13">
      <c r="A891" s="22" t="s">
        <v>0</v>
      </c>
      <c r="B891" s="23" t="s">
        <v>12</v>
      </c>
      <c r="C891" s="6"/>
      <c r="D891" s="6"/>
      <c r="E891" s="6"/>
      <c r="F891" s="6"/>
      <c r="G891" s="76"/>
      <c r="H891" s="76">
        <v>0</v>
      </c>
      <c r="I891" s="6"/>
      <c r="J891" s="24">
        <f>H891</f>
        <v>0</v>
      </c>
      <c r="K891"/>
      <c r="L891" s="20">
        <v>32</v>
      </c>
      <c r="M891" s="25" t="s">
        <v>26</v>
      </c>
    </row>
    <row r="892" spans="1:13">
      <c r="A892" s="22" t="s">
        <v>0</v>
      </c>
      <c r="B892" s="23" t="s">
        <v>14</v>
      </c>
      <c r="C892" s="6"/>
      <c r="D892" s="6"/>
      <c r="E892" s="6"/>
      <c r="F892" s="6"/>
      <c r="G892" s="76">
        <v>5</v>
      </c>
      <c r="H892" s="76">
        <v>43</v>
      </c>
      <c r="I892" s="6"/>
      <c r="J892" s="24">
        <f>G892+H892</f>
        <v>48</v>
      </c>
      <c r="K892"/>
      <c r="L892" s="20">
        <v>0</v>
      </c>
      <c r="M892" s="25" t="s">
        <v>27</v>
      </c>
    </row>
    <row r="893" spans="1:13" ht="13.5" thickBot="1">
      <c r="A893" s="27" t="s">
        <v>29</v>
      </c>
      <c r="B893" s="28"/>
      <c r="C893" s="29"/>
      <c r="D893" s="29">
        <f>SUM(D887:D892)</f>
        <v>27</v>
      </c>
      <c r="E893" s="29">
        <f>SUM(E887:E892)</f>
        <v>263</v>
      </c>
      <c r="F893" s="29">
        <f>SUM(F887:F892)</f>
        <v>2</v>
      </c>
      <c r="G893" s="29">
        <f>SUM(G887:G892)</f>
        <v>71</v>
      </c>
      <c r="H893" s="29">
        <f>SUM(H887:H892)</f>
        <v>319</v>
      </c>
      <c r="I893" s="29"/>
      <c r="J893" s="30">
        <f>SUM(J887:J892)</f>
        <v>682</v>
      </c>
      <c r="K893"/>
      <c r="L893" s="20">
        <v>1</v>
      </c>
      <c r="M893" s="25" t="s">
        <v>28</v>
      </c>
    </row>
    <row r="894" spans="1:13">
      <c r="A894" s="31" t="s">
        <v>7</v>
      </c>
      <c r="B894" s="32" t="s">
        <v>15</v>
      </c>
      <c r="C894" s="33"/>
      <c r="D894" s="33"/>
      <c r="E894" s="33"/>
      <c r="F894" s="33"/>
      <c r="G894" s="77"/>
      <c r="H894" s="77"/>
      <c r="I894" s="33"/>
      <c r="J894" s="34"/>
      <c r="K894"/>
      <c r="L894" s="20">
        <v>1</v>
      </c>
      <c r="M894" s="25" t="s">
        <v>30</v>
      </c>
    </row>
    <row r="895" spans="1:13">
      <c r="A895" s="31" t="s">
        <v>7</v>
      </c>
      <c r="B895" s="32" t="s">
        <v>8</v>
      </c>
      <c r="C895" s="33"/>
      <c r="D895" s="33"/>
      <c r="E895" s="33"/>
      <c r="F895" s="33"/>
      <c r="G895" s="77">
        <v>4</v>
      </c>
      <c r="H895" s="77">
        <v>25</v>
      </c>
      <c r="I895" s="33"/>
      <c r="J895" s="34">
        <f>G895+H895</f>
        <v>29</v>
      </c>
      <c r="K895"/>
      <c r="L895" s="35">
        <f>SUM(L889:L894)</f>
        <v>265</v>
      </c>
      <c r="M895" s="21"/>
    </row>
    <row r="896" spans="1:13" ht="13.5" thickBot="1">
      <c r="A896" s="27" t="s">
        <v>31</v>
      </c>
      <c r="B896" s="28"/>
      <c r="C896" s="29"/>
      <c r="D896" s="29"/>
      <c r="E896" s="29"/>
      <c r="F896" s="29"/>
      <c r="G896" s="29">
        <f>SUM(G894:G895)</f>
        <v>4</v>
      </c>
      <c r="H896" s="29">
        <f>SUM(H894:H895)</f>
        <v>25</v>
      </c>
      <c r="I896" s="29"/>
      <c r="J896" s="30">
        <f>SUM(J894:J895)</f>
        <v>29</v>
      </c>
      <c r="K896"/>
    </row>
    <row r="897" spans="1:12">
      <c r="A897" s="31" t="s">
        <v>105</v>
      </c>
      <c r="B897" s="32" t="s">
        <v>8</v>
      </c>
      <c r="C897" s="33"/>
      <c r="D897" s="33"/>
      <c r="E897" s="33"/>
      <c r="F897" s="33"/>
      <c r="G897" s="77">
        <v>5</v>
      </c>
      <c r="H897" s="77">
        <v>11</v>
      </c>
      <c r="I897" s="33"/>
      <c r="J897" s="34">
        <f>G897+H897</f>
        <v>16</v>
      </c>
      <c r="K897"/>
    </row>
    <row r="898" spans="1:12" ht="13.5" thickBot="1">
      <c r="A898" s="27" t="s">
        <v>106</v>
      </c>
      <c r="B898" s="28"/>
      <c r="C898" s="29"/>
      <c r="D898" s="29"/>
      <c r="E898" s="29"/>
      <c r="F898" s="29"/>
      <c r="G898" s="29">
        <f>SUM(G897:G897)</f>
        <v>5</v>
      </c>
      <c r="H898" s="29">
        <f>SUM(H897:H897)</f>
        <v>11</v>
      </c>
      <c r="I898" s="29"/>
      <c r="J898" s="30">
        <f>SUM(J897:J897)</f>
        <v>16</v>
      </c>
      <c r="K898"/>
    </row>
    <row r="899" spans="1:12">
      <c r="A899" s="22" t="s">
        <v>108</v>
      </c>
      <c r="B899" s="32" t="s">
        <v>10</v>
      </c>
      <c r="C899" s="6"/>
      <c r="D899" s="6"/>
      <c r="E899" s="6"/>
      <c r="F899" s="6"/>
      <c r="G899" s="76"/>
      <c r="H899" s="76"/>
      <c r="I899" s="6"/>
      <c r="J899" s="24">
        <f>H899</f>
        <v>0</v>
      </c>
      <c r="K899"/>
    </row>
    <row r="900" spans="1:12">
      <c r="A900" s="22" t="s">
        <v>32</v>
      </c>
      <c r="B900" s="32" t="s">
        <v>33</v>
      </c>
      <c r="C900" s="6">
        <v>4</v>
      </c>
      <c r="D900" s="6"/>
      <c r="E900" s="6"/>
      <c r="F900" s="6"/>
      <c r="G900" s="76"/>
      <c r="H900" s="76"/>
      <c r="I900" s="6"/>
      <c r="J900" s="24">
        <f>C900</f>
        <v>4</v>
      </c>
      <c r="K900"/>
    </row>
    <row r="901" spans="1:12" ht="13.5" thickBot="1">
      <c r="A901" s="36" t="s">
        <v>34</v>
      </c>
      <c r="B901" s="37"/>
      <c r="C901" s="29">
        <f>SUM(C899:C900)</f>
        <v>4</v>
      </c>
      <c r="D901" s="29"/>
      <c r="E901" s="29"/>
      <c r="F901" s="29"/>
      <c r="G901" s="29"/>
      <c r="H901" s="29"/>
      <c r="I901" s="29"/>
      <c r="J901" s="30">
        <f>SUM(J899:J900)</f>
        <v>4</v>
      </c>
      <c r="K901"/>
    </row>
    <row r="902" spans="1:12" ht="13.5" thickBot="1">
      <c r="A902" s="78" t="s">
        <v>35</v>
      </c>
      <c r="B902" s="79"/>
      <c r="C902" s="80">
        <f t="shared" ref="C902:H902" si="30">C893+C896+C898+C901</f>
        <v>4</v>
      </c>
      <c r="D902" s="80">
        <f t="shared" si="30"/>
        <v>27</v>
      </c>
      <c r="E902" s="80">
        <f t="shared" si="30"/>
        <v>263</v>
      </c>
      <c r="F902" s="80">
        <f t="shared" si="30"/>
        <v>2</v>
      </c>
      <c r="G902" s="80">
        <f t="shared" si="30"/>
        <v>80</v>
      </c>
      <c r="H902" s="80">
        <f t="shared" si="30"/>
        <v>355</v>
      </c>
      <c r="I902" s="80"/>
      <c r="J902" s="80">
        <f>J893+J896+J898+J901</f>
        <v>731</v>
      </c>
      <c r="K902"/>
    </row>
    <row r="903" spans="1:12">
      <c r="B903" s="38" t="s">
        <v>36</v>
      </c>
      <c r="C903" s="39"/>
      <c r="L903" s="26"/>
    </row>
    <row r="904" spans="1:12">
      <c r="A904" s="7" t="s">
        <v>37</v>
      </c>
      <c r="B904" s="8">
        <f>D893+D896+D898+D901</f>
        <v>27</v>
      </c>
      <c r="C904" s="6"/>
    </row>
    <row r="905" spans="1:12">
      <c r="A905" s="7" t="s">
        <v>38</v>
      </c>
      <c r="B905" s="8">
        <f>E902</f>
        <v>263</v>
      </c>
      <c r="C905" s="6"/>
    </row>
    <row r="906" spans="1:12">
      <c r="A906" s="7" t="s">
        <v>2615</v>
      </c>
      <c r="B906" s="8">
        <f>F893+F896+F898+F901</f>
        <v>2</v>
      </c>
      <c r="C906" s="6"/>
    </row>
    <row r="907" spans="1:12">
      <c r="A907" s="7" t="s">
        <v>39</v>
      </c>
      <c r="B907" s="8">
        <f>J889</f>
        <v>55</v>
      </c>
      <c r="C907" s="6"/>
    </row>
    <row r="908" spans="1:12">
      <c r="A908" s="7" t="s">
        <v>40</v>
      </c>
      <c r="B908" s="8">
        <f>J890+J895+J897</f>
        <v>332</v>
      </c>
      <c r="C908" s="6"/>
    </row>
    <row r="909" spans="1:12">
      <c r="A909" s="7" t="s">
        <v>41</v>
      </c>
      <c r="B909" s="8">
        <f>J891</f>
        <v>0</v>
      </c>
      <c r="C909" s="6"/>
    </row>
    <row r="910" spans="1:12">
      <c r="A910" s="7" t="s">
        <v>42</v>
      </c>
      <c r="B910" s="8">
        <f>J892</f>
        <v>48</v>
      </c>
      <c r="C910" s="6"/>
    </row>
    <row r="911" spans="1:12">
      <c r="A911" s="7" t="s">
        <v>43</v>
      </c>
      <c r="B911" s="8">
        <f>J899</f>
        <v>0</v>
      </c>
      <c r="C911" s="6"/>
    </row>
    <row r="912" spans="1:12">
      <c r="A912" s="7" t="s">
        <v>44</v>
      </c>
      <c r="B912" s="8">
        <f>J900</f>
        <v>4</v>
      </c>
      <c r="C912" s="6"/>
    </row>
    <row r="913" spans="1:15">
      <c r="A913" s="7"/>
      <c r="B913" s="81">
        <f>SUM(B904:B912)</f>
        <v>731</v>
      </c>
      <c r="C913" s="6"/>
    </row>
    <row r="915" spans="1:15" ht="13.5" thickBot="1"/>
    <row r="916" spans="1:15" ht="13.5" thickBot="1">
      <c r="A916" s="85" t="s">
        <v>2954</v>
      </c>
      <c r="B916" s="9"/>
    </row>
    <row r="917" spans="1:15" ht="13.5" thickBot="1">
      <c r="A917" s="11" t="s">
        <v>17</v>
      </c>
      <c r="B917" s="12" t="s">
        <v>18</v>
      </c>
      <c r="C917" s="13" t="s">
        <v>16</v>
      </c>
      <c r="D917" s="14" t="s">
        <v>15</v>
      </c>
      <c r="E917" s="14" t="s">
        <v>6</v>
      </c>
      <c r="F917" s="14" t="s">
        <v>19</v>
      </c>
      <c r="G917" s="74" t="s">
        <v>20</v>
      </c>
      <c r="H917" s="74" t="s">
        <v>21</v>
      </c>
      <c r="I917" s="14" t="s">
        <v>22</v>
      </c>
      <c r="J917" s="15" t="s">
        <v>9</v>
      </c>
      <c r="K917"/>
    </row>
    <row r="918" spans="1:15">
      <c r="A918" s="16" t="s">
        <v>0</v>
      </c>
      <c r="B918" s="17" t="s">
        <v>15</v>
      </c>
      <c r="C918" s="18"/>
      <c r="D918" s="6">
        <v>27</v>
      </c>
      <c r="E918" s="18"/>
      <c r="F918" s="18"/>
      <c r="G918" s="75"/>
      <c r="H918" s="75"/>
      <c r="I918" s="18"/>
      <c r="J918" s="19">
        <f>D918</f>
        <v>27</v>
      </c>
      <c r="K918"/>
    </row>
    <row r="919" spans="1:15">
      <c r="A919" s="22" t="s">
        <v>0</v>
      </c>
      <c r="B919" s="23" t="s">
        <v>6</v>
      </c>
      <c r="C919" s="6"/>
      <c r="D919" s="6"/>
      <c r="E919" s="6">
        <v>259</v>
      </c>
      <c r="F919" s="6">
        <v>1</v>
      </c>
      <c r="G919" s="76"/>
      <c r="H919" s="76"/>
      <c r="I919" s="6"/>
      <c r="J919" s="24">
        <f>E919+F919</f>
        <v>260</v>
      </c>
      <c r="K919"/>
      <c r="L919" s="20" t="s">
        <v>23</v>
      </c>
      <c r="M919" s="25" t="s">
        <v>2764</v>
      </c>
      <c r="N919" s="26" t="s">
        <v>2955</v>
      </c>
      <c r="O919" s="26"/>
    </row>
    <row r="920" spans="1:15">
      <c r="A920" s="22" t="s">
        <v>0</v>
      </c>
      <c r="B920" s="23" t="s">
        <v>13</v>
      </c>
      <c r="C920" s="6"/>
      <c r="D920" s="6"/>
      <c r="E920" s="6"/>
      <c r="F920" s="6"/>
      <c r="G920" s="76"/>
      <c r="H920" s="76">
        <v>55</v>
      </c>
      <c r="I920" s="6"/>
      <c r="J920" s="24">
        <f>G920+H920+I920</f>
        <v>55</v>
      </c>
      <c r="K920"/>
      <c r="L920" s="20">
        <v>181</v>
      </c>
      <c r="M920" s="25" t="s">
        <v>24</v>
      </c>
    </row>
    <row r="921" spans="1:15">
      <c r="A921" s="22" t="s">
        <v>0</v>
      </c>
      <c r="B921" s="23" t="s">
        <v>8</v>
      </c>
      <c r="C921" s="6"/>
      <c r="D921" s="6"/>
      <c r="E921" s="6"/>
      <c r="F921" s="6"/>
      <c r="G921" s="76">
        <v>66</v>
      </c>
      <c r="H921" s="76">
        <v>221</v>
      </c>
      <c r="I921" s="6"/>
      <c r="J921" s="24">
        <f>G921+H921+I921</f>
        <v>287</v>
      </c>
      <c r="K921"/>
      <c r="L921" s="20">
        <v>43</v>
      </c>
      <c r="M921" s="25" t="s">
        <v>25</v>
      </c>
    </row>
    <row r="922" spans="1:15">
      <c r="A922" s="22" t="s">
        <v>0</v>
      </c>
      <c r="B922" s="23" t="s">
        <v>12</v>
      </c>
      <c r="C922" s="6"/>
      <c r="D922" s="6"/>
      <c r="E922" s="6"/>
      <c r="F922" s="6"/>
      <c r="G922" s="76"/>
      <c r="H922" s="76">
        <v>0</v>
      </c>
      <c r="I922" s="6"/>
      <c r="J922" s="24">
        <f>H922</f>
        <v>0</v>
      </c>
      <c r="K922"/>
      <c r="L922" s="20">
        <v>35</v>
      </c>
      <c r="M922" s="25" t="s">
        <v>26</v>
      </c>
    </row>
    <row r="923" spans="1:15">
      <c r="A923" s="22" t="s">
        <v>0</v>
      </c>
      <c r="B923" s="23" t="s">
        <v>14</v>
      </c>
      <c r="C923" s="6"/>
      <c r="D923" s="6"/>
      <c r="E923" s="6"/>
      <c r="F923" s="6"/>
      <c r="G923" s="76">
        <v>5</v>
      </c>
      <c r="H923" s="76">
        <v>42</v>
      </c>
      <c r="I923" s="6"/>
      <c r="J923" s="24">
        <f>G923+H923</f>
        <v>47</v>
      </c>
      <c r="K923"/>
      <c r="L923" s="20">
        <v>0</v>
      </c>
      <c r="M923" s="25" t="s">
        <v>27</v>
      </c>
    </row>
    <row r="924" spans="1:15" ht="13.5" thickBot="1">
      <c r="A924" s="27" t="s">
        <v>29</v>
      </c>
      <c r="B924" s="28"/>
      <c r="C924" s="29"/>
      <c r="D924" s="29">
        <f>SUM(D918:D923)</f>
        <v>27</v>
      </c>
      <c r="E924" s="29">
        <f>SUM(E918:E923)</f>
        <v>259</v>
      </c>
      <c r="F924" s="29">
        <f>SUM(F918:F923)</f>
        <v>1</v>
      </c>
      <c r="G924" s="29">
        <f>SUM(G918:G923)</f>
        <v>71</v>
      </c>
      <c r="H924" s="29">
        <f>SUM(H918:H923)</f>
        <v>318</v>
      </c>
      <c r="I924" s="29"/>
      <c r="J924" s="30">
        <f>SUM(J918:J923)</f>
        <v>676</v>
      </c>
      <c r="K924"/>
      <c r="L924" s="20">
        <v>1</v>
      </c>
      <c r="M924" s="25" t="s">
        <v>28</v>
      </c>
    </row>
    <row r="925" spans="1:15">
      <c r="A925" s="31" t="s">
        <v>7</v>
      </c>
      <c r="B925" s="32" t="s">
        <v>15</v>
      </c>
      <c r="C925" s="33"/>
      <c r="D925" s="33"/>
      <c r="E925" s="33"/>
      <c r="F925" s="33"/>
      <c r="G925" s="77"/>
      <c r="H925" s="77"/>
      <c r="I925" s="33"/>
      <c r="J925" s="34"/>
      <c r="K925"/>
      <c r="L925" s="20">
        <v>1</v>
      </c>
      <c r="M925" s="25" t="s">
        <v>30</v>
      </c>
    </row>
    <row r="926" spans="1:15">
      <c r="A926" s="31" t="s">
        <v>7</v>
      </c>
      <c r="B926" s="32" t="s">
        <v>8</v>
      </c>
      <c r="C926" s="33"/>
      <c r="D926" s="33"/>
      <c r="E926" s="33"/>
      <c r="F926" s="33"/>
      <c r="G926" s="77">
        <v>4</v>
      </c>
      <c r="H926" s="77">
        <v>25</v>
      </c>
      <c r="I926" s="33"/>
      <c r="J926" s="34">
        <f>G926+H926</f>
        <v>29</v>
      </c>
      <c r="K926"/>
      <c r="L926" s="35">
        <f>SUM(L920:L925)</f>
        <v>261</v>
      </c>
      <c r="M926" s="21"/>
    </row>
    <row r="927" spans="1:15" ht="13.5" thickBot="1">
      <c r="A927" s="27" t="s">
        <v>31</v>
      </c>
      <c r="B927" s="28"/>
      <c r="C927" s="29"/>
      <c r="D927" s="29"/>
      <c r="E927" s="29"/>
      <c r="F927" s="29"/>
      <c r="G927" s="29">
        <f>SUM(G925:G926)</f>
        <v>4</v>
      </c>
      <c r="H927" s="29">
        <f>SUM(H925:H926)</f>
        <v>25</v>
      </c>
      <c r="I927" s="29"/>
      <c r="J927" s="30">
        <f>SUM(J925:J926)</f>
        <v>29</v>
      </c>
      <c r="K927"/>
    </row>
    <row r="928" spans="1:15">
      <c r="A928" s="31" t="s">
        <v>105</v>
      </c>
      <c r="B928" s="32" t="s">
        <v>8</v>
      </c>
      <c r="C928" s="33"/>
      <c r="D928" s="33"/>
      <c r="E928" s="33"/>
      <c r="F928" s="33"/>
      <c r="G928" s="77">
        <v>5</v>
      </c>
      <c r="H928" s="77">
        <v>11</v>
      </c>
      <c r="I928" s="33"/>
      <c r="J928" s="34">
        <f>G928+H928</f>
        <v>16</v>
      </c>
      <c r="K928"/>
    </row>
    <row r="929" spans="1:12" ht="13.5" thickBot="1">
      <c r="A929" s="27" t="s">
        <v>106</v>
      </c>
      <c r="B929" s="28"/>
      <c r="C929" s="29"/>
      <c r="D929" s="29"/>
      <c r="E929" s="29"/>
      <c r="F929" s="29"/>
      <c r="G929" s="29">
        <f>SUM(G928:G928)</f>
        <v>5</v>
      </c>
      <c r="H929" s="29">
        <f>SUM(H928:H928)</f>
        <v>11</v>
      </c>
      <c r="I929" s="29"/>
      <c r="J929" s="30">
        <f>SUM(J928:J928)</f>
        <v>16</v>
      </c>
      <c r="K929"/>
    </row>
    <row r="930" spans="1:12">
      <c r="A930" s="22" t="s">
        <v>108</v>
      </c>
      <c r="B930" s="32" t="s">
        <v>10</v>
      </c>
      <c r="C930" s="6"/>
      <c r="D930" s="6"/>
      <c r="E930" s="6"/>
      <c r="F930" s="6"/>
      <c r="G930" s="76"/>
      <c r="H930" s="76"/>
      <c r="I930" s="6"/>
      <c r="J930" s="24">
        <f>H930</f>
        <v>0</v>
      </c>
      <c r="K930"/>
    </row>
    <row r="931" spans="1:12">
      <c r="A931" s="22" t="s">
        <v>32</v>
      </c>
      <c r="B931" s="32" t="s">
        <v>33</v>
      </c>
      <c r="C931" s="6">
        <v>4</v>
      </c>
      <c r="D931" s="6"/>
      <c r="E931" s="6"/>
      <c r="F931" s="6"/>
      <c r="G931" s="76"/>
      <c r="H931" s="76"/>
      <c r="I931" s="6"/>
      <c r="J931" s="24">
        <f>C931</f>
        <v>4</v>
      </c>
      <c r="K931"/>
    </row>
    <row r="932" spans="1:12" ht="13.5" thickBot="1">
      <c r="A932" s="36" t="s">
        <v>34</v>
      </c>
      <c r="B932" s="37"/>
      <c r="C932" s="29">
        <f>SUM(C930:C931)</f>
        <v>4</v>
      </c>
      <c r="D932" s="29"/>
      <c r="E932" s="29"/>
      <c r="F932" s="29"/>
      <c r="G932" s="29"/>
      <c r="H932" s="29"/>
      <c r="I932" s="29"/>
      <c r="J932" s="30">
        <f>SUM(J930:J931)</f>
        <v>4</v>
      </c>
      <c r="K932"/>
    </row>
    <row r="933" spans="1:12" ht="13.5" thickBot="1">
      <c r="A933" s="78" t="s">
        <v>35</v>
      </c>
      <c r="B933" s="79"/>
      <c r="C933" s="80">
        <f t="shared" ref="C933:H933" si="31">C924+C927+C929+C932</f>
        <v>4</v>
      </c>
      <c r="D933" s="80">
        <f t="shared" si="31"/>
        <v>27</v>
      </c>
      <c r="E933" s="80">
        <f t="shared" si="31"/>
        <v>259</v>
      </c>
      <c r="F933" s="80">
        <f t="shared" si="31"/>
        <v>1</v>
      </c>
      <c r="G933" s="80">
        <f t="shared" si="31"/>
        <v>80</v>
      </c>
      <c r="H933" s="80">
        <f t="shared" si="31"/>
        <v>354</v>
      </c>
      <c r="I933" s="80"/>
      <c r="J933" s="80">
        <f>J924+J927+J929+J932</f>
        <v>725</v>
      </c>
      <c r="K933"/>
    </row>
    <row r="934" spans="1:12">
      <c r="B934" s="38" t="s">
        <v>36</v>
      </c>
      <c r="C934" s="39"/>
      <c r="L934" s="26"/>
    </row>
    <row r="935" spans="1:12">
      <c r="A935" s="7" t="s">
        <v>37</v>
      </c>
      <c r="B935" s="8">
        <f>D924+D927+D929+D932</f>
        <v>27</v>
      </c>
      <c r="C935" s="6"/>
    </row>
    <row r="936" spans="1:12">
      <c r="A936" s="7" t="s">
        <v>38</v>
      </c>
      <c r="B936" s="8">
        <f>E933</f>
        <v>259</v>
      </c>
      <c r="C936" s="6"/>
    </row>
    <row r="937" spans="1:12">
      <c r="A937" s="7" t="s">
        <v>2615</v>
      </c>
      <c r="B937" s="8">
        <f>F924+F927+F929+F932</f>
        <v>1</v>
      </c>
      <c r="C937" s="6"/>
    </row>
    <row r="938" spans="1:12">
      <c r="A938" s="7" t="s">
        <v>39</v>
      </c>
      <c r="B938" s="8">
        <f>J920</f>
        <v>55</v>
      </c>
      <c r="C938" s="6"/>
    </row>
    <row r="939" spans="1:12">
      <c r="A939" s="7" t="s">
        <v>40</v>
      </c>
      <c r="B939" s="8">
        <f>J921+J926+J928</f>
        <v>332</v>
      </c>
      <c r="C939" s="6"/>
    </row>
    <row r="940" spans="1:12">
      <c r="A940" s="7" t="s">
        <v>41</v>
      </c>
      <c r="B940" s="8">
        <f>J922</f>
        <v>0</v>
      </c>
      <c r="C940" s="6"/>
    </row>
    <row r="941" spans="1:12">
      <c r="A941" s="7" t="s">
        <v>42</v>
      </c>
      <c r="B941" s="8">
        <f>J923</f>
        <v>47</v>
      </c>
      <c r="C941" s="6"/>
    </row>
    <row r="942" spans="1:12">
      <c r="A942" s="7" t="s">
        <v>43</v>
      </c>
      <c r="B942" s="8">
        <f>J930</f>
        <v>0</v>
      </c>
      <c r="C942" s="6"/>
    </row>
    <row r="943" spans="1:12">
      <c r="A943" s="7" t="s">
        <v>44</v>
      </c>
      <c r="B943" s="8">
        <f>J931</f>
        <v>4</v>
      </c>
      <c r="C943" s="6"/>
    </row>
    <row r="944" spans="1:12">
      <c r="A944" s="7"/>
      <c r="B944" s="81">
        <f>SUM(B935:B943)</f>
        <v>725</v>
      </c>
      <c r="C944" s="6"/>
    </row>
    <row r="947" spans="1:15" ht="13.5" thickBot="1"/>
    <row r="948" spans="1:15" ht="13.5" thickBot="1">
      <c r="A948" s="85" t="s">
        <v>2947</v>
      </c>
      <c r="B948" s="9"/>
    </row>
    <row r="949" spans="1:15" ht="13.5" thickBot="1">
      <c r="A949" s="11" t="s">
        <v>17</v>
      </c>
      <c r="B949" s="12" t="s">
        <v>18</v>
      </c>
      <c r="C949" s="13" t="s">
        <v>16</v>
      </c>
      <c r="D949" s="14" t="s">
        <v>15</v>
      </c>
      <c r="E949" s="14" t="s">
        <v>6</v>
      </c>
      <c r="F949" s="14" t="s">
        <v>19</v>
      </c>
      <c r="G949" s="74" t="s">
        <v>20</v>
      </c>
      <c r="H949" s="74" t="s">
        <v>21</v>
      </c>
      <c r="I949" s="14" t="s">
        <v>22</v>
      </c>
      <c r="J949" s="15" t="s">
        <v>9</v>
      </c>
      <c r="K949"/>
    </row>
    <row r="950" spans="1:15">
      <c r="A950" s="16" t="s">
        <v>0</v>
      </c>
      <c r="B950" s="17" t="s">
        <v>15</v>
      </c>
      <c r="C950" s="18"/>
      <c r="D950" s="6">
        <v>27</v>
      </c>
      <c r="E950" s="18"/>
      <c r="F950" s="18"/>
      <c r="G950" s="75"/>
      <c r="H950" s="75"/>
      <c r="I950" s="18"/>
      <c r="J950" s="19">
        <f>D950</f>
        <v>27</v>
      </c>
      <c r="K950"/>
    </row>
    <row r="951" spans="1:15">
      <c r="A951" s="22" t="s">
        <v>0</v>
      </c>
      <c r="B951" s="23" t="s">
        <v>6</v>
      </c>
      <c r="C951" s="6"/>
      <c r="D951" s="6"/>
      <c r="E951" s="6">
        <v>260</v>
      </c>
      <c r="F951" s="6">
        <v>1</v>
      </c>
      <c r="G951" s="76"/>
      <c r="H951" s="76"/>
      <c r="I951" s="6"/>
      <c r="J951" s="24">
        <f>E951+F951</f>
        <v>261</v>
      </c>
      <c r="K951"/>
      <c r="L951" s="20" t="s">
        <v>23</v>
      </c>
      <c r="M951" s="25" t="s">
        <v>2764</v>
      </c>
      <c r="N951" s="26" t="s">
        <v>2945</v>
      </c>
      <c r="O951" s="26" t="s">
        <v>2946</v>
      </c>
    </row>
    <row r="952" spans="1:15">
      <c r="A952" s="22" t="s">
        <v>0</v>
      </c>
      <c r="B952" s="23" t="s">
        <v>13</v>
      </c>
      <c r="C952" s="6"/>
      <c r="D952" s="6"/>
      <c r="E952" s="6"/>
      <c r="F952" s="6"/>
      <c r="G952" s="76"/>
      <c r="H952" s="76">
        <v>55</v>
      </c>
      <c r="I952" s="6"/>
      <c r="J952" s="24">
        <f>G952+H952+I952</f>
        <v>55</v>
      </c>
      <c r="K952"/>
      <c r="L952" s="20">
        <v>181</v>
      </c>
      <c r="M952" s="25" t="s">
        <v>24</v>
      </c>
    </row>
    <row r="953" spans="1:15">
      <c r="A953" s="22" t="s">
        <v>0</v>
      </c>
      <c r="B953" s="23" t="s">
        <v>8</v>
      </c>
      <c r="C953" s="6"/>
      <c r="D953" s="6"/>
      <c r="E953" s="6"/>
      <c r="F953" s="6"/>
      <c r="G953" s="76">
        <v>66</v>
      </c>
      <c r="H953" s="76">
        <v>221</v>
      </c>
      <c r="I953" s="6"/>
      <c r="J953" s="24">
        <f>G953+H953+I953</f>
        <v>287</v>
      </c>
      <c r="K953"/>
      <c r="L953" s="20">
        <v>43</v>
      </c>
      <c r="M953" s="25" t="s">
        <v>25</v>
      </c>
    </row>
    <row r="954" spans="1:15">
      <c r="A954" s="22" t="s">
        <v>0</v>
      </c>
      <c r="B954" s="23" t="s">
        <v>12</v>
      </c>
      <c r="C954" s="6"/>
      <c r="D954" s="6"/>
      <c r="E954" s="6"/>
      <c r="F954" s="6"/>
      <c r="G954" s="76"/>
      <c r="H954" s="76">
        <v>0</v>
      </c>
      <c r="I954" s="6"/>
      <c r="J954" s="24">
        <f>H954</f>
        <v>0</v>
      </c>
      <c r="K954"/>
      <c r="L954" s="20">
        <v>35</v>
      </c>
      <c r="M954" s="25" t="s">
        <v>26</v>
      </c>
    </row>
    <row r="955" spans="1:15">
      <c r="A955" s="22" t="s">
        <v>0</v>
      </c>
      <c r="B955" s="23" t="s">
        <v>14</v>
      </c>
      <c r="C955" s="6"/>
      <c r="D955" s="6"/>
      <c r="E955" s="6"/>
      <c r="F955" s="6"/>
      <c r="G955" s="76">
        <v>5</v>
      </c>
      <c r="H955" s="76">
        <v>43</v>
      </c>
      <c r="I955" s="6"/>
      <c r="J955" s="24">
        <f>G955+H955</f>
        <v>48</v>
      </c>
      <c r="K955"/>
      <c r="L955" s="20">
        <v>0</v>
      </c>
      <c r="M955" s="25" t="s">
        <v>27</v>
      </c>
    </row>
    <row r="956" spans="1:15" ht="13.5" thickBot="1">
      <c r="A956" s="27" t="s">
        <v>29</v>
      </c>
      <c r="B956" s="28"/>
      <c r="C956" s="29"/>
      <c r="D956" s="29">
        <f>SUM(D950:D955)</f>
        <v>27</v>
      </c>
      <c r="E956" s="29">
        <f>SUM(E950:E955)</f>
        <v>260</v>
      </c>
      <c r="F956" s="29">
        <f>SUM(F950:F955)</f>
        <v>1</v>
      </c>
      <c r="G956" s="29">
        <f>SUM(G950:G955)</f>
        <v>71</v>
      </c>
      <c r="H956" s="29">
        <f>SUM(H950:H955)</f>
        <v>319</v>
      </c>
      <c r="I956" s="29"/>
      <c r="J956" s="30">
        <f>SUM(J950:J955)</f>
        <v>678</v>
      </c>
      <c r="K956"/>
      <c r="L956" s="20">
        <v>1</v>
      </c>
      <c r="M956" s="25" t="s">
        <v>28</v>
      </c>
    </row>
    <row r="957" spans="1:15">
      <c r="A957" s="31" t="s">
        <v>7</v>
      </c>
      <c r="B957" s="32" t="s">
        <v>15</v>
      </c>
      <c r="C957" s="33"/>
      <c r="D957" s="33"/>
      <c r="E957" s="33"/>
      <c r="F957" s="33"/>
      <c r="G957" s="77"/>
      <c r="H957" s="77"/>
      <c r="I957" s="33"/>
      <c r="J957" s="34"/>
      <c r="K957"/>
      <c r="L957" s="20">
        <v>1</v>
      </c>
      <c r="M957" s="25" t="s">
        <v>30</v>
      </c>
    </row>
    <row r="958" spans="1:15">
      <c r="A958" s="31" t="s">
        <v>7</v>
      </c>
      <c r="B958" s="32" t="s">
        <v>8</v>
      </c>
      <c r="C958" s="33"/>
      <c r="D958" s="33"/>
      <c r="E958" s="33"/>
      <c r="F958" s="33"/>
      <c r="G958" s="77">
        <v>4</v>
      </c>
      <c r="H958" s="77">
        <v>24</v>
      </c>
      <c r="I958" s="33"/>
      <c r="J958" s="34">
        <f>G958+H958</f>
        <v>28</v>
      </c>
      <c r="K958"/>
      <c r="L958" s="35">
        <f>SUM(L952:L957)</f>
        <v>261</v>
      </c>
      <c r="M958" s="21"/>
    </row>
    <row r="959" spans="1:15" ht="13.5" thickBot="1">
      <c r="A959" s="27" t="s">
        <v>31</v>
      </c>
      <c r="B959" s="28"/>
      <c r="C959" s="29"/>
      <c r="D959" s="29"/>
      <c r="E959" s="29"/>
      <c r="F959" s="29"/>
      <c r="G959" s="29">
        <f>SUM(G957:G958)</f>
        <v>4</v>
      </c>
      <c r="H959" s="29">
        <f>SUM(H957:H958)</f>
        <v>24</v>
      </c>
      <c r="I959" s="29"/>
      <c r="J959" s="30">
        <f>SUM(J957:J958)</f>
        <v>28</v>
      </c>
      <c r="K959"/>
    </row>
    <row r="960" spans="1:15">
      <c r="A960" s="31" t="s">
        <v>105</v>
      </c>
      <c r="B960" s="32" t="s">
        <v>8</v>
      </c>
      <c r="C960" s="33"/>
      <c r="D960" s="33"/>
      <c r="E960" s="33"/>
      <c r="F960" s="33"/>
      <c r="G960" s="77">
        <v>5</v>
      </c>
      <c r="H960" s="77">
        <v>11</v>
      </c>
      <c r="I960" s="33"/>
      <c r="J960" s="34">
        <f>G960+H960</f>
        <v>16</v>
      </c>
      <c r="K960"/>
    </row>
    <row r="961" spans="1:12" ht="13.5" thickBot="1">
      <c r="A961" s="27" t="s">
        <v>106</v>
      </c>
      <c r="B961" s="28"/>
      <c r="C961" s="29"/>
      <c r="D961" s="29"/>
      <c r="E961" s="29"/>
      <c r="F961" s="29"/>
      <c r="G961" s="29">
        <f>SUM(G960:G960)</f>
        <v>5</v>
      </c>
      <c r="H961" s="29">
        <f>SUM(H960:H960)</f>
        <v>11</v>
      </c>
      <c r="I961" s="29"/>
      <c r="J961" s="30">
        <f>SUM(J960:J960)</f>
        <v>16</v>
      </c>
      <c r="K961"/>
    </row>
    <row r="962" spans="1:12">
      <c r="A962" s="22" t="s">
        <v>108</v>
      </c>
      <c r="B962" s="32" t="s">
        <v>10</v>
      </c>
      <c r="C962" s="6"/>
      <c r="D962" s="6"/>
      <c r="E962" s="6"/>
      <c r="F962" s="6"/>
      <c r="G962" s="76"/>
      <c r="H962" s="76"/>
      <c r="I962" s="6"/>
      <c r="J962" s="24">
        <f>H962</f>
        <v>0</v>
      </c>
      <c r="K962"/>
    </row>
    <row r="963" spans="1:12">
      <c r="A963" s="22" t="s">
        <v>32</v>
      </c>
      <c r="B963" s="32" t="s">
        <v>33</v>
      </c>
      <c r="C963" s="6">
        <v>4</v>
      </c>
      <c r="D963" s="6"/>
      <c r="E963" s="6"/>
      <c r="F963" s="6"/>
      <c r="G963" s="76"/>
      <c r="H963" s="76"/>
      <c r="I963" s="6"/>
      <c r="J963" s="24">
        <f>C963</f>
        <v>4</v>
      </c>
      <c r="K963"/>
    </row>
    <row r="964" spans="1:12" ht="13.5" thickBot="1">
      <c r="A964" s="36" t="s">
        <v>34</v>
      </c>
      <c r="B964" s="37"/>
      <c r="C964" s="29">
        <f>SUM(C962:C963)</f>
        <v>4</v>
      </c>
      <c r="D964" s="29"/>
      <c r="E964" s="29"/>
      <c r="F964" s="29"/>
      <c r="G964" s="29"/>
      <c r="H964" s="29"/>
      <c r="I964" s="29"/>
      <c r="J964" s="30">
        <f>SUM(J962:J963)</f>
        <v>4</v>
      </c>
      <c r="K964"/>
    </row>
    <row r="965" spans="1:12" ht="13.5" thickBot="1">
      <c r="A965" s="78" t="s">
        <v>35</v>
      </c>
      <c r="B965" s="79"/>
      <c r="C965" s="80">
        <f t="shared" ref="C965:H965" si="32">C956+C959+C961+C964</f>
        <v>4</v>
      </c>
      <c r="D965" s="80">
        <f t="shared" si="32"/>
        <v>27</v>
      </c>
      <c r="E965" s="80">
        <f t="shared" si="32"/>
        <v>260</v>
      </c>
      <c r="F965" s="80">
        <f t="shared" si="32"/>
        <v>1</v>
      </c>
      <c r="G965" s="80">
        <f t="shared" si="32"/>
        <v>80</v>
      </c>
      <c r="H965" s="80">
        <f t="shared" si="32"/>
        <v>354</v>
      </c>
      <c r="I965" s="80"/>
      <c r="J965" s="80">
        <f>J956+J959+J961+J964</f>
        <v>726</v>
      </c>
      <c r="K965"/>
    </row>
    <row r="966" spans="1:12">
      <c r="B966" s="38" t="s">
        <v>36</v>
      </c>
      <c r="C966" s="39"/>
      <c r="L966" s="26"/>
    </row>
    <row r="967" spans="1:12">
      <c r="A967" s="7" t="s">
        <v>37</v>
      </c>
      <c r="B967" s="8">
        <f>D956+D959+D961+D964</f>
        <v>27</v>
      </c>
      <c r="C967" s="6"/>
    </row>
    <row r="968" spans="1:12">
      <c r="A968" s="7" t="s">
        <v>38</v>
      </c>
      <c r="B968" s="8">
        <f>E965</f>
        <v>260</v>
      </c>
      <c r="C968" s="6"/>
    </row>
    <row r="969" spans="1:12">
      <c r="A969" s="7" t="s">
        <v>2615</v>
      </c>
      <c r="B969" s="8">
        <f>F956+F959+F961+F964</f>
        <v>1</v>
      </c>
      <c r="C969" s="6"/>
    </row>
    <row r="970" spans="1:12">
      <c r="A970" s="7" t="s">
        <v>39</v>
      </c>
      <c r="B970" s="8">
        <f>J952</f>
        <v>55</v>
      </c>
      <c r="C970" s="6"/>
    </row>
    <row r="971" spans="1:12">
      <c r="A971" s="7" t="s">
        <v>40</v>
      </c>
      <c r="B971" s="8">
        <f>J953+J958+J960</f>
        <v>331</v>
      </c>
      <c r="C971" s="6"/>
    </row>
    <row r="972" spans="1:12">
      <c r="A972" s="7" t="s">
        <v>41</v>
      </c>
      <c r="B972" s="8">
        <f>J954</f>
        <v>0</v>
      </c>
      <c r="C972" s="6"/>
    </row>
    <row r="973" spans="1:12">
      <c r="A973" s="7" t="s">
        <v>42</v>
      </c>
      <c r="B973" s="8">
        <f>J955</f>
        <v>48</v>
      </c>
      <c r="C973" s="6"/>
    </row>
    <row r="974" spans="1:12">
      <c r="A974" s="7" t="s">
        <v>43</v>
      </c>
      <c r="B974" s="8">
        <f>J962</f>
        <v>0</v>
      </c>
      <c r="C974" s="6"/>
    </row>
    <row r="975" spans="1:12">
      <c r="A975" s="7" t="s">
        <v>44</v>
      </c>
      <c r="B975" s="8">
        <f>J963</f>
        <v>4</v>
      </c>
      <c r="C975" s="6"/>
    </row>
    <row r="976" spans="1:12">
      <c r="A976" s="7"/>
      <c r="B976" s="81">
        <f>SUM(B967:B975)</f>
        <v>726</v>
      </c>
      <c r="C976" s="6"/>
    </row>
    <row r="978" spans="1:16" ht="13.5" thickBot="1"/>
    <row r="979" spans="1:16" ht="13.5" thickBot="1">
      <c r="A979" s="85" t="s">
        <v>2942</v>
      </c>
      <c r="B979" s="9"/>
    </row>
    <row r="980" spans="1:16" ht="13.5" thickBot="1">
      <c r="A980" s="11" t="s">
        <v>17</v>
      </c>
      <c r="B980" s="12" t="s">
        <v>18</v>
      </c>
      <c r="C980" s="13" t="s">
        <v>16</v>
      </c>
      <c r="D980" s="14" t="s">
        <v>15</v>
      </c>
      <c r="E980" s="14" t="s">
        <v>6</v>
      </c>
      <c r="F980" s="14" t="s">
        <v>19</v>
      </c>
      <c r="G980" s="74" t="s">
        <v>20</v>
      </c>
      <c r="H980" s="74" t="s">
        <v>21</v>
      </c>
      <c r="I980" s="14" t="s">
        <v>22</v>
      </c>
      <c r="J980" s="15" t="s">
        <v>9</v>
      </c>
      <c r="K980"/>
    </row>
    <row r="981" spans="1:16">
      <c r="A981" s="16" t="s">
        <v>0</v>
      </c>
      <c r="B981" s="17" t="s">
        <v>15</v>
      </c>
      <c r="C981" s="18"/>
      <c r="D981" s="6">
        <v>26</v>
      </c>
      <c r="E981" s="18"/>
      <c r="F981" s="18"/>
      <c r="G981" s="75"/>
      <c r="H981" s="75"/>
      <c r="I981" s="18"/>
      <c r="J981" s="19">
        <f>D981</f>
        <v>26</v>
      </c>
      <c r="K981"/>
    </row>
    <row r="982" spans="1:16">
      <c r="A982" s="22" t="s">
        <v>0</v>
      </c>
      <c r="B982" s="23" t="s">
        <v>6</v>
      </c>
      <c r="C982" s="6"/>
      <c r="D982" s="6"/>
      <c r="E982" s="6">
        <v>262</v>
      </c>
      <c r="F982" s="6">
        <v>1</v>
      </c>
      <c r="G982" s="76"/>
      <c r="H982" s="76"/>
      <c r="I982" s="6"/>
      <c r="J982" s="24">
        <f>E982+F982</f>
        <v>263</v>
      </c>
      <c r="K982"/>
      <c r="L982" s="20" t="s">
        <v>23</v>
      </c>
      <c r="M982" s="25" t="s">
        <v>2764</v>
      </c>
      <c r="N982" s="26"/>
      <c r="O982" s="26"/>
      <c r="P982" s="26"/>
    </row>
    <row r="983" spans="1:16">
      <c r="A983" s="22" t="s">
        <v>0</v>
      </c>
      <c r="B983" s="23" t="s">
        <v>13</v>
      </c>
      <c r="C983" s="6"/>
      <c r="D983" s="6"/>
      <c r="E983" s="6"/>
      <c r="F983" s="6"/>
      <c r="G983" s="76"/>
      <c r="H983" s="76">
        <v>55</v>
      </c>
      <c r="I983" s="6"/>
      <c r="J983" s="24">
        <f>G983+H983+I983</f>
        <v>55</v>
      </c>
      <c r="K983"/>
      <c r="L983" s="20">
        <v>183</v>
      </c>
      <c r="M983" s="25" t="s">
        <v>24</v>
      </c>
    </row>
    <row r="984" spans="1:16">
      <c r="A984" s="22" t="s">
        <v>0</v>
      </c>
      <c r="B984" s="23" t="s">
        <v>8</v>
      </c>
      <c r="C984" s="6"/>
      <c r="D984" s="6"/>
      <c r="E984" s="6"/>
      <c r="F984" s="6"/>
      <c r="G984" s="76">
        <v>66</v>
      </c>
      <c r="H984" s="76">
        <v>222</v>
      </c>
      <c r="I984" s="6"/>
      <c r="J984" s="24">
        <f>G984+H984+I984</f>
        <v>288</v>
      </c>
      <c r="K984"/>
      <c r="L984" s="20">
        <v>43</v>
      </c>
      <c r="M984" s="25" t="s">
        <v>25</v>
      </c>
    </row>
    <row r="985" spans="1:16">
      <c r="A985" s="22" t="s">
        <v>0</v>
      </c>
      <c r="B985" s="23" t="s">
        <v>12</v>
      </c>
      <c r="C985" s="6"/>
      <c r="D985" s="6"/>
      <c r="E985" s="6"/>
      <c r="F985" s="6"/>
      <c r="G985" s="76"/>
      <c r="H985" s="76">
        <v>0</v>
      </c>
      <c r="I985" s="6"/>
      <c r="J985" s="24">
        <f>H985</f>
        <v>0</v>
      </c>
      <c r="K985"/>
      <c r="L985" s="20">
        <v>35</v>
      </c>
      <c r="M985" s="25" t="s">
        <v>26</v>
      </c>
    </row>
    <row r="986" spans="1:16">
      <c r="A986" s="22" t="s">
        <v>0</v>
      </c>
      <c r="B986" s="23" t="s">
        <v>14</v>
      </c>
      <c r="C986" s="6"/>
      <c r="D986" s="6"/>
      <c r="E986" s="6"/>
      <c r="F986" s="6"/>
      <c r="G986" s="76">
        <v>5</v>
      </c>
      <c r="H986" s="76">
        <v>43</v>
      </c>
      <c r="I986" s="6"/>
      <c r="J986" s="24">
        <f>G986+H986</f>
        <v>48</v>
      </c>
      <c r="K986"/>
      <c r="L986" s="20">
        <v>0</v>
      </c>
      <c r="M986" s="25" t="s">
        <v>27</v>
      </c>
    </row>
    <row r="987" spans="1:16" ht="13.5" thickBot="1">
      <c r="A987" s="27" t="s">
        <v>29</v>
      </c>
      <c r="B987" s="28"/>
      <c r="C987" s="29"/>
      <c r="D987" s="29">
        <f>SUM(D981:D986)</f>
        <v>26</v>
      </c>
      <c r="E987" s="29">
        <f>SUM(E981:E986)</f>
        <v>262</v>
      </c>
      <c r="F987" s="29">
        <f>SUM(F981:F986)</f>
        <v>1</v>
      </c>
      <c r="G987" s="29">
        <f>SUM(G981:G986)</f>
        <v>71</v>
      </c>
      <c r="H987" s="29">
        <f>SUM(H981:H986)</f>
        <v>320</v>
      </c>
      <c r="I987" s="29"/>
      <c r="J987" s="30">
        <f>SUM(J981:J986)</f>
        <v>680</v>
      </c>
      <c r="K987"/>
      <c r="L987" s="20">
        <v>1</v>
      </c>
      <c r="M987" s="25" t="s">
        <v>28</v>
      </c>
    </row>
    <row r="988" spans="1:16">
      <c r="A988" s="31" t="s">
        <v>7</v>
      </c>
      <c r="B988" s="32" t="s">
        <v>15</v>
      </c>
      <c r="C988" s="33"/>
      <c r="D988" s="33"/>
      <c r="E988" s="33"/>
      <c r="F988" s="33"/>
      <c r="G988" s="77"/>
      <c r="H988" s="77"/>
      <c r="I988" s="33"/>
      <c r="J988" s="34"/>
      <c r="K988"/>
      <c r="L988" s="20">
        <v>1</v>
      </c>
      <c r="M988" s="25" t="s">
        <v>30</v>
      </c>
    </row>
    <row r="989" spans="1:16">
      <c r="A989" s="31" t="s">
        <v>7</v>
      </c>
      <c r="B989" s="32" t="s">
        <v>8</v>
      </c>
      <c r="C989" s="33"/>
      <c r="D989" s="33"/>
      <c r="E989" s="33"/>
      <c r="F989" s="33"/>
      <c r="G989" s="77">
        <v>4</v>
      </c>
      <c r="H989" s="77">
        <v>23</v>
      </c>
      <c r="I989" s="33"/>
      <c r="J989" s="34">
        <f>G989+H989</f>
        <v>27</v>
      </c>
      <c r="K989"/>
      <c r="L989" s="35">
        <f>SUM(L983:L988)</f>
        <v>263</v>
      </c>
      <c r="M989" s="21"/>
    </row>
    <row r="990" spans="1:16" ht="13.5" thickBot="1">
      <c r="A990" s="27" t="s">
        <v>31</v>
      </c>
      <c r="B990" s="28"/>
      <c r="C990" s="29"/>
      <c r="D990" s="29"/>
      <c r="E990" s="29"/>
      <c r="F990" s="29"/>
      <c r="G990" s="29">
        <f>SUM(G988:G989)</f>
        <v>4</v>
      </c>
      <c r="H990" s="29">
        <f>SUM(H988:H989)</f>
        <v>23</v>
      </c>
      <c r="I990" s="29"/>
      <c r="J990" s="30">
        <f>SUM(J988:J989)</f>
        <v>27</v>
      </c>
      <c r="K990"/>
    </row>
    <row r="991" spans="1:16">
      <c r="A991" s="31" t="s">
        <v>105</v>
      </c>
      <c r="B991" s="32" t="s">
        <v>8</v>
      </c>
      <c r="C991" s="33"/>
      <c r="D991" s="33"/>
      <c r="E991" s="33"/>
      <c r="F991" s="33"/>
      <c r="G991" s="77">
        <v>5</v>
      </c>
      <c r="H991" s="77">
        <v>11</v>
      </c>
      <c r="I991" s="33"/>
      <c r="J991" s="34">
        <f>G991+H991</f>
        <v>16</v>
      </c>
      <c r="K991"/>
    </row>
    <row r="992" spans="1:16" ht="13.5" thickBot="1">
      <c r="A992" s="27" t="s">
        <v>106</v>
      </c>
      <c r="B992" s="28"/>
      <c r="C992" s="29"/>
      <c r="D992" s="29"/>
      <c r="E992" s="29"/>
      <c r="F992" s="29"/>
      <c r="G992" s="29">
        <f>SUM(G991:G991)</f>
        <v>5</v>
      </c>
      <c r="H992" s="29">
        <f>SUM(H991:H991)</f>
        <v>11</v>
      </c>
      <c r="I992" s="29"/>
      <c r="J992" s="30">
        <f>SUM(J991:J991)</f>
        <v>16</v>
      </c>
      <c r="K992"/>
    </row>
    <row r="993" spans="1:12">
      <c r="A993" s="22" t="s">
        <v>108</v>
      </c>
      <c r="B993" s="32" t="s">
        <v>10</v>
      </c>
      <c r="C993" s="6"/>
      <c r="D993" s="6"/>
      <c r="E993" s="6"/>
      <c r="F993" s="6"/>
      <c r="G993" s="76"/>
      <c r="H993" s="76"/>
      <c r="I993" s="6"/>
      <c r="J993" s="24">
        <f>H993</f>
        <v>0</v>
      </c>
      <c r="K993"/>
    </row>
    <row r="994" spans="1:12">
      <c r="A994" s="22" t="s">
        <v>32</v>
      </c>
      <c r="B994" s="32" t="s">
        <v>33</v>
      </c>
      <c r="C994" s="6">
        <v>4</v>
      </c>
      <c r="D994" s="6"/>
      <c r="E994" s="6"/>
      <c r="F994" s="6"/>
      <c r="G994" s="76"/>
      <c r="H994" s="76"/>
      <c r="I994" s="6"/>
      <c r="J994" s="24">
        <f>C994</f>
        <v>4</v>
      </c>
      <c r="K994"/>
    </row>
    <row r="995" spans="1:12" ht="13.5" thickBot="1">
      <c r="A995" s="36" t="s">
        <v>34</v>
      </c>
      <c r="B995" s="37"/>
      <c r="C995" s="29">
        <f>SUM(C993:C994)</f>
        <v>4</v>
      </c>
      <c r="D995" s="29"/>
      <c r="E995" s="29"/>
      <c r="F995" s="29"/>
      <c r="G995" s="29"/>
      <c r="H995" s="29"/>
      <c r="I995" s="29"/>
      <c r="J995" s="30">
        <f>SUM(J993:J994)</f>
        <v>4</v>
      </c>
      <c r="K995"/>
    </row>
    <row r="996" spans="1:12" ht="13.5" thickBot="1">
      <c r="A996" s="78" t="s">
        <v>35</v>
      </c>
      <c r="B996" s="79"/>
      <c r="C996" s="80">
        <f t="shared" ref="C996:H996" si="33">C987+C990+C992+C995</f>
        <v>4</v>
      </c>
      <c r="D996" s="80">
        <f t="shared" si="33"/>
        <v>26</v>
      </c>
      <c r="E996" s="80">
        <f t="shared" si="33"/>
        <v>262</v>
      </c>
      <c r="F996" s="80">
        <f t="shared" si="33"/>
        <v>1</v>
      </c>
      <c r="G996" s="80">
        <f t="shared" si="33"/>
        <v>80</v>
      </c>
      <c r="H996" s="80">
        <f t="shared" si="33"/>
        <v>354</v>
      </c>
      <c r="I996" s="80"/>
      <c r="J996" s="80">
        <f>J987+J990+J992+J995</f>
        <v>727</v>
      </c>
      <c r="K996"/>
    </row>
    <row r="997" spans="1:12">
      <c r="B997" s="38" t="s">
        <v>36</v>
      </c>
      <c r="C997" s="39"/>
      <c r="L997" s="26"/>
    </row>
    <row r="998" spans="1:12">
      <c r="A998" s="7" t="s">
        <v>37</v>
      </c>
      <c r="B998" s="8">
        <f>D987+D990+D992+D995</f>
        <v>26</v>
      </c>
      <c r="C998" s="6"/>
    </row>
    <row r="999" spans="1:12">
      <c r="A999" s="7" t="s">
        <v>38</v>
      </c>
      <c r="B999" s="8">
        <f>E996</f>
        <v>262</v>
      </c>
      <c r="C999" s="6"/>
    </row>
    <row r="1000" spans="1:12">
      <c r="A1000" s="7" t="s">
        <v>2615</v>
      </c>
      <c r="B1000" s="8">
        <f>F987+F990+F992+F995</f>
        <v>1</v>
      </c>
      <c r="C1000" s="6"/>
    </row>
    <row r="1001" spans="1:12">
      <c r="A1001" s="7" t="s">
        <v>39</v>
      </c>
      <c r="B1001" s="8">
        <f>J983</f>
        <v>55</v>
      </c>
      <c r="C1001" s="6"/>
    </row>
    <row r="1002" spans="1:12">
      <c r="A1002" s="7" t="s">
        <v>40</v>
      </c>
      <c r="B1002" s="8">
        <f>J984+J989+J991</f>
        <v>331</v>
      </c>
      <c r="C1002" s="6"/>
    </row>
    <row r="1003" spans="1:12">
      <c r="A1003" s="7" t="s">
        <v>41</v>
      </c>
      <c r="B1003" s="8">
        <f>J985</f>
        <v>0</v>
      </c>
      <c r="C1003" s="6"/>
    </row>
    <row r="1004" spans="1:12">
      <c r="A1004" s="7" t="s">
        <v>42</v>
      </c>
      <c r="B1004" s="8">
        <f>J986</f>
        <v>48</v>
      </c>
      <c r="C1004" s="6"/>
    </row>
    <row r="1005" spans="1:12">
      <c r="A1005" s="7" t="s">
        <v>43</v>
      </c>
      <c r="B1005" s="8">
        <f>J993</f>
        <v>0</v>
      </c>
      <c r="C1005" s="6"/>
    </row>
    <row r="1006" spans="1:12">
      <c r="A1006" s="7" t="s">
        <v>44</v>
      </c>
      <c r="B1006" s="8">
        <f>J994</f>
        <v>4</v>
      </c>
      <c r="C1006" s="6"/>
    </row>
    <row r="1007" spans="1:12">
      <c r="A1007" s="7"/>
      <c r="B1007" s="81">
        <f>SUM(B998:B1006)</f>
        <v>727</v>
      </c>
      <c r="C1007" s="6"/>
    </row>
    <row r="1009" spans="1:16" ht="13.5" thickBot="1"/>
    <row r="1010" spans="1:16" ht="13.5" thickBot="1">
      <c r="A1010" s="85" t="s">
        <v>2921</v>
      </c>
      <c r="B1010" s="9"/>
    </row>
    <row r="1011" spans="1:16" ht="13.5" thickBot="1">
      <c r="A1011" s="11" t="s">
        <v>17</v>
      </c>
      <c r="B1011" s="12" t="s">
        <v>18</v>
      </c>
      <c r="C1011" s="13" t="s">
        <v>16</v>
      </c>
      <c r="D1011" s="14" t="s">
        <v>15</v>
      </c>
      <c r="E1011" s="14" t="s">
        <v>6</v>
      </c>
      <c r="F1011" s="14" t="s">
        <v>19</v>
      </c>
      <c r="G1011" s="74" t="s">
        <v>20</v>
      </c>
      <c r="H1011" s="74" t="s">
        <v>21</v>
      </c>
      <c r="I1011" s="14" t="s">
        <v>22</v>
      </c>
      <c r="J1011" s="15" t="s">
        <v>9</v>
      </c>
      <c r="K1011"/>
    </row>
    <row r="1012" spans="1:16">
      <c r="A1012" s="16" t="s">
        <v>0</v>
      </c>
      <c r="B1012" s="17" t="s">
        <v>15</v>
      </c>
      <c r="C1012" s="18"/>
      <c r="D1012" s="6">
        <v>26</v>
      </c>
      <c r="E1012" s="18"/>
      <c r="F1012" s="18"/>
      <c r="G1012" s="75"/>
      <c r="H1012" s="75"/>
      <c r="I1012" s="18"/>
      <c r="J1012" s="19">
        <f>D1012</f>
        <v>26</v>
      </c>
      <c r="K1012"/>
    </row>
    <row r="1013" spans="1:16">
      <c r="A1013" s="22" t="s">
        <v>0</v>
      </c>
      <c r="B1013" s="23" t="s">
        <v>6</v>
      </c>
      <c r="C1013" s="6"/>
      <c r="D1013" s="6"/>
      <c r="E1013" s="6">
        <v>262</v>
      </c>
      <c r="F1013" s="6">
        <v>1</v>
      </c>
      <c r="G1013" s="76"/>
      <c r="H1013" s="76"/>
      <c r="I1013" s="6"/>
      <c r="J1013" s="24">
        <f>E1013+F1013</f>
        <v>263</v>
      </c>
      <c r="K1013"/>
      <c r="L1013" s="20" t="s">
        <v>23</v>
      </c>
      <c r="M1013" s="25" t="s">
        <v>2764</v>
      </c>
      <c r="N1013" s="26" t="s">
        <v>2922</v>
      </c>
      <c r="O1013" s="26" t="s">
        <v>2923</v>
      </c>
      <c r="P1013" s="26"/>
    </row>
    <row r="1014" spans="1:16">
      <c r="A1014" s="22" t="s">
        <v>0</v>
      </c>
      <c r="B1014" s="23" t="s">
        <v>13</v>
      </c>
      <c r="C1014" s="6"/>
      <c r="D1014" s="6"/>
      <c r="E1014" s="6"/>
      <c r="F1014" s="6"/>
      <c r="G1014" s="76"/>
      <c r="H1014" s="76">
        <v>55</v>
      </c>
      <c r="I1014" s="6"/>
      <c r="J1014" s="24">
        <f>G1014+H1014+I1014</f>
        <v>55</v>
      </c>
      <c r="K1014"/>
      <c r="L1014" s="20">
        <v>183</v>
      </c>
      <c r="M1014" s="25" t="s">
        <v>24</v>
      </c>
    </row>
    <row r="1015" spans="1:16">
      <c r="A1015" s="22" t="s">
        <v>0</v>
      </c>
      <c r="B1015" s="23" t="s">
        <v>8</v>
      </c>
      <c r="C1015" s="6"/>
      <c r="D1015" s="6"/>
      <c r="E1015" s="6"/>
      <c r="F1015" s="6"/>
      <c r="G1015" s="76">
        <v>66</v>
      </c>
      <c r="H1015" s="76">
        <v>220</v>
      </c>
      <c r="I1015" s="6"/>
      <c r="J1015" s="24">
        <f>G1015+H1015+I1015</f>
        <v>286</v>
      </c>
      <c r="K1015"/>
      <c r="L1015" s="20">
        <v>43</v>
      </c>
      <c r="M1015" s="25" t="s">
        <v>25</v>
      </c>
    </row>
    <row r="1016" spans="1:16">
      <c r="A1016" s="22" t="s">
        <v>0</v>
      </c>
      <c r="B1016" s="23" t="s">
        <v>12</v>
      </c>
      <c r="C1016" s="6"/>
      <c r="D1016" s="6"/>
      <c r="E1016" s="6"/>
      <c r="F1016" s="6"/>
      <c r="G1016" s="76"/>
      <c r="H1016" s="76">
        <v>0</v>
      </c>
      <c r="I1016" s="6"/>
      <c r="J1016" s="24">
        <f>H1016</f>
        <v>0</v>
      </c>
      <c r="K1016"/>
      <c r="L1016" s="20">
        <v>35</v>
      </c>
      <c r="M1016" s="25" t="s">
        <v>26</v>
      </c>
    </row>
    <row r="1017" spans="1:16">
      <c r="A1017" s="22" t="s">
        <v>0</v>
      </c>
      <c r="B1017" s="23" t="s">
        <v>14</v>
      </c>
      <c r="C1017" s="6"/>
      <c r="D1017" s="6"/>
      <c r="E1017" s="6"/>
      <c r="F1017" s="6"/>
      <c r="G1017" s="76">
        <v>5</v>
      </c>
      <c r="H1017" s="76">
        <v>43</v>
      </c>
      <c r="I1017" s="6"/>
      <c r="J1017" s="24">
        <f>G1017+H1017</f>
        <v>48</v>
      </c>
      <c r="K1017"/>
      <c r="L1017" s="20">
        <v>0</v>
      </c>
      <c r="M1017" s="25" t="s">
        <v>27</v>
      </c>
    </row>
    <row r="1018" spans="1:16" ht="13.5" thickBot="1">
      <c r="A1018" s="27" t="s">
        <v>29</v>
      </c>
      <c r="B1018" s="28"/>
      <c r="C1018" s="29"/>
      <c r="D1018" s="29">
        <f>SUM(D1012:D1017)</f>
        <v>26</v>
      </c>
      <c r="E1018" s="29">
        <f>SUM(E1012:E1017)</f>
        <v>262</v>
      </c>
      <c r="F1018" s="29">
        <f>SUM(F1012:F1017)</f>
        <v>1</v>
      </c>
      <c r="G1018" s="29">
        <f>SUM(G1012:G1017)</f>
        <v>71</v>
      </c>
      <c r="H1018" s="29">
        <f>SUM(H1012:H1017)</f>
        <v>318</v>
      </c>
      <c r="I1018" s="29"/>
      <c r="J1018" s="30">
        <f>SUM(J1012:J1017)</f>
        <v>678</v>
      </c>
      <c r="K1018"/>
      <c r="L1018" s="20">
        <v>1</v>
      </c>
      <c r="M1018" s="25" t="s">
        <v>28</v>
      </c>
    </row>
    <row r="1019" spans="1:16">
      <c r="A1019" s="31" t="s">
        <v>7</v>
      </c>
      <c r="B1019" s="32" t="s">
        <v>15</v>
      </c>
      <c r="C1019" s="33"/>
      <c r="D1019" s="33"/>
      <c r="E1019" s="33"/>
      <c r="F1019" s="33"/>
      <c r="G1019" s="77"/>
      <c r="H1019" s="77"/>
      <c r="I1019" s="33"/>
      <c r="J1019" s="34"/>
      <c r="K1019"/>
      <c r="L1019" s="20">
        <v>1</v>
      </c>
      <c r="M1019" s="25" t="s">
        <v>30</v>
      </c>
    </row>
    <row r="1020" spans="1:16">
      <c r="A1020" s="31" t="s">
        <v>7</v>
      </c>
      <c r="B1020" s="32" t="s">
        <v>8</v>
      </c>
      <c r="C1020" s="33"/>
      <c r="D1020" s="33"/>
      <c r="E1020" s="33"/>
      <c r="F1020" s="33"/>
      <c r="G1020" s="77">
        <v>4</v>
      </c>
      <c r="H1020" s="77">
        <v>23</v>
      </c>
      <c r="I1020" s="33"/>
      <c r="J1020" s="34">
        <f>G1020+H1020</f>
        <v>27</v>
      </c>
      <c r="K1020"/>
      <c r="L1020" s="35">
        <f>SUM(L1014:L1019)</f>
        <v>263</v>
      </c>
      <c r="M1020" s="21"/>
    </row>
    <row r="1021" spans="1:16" ht="13.5" thickBot="1">
      <c r="A1021" s="27" t="s">
        <v>31</v>
      </c>
      <c r="B1021" s="28"/>
      <c r="C1021" s="29"/>
      <c r="D1021" s="29"/>
      <c r="E1021" s="29"/>
      <c r="F1021" s="29"/>
      <c r="G1021" s="29">
        <f>SUM(G1019:G1020)</f>
        <v>4</v>
      </c>
      <c r="H1021" s="29">
        <f>SUM(H1019:H1020)</f>
        <v>23</v>
      </c>
      <c r="I1021" s="29"/>
      <c r="J1021" s="30">
        <f>SUM(J1019:J1020)</f>
        <v>27</v>
      </c>
      <c r="K1021"/>
    </row>
    <row r="1022" spans="1:16">
      <c r="A1022" s="31" t="s">
        <v>105</v>
      </c>
      <c r="B1022" s="32" t="s">
        <v>8</v>
      </c>
      <c r="C1022" s="33"/>
      <c r="D1022" s="33"/>
      <c r="E1022" s="33"/>
      <c r="F1022" s="33"/>
      <c r="G1022" s="77">
        <v>5</v>
      </c>
      <c r="H1022" s="77">
        <v>9</v>
      </c>
      <c r="I1022" s="33"/>
      <c r="J1022" s="34">
        <f>G1022+H1022</f>
        <v>14</v>
      </c>
      <c r="K1022"/>
    </row>
    <row r="1023" spans="1:16" ht="13.5" thickBot="1">
      <c r="A1023" s="27" t="s">
        <v>106</v>
      </c>
      <c r="B1023" s="28"/>
      <c r="C1023" s="29"/>
      <c r="D1023" s="29"/>
      <c r="E1023" s="29"/>
      <c r="F1023" s="29"/>
      <c r="G1023" s="29">
        <f>SUM(G1022:G1022)</f>
        <v>5</v>
      </c>
      <c r="H1023" s="29">
        <f>SUM(H1022:H1022)</f>
        <v>9</v>
      </c>
      <c r="I1023" s="29"/>
      <c r="J1023" s="30">
        <f>SUM(J1022:J1022)</f>
        <v>14</v>
      </c>
      <c r="K1023"/>
    </row>
    <row r="1024" spans="1:16">
      <c r="A1024" s="22" t="s">
        <v>108</v>
      </c>
      <c r="B1024" s="32" t="s">
        <v>10</v>
      </c>
      <c r="C1024" s="6"/>
      <c r="D1024" s="6"/>
      <c r="E1024" s="6"/>
      <c r="F1024" s="6"/>
      <c r="G1024" s="76"/>
      <c r="H1024" s="76"/>
      <c r="I1024" s="6"/>
      <c r="J1024" s="24">
        <f>H1024</f>
        <v>0</v>
      </c>
      <c r="K1024"/>
    </row>
    <row r="1025" spans="1:12">
      <c r="A1025" s="22" t="s">
        <v>32</v>
      </c>
      <c r="B1025" s="32" t="s">
        <v>33</v>
      </c>
      <c r="C1025" s="6">
        <v>4</v>
      </c>
      <c r="D1025" s="6"/>
      <c r="E1025" s="6"/>
      <c r="F1025" s="6"/>
      <c r="G1025" s="76"/>
      <c r="H1025" s="76"/>
      <c r="I1025" s="6"/>
      <c r="J1025" s="24">
        <f>C1025</f>
        <v>4</v>
      </c>
      <c r="K1025"/>
    </row>
    <row r="1026" spans="1:12" ht="13.5" thickBot="1">
      <c r="A1026" s="36" t="s">
        <v>34</v>
      </c>
      <c r="B1026" s="37"/>
      <c r="C1026" s="29">
        <f>SUM(C1024:C1025)</f>
        <v>4</v>
      </c>
      <c r="D1026" s="29"/>
      <c r="E1026" s="29"/>
      <c r="F1026" s="29"/>
      <c r="G1026" s="29"/>
      <c r="H1026" s="29"/>
      <c r="I1026" s="29"/>
      <c r="J1026" s="30">
        <f>SUM(J1024:J1025)</f>
        <v>4</v>
      </c>
      <c r="K1026"/>
    </row>
    <row r="1027" spans="1:12" ht="13.5" thickBot="1">
      <c r="A1027" s="78" t="s">
        <v>35</v>
      </c>
      <c r="B1027" s="79"/>
      <c r="C1027" s="80">
        <f t="shared" ref="C1027:H1027" si="34">C1018+C1021+C1023+C1026</f>
        <v>4</v>
      </c>
      <c r="D1027" s="80">
        <f t="shared" si="34"/>
        <v>26</v>
      </c>
      <c r="E1027" s="80">
        <f t="shared" si="34"/>
        <v>262</v>
      </c>
      <c r="F1027" s="80">
        <f t="shared" si="34"/>
        <v>1</v>
      </c>
      <c r="G1027" s="80">
        <f t="shared" si="34"/>
        <v>80</v>
      </c>
      <c r="H1027" s="80">
        <f t="shared" si="34"/>
        <v>350</v>
      </c>
      <c r="I1027" s="80"/>
      <c r="J1027" s="80">
        <f>J1018+J1021+J1023+J1026</f>
        <v>723</v>
      </c>
      <c r="K1027"/>
    </row>
    <row r="1028" spans="1:12">
      <c r="B1028" s="38" t="s">
        <v>36</v>
      </c>
      <c r="C1028" s="39"/>
      <c r="L1028" s="26"/>
    </row>
    <row r="1029" spans="1:12">
      <c r="A1029" s="7" t="s">
        <v>37</v>
      </c>
      <c r="B1029" s="8">
        <f>D1018+D1021+D1023+D1026</f>
        <v>26</v>
      </c>
      <c r="C1029" s="6"/>
    </row>
    <row r="1030" spans="1:12">
      <c r="A1030" s="7" t="s">
        <v>38</v>
      </c>
      <c r="B1030" s="8">
        <f>E1027</f>
        <v>262</v>
      </c>
      <c r="C1030" s="6"/>
    </row>
    <row r="1031" spans="1:12">
      <c r="A1031" s="7" t="s">
        <v>2615</v>
      </c>
      <c r="B1031" s="8">
        <f>F1018+F1021+F1023+F1026</f>
        <v>1</v>
      </c>
      <c r="C1031" s="6"/>
    </row>
    <row r="1032" spans="1:12">
      <c r="A1032" s="7" t="s">
        <v>39</v>
      </c>
      <c r="B1032" s="8">
        <f>J1014</f>
        <v>55</v>
      </c>
      <c r="C1032" s="6"/>
    </row>
    <row r="1033" spans="1:12">
      <c r="A1033" s="7" t="s">
        <v>40</v>
      </c>
      <c r="B1033" s="8">
        <f>J1015+J1020+J1022</f>
        <v>327</v>
      </c>
      <c r="C1033" s="6"/>
    </row>
    <row r="1034" spans="1:12">
      <c r="A1034" s="7" t="s">
        <v>41</v>
      </c>
      <c r="B1034" s="8">
        <f>J1016</f>
        <v>0</v>
      </c>
      <c r="C1034" s="6"/>
    </row>
    <row r="1035" spans="1:12">
      <c r="A1035" s="7" t="s">
        <v>42</v>
      </c>
      <c r="B1035" s="8">
        <f>J1017</f>
        <v>48</v>
      </c>
      <c r="C1035" s="6"/>
    </row>
    <row r="1036" spans="1:12">
      <c r="A1036" s="7" t="s">
        <v>43</v>
      </c>
      <c r="B1036" s="8">
        <f>J1024</f>
        <v>0</v>
      </c>
      <c r="C1036" s="6"/>
    </row>
    <row r="1037" spans="1:12">
      <c r="A1037" s="7" t="s">
        <v>44</v>
      </c>
      <c r="B1037" s="8">
        <f>J1025</f>
        <v>4</v>
      </c>
      <c r="C1037" s="6"/>
    </row>
    <row r="1038" spans="1:12">
      <c r="A1038" s="7"/>
      <c r="B1038" s="81">
        <f>SUM(B1029:B1037)</f>
        <v>723</v>
      </c>
      <c r="C1038" s="6"/>
    </row>
    <row r="1041" spans="1:16" ht="13.5" thickBot="1"/>
    <row r="1042" spans="1:16" ht="13.5" thickBot="1">
      <c r="A1042" s="85" t="s">
        <v>2917</v>
      </c>
      <c r="B1042" s="9"/>
    </row>
    <row r="1043" spans="1:16" ht="13.5" thickBot="1">
      <c r="A1043" s="11" t="s">
        <v>17</v>
      </c>
      <c r="B1043" s="12" t="s">
        <v>18</v>
      </c>
      <c r="C1043" s="13" t="s">
        <v>16</v>
      </c>
      <c r="D1043" s="14" t="s">
        <v>15</v>
      </c>
      <c r="E1043" s="14" t="s">
        <v>6</v>
      </c>
      <c r="F1043" s="14" t="s">
        <v>19</v>
      </c>
      <c r="G1043" s="74" t="s">
        <v>20</v>
      </c>
      <c r="H1043" s="74" t="s">
        <v>21</v>
      </c>
      <c r="I1043" s="14" t="s">
        <v>22</v>
      </c>
      <c r="J1043" s="15" t="s">
        <v>9</v>
      </c>
      <c r="K1043"/>
    </row>
    <row r="1044" spans="1:16">
      <c r="A1044" s="16" t="s">
        <v>0</v>
      </c>
      <c r="B1044" s="17" t="s">
        <v>15</v>
      </c>
      <c r="C1044" s="18"/>
      <c r="D1044" s="6">
        <v>26</v>
      </c>
      <c r="E1044" s="18"/>
      <c r="F1044" s="18"/>
      <c r="G1044" s="75"/>
      <c r="H1044" s="75"/>
      <c r="I1044" s="18"/>
      <c r="J1044" s="19">
        <f>D1044</f>
        <v>26</v>
      </c>
      <c r="K1044"/>
    </row>
    <row r="1045" spans="1:16">
      <c r="A1045" s="22" t="s">
        <v>0</v>
      </c>
      <c r="B1045" s="23" t="s">
        <v>6</v>
      </c>
      <c r="C1045" s="6"/>
      <c r="D1045" s="6"/>
      <c r="E1045" s="6">
        <v>264</v>
      </c>
      <c r="F1045" s="6">
        <v>1</v>
      </c>
      <c r="G1045" s="76"/>
      <c r="H1045" s="76"/>
      <c r="I1045" s="6"/>
      <c r="J1045" s="24">
        <f>E1045+F1045</f>
        <v>265</v>
      </c>
      <c r="K1045"/>
      <c r="L1045" s="20" t="s">
        <v>23</v>
      </c>
      <c r="M1045" s="25" t="s">
        <v>2764</v>
      </c>
      <c r="N1045" s="26"/>
      <c r="O1045" s="26"/>
      <c r="P1045" s="26"/>
    </row>
    <row r="1046" spans="1:16">
      <c r="A1046" s="22" t="s">
        <v>0</v>
      </c>
      <c r="B1046" s="23" t="s">
        <v>13</v>
      </c>
      <c r="C1046" s="6"/>
      <c r="D1046" s="6"/>
      <c r="E1046" s="6"/>
      <c r="F1046" s="6"/>
      <c r="G1046" s="76"/>
      <c r="H1046" s="76">
        <v>55</v>
      </c>
      <c r="I1046" s="6"/>
      <c r="J1046" s="24">
        <f>G1046+H1046+I1046</f>
        <v>55</v>
      </c>
      <c r="K1046"/>
      <c r="L1046" s="20">
        <v>185</v>
      </c>
      <c r="M1046" s="25" t="s">
        <v>24</v>
      </c>
    </row>
    <row r="1047" spans="1:16">
      <c r="A1047" s="22" t="s">
        <v>0</v>
      </c>
      <c r="B1047" s="23" t="s">
        <v>8</v>
      </c>
      <c r="C1047" s="6"/>
      <c r="D1047" s="6"/>
      <c r="E1047" s="6"/>
      <c r="F1047" s="6"/>
      <c r="G1047" s="76">
        <v>66</v>
      </c>
      <c r="H1047" s="76">
        <v>220</v>
      </c>
      <c r="I1047" s="6"/>
      <c r="J1047" s="24">
        <f>G1047+H1047+I1047</f>
        <v>286</v>
      </c>
      <c r="K1047"/>
      <c r="L1047" s="20">
        <v>43</v>
      </c>
      <c r="M1047" s="25" t="s">
        <v>25</v>
      </c>
    </row>
    <row r="1048" spans="1:16">
      <c r="A1048" s="22" t="s">
        <v>0</v>
      </c>
      <c r="B1048" s="23" t="s">
        <v>12</v>
      </c>
      <c r="C1048" s="6"/>
      <c r="D1048" s="6"/>
      <c r="E1048" s="6"/>
      <c r="F1048" s="6"/>
      <c r="G1048" s="76"/>
      <c r="H1048" s="76">
        <v>0</v>
      </c>
      <c r="I1048" s="6"/>
      <c r="J1048" s="24">
        <f>H1048</f>
        <v>0</v>
      </c>
      <c r="K1048"/>
      <c r="L1048" s="20">
        <v>35</v>
      </c>
      <c r="M1048" s="25" t="s">
        <v>26</v>
      </c>
    </row>
    <row r="1049" spans="1:16">
      <c r="A1049" s="22" t="s">
        <v>0</v>
      </c>
      <c r="B1049" s="23" t="s">
        <v>14</v>
      </c>
      <c r="C1049" s="6"/>
      <c r="D1049" s="6"/>
      <c r="E1049" s="6"/>
      <c r="F1049" s="6"/>
      <c r="G1049" s="76">
        <v>5</v>
      </c>
      <c r="H1049" s="76">
        <v>44</v>
      </c>
      <c r="I1049" s="6"/>
      <c r="J1049" s="24">
        <f>G1049+H1049</f>
        <v>49</v>
      </c>
      <c r="K1049"/>
      <c r="L1049" s="20">
        <v>0</v>
      </c>
      <c r="M1049" s="25" t="s">
        <v>27</v>
      </c>
    </row>
    <row r="1050" spans="1:16" ht="13.5" thickBot="1">
      <c r="A1050" s="27" t="s">
        <v>29</v>
      </c>
      <c r="B1050" s="28"/>
      <c r="C1050" s="29"/>
      <c r="D1050" s="29">
        <f>SUM(D1044:D1049)</f>
        <v>26</v>
      </c>
      <c r="E1050" s="29">
        <f>SUM(E1044:E1049)</f>
        <v>264</v>
      </c>
      <c r="F1050" s="29">
        <f>SUM(F1044:F1049)</f>
        <v>1</v>
      </c>
      <c r="G1050" s="29">
        <f>SUM(G1044:G1049)</f>
        <v>71</v>
      </c>
      <c r="H1050" s="29">
        <f>SUM(H1044:H1049)</f>
        <v>319</v>
      </c>
      <c r="I1050" s="29"/>
      <c r="J1050" s="30">
        <f>SUM(J1044:J1049)</f>
        <v>681</v>
      </c>
      <c r="K1050"/>
      <c r="L1050" s="20">
        <v>1</v>
      </c>
      <c r="M1050" s="25" t="s">
        <v>28</v>
      </c>
    </row>
    <row r="1051" spans="1:16">
      <c r="A1051" s="31" t="s">
        <v>7</v>
      </c>
      <c r="B1051" s="32" t="s">
        <v>15</v>
      </c>
      <c r="C1051" s="33"/>
      <c r="D1051" s="33"/>
      <c r="E1051" s="33"/>
      <c r="F1051" s="33"/>
      <c r="G1051" s="77"/>
      <c r="H1051" s="77"/>
      <c r="I1051" s="33"/>
      <c r="J1051" s="34"/>
      <c r="K1051"/>
      <c r="L1051" s="20">
        <v>1</v>
      </c>
      <c r="M1051" s="25" t="s">
        <v>30</v>
      </c>
    </row>
    <row r="1052" spans="1:16">
      <c r="A1052" s="31" t="s">
        <v>7</v>
      </c>
      <c r="B1052" s="32" t="s">
        <v>8</v>
      </c>
      <c r="C1052" s="33"/>
      <c r="D1052" s="33"/>
      <c r="E1052" s="33"/>
      <c r="F1052" s="33"/>
      <c r="G1052" s="77">
        <v>4</v>
      </c>
      <c r="H1052" s="77">
        <v>24</v>
      </c>
      <c r="I1052" s="33"/>
      <c r="J1052" s="34">
        <f>G1052+H1052</f>
        <v>28</v>
      </c>
      <c r="K1052"/>
      <c r="L1052" s="35">
        <f>SUM(L1046:L1051)</f>
        <v>265</v>
      </c>
      <c r="M1052" s="21"/>
    </row>
    <row r="1053" spans="1:16" ht="13.5" thickBot="1">
      <c r="A1053" s="27" t="s">
        <v>31</v>
      </c>
      <c r="B1053" s="28"/>
      <c r="C1053" s="29"/>
      <c r="D1053" s="29"/>
      <c r="E1053" s="29"/>
      <c r="F1053" s="29"/>
      <c r="G1053" s="29">
        <f>SUM(G1051:G1052)</f>
        <v>4</v>
      </c>
      <c r="H1053" s="29">
        <f>SUM(H1051:H1052)</f>
        <v>24</v>
      </c>
      <c r="I1053" s="29"/>
      <c r="J1053" s="30">
        <f>SUM(J1051:J1052)</f>
        <v>28</v>
      </c>
      <c r="K1053"/>
    </row>
    <row r="1054" spans="1:16">
      <c r="A1054" s="31" t="s">
        <v>105</v>
      </c>
      <c r="B1054" s="32" t="s">
        <v>8</v>
      </c>
      <c r="C1054" s="33"/>
      <c r="D1054" s="33"/>
      <c r="E1054" s="33"/>
      <c r="F1054" s="33"/>
      <c r="G1054" s="77">
        <v>5</v>
      </c>
      <c r="H1054" s="77">
        <v>9</v>
      </c>
      <c r="I1054" s="33"/>
      <c r="J1054" s="34">
        <f>G1054+H1054</f>
        <v>14</v>
      </c>
      <c r="K1054"/>
    </row>
    <row r="1055" spans="1:16" ht="13.5" thickBot="1">
      <c r="A1055" s="27" t="s">
        <v>106</v>
      </c>
      <c r="B1055" s="28"/>
      <c r="C1055" s="29"/>
      <c r="D1055" s="29"/>
      <c r="E1055" s="29"/>
      <c r="F1055" s="29"/>
      <c r="G1055" s="29">
        <f>SUM(G1054:G1054)</f>
        <v>5</v>
      </c>
      <c r="H1055" s="29">
        <f>SUM(H1054:H1054)</f>
        <v>9</v>
      </c>
      <c r="I1055" s="29"/>
      <c r="J1055" s="30">
        <f>SUM(J1054:J1054)</f>
        <v>14</v>
      </c>
      <c r="K1055"/>
    </row>
    <row r="1056" spans="1:16">
      <c r="A1056" s="22" t="s">
        <v>108</v>
      </c>
      <c r="B1056" s="32" t="s">
        <v>10</v>
      </c>
      <c r="C1056" s="6"/>
      <c r="D1056" s="6"/>
      <c r="E1056" s="6"/>
      <c r="F1056" s="6"/>
      <c r="G1056" s="76"/>
      <c r="H1056" s="76"/>
      <c r="I1056" s="6"/>
      <c r="J1056" s="24">
        <f>H1056</f>
        <v>0</v>
      </c>
      <c r="K1056"/>
    </row>
    <row r="1057" spans="1:12">
      <c r="A1057" s="22" t="s">
        <v>32</v>
      </c>
      <c r="B1057" s="32" t="s">
        <v>33</v>
      </c>
      <c r="C1057" s="6">
        <v>4</v>
      </c>
      <c r="D1057" s="6"/>
      <c r="E1057" s="6"/>
      <c r="F1057" s="6"/>
      <c r="G1057" s="76"/>
      <c r="H1057" s="76"/>
      <c r="I1057" s="6"/>
      <c r="J1057" s="24">
        <f>C1057</f>
        <v>4</v>
      </c>
      <c r="K1057"/>
    </row>
    <row r="1058" spans="1:12" ht="13.5" thickBot="1">
      <c r="A1058" s="36" t="s">
        <v>34</v>
      </c>
      <c r="B1058" s="37"/>
      <c r="C1058" s="29">
        <f>SUM(C1056:C1057)</f>
        <v>4</v>
      </c>
      <c r="D1058" s="29"/>
      <c r="E1058" s="29"/>
      <c r="F1058" s="29"/>
      <c r="G1058" s="29"/>
      <c r="H1058" s="29"/>
      <c r="I1058" s="29"/>
      <c r="J1058" s="30">
        <f>SUM(J1056:J1057)</f>
        <v>4</v>
      </c>
      <c r="K1058"/>
    </row>
    <row r="1059" spans="1:12" ht="13.5" thickBot="1">
      <c r="A1059" s="78" t="s">
        <v>35</v>
      </c>
      <c r="B1059" s="79"/>
      <c r="C1059" s="80">
        <f t="shared" ref="C1059:H1059" si="35">C1050+C1053+C1055+C1058</f>
        <v>4</v>
      </c>
      <c r="D1059" s="80">
        <f t="shared" si="35"/>
        <v>26</v>
      </c>
      <c r="E1059" s="80">
        <f t="shared" si="35"/>
        <v>264</v>
      </c>
      <c r="F1059" s="80">
        <f t="shared" si="35"/>
        <v>1</v>
      </c>
      <c r="G1059" s="80">
        <f t="shared" si="35"/>
        <v>80</v>
      </c>
      <c r="H1059" s="80">
        <f t="shared" si="35"/>
        <v>352</v>
      </c>
      <c r="I1059" s="80"/>
      <c r="J1059" s="80">
        <f>J1050+J1053+J1055+J1058</f>
        <v>727</v>
      </c>
      <c r="K1059"/>
    </row>
    <row r="1060" spans="1:12">
      <c r="B1060" s="38" t="s">
        <v>36</v>
      </c>
      <c r="C1060" s="39"/>
      <c r="L1060" s="26"/>
    </row>
    <row r="1061" spans="1:12">
      <c r="A1061" s="7" t="s">
        <v>37</v>
      </c>
      <c r="B1061" s="8">
        <f>D1050+D1053+D1055+D1058</f>
        <v>26</v>
      </c>
      <c r="C1061" s="6"/>
    </row>
    <row r="1062" spans="1:12">
      <c r="A1062" s="7" t="s">
        <v>38</v>
      </c>
      <c r="B1062" s="8">
        <f>E1059</f>
        <v>264</v>
      </c>
      <c r="C1062" s="6"/>
    </row>
    <row r="1063" spans="1:12">
      <c r="A1063" s="7" t="s">
        <v>2615</v>
      </c>
      <c r="B1063" s="8">
        <f>F1050+F1053+F1055+F1058</f>
        <v>1</v>
      </c>
      <c r="C1063" s="6"/>
    </row>
    <row r="1064" spans="1:12">
      <c r="A1064" s="7" t="s">
        <v>39</v>
      </c>
      <c r="B1064" s="8">
        <f>J1046</f>
        <v>55</v>
      </c>
      <c r="C1064" s="6"/>
    </row>
    <row r="1065" spans="1:12">
      <c r="A1065" s="7" t="s">
        <v>40</v>
      </c>
      <c r="B1065" s="8">
        <f>J1047+J1052+J1054</f>
        <v>328</v>
      </c>
      <c r="C1065" s="6"/>
    </row>
    <row r="1066" spans="1:12">
      <c r="A1066" s="7" t="s">
        <v>41</v>
      </c>
      <c r="B1066" s="8">
        <f>J1048</f>
        <v>0</v>
      </c>
      <c r="C1066" s="6"/>
    </row>
    <row r="1067" spans="1:12">
      <c r="A1067" s="7" t="s">
        <v>42</v>
      </c>
      <c r="B1067" s="8">
        <f>J1049</f>
        <v>49</v>
      </c>
      <c r="C1067" s="6"/>
    </row>
    <row r="1068" spans="1:12">
      <c r="A1068" s="7" t="s">
        <v>43</v>
      </c>
      <c r="B1068" s="8">
        <f>J1056</f>
        <v>0</v>
      </c>
      <c r="C1068" s="6"/>
    </row>
    <row r="1069" spans="1:12">
      <c r="A1069" s="7" t="s">
        <v>44</v>
      </c>
      <c r="B1069" s="8">
        <f>J1057</f>
        <v>4</v>
      </c>
      <c r="C1069" s="6"/>
    </row>
    <row r="1070" spans="1:12">
      <c r="A1070" s="7"/>
      <c r="B1070" s="81">
        <f>SUM(B1061:B1069)</f>
        <v>727</v>
      </c>
      <c r="C1070" s="6"/>
    </row>
    <row r="1074" spans="1:16" ht="13.5" thickBot="1"/>
    <row r="1075" spans="1:16" ht="13.5" thickBot="1">
      <c r="A1075" s="85" t="s">
        <v>2879</v>
      </c>
      <c r="B1075" s="9"/>
    </row>
    <row r="1076" spans="1:16" ht="13.5" thickBot="1">
      <c r="A1076" s="11" t="s">
        <v>17</v>
      </c>
      <c r="B1076" s="12" t="s">
        <v>18</v>
      </c>
      <c r="C1076" s="13" t="s">
        <v>16</v>
      </c>
      <c r="D1076" s="14" t="s">
        <v>15</v>
      </c>
      <c r="E1076" s="14" t="s">
        <v>6</v>
      </c>
      <c r="F1076" s="14" t="s">
        <v>19</v>
      </c>
      <c r="G1076" s="74" t="s">
        <v>20</v>
      </c>
      <c r="H1076" s="74" t="s">
        <v>21</v>
      </c>
      <c r="I1076" s="14" t="s">
        <v>22</v>
      </c>
      <c r="J1076" s="15" t="s">
        <v>9</v>
      </c>
      <c r="K1076"/>
    </row>
    <row r="1077" spans="1:16">
      <c r="A1077" s="16" t="s">
        <v>0</v>
      </c>
      <c r="B1077" s="17" t="s">
        <v>15</v>
      </c>
      <c r="C1077" s="18"/>
      <c r="D1077" s="6">
        <v>26</v>
      </c>
      <c r="E1077" s="18"/>
      <c r="F1077" s="18"/>
      <c r="G1077" s="75"/>
      <c r="H1077" s="75"/>
      <c r="I1077" s="18"/>
      <c r="J1077" s="19">
        <f>D1077</f>
        <v>26</v>
      </c>
      <c r="K1077"/>
    </row>
    <row r="1078" spans="1:16">
      <c r="A1078" s="22" t="s">
        <v>0</v>
      </c>
      <c r="B1078" s="23" t="s">
        <v>6</v>
      </c>
      <c r="C1078" s="6"/>
      <c r="D1078" s="6"/>
      <c r="E1078" s="6">
        <v>264</v>
      </c>
      <c r="F1078" s="6">
        <v>1</v>
      </c>
      <c r="G1078" s="76"/>
      <c r="H1078" s="76"/>
      <c r="I1078" s="6"/>
      <c r="J1078" s="24">
        <f>E1078+F1078</f>
        <v>265</v>
      </c>
      <c r="K1078"/>
      <c r="L1078" s="20" t="s">
        <v>23</v>
      </c>
      <c r="M1078" s="25" t="s">
        <v>2764</v>
      </c>
      <c r="N1078" s="26" t="s">
        <v>2881</v>
      </c>
      <c r="O1078" s="26" t="s">
        <v>2880</v>
      </c>
      <c r="P1078" s="26" t="s">
        <v>2882</v>
      </c>
    </row>
    <row r="1079" spans="1:16">
      <c r="A1079" s="22" t="s">
        <v>0</v>
      </c>
      <c r="B1079" s="23" t="s">
        <v>13</v>
      </c>
      <c r="C1079" s="6"/>
      <c r="D1079" s="6"/>
      <c r="E1079" s="6"/>
      <c r="F1079" s="6"/>
      <c r="G1079" s="76"/>
      <c r="H1079" s="76">
        <v>55</v>
      </c>
      <c r="I1079" s="6"/>
      <c r="J1079" s="24">
        <f>G1079+H1079+I1079</f>
        <v>55</v>
      </c>
      <c r="K1079"/>
      <c r="L1079" s="20">
        <v>185</v>
      </c>
      <c r="M1079" s="25" t="s">
        <v>24</v>
      </c>
    </row>
    <row r="1080" spans="1:16">
      <c r="A1080" s="22" t="s">
        <v>0</v>
      </c>
      <c r="B1080" s="23" t="s">
        <v>8</v>
      </c>
      <c r="C1080" s="6"/>
      <c r="D1080" s="6"/>
      <c r="E1080" s="6"/>
      <c r="F1080" s="6"/>
      <c r="G1080" s="76">
        <v>62</v>
      </c>
      <c r="H1080" s="76">
        <v>218</v>
      </c>
      <c r="I1080" s="6"/>
      <c r="J1080" s="24">
        <f>G1080+H1080+I1080</f>
        <v>280</v>
      </c>
      <c r="K1080"/>
      <c r="L1080" s="20">
        <v>43</v>
      </c>
      <c r="M1080" s="25" t="s">
        <v>25</v>
      </c>
    </row>
    <row r="1081" spans="1:16">
      <c r="A1081" s="22" t="s">
        <v>0</v>
      </c>
      <c r="B1081" s="23" t="s">
        <v>12</v>
      </c>
      <c r="C1081" s="6"/>
      <c r="D1081" s="6"/>
      <c r="E1081" s="6"/>
      <c r="F1081" s="6"/>
      <c r="G1081" s="76"/>
      <c r="H1081" s="76">
        <v>0</v>
      </c>
      <c r="I1081" s="6"/>
      <c r="J1081" s="24">
        <f>H1081</f>
        <v>0</v>
      </c>
      <c r="K1081"/>
      <c r="L1081" s="20">
        <v>35</v>
      </c>
      <c r="M1081" s="25" t="s">
        <v>26</v>
      </c>
    </row>
    <row r="1082" spans="1:16">
      <c r="A1082" s="22" t="s">
        <v>0</v>
      </c>
      <c r="B1082" s="23" t="s">
        <v>14</v>
      </c>
      <c r="C1082" s="6"/>
      <c r="D1082" s="6"/>
      <c r="E1082" s="6"/>
      <c r="F1082" s="6"/>
      <c r="G1082" s="76">
        <v>5</v>
      </c>
      <c r="H1082" s="76">
        <v>43</v>
      </c>
      <c r="I1082" s="6"/>
      <c r="J1082" s="24">
        <f>G1082+H1082</f>
        <v>48</v>
      </c>
      <c r="K1082"/>
      <c r="L1082" s="20">
        <v>0</v>
      </c>
      <c r="M1082" s="25" t="s">
        <v>27</v>
      </c>
    </row>
    <row r="1083" spans="1:16" ht="13.5" thickBot="1">
      <c r="A1083" s="27" t="s">
        <v>29</v>
      </c>
      <c r="B1083" s="28"/>
      <c r="C1083" s="29"/>
      <c r="D1083" s="29">
        <f>SUM(D1077:D1082)</f>
        <v>26</v>
      </c>
      <c r="E1083" s="29">
        <f>SUM(E1077:E1082)</f>
        <v>264</v>
      </c>
      <c r="F1083" s="29">
        <f>SUM(F1077:F1082)</f>
        <v>1</v>
      </c>
      <c r="G1083" s="29">
        <f>SUM(G1077:G1082)</f>
        <v>67</v>
      </c>
      <c r="H1083" s="29">
        <f>SUM(H1077:H1082)</f>
        <v>316</v>
      </c>
      <c r="I1083" s="29"/>
      <c r="J1083" s="30">
        <f>SUM(J1077:J1082)</f>
        <v>674</v>
      </c>
      <c r="K1083"/>
      <c r="L1083" s="20">
        <v>1</v>
      </c>
      <c r="M1083" s="25" t="s">
        <v>28</v>
      </c>
    </row>
    <row r="1084" spans="1:16">
      <c r="A1084" s="31" t="s">
        <v>7</v>
      </c>
      <c r="B1084" s="32" t="s">
        <v>15</v>
      </c>
      <c r="C1084" s="33"/>
      <c r="D1084" s="33"/>
      <c r="E1084" s="33"/>
      <c r="F1084" s="33"/>
      <c r="G1084" s="77"/>
      <c r="H1084" s="77"/>
      <c r="I1084" s="33"/>
      <c r="J1084" s="34"/>
      <c r="K1084"/>
      <c r="L1084" s="20">
        <v>1</v>
      </c>
      <c r="M1084" s="25" t="s">
        <v>30</v>
      </c>
    </row>
    <row r="1085" spans="1:16">
      <c r="A1085" s="31" t="s">
        <v>7</v>
      </c>
      <c r="B1085" s="32" t="s">
        <v>8</v>
      </c>
      <c r="C1085" s="33"/>
      <c r="D1085" s="33"/>
      <c r="E1085" s="33"/>
      <c r="F1085" s="33"/>
      <c r="G1085" s="77">
        <v>4</v>
      </c>
      <c r="H1085" s="77">
        <v>25</v>
      </c>
      <c r="I1085" s="33"/>
      <c r="J1085" s="34">
        <f>G1085+H1085</f>
        <v>29</v>
      </c>
      <c r="K1085"/>
      <c r="L1085" s="35">
        <f>SUM(L1079:L1084)</f>
        <v>265</v>
      </c>
      <c r="M1085" s="21"/>
    </row>
    <row r="1086" spans="1:16" ht="13.5" thickBot="1">
      <c r="A1086" s="27" t="s">
        <v>31</v>
      </c>
      <c r="B1086" s="28"/>
      <c r="C1086" s="29"/>
      <c r="D1086" s="29"/>
      <c r="E1086" s="29"/>
      <c r="F1086" s="29"/>
      <c r="G1086" s="29">
        <f>SUM(G1084:G1085)</f>
        <v>4</v>
      </c>
      <c r="H1086" s="29">
        <f>SUM(H1084:H1085)</f>
        <v>25</v>
      </c>
      <c r="I1086" s="29"/>
      <c r="J1086" s="30">
        <f>SUM(J1084:J1085)</f>
        <v>29</v>
      </c>
      <c r="K1086"/>
    </row>
    <row r="1087" spans="1:16">
      <c r="A1087" s="31" t="s">
        <v>105</v>
      </c>
      <c r="B1087" s="32" t="s">
        <v>8</v>
      </c>
      <c r="C1087" s="33"/>
      <c r="D1087" s="33"/>
      <c r="E1087" s="33"/>
      <c r="F1087" s="33"/>
      <c r="G1087" s="77">
        <v>5</v>
      </c>
      <c r="H1087" s="77">
        <v>9</v>
      </c>
      <c r="I1087" s="33"/>
      <c r="J1087" s="34">
        <f>G1087+H1087</f>
        <v>14</v>
      </c>
      <c r="K1087"/>
    </row>
    <row r="1088" spans="1:16" ht="13.5" thickBot="1">
      <c r="A1088" s="27" t="s">
        <v>106</v>
      </c>
      <c r="B1088" s="28"/>
      <c r="C1088" s="29"/>
      <c r="D1088" s="29"/>
      <c r="E1088" s="29"/>
      <c r="F1088" s="29"/>
      <c r="G1088" s="29">
        <f>SUM(G1087:G1087)</f>
        <v>5</v>
      </c>
      <c r="H1088" s="29">
        <f>SUM(H1087:H1087)</f>
        <v>9</v>
      </c>
      <c r="I1088" s="29"/>
      <c r="J1088" s="30">
        <f>SUM(J1087:J1087)</f>
        <v>14</v>
      </c>
      <c r="K1088"/>
    </row>
    <row r="1089" spans="1:12">
      <c r="A1089" s="22" t="s">
        <v>108</v>
      </c>
      <c r="B1089" s="32" t="s">
        <v>10</v>
      </c>
      <c r="C1089" s="6"/>
      <c r="D1089" s="6"/>
      <c r="E1089" s="6"/>
      <c r="F1089" s="6"/>
      <c r="G1089" s="76"/>
      <c r="H1089" s="76"/>
      <c r="I1089" s="6"/>
      <c r="J1089" s="24">
        <f>H1089</f>
        <v>0</v>
      </c>
      <c r="K1089"/>
    </row>
    <row r="1090" spans="1:12">
      <c r="A1090" s="22" t="s">
        <v>32</v>
      </c>
      <c r="B1090" s="32" t="s">
        <v>33</v>
      </c>
      <c r="C1090" s="6">
        <v>4</v>
      </c>
      <c r="D1090" s="6"/>
      <c r="E1090" s="6"/>
      <c r="F1090" s="6"/>
      <c r="G1090" s="76"/>
      <c r="H1090" s="76"/>
      <c r="I1090" s="6"/>
      <c r="J1090" s="24">
        <f>C1090</f>
        <v>4</v>
      </c>
      <c r="K1090"/>
    </row>
    <row r="1091" spans="1:12" ht="13.5" thickBot="1">
      <c r="A1091" s="36" t="s">
        <v>34</v>
      </c>
      <c r="B1091" s="37"/>
      <c r="C1091" s="29">
        <f>SUM(C1089:C1090)</f>
        <v>4</v>
      </c>
      <c r="D1091" s="29"/>
      <c r="E1091" s="29"/>
      <c r="F1091" s="29"/>
      <c r="G1091" s="29"/>
      <c r="H1091" s="29"/>
      <c r="I1091" s="29"/>
      <c r="J1091" s="30">
        <f>SUM(J1089:J1090)</f>
        <v>4</v>
      </c>
      <c r="K1091"/>
    </row>
    <row r="1092" spans="1:12" ht="13.5" thickBot="1">
      <c r="A1092" s="78" t="s">
        <v>35</v>
      </c>
      <c r="B1092" s="79"/>
      <c r="C1092" s="80">
        <f t="shared" ref="C1092:H1092" si="36">C1083+C1086+C1088+C1091</f>
        <v>4</v>
      </c>
      <c r="D1092" s="80">
        <f t="shared" si="36"/>
        <v>26</v>
      </c>
      <c r="E1092" s="80">
        <f t="shared" si="36"/>
        <v>264</v>
      </c>
      <c r="F1092" s="80">
        <f t="shared" si="36"/>
        <v>1</v>
      </c>
      <c r="G1092" s="80">
        <f t="shared" si="36"/>
        <v>76</v>
      </c>
      <c r="H1092" s="80">
        <f t="shared" si="36"/>
        <v>350</v>
      </c>
      <c r="I1092" s="80"/>
      <c r="J1092" s="80">
        <f>J1083+J1086+J1088+J1091</f>
        <v>721</v>
      </c>
      <c r="K1092"/>
    </row>
    <row r="1093" spans="1:12">
      <c r="B1093" s="38" t="s">
        <v>36</v>
      </c>
      <c r="C1093" s="39"/>
      <c r="L1093" s="26"/>
    </row>
    <row r="1094" spans="1:12">
      <c r="A1094" s="7" t="s">
        <v>37</v>
      </c>
      <c r="B1094" s="8">
        <f>D1083+D1086+D1088+D1091</f>
        <v>26</v>
      </c>
      <c r="C1094" s="6"/>
    </row>
    <row r="1095" spans="1:12">
      <c r="A1095" s="7" t="s">
        <v>38</v>
      </c>
      <c r="B1095" s="8">
        <f>E1092</f>
        <v>264</v>
      </c>
      <c r="C1095" s="6"/>
    </row>
    <row r="1096" spans="1:12">
      <c r="A1096" s="7" t="s">
        <v>2615</v>
      </c>
      <c r="B1096" s="8">
        <f>F1083+F1086+F1088+F1091</f>
        <v>1</v>
      </c>
      <c r="C1096" s="6"/>
    </row>
    <row r="1097" spans="1:12">
      <c r="A1097" s="7" t="s">
        <v>39</v>
      </c>
      <c r="B1097" s="8">
        <f>J1079</f>
        <v>55</v>
      </c>
      <c r="C1097" s="6"/>
    </row>
    <row r="1098" spans="1:12">
      <c r="A1098" s="7" t="s">
        <v>40</v>
      </c>
      <c r="B1098" s="8">
        <f>J1080+J1085+J1087</f>
        <v>323</v>
      </c>
      <c r="C1098" s="6"/>
    </row>
    <row r="1099" spans="1:12">
      <c r="A1099" s="7" t="s">
        <v>41</v>
      </c>
      <c r="B1099" s="8">
        <f>J1081</f>
        <v>0</v>
      </c>
      <c r="C1099" s="6"/>
    </row>
    <row r="1100" spans="1:12">
      <c r="A1100" s="7" t="s">
        <v>42</v>
      </c>
      <c r="B1100" s="8">
        <f>J1082</f>
        <v>48</v>
      </c>
      <c r="C1100" s="6"/>
    </row>
    <row r="1101" spans="1:12">
      <c r="A1101" s="7" t="s">
        <v>43</v>
      </c>
      <c r="B1101" s="8">
        <f>J1089</f>
        <v>0</v>
      </c>
      <c r="C1101" s="6"/>
    </row>
    <row r="1102" spans="1:12">
      <c r="A1102" s="7" t="s">
        <v>44</v>
      </c>
      <c r="B1102" s="8">
        <f>J1090</f>
        <v>4</v>
      </c>
      <c r="C1102" s="6"/>
    </row>
    <row r="1103" spans="1:12">
      <c r="A1103" s="7"/>
      <c r="B1103" s="81">
        <f>SUM(B1094:B1102)</f>
        <v>721</v>
      </c>
      <c r="C1103" s="6"/>
    </row>
    <row r="1107" spans="1:14" ht="13.5" thickBot="1"/>
    <row r="1108" spans="1:14" ht="13.5" thickBot="1">
      <c r="A1108" s="85" t="s">
        <v>2863</v>
      </c>
      <c r="B1108" s="9"/>
    </row>
    <row r="1109" spans="1:14" ht="13.5" thickBot="1">
      <c r="A1109" s="11" t="s">
        <v>17</v>
      </c>
      <c r="B1109" s="12" t="s">
        <v>18</v>
      </c>
      <c r="C1109" s="13" t="s">
        <v>16</v>
      </c>
      <c r="D1109" s="14" t="s">
        <v>15</v>
      </c>
      <c r="E1109" s="14" t="s">
        <v>6</v>
      </c>
      <c r="F1109" s="14" t="s">
        <v>19</v>
      </c>
      <c r="G1109" s="74" t="s">
        <v>20</v>
      </c>
      <c r="H1109" s="74" t="s">
        <v>21</v>
      </c>
      <c r="I1109" s="14" t="s">
        <v>22</v>
      </c>
      <c r="J1109" s="15" t="s">
        <v>9</v>
      </c>
      <c r="K1109"/>
    </row>
    <row r="1110" spans="1:14">
      <c r="A1110" s="16" t="s">
        <v>0</v>
      </c>
      <c r="B1110" s="17" t="s">
        <v>15</v>
      </c>
      <c r="C1110" s="18"/>
      <c r="D1110" s="6">
        <v>26</v>
      </c>
      <c r="E1110" s="18"/>
      <c r="F1110" s="18"/>
      <c r="G1110" s="75"/>
      <c r="H1110" s="75"/>
      <c r="I1110" s="18"/>
      <c r="J1110" s="19">
        <f>D1110</f>
        <v>26</v>
      </c>
      <c r="K1110"/>
    </row>
    <row r="1111" spans="1:14">
      <c r="A1111" s="22" t="s">
        <v>0</v>
      </c>
      <c r="B1111" s="23" t="s">
        <v>6</v>
      </c>
      <c r="C1111" s="6"/>
      <c r="D1111" s="6"/>
      <c r="E1111" s="6">
        <v>265</v>
      </c>
      <c r="F1111" s="6">
        <v>1</v>
      </c>
      <c r="G1111" s="76"/>
      <c r="H1111" s="76"/>
      <c r="I1111" s="6"/>
      <c r="J1111" s="24">
        <f>E1111+F1111</f>
        <v>266</v>
      </c>
      <c r="K1111"/>
      <c r="L1111" s="20" t="s">
        <v>23</v>
      </c>
      <c r="M1111" s="25" t="s">
        <v>2764</v>
      </c>
      <c r="N1111" s="26"/>
    </row>
    <row r="1112" spans="1:14">
      <c r="A1112" s="22" t="s">
        <v>0</v>
      </c>
      <c r="B1112" s="23" t="s">
        <v>13</v>
      </c>
      <c r="C1112" s="6"/>
      <c r="D1112" s="6"/>
      <c r="E1112" s="6"/>
      <c r="F1112" s="6"/>
      <c r="G1112" s="76">
        <v>1</v>
      </c>
      <c r="H1112" s="76">
        <v>62</v>
      </c>
      <c r="I1112" s="6"/>
      <c r="J1112" s="24">
        <f>G1112+H1112+I1112</f>
        <v>63</v>
      </c>
      <c r="K1112"/>
      <c r="L1112" s="20">
        <v>186</v>
      </c>
      <c r="M1112" s="25" t="s">
        <v>24</v>
      </c>
    </row>
    <row r="1113" spans="1:14">
      <c r="A1113" s="22" t="s">
        <v>0</v>
      </c>
      <c r="B1113" s="23" t="s">
        <v>8</v>
      </c>
      <c r="C1113" s="6"/>
      <c r="D1113" s="6"/>
      <c r="E1113" s="6"/>
      <c r="F1113" s="6"/>
      <c r="G1113" s="76">
        <v>70</v>
      </c>
      <c r="H1113" s="76">
        <v>225</v>
      </c>
      <c r="I1113" s="6"/>
      <c r="J1113" s="24">
        <f>G1113+H1113+I1113</f>
        <v>295</v>
      </c>
      <c r="K1113"/>
      <c r="L1113" s="20">
        <v>43</v>
      </c>
      <c r="M1113" s="25" t="s">
        <v>25</v>
      </c>
    </row>
    <row r="1114" spans="1:14">
      <c r="A1114" s="22" t="s">
        <v>0</v>
      </c>
      <c r="B1114" s="23" t="s">
        <v>12</v>
      </c>
      <c r="C1114" s="6"/>
      <c r="D1114" s="6"/>
      <c r="E1114" s="6"/>
      <c r="F1114" s="6"/>
      <c r="G1114" s="76"/>
      <c r="H1114" s="76">
        <v>4</v>
      </c>
      <c r="I1114" s="6"/>
      <c r="J1114" s="24">
        <f>H1114</f>
        <v>4</v>
      </c>
      <c r="K1114"/>
      <c r="L1114" s="20">
        <v>35</v>
      </c>
      <c r="M1114" s="25" t="s">
        <v>26</v>
      </c>
    </row>
    <row r="1115" spans="1:14">
      <c r="A1115" s="22" t="s">
        <v>0</v>
      </c>
      <c r="B1115" s="23" t="s">
        <v>14</v>
      </c>
      <c r="C1115" s="6"/>
      <c r="D1115" s="6"/>
      <c r="E1115" s="6"/>
      <c r="F1115" s="6"/>
      <c r="G1115" s="76">
        <v>5</v>
      </c>
      <c r="H1115" s="76">
        <v>44</v>
      </c>
      <c r="I1115" s="6"/>
      <c r="J1115" s="24">
        <f>G1115+H1115</f>
        <v>49</v>
      </c>
      <c r="K1115"/>
      <c r="L1115" s="20">
        <v>0</v>
      </c>
      <c r="M1115" s="25" t="s">
        <v>27</v>
      </c>
    </row>
    <row r="1116" spans="1:14" ht="13.5" thickBot="1">
      <c r="A1116" s="27" t="s">
        <v>29</v>
      </c>
      <c r="B1116" s="28"/>
      <c r="C1116" s="29"/>
      <c r="D1116" s="29">
        <f>SUM(D1110:D1115)</f>
        <v>26</v>
      </c>
      <c r="E1116" s="29">
        <f>SUM(E1110:E1115)</f>
        <v>265</v>
      </c>
      <c r="F1116" s="29">
        <f>SUM(F1110:F1115)</f>
        <v>1</v>
      </c>
      <c r="G1116" s="29">
        <f>SUM(G1110:G1115)</f>
        <v>76</v>
      </c>
      <c r="H1116" s="29">
        <f>SUM(H1110:H1115)</f>
        <v>335</v>
      </c>
      <c r="I1116" s="29"/>
      <c r="J1116" s="30">
        <f>SUM(J1110:J1115)</f>
        <v>703</v>
      </c>
      <c r="K1116"/>
      <c r="L1116" s="20">
        <v>1</v>
      </c>
      <c r="M1116" s="25" t="s">
        <v>28</v>
      </c>
    </row>
    <row r="1117" spans="1:14">
      <c r="A1117" s="31" t="s">
        <v>7</v>
      </c>
      <c r="B1117" s="32" t="s">
        <v>15</v>
      </c>
      <c r="C1117" s="33"/>
      <c r="D1117" s="33"/>
      <c r="E1117" s="33"/>
      <c r="F1117" s="33"/>
      <c r="G1117" s="77"/>
      <c r="H1117" s="77"/>
      <c r="I1117" s="33"/>
      <c r="J1117" s="34"/>
      <c r="K1117"/>
      <c r="L1117" s="20">
        <v>1</v>
      </c>
      <c r="M1117" s="25" t="s">
        <v>30</v>
      </c>
    </row>
    <row r="1118" spans="1:14">
      <c r="A1118" s="31" t="s">
        <v>7</v>
      </c>
      <c r="B1118" s="32" t="s">
        <v>8</v>
      </c>
      <c r="C1118" s="33"/>
      <c r="D1118" s="33"/>
      <c r="E1118" s="33"/>
      <c r="F1118" s="33"/>
      <c r="G1118" s="77">
        <v>4</v>
      </c>
      <c r="H1118" s="77">
        <v>27</v>
      </c>
      <c r="I1118" s="33"/>
      <c r="J1118" s="34">
        <f>G1118+H1118</f>
        <v>31</v>
      </c>
      <c r="K1118"/>
      <c r="L1118" s="35">
        <f>SUM(L1112:L1117)</f>
        <v>266</v>
      </c>
      <c r="M1118" s="21"/>
    </row>
    <row r="1119" spans="1:14" ht="13.5" thickBot="1">
      <c r="A1119" s="27" t="s">
        <v>31</v>
      </c>
      <c r="B1119" s="28"/>
      <c r="C1119" s="29"/>
      <c r="D1119" s="29"/>
      <c r="E1119" s="29"/>
      <c r="F1119" s="29"/>
      <c r="G1119" s="29">
        <f>SUM(G1117:G1118)</f>
        <v>4</v>
      </c>
      <c r="H1119" s="29">
        <f>SUM(H1117:H1118)</f>
        <v>27</v>
      </c>
      <c r="I1119" s="29"/>
      <c r="J1119" s="30">
        <f>SUM(J1117:J1118)</f>
        <v>31</v>
      </c>
      <c r="K1119"/>
    </row>
    <row r="1120" spans="1:14">
      <c r="A1120" s="31" t="s">
        <v>105</v>
      </c>
      <c r="B1120" s="32" t="s">
        <v>8</v>
      </c>
      <c r="C1120" s="33"/>
      <c r="D1120" s="33"/>
      <c r="E1120" s="33"/>
      <c r="F1120" s="33"/>
      <c r="G1120" s="77">
        <v>5</v>
      </c>
      <c r="H1120" s="77">
        <v>9</v>
      </c>
      <c r="I1120" s="33"/>
      <c r="J1120" s="34">
        <f>G1120+H1120</f>
        <v>14</v>
      </c>
      <c r="K1120"/>
    </row>
    <row r="1121" spans="1:12" ht="13.5" thickBot="1">
      <c r="A1121" s="27" t="s">
        <v>106</v>
      </c>
      <c r="B1121" s="28"/>
      <c r="C1121" s="29"/>
      <c r="D1121" s="29"/>
      <c r="E1121" s="29"/>
      <c r="F1121" s="29"/>
      <c r="G1121" s="29">
        <f>SUM(G1120:G1120)</f>
        <v>5</v>
      </c>
      <c r="H1121" s="29">
        <f>SUM(H1120:H1120)</f>
        <v>9</v>
      </c>
      <c r="I1121" s="29"/>
      <c r="J1121" s="30">
        <f>SUM(J1120:J1120)</f>
        <v>14</v>
      </c>
      <c r="K1121"/>
    </row>
    <row r="1122" spans="1:12">
      <c r="A1122" s="22" t="s">
        <v>108</v>
      </c>
      <c r="B1122" s="32" t="s">
        <v>10</v>
      </c>
      <c r="C1122" s="6"/>
      <c r="D1122" s="6"/>
      <c r="E1122" s="6"/>
      <c r="F1122" s="6"/>
      <c r="G1122" s="76"/>
      <c r="H1122" s="76"/>
      <c r="I1122" s="6"/>
      <c r="J1122" s="24">
        <f>H1122</f>
        <v>0</v>
      </c>
      <c r="K1122"/>
    </row>
    <row r="1123" spans="1:12">
      <c r="A1123" s="22" t="s">
        <v>32</v>
      </c>
      <c r="B1123" s="32" t="s">
        <v>33</v>
      </c>
      <c r="C1123" s="6">
        <v>4</v>
      </c>
      <c r="D1123" s="6"/>
      <c r="E1123" s="6"/>
      <c r="F1123" s="6"/>
      <c r="G1123" s="76"/>
      <c r="H1123" s="76"/>
      <c r="I1123" s="6"/>
      <c r="J1123" s="24">
        <f>C1123</f>
        <v>4</v>
      </c>
      <c r="K1123"/>
    </row>
    <row r="1124" spans="1:12" ht="13.5" thickBot="1">
      <c r="A1124" s="36" t="s">
        <v>34</v>
      </c>
      <c r="B1124" s="37"/>
      <c r="C1124" s="29">
        <f>SUM(C1122:C1123)</f>
        <v>4</v>
      </c>
      <c r="D1124" s="29"/>
      <c r="E1124" s="29"/>
      <c r="F1124" s="29"/>
      <c r="G1124" s="29"/>
      <c r="H1124" s="29"/>
      <c r="I1124" s="29"/>
      <c r="J1124" s="30">
        <f>SUM(J1122:J1123)</f>
        <v>4</v>
      </c>
      <c r="K1124"/>
    </row>
    <row r="1125" spans="1:12" ht="13.5" thickBot="1">
      <c r="A1125" s="78" t="s">
        <v>35</v>
      </c>
      <c r="B1125" s="79"/>
      <c r="C1125" s="80">
        <f t="shared" ref="C1125:H1125" si="37">C1116+C1119+C1121+C1124</f>
        <v>4</v>
      </c>
      <c r="D1125" s="80">
        <f t="shared" si="37"/>
        <v>26</v>
      </c>
      <c r="E1125" s="80">
        <f t="shared" si="37"/>
        <v>265</v>
      </c>
      <c r="F1125" s="80">
        <f t="shared" si="37"/>
        <v>1</v>
      </c>
      <c r="G1125" s="80">
        <f t="shared" si="37"/>
        <v>85</v>
      </c>
      <c r="H1125" s="80">
        <f t="shared" si="37"/>
        <v>371</v>
      </c>
      <c r="I1125" s="80"/>
      <c r="J1125" s="80">
        <f>J1116+J1119+J1121+J1124</f>
        <v>752</v>
      </c>
      <c r="K1125"/>
    </row>
    <row r="1126" spans="1:12">
      <c r="B1126" s="38" t="s">
        <v>36</v>
      </c>
      <c r="C1126" s="39"/>
      <c r="L1126" s="26"/>
    </row>
    <row r="1127" spans="1:12">
      <c r="A1127" s="7" t="s">
        <v>37</v>
      </c>
      <c r="B1127" s="8">
        <f>D1116+D1119+D1121+D1124</f>
        <v>26</v>
      </c>
      <c r="C1127" s="6"/>
    </row>
    <row r="1128" spans="1:12">
      <c r="A1128" s="7" t="s">
        <v>38</v>
      </c>
      <c r="B1128" s="8">
        <f>E1125</f>
        <v>265</v>
      </c>
      <c r="C1128" s="6"/>
    </row>
    <row r="1129" spans="1:12">
      <c r="A1129" s="7" t="s">
        <v>2615</v>
      </c>
      <c r="B1129" s="8">
        <f>F1116+F1119+F1121+F1124</f>
        <v>1</v>
      </c>
      <c r="C1129" s="6"/>
    </row>
    <row r="1130" spans="1:12">
      <c r="A1130" s="7" t="s">
        <v>39</v>
      </c>
      <c r="B1130" s="8">
        <f>J1112</f>
        <v>63</v>
      </c>
      <c r="C1130" s="6"/>
    </row>
    <row r="1131" spans="1:12">
      <c r="A1131" s="7" t="s">
        <v>40</v>
      </c>
      <c r="B1131" s="8">
        <f>J1113+J1118+J1120</f>
        <v>340</v>
      </c>
      <c r="C1131" s="6"/>
    </row>
    <row r="1132" spans="1:12">
      <c r="A1132" s="7" t="s">
        <v>41</v>
      </c>
      <c r="B1132" s="8">
        <f>J1114</f>
        <v>4</v>
      </c>
      <c r="C1132" s="6"/>
    </row>
    <row r="1133" spans="1:12">
      <c r="A1133" s="7" t="s">
        <v>42</v>
      </c>
      <c r="B1133" s="8">
        <f>J1115</f>
        <v>49</v>
      </c>
      <c r="C1133" s="6"/>
    </row>
    <row r="1134" spans="1:12">
      <c r="A1134" s="7" t="s">
        <v>43</v>
      </c>
      <c r="B1134" s="8">
        <f>J1122</f>
        <v>0</v>
      </c>
      <c r="C1134" s="6"/>
    </row>
    <row r="1135" spans="1:12">
      <c r="A1135" s="7" t="s">
        <v>44</v>
      </c>
      <c r="B1135" s="8">
        <f>J1123</f>
        <v>4</v>
      </c>
      <c r="C1135" s="6"/>
    </row>
    <row r="1136" spans="1:12">
      <c r="A1136" s="7"/>
      <c r="B1136" s="81">
        <f>SUM(B1127:B1135)</f>
        <v>752</v>
      </c>
      <c r="C1136" s="6"/>
    </row>
    <row r="1140" spans="1:14" ht="13.5" thickBot="1"/>
    <row r="1141" spans="1:14" ht="13.5" thickBot="1">
      <c r="A1141" s="85" t="s">
        <v>2856</v>
      </c>
      <c r="B1141" s="9"/>
    </row>
    <row r="1142" spans="1:14" ht="13.5" thickBot="1">
      <c r="A1142" s="11" t="s">
        <v>17</v>
      </c>
      <c r="B1142" s="12" t="s">
        <v>18</v>
      </c>
      <c r="C1142" s="13" t="s">
        <v>16</v>
      </c>
      <c r="D1142" s="14" t="s">
        <v>15</v>
      </c>
      <c r="E1142" s="14" t="s">
        <v>6</v>
      </c>
      <c r="F1142" s="14" t="s">
        <v>19</v>
      </c>
      <c r="G1142" s="74" t="s">
        <v>20</v>
      </c>
      <c r="H1142" s="74" t="s">
        <v>21</v>
      </c>
      <c r="I1142" s="14" t="s">
        <v>22</v>
      </c>
      <c r="J1142" s="15" t="s">
        <v>9</v>
      </c>
      <c r="K1142"/>
    </row>
    <row r="1143" spans="1:14">
      <c r="A1143" s="16" t="s">
        <v>0</v>
      </c>
      <c r="B1143" s="17" t="s">
        <v>15</v>
      </c>
      <c r="C1143" s="18"/>
      <c r="D1143" s="6">
        <v>25</v>
      </c>
      <c r="E1143" s="18"/>
      <c r="F1143" s="18"/>
      <c r="G1143" s="75"/>
      <c r="H1143" s="75"/>
      <c r="I1143" s="18"/>
      <c r="J1143" s="19">
        <f>D1143</f>
        <v>25</v>
      </c>
      <c r="K1143"/>
    </row>
    <row r="1144" spans="1:14">
      <c r="A1144" s="22" t="s">
        <v>0</v>
      </c>
      <c r="B1144" s="23" t="s">
        <v>6</v>
      </c>
      <c r="C1144" s="6"/>
      <c r="D1144" s="6"/>
      <c r="E1144" s="6">
        <v>265</v>
      </c>
      <c r="F1144" s="6">
        <v>1</v>
      </c>
      <c r="G1144" s="76"/>
      <c r="H1144" s="76"/>
      <c r="I1144" s="6"/>
      <c r="J1144" s="24">
        <f>E1144+F1144</f>
        <v>266</v>
      </c>
      <c r="K1144"/>
      <c r="L1144" s="20" t="s">
        <v>23</v>
      </c>
      <c r="M1144" s="25" t="s">
        <v>2764</v>
      </c>
      <c r="N1144" s="26" t="s">
        <v>2857</v>
      </c>
    </row>
    <row r="1145" spans="1:14">
      <c r="A1145" s="22" t="s">
        <v>0</v>
      </c>
      <c r="B1145" s="23" t="s">
        <v>13</v>
      </c>
      <c r="C1145" s="6"/>
      <c r="D1145" s="6"/>
      <c r="E1145" s="6"/>
      <c r="F1145" s="6"/>
      <c r="G1145" s="76">
        <v>1</v>
      </c>
      <c r="H1145" s="76">
        <v>63</v>
      </c>
      <c r="I1145" s="6"/>
      <c r="J1145" s="24">
        <f>G1145+H1145+I1145</f>
        <v>64</v>
      </c>
      <c r="K1145"/>
      <c r="L1145" s="20">
        <v>186</v>
      </c>
      <c r="M1145" s="25" t="s">
        <v>24</v>
      </c>
    </row>
    <row r="1146" spans="1:14">
      <c r="A1146" s="22" t="s">
        <v>0</v>
      </c>
      <c r="B1146" s="23" t="s">
        <v>8</v>
      </c>
      <c r="C1146" s="6"/>
      <c r="D1146" s="6"/>
      <c r="E1146" s="6"/>
      <c r="F1146" s="6"/>
      <c r="G1146" s="76">
        <v>72</v>
      </c>
      <c r="H1146" s="76">
        <v>229</v>
      </c>
      <c r="I1146" s="6"/>
      <c r="J1146" s="24">
        <f>G1146+H1146+I1146</f>
        <v>301</v>
      </c>
      <c r="K1146"/>
      <c r="L1146" s="20">
        <v>43</v>
      </c>
      <c r="M1146" s="25" t="s">
        <v>25</v>
      </c>
    </row>
    <row r="1147" spans="1:14">
      <c r="A1147" s="22" t="s">
        <v>0</v>
      </c>
      <c r="B1147" s="23" t="s">
        <v>12</v>
      </c>
      <c r="C1147" s="6"/>
      <c r="D1147" s="6"/>
      <c r="E1147" s="6"/>
      <c r="F1147" s="6"/>
      <c r="G1147" s="76"/>
      <c r="H1147" s="76">
        <v>4</v>
      </c>
      <c r="I1147" s="6"/>
      <c r="J1147" s="24">
        <f>H1147</f>
        <v>4</v>
      </c>
      <c r="K1147"/>
      <c r="L1147" s="20">
        <v>35</v>
      </c>
      <c r="M1147" s="25" t="s">
        <v>26</v>
      </c>
    </row>
    <row r="1148" spans="1:14">
      <c r="A1148" s="22" t="s">
        <v>0</v>
      </c>
      <c r="B1148" s="23" t="s">
        <v>14</v>
      </c>
      <c r="C1148" s="6"/>
      <c r="D1148" s="6"/>
      <c r="E1148" s="6"/>
      <c r="F1148" s="6"/>
      <c r="G1148" s="76">
        <v>5</v>
      </c>
      <c r="H1148" s="76">
        <v>43</v>
      </c>
      <c r="I1148" s="6"/>
      <c r="J1148" s="24">
        <f>G1148+H1148</f>
        <v>48</v>
      </c>
      <c r="K1148"/>
      <c r="L1148" s="20">
        <v>0</v>
      </c>
      <c r="M1148" s="25" t="s">
        <v>27</v>
      </c>
    </row>
    <row r="1149" spans="1:14" ht="13.5" thickBot="1">
      <c r="A1149" s="27" t="s">
        <v>29</v>
      </c>
      <c r="B1149" s="28"/>
      <c r="C1149" s="29"/>
      <c r="D1149" s="29">
        <f>SUM(D1143:D1148)</f>
        <v>25</v>
      </c>
      <c r="E1149" s="29">
        <f>SUM(E1143:E1148)</f>
        <v>265</v>
      </c>
      <c r="F1149" s="29">
        <f>SUM(F1143:F1148)</f>
        <v>1</v>
      </c>
      <c r="G1149" s="29">
        <f>SUM(G1143:G1148)</f>
        <v>78</v>
      </c>
      <c r="H1149" s="29">
        <f>SUM(H1143:H1148)</f>
        <v>339</v>
      </c>
      <c r="I1149" s="29"/>
      <c r="J1149" s="30">
        <f>SUM(J1143:J1148)</f>
        <v>708</v>
      </c>
      <c r="K1149"/>
      <c r="L1149" s="20">
        <v>1</v>
      </c>
      <c r="M1149" s="25" t="s">
        <v>28</v>
      </c>
    </row>
    <row r="1150" spans="1:14">
      <c r="A1150" s="31" t="s">
        <v>7</v>
      </c>
      <c r="B1150" s="32" t="s">
        <v>15</v>
      </c>
      <c r="C1150" s="33"/>
      <c r="D1150" s="33"/>
      <c r="E1150" s="33"/>
      <c r="F1150" s="33"/>
      <c r="G1150" s="77"/>
      <c r="H1150" s="77"/>
      <c r="I1150" s="33"/>
      <c r="J1150" s="34"/>
      <c r="K1150"/>
      <c r="L1150" s="20">
        <v>1</v>
      </c>
      <c r="M1150" s="25" t="s">
        <v>30</v>
      </c>
    </row>
    <row r="1151" spans="1:14">
      <c r="A1151" s="31" t="s">
        <v>7</v>
      </c>
      <c r="B1151" s="32" t="s">
        <v>8</v>
      </c>
      <c r="C1151" s="33"/>
      <c r="D1151" s="33"/>
      <c r="E1151" s="33"/>
      <c r="F1151" s="33"/>
      <c r="G1151" s="77">
        <v>4</v>
      </c>
      <c r="H1151" s="77">
        <v>28</v>
      </c>
      <c r="I1151" s="33"/>
      <c r="J1151" s="34">
        <f>G1151+H1151</f>
        <v>32</v>
      </c>
      <c r="K1151"/>
      <c r="L1151" s="35">
        <f>SUM(L1145:L1150)</f>
        <v>266</v>
      </c>
      <c r="M1151" s="21"/>
    </row>
    <row r="1152" spans="1:14" ht="13.5" thickBot="1">
      <c r="A1152" s="27" t="s">
        <v>31</v>
      </c>
      <c r="B1152" s="28"/>
      <c r="C1152" s="29"/>
      <c r="D1152" s="29"/>
      <c r="E1152" s="29"/>
      <c r="F1152" s="29"/>
      <c r="G1152" s="29">
        <f>SUM(G1150:G1151)</f>
        <v>4</v>
      </c>
      <c r="H1152" s="29">
        <f>SUM(H1150:H1151)</f>
        <v>28</v>
      </c>
      <c r="I1152" s="29"/>
      <c r="J1152" s="30">
        <f>SUM(J1150:J1151)</f>
        <v>32</v>
      </c>
      <c r="K1152"/>
    </row>
    <row r="1153" spans="1:12">
      <c r="A1153" s="31" t="s">
        <v>105</v>
      </c>
      <c r="B1153" s="32" t="s">
        <v>8</v>
      </c>
      <c r="C1153" s="33"/>
      <c r="D1153" s="33"/>
      <c r="E1153" s="33"/>
      <c r="F1153" s="33"/>
      <c r="G1153" s="77">
        <v>5</v>
      </c>
      <c r="H1153" s="77">
        <v>9</v>
      </c>
      <c r="I1153" s="33"/>
      <c r="J1153" s="34">
        <f>G1153+H1153</f>
        <v>14</v>
      </c>
      <c r="K1153"/>
    </row>
    <row r="1154" spans="1:12" ht="13.5" thickBot="1">
      <c r="A1154" s="27" t="s">
        <v>106</v>
      </c>
      <c r="B1154" s="28"/>
      <c r="C1154" s="29"/>
      <c r="D1154" s="29"/>
      <c r="E1154" s="29"/>
      <c r="F1154" s="29"/>
      <c r="G1154" s="29">
        <f>SUM(G1153:G1153)</f>
        <v>5</v>
      </c>
      <c r="H1154" s="29">
        <f>SUM(H1153:H1153)</f>
        <v>9</v>
      </c>
      <c r="I1154" s="29"/>
      <c r="J1154" s="30">
        <f>SUM(J1153:J1153)</f>
        <v>14</v>
      </c>
      <c r="K1154"/>
    </row>
    <row r="1155" spans="1:12">
      <c r="A1155" s="22" t="s">
        <v>108</v>
      </c>
      <c r="B1155" s="32" t="s">
        <v>10</v>
      </c>
      <c r="C1155" s="6"/>
      <c r="D1155" s="6"/>
      <c r="E1155" s="6"/>
      <c r="F1155" s="6"/>
      <c r="G1155" s="76"/>
      <c r="H1155" s="76"/>
      <c r="I1155" s="6"/>
      <c r="J1155" s="24">
        <f>H1155</f>
        <v>0</v>
      </c>
      <c r="K1155"/>
    </row>
    <row r="1156" spans="1:12">
      <c r="A1156" s="22" t="s">
        <v>32</v>
      </c>
      <c r="B1156" s="32" t="s">
        <v>33</v>
      </c>
      <c r="C1156" s="6">
        <v>4</v>
      </c>
      <c r="D1156" s="6"/>
      <c r="E1156" s="6"/>
      <c r="F1156" s="6"/>
      <c r="G1156" s="76"/>
      <c r="H1156" s="76"/>
      <c r="I1156" s="6"/>
      <c r="J1156" s="24">
        <f>C1156</f>
        <v>4</v>
      </c>
      <c r="K1156"/>
    </row>
    <row r="1157" spans="1:12" ht="13.5" thickBot="1">
      <c r="A1157" s="36" t="s">
        <v>34</v>
      </c>
      <c r="B1157" s="37"/>
      <c r="C1157" s="29">
        <f>SUM(C1155:C1156)</f>
        <v>4</v>
      </c>
      <c r="D1157" s="29"/>
      <c r="E1157" s="29"/>
      <c r="F1157" s="29"/>
      <c r="G1157" s="29"/>
      <c r="H1157" s="29"/>
      <c r="I1157" s="29"/>
      <c r="J1157" s="30">
        <f>SUM(J1155:J1156)</f>
        <v>4</v>
      </c>
      <c r="K1157"/>
    </row>
    <row r="1158" spans="1:12" ht="13.5" thickBot="1">
      <c r="A1158" s="78" t="s">
        <v>35</v>
      </c>
      <c r="B1158" s="79"/>
      <c r="C1158" s="80">
        <f t="shared" ref="C1158:H1158" si="38">C1149+C1152+C1154+C1157</f>
        <v>4</v>
      </c>
      <c r="D1158" s="80">
        <f t="shared" si="38"/>
        <v>25</v>
      </c>
      <c r="E1158" s="80">
        <f t="shared" si="38"/>
        <v>265</v>
      </c>
      <c r="F1158" s="80">
        <f t="shared" si="38"/>
        <v>1</v>
      </c>
      <c r="G1158" s="80">
        <f t="shared" si="38"/>
        <v>87</v>
      </c>
      <c r="H1158" s="80">
        <f t="shared" si="38"/>
        <v>376</v>
      </c>
      <c r="I1158" s="80"/>
      <c r="J1158" s="80">
        <f>J1149+J1152+J1154+J1157</f>
        <v>758</v>
      </c>
      <c r="K1158"/>
    </row>
    <row r="1159" spans="1:12">
      <c r="B1159" s="38" t="s">
        <v>36</v>
      </c>
      <c r="C1159" s="39"/>
      <c r="L1159" s="26"/>
    </row>
    <row r="1160" spans="1:12">
      <c r="A1160" s="7" t="s">
        <v>37</v>
      </c>
      <c r="B1160" s="8">
        <f>D1149+D1152+D1154+D1157</f>
        <v>25</v>
      </c>
      <c r="C1160" s="6"/>
    </row>
    <row r="1161" spans="1:12">
      <c r="A1161" s="7" t="s">
        <v>38</v>
      </c>
      <c r="B1161" s="8">
        <f>E1158</f>
        <v>265</v>
      </c>
      <c r="C1161" s="6"/>
    </row>
    <row r="1162" spans="1:12">
      <c r="A1162" s="7" t="s">
        <v>2615</v>
      </c>
      <c r="B1162" s="8">
        <f>F1149+F1152+F1154+F1157</f>
        <v>1</v>
      </c>
      <c r="C1162" s="6"/>
    </row>
    <row r="1163" spans="1:12">
      <c r="A1163" s="7" t="s">
        <v>39</v>
      </c>
      <c r="B1163" s="8">
        <f>J1145</f>
        <v>64</v>
      </c>
      <c r="C1163" s="6"/>
    </row>
    <row r="1164" spans="1:12">
      <c r="A1164" s="7" t="s">
        <v>40</v>
      </c>
      <c r="B1164" s="8">
        <f>J1146+J1151+J1153</f>
        <v>347</v>
      </c>
      <c r="C1164" s="6"/>
    </row>
    <row r="1165" spans="1:12">
      <c r="A1165" s="7" t="s">
        <v>41</v>
      </c>
      <c r="B1165" s="8">
        <f>J1147</f>
        <v>4</v>
      </c>
      <c r="C1165" s="6"/>
    </row>
    <row r="1166" spans="1:12">
      <c r="A1166" s="7" t="s">
        <v>42</v>
      </c>
      <c r="B1166" s="8">
        <f>J1148</f>
        <v>48</v>
      </c>
      <c r="C1166" s="6"/>
    </row>
    <row r="1167" spans="1:12">
      <c r="A1167" s="7" t="s">
        <v>43</v>
      </c>
      <c r="B1167" s="8">
        <f>J1155</f>
        <v>0</v>
      </c>
      <c r="C1167" s="6"/>
    </row>
    <row r="1168" spans="1:12">
      <c r="A1168" s="7" t="s">
        <v>44</v>
      </c>
      <c r="B1168" s="8">
        <f>J1156</f>
        <v>4</v>
      </c>
      <c r="C1168" s="6"/>
    </row>
    <row r="1169" spans="1:15">
      <c r="A1169" s="7"/>
      <c r="B1169" s="81">
        <f>SUM(B1160:B1168)</f>
        <v>758</v>
      </c>
      <c r="C1169" s="6"/>
    </row>
    <row r="1171" spans="1:15" ht="13.5" thickBot="1"/>
    <row r="1172" spans="1:15" ht="18" customHeight="1" thickBot="1">
      <c r="A1172" s="85" t="s">
        <v>2789</v>
      </c>
      <c r="B1172" s="9"/>
    </row>
    <row r="1173" spans="1:15" ht="15.6" customHeight="1" thickBot="1">
      <c r="A1173" s="11" t="s">
        <v>17</v>
      </c>
      <c r="B1173" s="12" t="s">
        <v>18</v>
      </c>
      <c r="C1173" s="13" t="s">
        <v>16</v>
      </c>
      <c r="D1173" s="14" t="s">
        <v>15</v>
      </c>
      <c r="E1173" s="14" t="s">
        <v>6</v>
      </c>
      <c r="F1173" s="14" t="s">
        <v>19</v>
      </c>
      <c r="G1173" s="74" t="s">
        <v>20</v>
      </c>
      <c r="H1173" s="74" t="s">
        <v>21</v>
      </c>
      <c r="I1173" s="14" t="s">
        <v>22</v>
      </c>
      <c r="J1173" s="15" t="s">
        <v>9</v>
      </c>
      <c r="K1173"/>
    </row>
    <row r="1174" spans="1:15">
      <c r="A1174" s="16" t="s">
        <v>0</v>
      </c>
      <c r="B1174" s="17" t="s">
        <v>15</v>
      </c>
      <c r="C1174" s="18"/>
      <c r="D1174" s="6">
        <v>25</v>
      </c>
      <c r="E1174" s="18"/>
      <c r="F1174" s="18"/>
      <c r="G1174" s="75"/>
      <c r="H1174" s="75"/>
      <c r="I1174" s="18"/>
      <c r="J1174" s="19">
        <f>D1174</f>
        <v>25</v>
      </c>
      <c r="K1174"/>
    </row>
    <row r="1175" spans="1:15">
      <c r="A1175" s="22" t="s">
        <v>0</v>
      </c>
      <c r="B1175" s="23" t="s">
        <v>6</v>
      </c>
      <c r="C1175" s="6"/>
      <c r="D1175" s="6"/>
      <c r="E1175" s="6">
        <v>266</v>
      </c>
      <c r="F1175" s="6">
        <v>1</v>
      </c>
      <c r="G1175" s="76"/>
      <c r="H1175" s="76"/>
      <c r="I1175" s="6"/>
      <c r="J1175" s="24">
        <f>E1175+F1175</f>
        <v>267</v>
      </c>
      <c r="K1175"/>
      <c r="L1175" s="20" t="s">
        <v>23</v>
      </c>
      <c r="M1175" s="25" t="s">
        <v>2764</v>
      </c>
      <c r="N1175" s="84"/>
      <c r="O1175" s="26"/>
    </row>
    <row r="1176" spans="1:15">
      <c r="A1176" s="22" t="s">
        <v>0</v>
      </c>
      <c r="B1176" s="23" t="s">
        <v>13</v>
      </c>
      <c r="C1176" s="6"/>
      <c r="D1176" s="6"/>
      <c r="E1176" s="6"/>
      <c r="F1176" s="6"/>
      <c r="G1176" s="76">
        <v>1</v>
      </c>
      <c r="H1176" s="76">
        <v>64</v>
      </c>
      <c r="I1176" s="6"/>
      <c r="J1176" s="24">
        <f>G1176+H1176+I1176</f>
        <v>65</v>
      </c>
      <c r="K1176"/>
      <c r="L1176" s="20">
        <v>187</v>
      </c>
      <c r="M1176" s="25" t="s">
        <v>24</v>
      </c>
    </row>
    <row r="1177" spans="1:15">
      <c r="A1177" s="22" t="s">
        <v>0</v>
      </c>
      <c r="B1177" s="23" t="s">
        <v>8</v>
      </c>
      <c r="C1177" s="6"/>
      <c r="D1177" s="6"/>
      <c r="E1177" s="6"/>
      <c r="F1177" s="6"/>
      <c r="G1177" s="76">
        <v>74</v>
      </c>
      <c r="H1177" s="76">
        <v>229</v>
      </c>
      <c r="I1177" s="6"/>
      <c r="J1177" s="24">
        <f>G1177+H1177+I1177</f>
        <v>303</v>
      </c>
      <c r="K1177"/>
      <c r="L1177" s="20">
        <v>43</v>
      </c>
      <c r="M1177" s="25" t="s">
        <v>25</v>
      </c>
    </row>
    <row r="1178" spans="1:15">
      <c r="A1178" s="22" t="s">
        <v>0</v>
      </c>
      <c r="B1178" s="23" t="s">
        <v>12</v>
      </c>
      <c r="C1178" s="6"/>
      <c r="D1178" s="6"/>
      <c r="E1178" s="6"/>
      <c r="F1178" s="6"/>
      <c r="G1178" s="76"/>
      <c r="H1178" s="76">
        <v>4</v>
      </c>
      <c r="I1178" s="6"/>
      <c r="J1178" s="24">
        <f>H1178</f>
        <v>4</v>
      </c>
      <c r="K1178"/>
      <c r="L1178" s="20">
        <v>35</v>
      </c>
      <c r="M1178" s="25" t="s">
        <v>26</v>
      </c>
      <c r="N1178" s="26"/>
    </row>
    <row r="1179" spans="1:15">
      <c r="A1179" s="22" t="s">
        <v>0</v>
      </c>
      <c r="B1179" s="23" t="s">
        <v>14</v>
      </c>
      <c r="C1179" s="6"/>
      <c r="D1179" s="6"/>
      <c r="E1179" s="6"/>
      <c r="F1179" s="6"/>
      <c r="G1179" s="76">
        <v>5</v>
      </c>
      <c r="H1179" s="76">
        <v>43</v>
      </c>
      <c r="I1179" s="6"/>
      <c r="J1179" s="24">
        <f>G1179+H1179</f>
        <v>48</v>
      </c>
      <c r="K1179"/>
      <c r="L1179" s="20">
        <v>0</v>
      </c>
      <c r="M1179" s="25" t="s">
        <v>27</v>
      </c>
    </row>
    <row r="1180" spans="1:15" ht="13.5" thickBot="1">
      <c r="A1180" s="27" t="s">
        <v>29</v>
      </c>
      <c r="B1180" s="28"/>
      <c r="C1180" s="29"/>
      <c r="D1180" s="29">
        <f>SUM(D1174:D1179)</f>
        <v>25</v>
      </c>
      <c r="E1180" s="29">
        <f>SUM(E1174:E1179)</f>
        <v>266</v>
      </c>
      <c r="F1180" s="29">
        <f>SUM(F1174:F1179)</f>
        <v>1</v>
      </c>
      <c r="G1180" s="29">
        <f>SUM(G1174:G1179)</f>
        <v>80</v>
      </c>
      <c r="H1180" s="29">
        <f>SUM(H1174:H1179)</f>
        <v>340</v>
      </c>
      <c r="I1180" s="29"/>
      <c r="J1180" s="30">
        <f>SUM(J1174:J1179)</f>
        <v>712</v>
      </c>
      <c r="K1180"/>
      <c r="L1180" s="20">
        <v>1</v>
      </c>
      <c r="M1180" s="25" t="s">
        <v>28</v>
      </c>
      <c r="N1180" s="26"/>
    </row>
    <row r="1181" spans="1:15">
      <c r="A1181" s="31" t="s">
        <v>7</v>
      </c>
      <c r="B1181" s="32" t="s">
        <v>15</v>
      </c>
      <c r="C1181" s="33"/>
      <c r="D1181" s="33"/>
      <c r="E1181" s="33"/>
      <c r="F1181" s="33"/>
      <c r="G1181" s="77"/>
      <c r="H1181" s="77"/>
      <c r="I1181" s="33"/>
      <c r="J1181" s="34"/>
      <c r="K1181"/>
      <c r="L1181" s="20">
        <v>1</v>
      </c>
      <c r="M1181" s="25" t="s">
        <v>30</v>
      </c>
    </row>
    <row r="1182" spans="1:15">
      <c r="A1182" s="31" t="s">
        <v>7</v>
      </c>
      <c r="B1182" s="32" t="s">
        <v>8</v>
      </c>
      <c r="C1182" s="33"/>
      <c r="D1182" s="33"/>
      <c r="E1182" s="33"/>
      <c r="F1182" s="33"/>
      <c r="G1182" s="77">
        <v>4</v>
      </c>
      <c r="H1182" s="77">
        <v>29</v>
      </c>
      <c r="I1182" s="33"/>
      <c r="J1182" s="34">
        <f>G1182+H1182</f>
        <v>33</v>
      </c>
      <c r="K1182"/>
      <c r="L1182" s="35">
        <f>SUM(L1176:L1181)</f>
        <v>267</v>
      </c>
      <c r="M1182" s="21"/>
    </row>
    <row r="1183" spans="1:15" ht="13.5" thickBot="1">
      <c r="A1183" s="27" t="s">
        <v>31</v>
      </c>
      <c r="B1183" s="28"/>
      <c r="C1183" s="29"/>
      <c r="D1183" s="29"/>
      <c r="E1183" s="29"/>
      <c r="F1183" s="29"/>
      <c r="G1183" s="29">
        <f>SUM(G1181:G1182)</f>
        <v>4</v>
      </c>
      <c r="H1183" s="29">
        <f>SUM(H1181:H1182)</f>
        <v>29</v>
      </c>
      <c r="I1183" s="29"/>
      <c r="J1183" s="30">
        <f>SUM(J1181:J1182)</f>
        <v>33</v>
      </c>
      <c r="K1183"/>
    </row>
    <row r="1184" spans="1:15">
      <c r="A1184" s="31" t="s">
        <v>105</v>
      </c>
      <c r="B1184" s="32" t="s">
        <v>8</v>
      </c>
      <c r="C1184" s="33"/>
      <c r="D1184" s="33"/>
      <c r="E1184" s="33"/>
      <c r="F1184" s="33"/>
      <c r="G1184" s="77">
        <v>5</v>
      </c>
      <c r="H1184" s="77">
        <v>9</v>
      </c>
      <c r="I1184" s="33"/>
      <c r="J1184" s="34">
        <f>G1184+H1184</f>
        <v>14</v>
      </c>
      <c r="K1184"/>
    </row>
    <row r="1185" spans="1:12" ht="13.5" thickBot="1">
      <c r="A1185" s="27" t="s">
        <v>106</v>
      </c>
      <c r="B1185" s="28"/>
      <c r="C1185" s="29"/>
      <c r="D1185" s="29"/>
      <c r="E1185" s="29"/>
      <c r="F1185" s="29"/>
      <c r="G1185" s="29">
        <f>SUM(G1184:G1184)</f>
        <v>5</v>
      </c>
      <c r="H1185" s="29">
        <f>SUM(H1184:H1184)</f>
        <v>9</v>
      </c>
      <c r="I1185" s="29"/>
      <c r="J1185" s="30">
        <f>SUM(J1184:J1184)</f>
        <v>14</v>
      </c>
      <c r="K1185"/>
    </row>
    <row r="1186" spans="1:12">
      <c r="A1186" s="22" t="s">
        <v>108</v>
      </c>
      <c r="B1186" s="32" t="s">
        <v>10</v>
      </c>
      <c r="C1186" s="6"/>
      <c r="D1186" s="6"/>
      <c r="E1186" s="6"/>
      <c r="F1186" s="6"/>
      <c r="G1186" s="76"/>
      <c r="H1186" s="76"/>
      <c r="I1186" s="6"/>
      <c r="J1186" s="24">
        <f>H1186</f>
        <v>0</v>
      </c>
      <c r="K1186"/>
    </row>
    <row r="1187" spans="1:12">
      <c r="A1187" s="22" t="s">
        <v>32</v>
      </c>
      <c r="B1187" s="32" t="s">
        <v>33</v>
      </c>
      <c r="C1187" s="6">
        <v>4</v>
      </c>
      <c r="D1187" s="6"/>
      <c r="E1187" s="6"/>
      <c r="F1187" s="6"/>
      <c r="G1187" s="76"/>
      <c r="H1187" s="76"/>
      <c r="I1187" s="6"/>
      <c r="J1187" s="24">
        <f>C1187</f>
        <v>4</v>
      </c>
      <c r="K1187" t="s">
        <v>2858</v>
      </c>
    </row>
    <row r="1188" spans="1:12" ht="13.5" thickBot="1">
      <c r="A1188" s="36" t="s">
        <v>34</v>
      </c>
      <c r="B1188" s="37"/>
      <c r="C1188" s="29">
        <f>SUM(C1186:C1187)</f>
        <v>4</v>
      </c>
      <c r="D1188" s="29"/>
      <c r="E1188" s="29"/>
      <c r="F1188" s="29"/>
      <c r="G1188" s="29"/>
      <c r="H1188" s="29"/>
      <c r="I1188" s="29"/>
      <c r="J1188" s="30">
        <f>SUM(J1186:J1187)</f>
        <v>4</v>
      </c>
      <c r="K1188"/>
    </row>
    <row r="1189" spans="1:12" ht="17.25" customHeight="1" thickBot="1">
      <c r="A1189" s="78" t="s">
        <v>35</v>
      </c>
      <c r="B1189" s="79"/>
      <c r="C1189" s="80">
        <f t="shared" ref="C1189:H1189" si="39">C1180+C1183+C1185+C1188</f>
        <v>4</v>
      </c>
      <c r="D1189" s="80">
        <f t="shared" si="39"/>
        <v>25</v>
      </c>
      <c r="E1189" s="80">
        <f t="shared" si="39"/>
        <v>266</v>
      </c>
      <c r="F1189" s="80">
        <f t="shared" si="39"/>
        <v>1</v>
      </c>
      <c r="G1189" s="80">
        <f t="shared" si="39"/>
        <v>89</v>
      </c>
      <c r="H1189" s="80">
        <f t="shared" si="39"/>
        <v>378</v>
      </c>
      <c r="I1189" s="80"/>
      <c r="J1189" s="80">
        <f>J1180+J1183+J1185+J1188</f>
        <v>763</v>
      </c>
      <c r="K1189"/>
    </row>
    <row r="1190" spans="1:12">
      <c r="B1190" s="38" t="s">
        <v>36</v>
      </c>
      <c r="C1190" s="39"/>
      <c r="L1190" s="26"/>
    </row>
    <row r="1191" spans="1:12">
      <c r="A1191" s="7" t="s">
        <v>37</v>
      </c>
      <c r="B1191" s="8">
        <f>D1180+D1183+D1185+D1188</f>
        <v>25</v>
      </c>
      <c r="C1191" s="6"/>
    </row>
    <row r="1192" spans="1:12">
      <c r="A1192" s="7" t="s">
        <v>38</v>
      </c>
      <c r="B1192" s="8">
        <f>E1189</f>
        <v>266</v>
      </c>
      <c r="C1192" s="6"/>
    </row>
    <row r="1193" spans="1:12">
      <c r="A1193" s="7" t="s">
        <v>2615</v>
      </c>
      <c r="B1193" s="8">
        <f>F1180+F1183+F1185+F1188</f>
        <v>1</v>
      </c>
      <c r="C1193" s="6"/>
    </row>
    <row r="1194" spans="1:12">
      <c r="A1194" s="7" t="s">
        <v>39</v>
      </c>
      <c r="B1194" s="8">
        <f>J1176</f>
        <v>65</v>
      </c>
      <c r="C1194" s="6"/>
    </row>
    <row r="1195" spans="1:12">
      <c r="A1195" s="7" t="s">
        <v>40</v>
      </c>
      <c r="B1195" s="8">
        <f>J1177+J1182+J1184</f>
        <v>350</v>
      </c>
      <c r="C1195" s="6"/>
    </row>
    <row r="1196" spans="1:12">
      <c r="A1196" s="7" t="s">
        <v>41</v>
      </c>
      <c r="B1196" s="8">
        <f>J1178</f>
        <v>4</v>
      </c>
      <c r="C1196" s="6"/>
    </row>
    <row r="1197" spans="1:12">
      <c r="A1197" s="7" t="s">
        <v>42</v>
      </c>
      <c r="B1197" s="8">
        <f>J1179</f>
        <v>48</v>
      </c>
      <c r="C1197" s="6"/>
    </row>
    <row r="1198" spans="1:12">
      <c r="A1198" s="7" t="s">
        <v>43</v>
      </c>
      <c r="B1198" s="8">
        <f>J1186</f>
        <v>0</v>
      </c>
      <c r="C1198" s="6"/>
    </row>
    <row r="1199" spans="1:12">
      <c r="A1199" s="7" t="s">
        <v>44</v>
      </c>
      <c r="B1199" s="8">
        <f>J1187</f>
        <v>4</v>
      </c>
      <c r="C1199" s="6"/>
    </row>
    <row r="1200" spans="1:12">
      <c r="A1200" s="7"/>
      <c r="B1200" s="81">
        <f>SUM(B1191:B1199)</f>
        <v>763</v>
      </c>
      <c r="C1200" s="6"/>
    </row>
    <row r="1201" spans="1:14" ht="13.5" thickBot="1"/>
    <row r="1202" spans="1:14" ht="13.5" thickBot="1">
      <c r="A1202" s="85" t="s">
        <v>2776</v>
      </c>
      <c r="B1202" s="9"/>
    </row>
    <row r="1203" spans="1:14" ht="13.5" thickBot="1">
      <c r="A1203" s="11" t="s">
        <v>17</v>
      </c>
      <c r="B1203" s="12" t="s">
        <v>18</v>
      </c>
      <c r="C1203" s="13" t="s">
        <v>16</v>
      </c>
      <c r="D1203" s="14" t="s">
        <v>15</v>
      </c>
      <c r="E1203" s="14" t="s">
        <v>6</v>
      </c>
      <c r="F1203" s="14" t="s">
        <v>19</v>
      </c>
      <c r="G1203" s="74" t="s">
        <v>20</v>
      </c>
      <c r="H1203" s="74" t="s">
        <v>21</v>
      </c>
      <c r="I1203" s="14" t="s">
        <v>22</v>
      </c>
      <c r="J1203" s="15" t="s">
        <v>9</v>
      </c>
      <c r="K1203"/>
    </row>
    <row r="1204" spans="1:14">
      <c r="A1204" s="16" t="s">
        <v>0</v>
      </c>
      <c r="B1204" s="17" t="s">
        <v>15</v>
      </c>
      <c r="C1204" s="18"/>
      <c r="D1204" s="6">
        <v>25</v>
      </c>
      <c r="E1204" s="18"/>
      <c r="F1204" s="18"/>
      <c r="G1204" s="75"/>
      <c r="H1204" s="75"/>
      <c r="I1204" s="18"/>
      <c r="J1204" s="19">
        <f>D1204</f>
        <v>25</v>
      </c>
      <c r="K1204"/>
    </row>
    <row r="1205" spans="1:14">
      <c r="A1205" s="22" t="s">
        <v>0</v>
      </c>
      <c r="B1205" s="23" t="s">
        <v>6</v>
      </c>
      <c r="C1205" s="6"/>
      <c r="D1205" s="6"/>
      <c r="E1205" s="6">
        <v>266</v>
      </c>
      <c r="F1205" s="6">
        <v>1</v>
      </c>
      <c r="G1205" s="76"/>
      <c r="H1205" s="76"/>
      <c r="I1205" s="6"/>
      <c r="J1205" s="24">
        <f>E1205+F1205</f>
        <v>267</v>
      </c>
      <c r="K1205"/>
      <c r="L1205" s="20" t="s">
        <v>23</v>
      </c>
      <c r="M1205" s="25" t="s">
        <v>2764</v>
      </c>
      <c r="N1205" s="84" t="s">
        <v>2777</v>
      </c>
    </row>
    <row r="1206" spans="1:14">
      <c r="A1206" s="22" t="s">
        <v>0</v>
      </c>
      <c r="B1206" s="23" t="s">
        <v>13</v>
      </c>
      <c r="C1206" s="6"/>
      <c r="D1206" s="6"/>
      <c r="E1206" s="6"/>
      <c r="F1206" s="6"/>
      <c r="G1206" s="76">
        <v>1</v>
      </c>
      <c r="H1206" s="76">
        <v>66</v>
      </c>
      <c r="I1206" s="6"/>
      <c r="J1206" s="24">
        <f>G1206+H1206+I1206</f>
        <v>67</v>
      </c>
      <c r="K1206"/>
      <c r="L1206" s="20">
        <v>187</v>
      </c>
      <c r="M1206" s="25" t="s">
        <v>24</v>
      </c>
    </row>
    <row r="1207" spans="1:14">
      <c r="A1207" s="22" t="s">
        <v>0</v>
      </c>
      <c r="B1207" s="23" t="s">
        <v>8</v>
      </c>
      <c r="C1207" s="6"/>
      <c r="D1207" s="6"/>
      <c r="E1207" s="6"/>
      <c r="F1207" s="6"/>
      <c r="G1207" s="76">
        <v>74</v>
      </c>
      <c r="H1207" s="76">
        <v>232</v>
      </c>
      <c r="I1207" s="6"/>
      <c r="J1207" s="24">
        <f>G1207+H1207+I1207</f>
        <v>306</v>
      </c>
      <c r="K1207"/>
      <c r="L1207" s="20">
        <v>43</v>
      </c>
      <c r="M1207" s="25" t="s">
        <v>25</v>
      </c>
    </row>
    <row r="1208" spans="1:14">
      <c r="A1208" s="22" t="s">
        <v>0</v>
      </c>
      <c r="B1208" s="23" t="s">
        <v>12</v>
      </c>
      <c r="C1208" s="6"/>
      <c r="D1208" s="6"/>
      <c r="E1208" s="6"/>
      <c r="F1208" s="6"/>
      <c r="G1208" s="76"/>
      <c r="H1208" s="76">
        <v>5</v>
      </c>
      <c r="I1208" s="6"/>
      <c r="J1208" s="24">
        <f>H1208</f>
        <v>5</v>
      </c>
      <c r="K1208"/>
      <c r="L1208" s="20">
        <v>35</v>
      </c>
      <c r="M1208" s="25" t="s">
        <v>26</v>
      </c>
      <c r="N1208" s="26"/>
    </row>
    <row r="1209" spans="1:14">
      <c r="A1209" s="22" t="s">
        <v>0</v>
      </c>
      <c r="B1209" s="23" t="s">
        <v>14</v>
      </c>
      <c r="C1209" s="6"/>
      <c r="D1209" s="6"/>
      <c r="E1209" s="6"/>
      <c r="F1209" s="6"/>
      <c r="G1209" s="76">
        <v>5</v>
      </c>
      <c r="H1209" s="76">
        <v>43</v>
      </c>
      <c r="I1209" s="6"/>
      <c r="J1209" s="24">
        <f>G1209+H1209</f>
        <v>48</v>
      </c>
      <c r="K1209"/>
      <c r="L1209" s="20">
        <v>0</v>
      </c>
      <c r="M1209" s="25" t="s">
        <v>27</v>
      </c>
    </row>
    <row r="1210" spans="1:14" ht="13.5" thickBot="1">
      <c r="A1210" s="27" t="s">
        <v>29</v>
      </c>
      <c r="B1210" s="28"/>
      <c r="C1210" s="29"/>
      <c r="D1210" s="29">
        <f>SUM(D1204:D1209)</f>
        <v>25</v>
      </c>
      <c r="E1210" s="29">
        <f>SUM(E1204:E1209)</f>
        <v>266</v>
      </c>
      <c r="F1210" s="29">
        <f>SUM(F1204:F1209)</f>
        <v>1</v>
      </c>
      <c r="G1210" s="29">
        <f>SUM(G1204:G1209)</f>
        <v>80</v>
      </c>
      <c r="H1210" s="29">
        <f>SUM(H1204:H1209)</f>
        <v>346</v>
      </c>
      <c r="I1210" s="29"/>
      <c r="J1210" s="30">
        <f>SUM(J1204:J1209)</f>
        <v>718</v>
      </c>
      <c r="K1210"/>
      <c r="L1210" s="20">
        <v>1</v>
      </c>
      <c r="M1210" s="25" t="s">
        <v>28</v>
      </c>
      <c r="N1210" s="26"/>
    </row>
    <row r="1211" spans="1:14">
      <c r="A1211" s="31" t="s">
        <v>7</v>
      </c>
      <c r="B1211" s="32" t="s">
        <v>15</v>
      </c>
      <c r="C1211" s="33"/>
      <c r="D1211" s="33"/>
      <c r="E1211" s="33"/>
      <c r="F1211" s="33"/>
      <c r="G1211" s="77"/>
      <c r="H1211" s="77"/>
      <c r="I1211" s="33"/>
      <c r="J1211" s="34"/>
      <c r="K1211"/>
      <c r="L1211" s="20">
        <v>1</v>
      </c>
      <c r="M1211" s="25" t="s">
        <v>30</v>
      </c>
    </row>
    <row r="1212" spans="1:14">
      <c r="A1212" s="31" t="s">
        <v>7</v>
      </c>
      <c r="B1212" s="32" t="s">
        <v>8</v>
      </c>
      <c r="C1212" s="33"/>
      <c r="D1212" s="33"/>
      <c r="E1212" s="33"/>
      <c r="F1212" s="33"/>
      <c r="G1212" s="77">
        <v>4</v>
      </c>
      <c r="H1212" s="77">
        <v>29</v>
      </c>
      <c r="I1212" s="33"/>
      <c r="J1212" s="34">
        <f>G1212+H1212</f>
        <v>33</v>
      </c>
      <c r="K1212"/>
      <c r="L1212" s="35">
        <f>SUM(L1206:L1211)</f>
        <v>267</v>
      </c>
      <c r="M1212" s="21"/>
    </row>
    <row r="1213" spans="1:14" ht="13.5" thickBot="1">
      <c r="A1213" s="27" t="s">
        <v>31</v>
      </c>
      <c r="B1213" s="28"/>
      <c r="C1213" s="29"/>
      <c r="D1213" s="29"/>
      <c r="E1213" s="29"/>
      <c r="F1213" s="29"/>
      <c r="G1213" s="29">
        <f>SUM(G1211:G1212)</f>
        <v>4</v>
      </c>
      <c r="H1213" s="29">
        <f>SUM(H1211:H1212)</f>
        <v>29</v>
      </c>
      <c r="I1213" s="29"/>
      <c r="J1213" s="30">
        <f>SUM(J1211:J1212)</f>
        <v>33</v>
      </c>
      <c r="K1213"/>
    </row>
    <row r="1214" spans="1:14">
      <c r="A1214" s="31" t="s">
        <v>105</v>
      </c>
      <c r="B1214" s="32" t="s">
        <v>8</v>
      </c>
      <c r="C1214" s="33"/>
      <c r="D1214" s="33"/>
      <c r="E1214" s="33"/>
      <c r="F1214" s="33"/>
      <c r="G1214" s="77">
        <v>5</v>
      </c>
      <c r="H1214" s="77">
        <v>9</v>
      </c>
      <c r="I1214" s="33"/>
      <c r="J1214" s="34">
        <f>G1214+H1214</f>
        <v>14</v>
      </c>
      <c r="K1214"/>
    </row>
    <row r="1215" spans="1:14" ht="13.5" thickBot="1">
      <c r="A1215" s="27" t="s">
        <v>106</v>
      </c>
      <c r="B1215" s="28"/>
      <c r="C1215" s="29"/>
      <c r="D1215" s="29"/>
      <c r="E1215" s="29"/>
      <c r="F1215" s="29"/>
      <c r="G1215" s="29">
        <f>SUM(G1214:G1214)</f>
        <v>5</v>
      </c>
      <c r="H1215" s="29">
        <f>SUM(H1214:H1214)</f>
        <v>9</v>
      </c>
      <c r="I1215" s="29"/>
      <c r="J1215" s="30">
        <f>SUM(J1214:J1214)</f>
        <v>14</v>
      </c>
      <c r="K1215"/>
    </row>
    <row r="1216" spans="1:14">
      <c r="A1216" s="22" t="s">
        <v>108</v>
      </c>
      <c r="B1216" s="32" t="s">
        <v>10</v>
      </c>
      <c r="C1216" s="6"/>
      <c r="D1216" s="6"/>
      <c r="E1216" s="6"/>
      <c r="F1216" s="6"/>
      <c r="G1216" s="76"/>
      <c r="H1216" s="76"/>
      <c r="I1216" s="6"/>
      <c r="J1216" s="24">
        <f>H1216</f>
        <v>0</v>
      </c>
      <c r="K1216"/>
    </row>
    <row r="1217" spans="1:12">
      <c r="A1217" s="22" t="s">
        <v>32</v>
      </c>
      <c r="B1217" s="32" t="s">
        <v>33</v>
      </c>
      <c r="C1217" s="6">
        <v>5</v>
      </c>
      <c r="D1217" s="6"/>
      <c r="E1217" s="6"/>
      <c r="F1217" s="6"/>
      <c r="G1217" s="76"/>
      <c r="H1217" s="76"/>
      <c r="I1217" s="6"/>
      <c r="J1217" s="24">
        <f>C1217</f>
        <v>5</v>
      </c>
      <c r="K1217"/>
    </row>
    <row r="1218" spans="1:12" ht="13.5" thickBot="1">
      <c r="A1218" s="36" t="s">
        <v>34</v>
      </c>
      <c r="B1218" s="37"/>
      <c r="C1218" s="29">
        <f>SUM(C1216:C1217)</f>
        <v>5</v>
      </c>
      <c r="D1218" s="29"/>
      <c r="E1218" s="29"/>
      <c r="F1218" s="29"/>
      <c r="G1218" s="29"/>
      <c r="H1218" s="29"/>
      <c r="I1218" s="29"/>
      <c r="J1218" s="30">
        <f>SUM(J1216:J1217)</f>
        <v>5</v>
      </c>
      <c r="K1218"/>
    </row>
    <row r="1219" spans="1:12" ht="13.5" thickBot="1">
      <c r="A1219" s="78" t="s">
        <v>35</v>
      </c>
      <c r="B1219" s="79"/>
      <c r="C1219" s="80">
        <f t="shared" ref="C1219:H1219" si="40">C1210+C1213+C1215+C1218</f>
        <v>5</v>
      </c>
      <c r="D1219" s="80">
        <f t="shared" si="40"/>
        <v>25</v>
      </c>
      <c r="E1219" s="80">
        <f t="shared" si="40"/>
        <v>266</v>
      </c>
      <c r="F1219" s="80">
        <f t="shared" si="40"/>
        <v>1</v>
      </c>
      <c r="G1219" s="80">
        <f t="shared" si="40"/>
        <v>89</v>
      </c>
      <c r="H1219" s="80">
        <f t="shared" si="40"/>
        <v>384</v>
      </c>
      <c r="I1219" s="80"/>
      <c r="J1219" s="80">
        <f>J1210+J1213+J1215+J1218</f>
        <v>770</v>
      </c>
      <c r="K1219"/>
    </row>
    <row r="1220" spans="1:12">
      <c r="B1220" s="38" t="s">
        <v>36</v>
      </c>
      <c r="C1220" s="39"/>
      <c r="L1220" s="26"/>
    </row>
    <row r="1221" spans="1:12">
      <c r="A1221" s="7" t="s">
        <v>37</v>
      </c>
      <c r="B1221" s="8">
        <f>D1210+D1213+D1215+D1218</f>
        <v>25</v>
      </c>
      <c r="C1221" s="6"/>
    </row>
    <row r="1222" spans="1:12">
      <c r="A1222" s="7" t="s">
        <v>38</v>
      </c>
      <c r="B1222" s="8">
        <f>E1219</f>
        <v>266</v>
      </c>
      <c r="C1222" s="6"/>
    </row>
    <row r="1223" spans="1:12">
      <c r="A1223" s="7" t="s">
        <v>2615</v>
      </c>
      <c r="B1223" s="8">
        <f>F1210+F1213+F1215+F1218</f>
        <v>1</v>
      </c>
      <c r="C1223" s="6"/>
    </row>
    <row r="1224" spans="1:12">
      <c r="A1224" s="7" t="s">
        <v>39</v>
      </c>
      <c r="B1224" s="8">
        <f>J1206</f>
        <v>67</v>
      </c>
      <c r="C1224" s="6"/>
    </row>
    <row r="1225" spans="1:12">
      <c r="A1225" s="7" t="s">
        <v>40</v>
      </c>
      <c r="B1225" s="8">
        <f>J1207+J1212+J1214</f>
        <v>353</v>
      </c>
      <c r="C1225" s="6"/>
    </row>
    <row r="1226" spans="1:12">
      <c r="A1226" s="7" t="s">
        <v>41</v>
      </c>
      <c r="B1226" s="8">
        <f>J1208</f>
        <v>5</v>
      </c>
      <c r="C1226" s="6"/>
    </row>
    <row r="1227" spans="1:12">
      <c r="A1227" s="7" t="s">
        <v>42</v>
      </c>
      <c r="B1227" s="8">
        <f>J1209</f>
        <v>48</v>
      </c>
      <c r="C1227" s="6"/>
    </row>
    <row r="1228" spans="1:12">
      <c r="A1228" s="7" t="s">
        <v>43</v>
      </c>
      <c r="B1228" s="8">
        <f>J1216</f>
        <v>0</v>
      </c>
      <c r="C1228" s="6"/>
    </row>
    <row r="1229" spans="1:12">
      <c r="A1229" s="7" t="s">
        <v>44</v>
      </c>
      <c r="B1229" s="8">
        <f>J1217</f>
        <v>5</v>
      </c>
      <c r="C1229" s="6"/>
    </row>
    <row r="1230" spans="1:12">
      <c r="A1230" s="7"/>
      <c r="B1230" s="81">
        <f>SUM(B1221:B1229)</f>
        <v>770</v>
      </c>
      <c r="C1230" s="6"/>
    </row>
    <row r="1232" spans="1:12" ht="13.5" thickBot="1"/>
    <row r="1233" spans="1:15" ht="18" customHeight="1" thickBot="1">
      <c r="A1233" s="85" t="s">
        <v>2763</v>
      </c>
      <c r="B1233" s="9"/>
    </row>
    <row r="1234" spans="1:15" ht="15.6" customHeight="1" thickBot="1">
      <c r="A1234" s="11" t="s">
        <v>17</v>
      </c>
      <c r="B1234" s="12" t="s">
        <v>18</v>
      </c>
      <c r="C1234" s="13" t="s">
        <v>16</v>
      </c>
      <c r="D1234" s="14" t="s">
        <v>15</v>
      </c>
      <c r="E1234" s="14" t="s">
        <v>6</v>
      </c>
      <c r="F1234" s="14" t="s">
        <v>19</v>
      </c>
      <c r="G1234" s="74" t="s">
        <v>20</v>
      </c>
      <c r="H1234" s="74" t="s">
        <v>21</v>
      </c>
      <c r="I1234" s="14" t="s">
        <v>22</v>
      </c>
      <c r="J1234" s="15" t="s">
        <v>9</v>
      </c>
      <c r="K1234"/>
    </row>
    <row r="1235" spans="1:15">
      <c r="A1235" s="16" t="s">
        <v>0</v>
      </c>
      <c r="B1235" s="17" t="s">
        <v>15</v>
      </c>
      <c r="C1235" s="18"/>
      <c r="D1235" s="6">
        <v>26</v>
      </c>
      <c r="E1235" s="18"/>
      <c r="F1235" s="18"/>
      <c r="G1235" s="75"/>
      <c r="H1235" s="75"/>
      <c r="I1235" s="18"/>
      <c r="J1235" s="19">
        <f>D1235</f>
        <v>26</v>
      </c>
      <c r="K1235"/>
    </row>
    <row r="1236" spans="1:15">
      <c r="A1236" s="22" t="s">
        <v>0</v>
      </c>
      <c r="B1236" s="23" t="s">
        <v>6</v>
      </c>
      <c r="C1236" s="6"/>
      <c r="D1236" s="6"/>
      <c r="E1236" s="6">
        <v>267</v>
      </c>
      <c r="F1236" s="6">
        <v>1</v>
      </c>
      <c r="G1236" s="76"/>
      <c r="H1236" s="76"/>
      <c r="I1236" s="6"/>
      <c r="J1236" s="24">
        <f>E1236+F1236</f>
        <v>268</v>
      </c>
      <c r="K1236"/>
      <c r="L1236" s="20" t="s">
        <v>23</v>
      </c>
      <c r="M1236" s="25" t="s">
        <v>2764</v>
      </c>
      <c r="N1236" s="84" t="s">
        <v>2765</v>
      </c>
      <c r="O1236" s="26"/>
    </row>
    <row r="1237" spans="1:15">
      <c r="A1237" s="22" t="s">
        <v>0</v>
      </c>
      <c r="B1237" s="23" t="s">
        <v>13</v>
      </c>
      <c r="C1237" s="6"/>
      <c r="D1237" s="6"/>
      <c r="E1237" s="6"/>
      <c r="F1237" s="6"/>
      <c r="G1237" s="76">
        <v>1</v>
      </c>
      <c r="H1237" s="76">
        <v>67</v>
      </c>
      <c r="I1237" s="6"/>
      <c r="J1237" s="24">
        <f>G1237+H1237+I1237</f>
        <v>68</v>
      </c>
      <c r="K1237"/>
      <c r="L1237" s="20">
        <v>188</v>
      </c>
      <c r="M1237" s="25" t="s">
        <v>24</v>
      </c>
    </row>
    <row r="1238" spans="1:15">
      <c r="A1238" s="22" t="s">
        <v>0</v>
      </c>
      <c r="B1238" s="23" t="s">
        <v>8</v>
      </c>
      <c r="C1238" s="6"/>
      <c r="D1238" s="6"/>
      <c r="E1238" s="6"/>
      <c r="F1238" s="6"/>
      <c r="G1238" s="76">
        <v>74</v>
      </c>
      <c r="H1238" s="76">
        <v>234</v>
      </c>
      <c r="I1238" s="6"/>
      <c r="J1238" s="24">
        <f>G1238+H1238+I1238</f>
        <v>308</v>
      </c>
      <c r="K1238"/>
      <c r="L1238" s="20">
        <v>43</v>
      </c>
      <c r="M1238" s="25" t="s">
        <v>25</v>
      </c>
    </row>
    <row r="1239" spans="1:15">
      <c r="A1239" s="22" t="s">
        <v>0</v>
      </c>
      <c r="B1239" s="23" t="s">
        <v>12</v>
      </c>
      <c r="C1239" s="6"/>
      <c r="D1239" s="6"/>
      <c r="E1239" s="6"/>
      <c r="F1239" s="6"/>
      <c r="G1239" s="76"/>
      <c r="H1239" s="76">
        <v>5</v>
      </c>
      <c r="I1239" s="6"/>
      <c r="J1239" s="24">
        <f>H1239</f>
        <v>5</v>
      </c>
      <c r="K1239"/>
      <c r="L1239" s="20">
        <v>35</v>
      </c>
      <c r="M1239" s="25" t="s">
        <v>26</v>
      </c>
      <c r="N1239" s="26"/>
    </row>
    <row r="1240" spans="1:15">
      <c r="A1240" s="22" t="s">
        <v>0</v>
      </c>
      <c r="B1240" s="23" t="s">
        <v>14</v>
      </c>
      <c r="C1240" s="6"/>
      <c r="D1240" s="6"/>
      <c r="E1240" s="6"/>
      <c r="F1240" s="6"/>
      <c r="G1240" s="76">
        <v>5</v>
      </c>
      <c r="H1240" s="76">
        <v>43</v>
      </c>
      <c r="I1240" s="6"/>
      <c r="J1240" s="24">
        <f>G1240+H1240</f>
        <v>48</v>
      </c>
      <c r="K1240"/>
      <c r="L1240" s="20">
        <v>0</v>
      </c>
      <c r="M1240" s="25" t="s">
        <v>27</v>
      </c>
    </row>
    <row r="1241" spans="1:15" ht="13.5" thickBot="1">
      <c r="A1241" s="27" t="s">
        <v>29</v>
      </c>
      <c r="B1241" s="28"/>
      <c r="C1241" s="29"/>
      <c r="D1241" s="29">
        <f>SUM(D1235:D1240)</f>
        <v>26</v>
      </c>
      <c r="E1241" s="29">
        <f>SUM(E1235:E1240)</f>
        <v>267</v>
      </c>
      <c r="F1241" s="29">
        <f>SUM(F1235:F1240)</f>
        <v>1</v>
      </c>
      <c r="G1241" s="29">
        <f>SUM(G1235:G1240)</f>
        <v>80</v>
      </c>
      <c r="H1241" s="29">
        <f>SUM(H1235:H1240)</f>
        <v>349</v>
      </c>
      <c r="I1241" s="29"/>
      <c r="J1241" s="30">
        <f>SUM(J1235:J1240)</f>
        <v>723</v>
      </c>
      <c r="K1241"/>
      <c r="L1241" s="20">
        <v>1</v>
      </c>
      <c r="M1241" s="25" t="s">
        <v>28</v>
      </c>
      <c r="N1241" s="26"/>
    </row>
    <row r="1242" spans="1:15">
      <c r="A1242" s="31" t="s">
        <v>7</v>
      </c>
      <c r="B1242" s="32" t="s">
        <v>15</v>
      </c>
      <c r="C1242" s="33"/>
      <c r="D1242" s="33"/>
      <c r="E1242" s="33"/>
      <c r="F1242" s="33"/>
      <c r="G1242" s="77"/>
      <c r="H1242" s="77"/>
      <c r="I1242" s="33"/>
      <c r="J1242" s="34"/>
      <c r="K1242"/>
      <c r="L1242" s="20">
        <v>1</v>
      </c>
      <c r="M1242" s="25" t="s">
        <v>30</v>
      </c>
    </row>
    <row r="1243" spans="1:15">
      <c r="A1243" s="31" t="s">
        <v>7</v>
      </c>
      <c r="B1243" s="32" t="s">
        <v>8</v>
      </c>
      <c r="C1243" s="33"/>
      <c r="D1243" s="33"/>
      <c r="E1243" s="33"/>
      <c r="F1243" s="33"/>
      <c r="G1243" s="77">
        <v>4</v>
      </c>
      <c r="H1243" s="77">
        <v>29</v>
      </c>
      <c r="I1243" s="33"/>
      <c r="J1243" s="34">
        <f>G1243+H1243</f>
        <v>33</v>
      </c>
      <c r="K1243"/>
      <c r="L1243" s="35">
        <f>SUM(L1237:L1242)</f>
        <v>268</v>
      </c>
      <c r="M1243" s="21"/>
    </row>
    <row r="1244" spans="1:15" ht="13.5" thickBot="1">
      <c r="A1244" s="27" t="s">
        <v>31</v>
      </c>
      <c r="B1244" s="28"/>
      <c r="C1244" s="29"/>
      <c r="D1244" s="29"/>
      <c r="E1244" s="29"/>
      <c r="F1244" s="29"/>
      <c r="G1244" s="29">
        <f>SUM(G1242:G1243)</f>
        <v>4</v>
      </c>
      <c r="H1244" s="29">
        <f>SUM(H1242:H1243)</f>
        <v>29</v>
      </c>
      <c r="I1244" s="29"/>
      <c r="J1244" s="30">
        <f>SUM(J1242:J1243)</f>
        <v>33</v>
      </c>
      <c r="K1244"/>
    </row>
    <row r="1245" spans="1:15">
      <c r="A1245" s="31" t="s">
        <v>105</v>
      </c>
      <c r="B1245" s="32" t="s">
        <v>8</v>
      </c>
      <c r="C1245" s="33"/>
      <c r="D1245" s="33"/>
      <c r="E1245" s="33"/>
      <c r="F1245" s="33"/>
      <c r="G1245" s="77">
        <v>5</v>
      </c>
      <c r="H1245" s="77">
        <v>8</v>
      </c>
      <c r="I1245" s="33"/>
      <c r="J1245" s="34">
        <f>G1245+H1245</f>
        <v>13</v>
      </c>
      <c r="K1245"/>
    </row>
    <row r="1246" spans="1:15" ht="13.5" thickBot="1">
      <c r="A1246" s="27" t="s">
        <v>106</v>
      </c>
      <c r="B1246" s="28"/>
      <c r="C1246" s="29"/>
      <c r="D1246" s="29"/>
      <c r="E1246" s="29"/>
      <c r="F1246" s="29"/>
      <c r="G1246" s="29">
        <f>SUM(G1245:G1245)</f>
        <v>5</v>
      </c>
      <c r="H1246" s="29">
        <f>SUM(H1245:H1245)</f>
        <v>8</v>
      </c>
      <c r="I1246" s="29"/>
      <c r="J1246" s="30">
        <f>SUM(J1245:J1245)</f>
        <v>13</v>
      </c>
      <c r="K1246"/>
    </row>
    <row r="1247" spans="1:15">
      <c r="A1247" s="22" t="s">
        <v>108</v>
      </c>
      <c r="B1247" s="32" t="s">
        <v>10</v>
      </c>
      <c r="C1247" s="6"/>
      <c r="D1247" s="6"/>
      <c r="E1247" s="6"/>
      <c r="F1247" s="6"/>
      <c r="G1247" s="76"/>
      <c r="H1247" s="76"/>
      <c r="I1247" s="6"/>
      <c r="J1247" s="24">
        <f>H1247</f>
        <v>0</v>
      </c>
      <c r="K1247"/>
    </row>
    <row r="1248" spans="1:15">
      <c r="A1248" s="22" t="s">
        <v>32</v>
      </c>
      <c r="B1248" s="32" t="s">
        <v>33</v>
      </c>
      <c r="C1248" s="6">
        <v>5</v>
      </c>
      <c r="D1248" s="6"/>
      <c r="E1248" s="6"/>
      <c r="F1248" s="6"/>
      <c r="G1248" s="76"/>
      <c r="H1248" s="76"/>
      <c r="I1248" s="6"/>
      <c r="J1248" s="24">
        <f>C1248</f>
        <v>5</v>
      </c>
      <c r="K1248"/>
    </row>
    <row r="1249" spans="1:12" ht="13.5" thickBot="1">
      <c r="A1249" s="36" t="s">
        <v>34</v>
      </c>
      <c r="B1249" s="37"/>
      <c r="C1249" s="29">
        <f>SUM(C1247:C1248)</f>
        <v>5</v>
      </c>
      <c r="D1249" s="29"/>
      <c r="E1249" s="29"/>
      <c r="F1249" s="29"/>
      <c r="G1249" s="29"/>
      <c r="H1249" s="29"/>
      <c r="I1249" s="29"/>
      <c r="J1249" s="30">
        <f>SUM(J1247:J1248)</f>
        <v>5</v>
      </c>
      <c r="K1249"/>
    </row>
    <row r="1250" spans="1:12" ht="17.25" customHeight="1" thickBot="1">
      <c r="A1250" s="78" t="s">
        <v>35</v>
      </c>
      <c r="B1250" s="79"/>
      <c r="C1250" s="80">
        <f t="shared" ref="C1250:H1250" si="41">C1241+C1244+C1246+C1249</f>
        <v>5</v>
      </c>
      <c r="D1250" s="80">
        <f t="shared" si="41"/>
        <v>26</v>
      </c>
      <c r="E1250" s="80">
        <f t="shared" si="41"/>
        <v>267</v>
      </c>
      <c r="F1250" s="80">
        <f t="shared" si="41"/>
        <v>1</v>
      </c>
      <c r="G1250" s="80">
        <f t="shared" si="41"/>
        <v>89</v>
      </c>
      <c r="H1250" s="80">
        <f t="shared" si="41"/>
        <v>386</v>
      </c>
      <c r="I1250" s="80"/>
      <c r="J1250" s="80">
        <f>J1241+J1244+J1246+J1249</f>
        <v>774</v>
      </c>
      <c r="K1250"/>
    </row>
    <row r="1251" spans="1:12">
      <c r="B1251" s="38" t="s">
        <v>36</v>
      </c>
      <c r="C1251" s="39"/>
      <c r="L1251" s="26"/>
    </row>
    <row r="1252" spans="1:12">
      <c r="A1252" s="7" t="s">
        <v>37</v>
      </c>
      <c r="B1252" s="8">
        <f>D1241+D1244+D1246+D1249</f>
        <v>26</v>
      </c>
      <c r="C1252" s="6"/>
    </row>
    <row r="1253" spans="1:12">
      <c r="A1253" s="7" t="s">
        <v>38</v>
      </c>
      <c r="B1253" s="8">
        <f>E1250</f>
        <v>267</v>
      </c>
      <c r="C1253" s="6"/>
    </row>
    <row r="1254" spans="1:12">
      <c r="A1254" s="7" t="s">
        <v>2615</v>
      </c>
      <c r="B1254" s="8">
        <f>F1241+F1244+F1246+F1249</f>
        <v>1</v>
      </c>
      <c r="C1254" s="6"/>
    </row>
    <row r="1255" spans="1:12">
      <c r="A1255" s="7" t="s">
        <v>39</v>
      </c>
      <c r="B1255" s="8">
        <f>J1237</f>
        <v>68</v>
      </c>
      <c r="C1255" s="6"/>
    </row>
    <row r="1256" spans="1:12">
      <c r="A1256" s="7" t="s">
        <v>40</v>
      </c>
      <c r="B1256" s="8">
        <f>J1238+J1243+J1245</f>
        <v>354</v>
      </c>
      <c r="C1256" s="6"/>
    </row>
    <row r="1257" spans="1:12">
      <c r="A1257" s="7" t="s">
        <v>41</v>
      </c>
      <c r="B1257" s="8">
        <f>J1239</f>
        <v>5</v>
      </c>
      <c r="C1257" s="6"/>
    </row>
    <row r="1258" spans="1:12">
      <c r="A1258" s="7" t="s">
        <v>42</v>
      </c>
      <c r="B1258" s="8">
        <f>J1240</f>
        <v>48</v>
      </c>
      <c r="C1258" s="6"/>
    </row>
    <row r="1259" spans="1:12">
      <c r="A1259" s="7" t="s">
        <v>43</v>
      </c>
      <c r="B1259" s="8">
        <f>J1247</f>
        <v>0</v>
      </c>
      <c r="C1259" s="6"/>
    </row>
    <row r="1260" spans="1:12">
      <c r="A1260" s="7" t="s">
        <v>44</v>
      </c>
      <c r="B1260" s="8">
        <f>J1248</f>
        <v>5</v>
      </c>
      <c r="C1260" s="6"/>
    </row>
    <row r="1261" spans="1:12">
      <c r="A1261" s="7"/>
      <c r="B1261" s="81">
        <f>SUM(B1252:B1260)</f>
        <v>774</v>
      </c>
      <c r="C1261" s="6"/>
    </row>
    <row r="1264" spans="1:12" ht="13.5" thickBot="1"/>
    <row r="1265" spans="1:15" ht="18" customHeight="1" thickBot="1">
      <c r="A1265" s="85" t="s">
        <v>2613</v>
      </c>
      <c r="B1265" s="9"/>
    </row>
    <row r="1266" spans="1:15" ht="15.6" customHeight="1" thickBot="1">
      <c r="A1266" s="11" t="s">
        <v>17</v>
      </c>
      <c r="B1266" s="12" t="s">
        <v>18</v>
      </c>
      <c r="C1266" s="13" t="s">
        <v>16</v>
      </c>
      <c r="D1266" s="14" t="s">
        <v>15</v>
      </c>
      <c r="E1266" s="14" t="s">
        <v>6</v>
      </c>
      <c r="F1266" s="14" t="s">
        <v>19</v>
      </c>
      <c r="G1266" s="74" t="s">
        <v>20</v>
      </c>
      <c r="H1266" s="74" t="s">
        <v>21</v>
      </c>
      <c r="I1266" s="14" t="s">
        <v>22</v>
      </c>
      <c r="J1266" s="15" t="s">
        <v>9</v>
      </c>
      <c r="K1266"/>
    </row>
    <row r="1267" spans="1:15">
      <c r="A1267" s="16" t="s">
        <v>0</v>
      </c>
      <c r="B1267" s="17" t="s">
        <v>15</v>
      </c>
      <c r="C1267" s="18"/>
      <c r="D1267" s="6">
        <v>26</v>
      </c>
      <c r="E1267" s="18"/>
      <c r="F1267" s="18"/>
      <c r="G1267" s="75"/>
      <c r="H1267" s="75"/>
      <c r="I1267" s="18"/>
      <c r="J1267" s="19">
        <f>D1267</f>
        <v>26</v>
      </c>
      <c r="K1267"/>
    </row>
    <row r="1268" spans="1:15">
      <c r="A1268" s="22" t="s">
        <v>0</v>
      </c>
      <c r="B1268" s="23" t="s">
        <v>6</v>
      </c>
      <c r="C1268" s="6"/>
      <c r="D1268" s="6"/>
      <c r="E1268" s="6">
        <v>266</v>
      </c>
      <c r="F1268" s="6">
        <v>1</v>
      </c>
      <c r="G1268" s="76"/>
      <c r="H1268" s="76"/>
      <c r="I1268" s="6"/>
      <c r="J1268" s="24">
        <f>E1268+F1268</f>
        <v>267</v>
      </c>
      <c r="K1268"/>
      <c r="L1268" s="20" t="s">
        <v>23</v>
      </c>
      <c r="M1268" s="21" t="s">
        <v>109</v>
      </c>
      <c r="N1268" s="84" t="s">
        <v>2614</v>
      </c>
      <c r="O1268" s="26"/>
    </row>
    <row r="1269" spans="1:15">
      <c r="A1269" s="22" t="s">
        <v>0</v>
      </c>
      <c r="B1269" s="23" t="s">
        <v>13</v>
      </c>
      <c r="C1269" s="6"/>
      <c r="D1269" s="6"/>
      <c r="E1269" s="6"/>
      <c r="F1269" s="6"/>
      <c r="G1269" s="76">
        <v>1</v>
      </c>
      <c r="H1269" s="76">
        <v>69</v>
      </c>
      <c r="I1269" s="6"/>
      <c r="J1269" s="24">
        <f>G1269+H1269+I1269</f>
        <v>70</v>
      </c>
      <c r="K1269"/>
      <c r="L1269" s="20">
        <v>187</v>
      </c>
      <c r="M1269" s="25" t="s">
        <v>24</v>
      </c>
    </row>
    <row r="1270" spans="1:15">
      <c r="A1270" s="22" t="s">
        <v>0</v>
      </c>
      <c r="B1270" s="23" t="s">
        <v>8</v>
      </c>
      <c r="C1270" s="6"/>
      <c r="D1270" s="6"/>
      <c r="E1270" s="6"/>
      <c r="F1270" s="6"/>
      <c r="G1270" s="76">
        <v>74</v>
      </c>
      <c r="H1270" s="76">
        <v>234</v>
      </c>
      <c r="I1270" s="6"/>
      <c r="J1270" s="24">
        <f>G1270+H1270+I1270</f>
        <v>308</v>
      </c>
      <c r="K1270"/>
      <c r="L1270" s="20">
        <v>43</v>
      </c>
      <c r="M1270" s="25" t="s">
        <v>25</v>
      </c>
    </row>
    <row r="1271" spans="1:15">
      <c r="A1271" s="22" t="s">
        <v>0</v>
      </c>
      <c r="B1271" s="23" t="s">
        <v>12</v>
      </c>
      <c r="C1271" s="6"/>
      <c r="D1271" s="6"/>
      <c r="E1271" s="6"/>
      <c r="F1271" s="6"/>
      <c r="G1271" s="76"/>
      <c r="H1271" s="76">
        <v>5</v>
      </c>
      <c r="I1271" s="6"/>
      <c r="J1271" s="24">
        <f>H1271</f>
        <v>5</v>
      </c>
      <c r="K1271"/>
      <c r="L1271" s="20">
        <v>35</v>
      </c>
      <c r="M1271" s="25" t="s">
        <v>26</v>
      </c>
      <c r="N1271" s="26"/>
    </row>
    <row r="1272" spans="1:15">
      <c r="A1272" s="22" t="s">
        <v>0</v>
      </c>
      <c r="B1272" s="23" t="s">
        <v>14</v>
      </c>
      <c r="C1272" s="6"/>
      <c r="D1272" s="6"/>
      <c r="E1272" s="6"/>
      <c r="F1272" s="6"/>
      <c r="G1272" s="76">
        <v>5</v>
      </c>
      <c r="H1272" s="76">
        <v>43</v>
      </c>
      <c r="I1272" s="6"/>
      <c r="J1272" s="24">
        <f>G1272+H1272</f>
        <v>48</v>
      </c>
      <c r="K1272"/>
      <c r="L1272" s="20">
        <v>0</v>
      </c>
      <c r="M1272" s="25" t="s">
        <v>27</v>
      </c>
    </row>
    <row r="1273" spans="1:15" ht="13.5" thickBot="1">
      <c r="A1273" s="27" t="s">
        <v>29</v>
      </c>
      <c r="B1273" s="28"/>
      <c r="C1273" s="29"/>
      <c r="D1273" s="29">
        <f>SUM(D1267:D1272)</f>
        <v>26</v>
      </c>
      <c r="E1273" s="29">
        <f>SUM(E1267:E1272)</f>
        <v>266</v>
      </c>
      <c r="F1273" s="29"/>
      <c r="G1273" s="29">
        <f>SUM(G1267:G1272)</f>
        <v>80</v>
      </c>
      <c r="H1273" s="29">
        <f>SUM(H1267:H1272)</f>
        <v>351</v>
      </c>
      <c r="I1273" s="29"/>
      <c r="J1273" s="30">
        <f>SUM(J1267:J1272)</f>
        <v>724</v>
      </c>
      <c r="K1273"/>
      <c r="L1273" s="20">
        <v>1</v>
      </c>
      <c r="M1273" s="25" t="s">
        <v>28</v>
      </c>
      <c r="N1273" s="26"/>
    </row>
    <row r="1274" spans="1:15">
      <c r="A1274" s="31" t="s">
        <v>7</v>
      </c>
      <c r="B1274" s="32" t="s">
        <v>15</v>
      </c>
      <c r="C1274" s="33"/>
      <c r="D1274" s="33"/>
      <c r="E1274" s="33"/>
      <c r="F1274" s="33"/>
      <c r="G1274" s="77"/>
      <c r="H1274" s="77"/>
      <c r="I1274" s="33"/>
      <c r="J1274" s="34"/>
      <c r="K1274"/>
      <c r="L1274" s="20">
        <v>1</v>
      </c>
      <c r="M1274" s="25" t="s">
        <v>30</v>
      </c>
    </row>
    <row r="1275" spans="1:15">
      <c r="A1275" s="31" t="s">
        <v>7</v>
      </c>
      <c r="B1275" s="32" t="s">
        <v>8</v>
      </c>
      <c r="C1275" s="33"/>
      <c r="D1275" s="33"/>
      <c r="E1275" s="33"/>
      <c r="F1275" s="33"/>
      <c r="G1275" s="77">
        <v>4</v>
      </c>
      <c r="H1275" s="77">
        <v>29</v>
      </c>
      <c r="I1275" s="33"/>
      <c r="J1275" s="34">
        <f>G1275+H1275</f>
        <v>33</v>
      </c>
      <c r="K1275"/>
      <c r="L1275" s="35">
        <f>SUM(L1269:L1274)</f>
        <v>267</v>
      </c>
      <c r="M1275" s="21"/>
    </row>
    <row r="1276" spans="1:15" ht="13.5" thickBot="1">
      <c r="A1276" s="27" t="s">
        <v>31</v>
      </c>
      <c r="B1276" s="28"/>
      <c r="C1276" s="29"/>
      <c r="D1276" s="29"/>
      <c r="E1276" s="29"/>
      <c r="F1276" s="29"/>
      <c r="G1276" s="29">
        <f>SUM(G1274:G1275)</f>
        <v>4</v>
      </c>
      <c r="H1276" s="29">
        <f>SUM(H1274:H1275)</f>
        <v>29</v>
      </c>
      <c r="I1276" s="29"/>
      <c r="J1276" s="30">
        <f>SUM(J1274:J1275)</f>
        <v>33</v>
      </c>
      <c r="K1276"/>
    </row>
    <row r="1277" spans="1:15">
      <c r="A1277" s="31" t="s">
        <v>105</v>
      </c>
      <c r="B1277" s="32" t="s">
        <v>8</v>
      </c>
      <c r="C1277" s="33"/>
      <c r="D1277" s="33"/>
      <c r="E1277" s="33"/>
      <c r="F1277" s="33"/>
      <c r="G1277" s="77">
        <v>5</v>
      </c>
      <c r="H1277" s="77">
        <v>9</v>
      </c>
      <c r="I1277" s="33"/>
      <c r="J1277" s="34">
        <f>G1277+H1277</f>
        <v>14</v>
      </c>
      <c r="K1277"/>
    </row>
    <row r="1278" spans="1:15" ht="13.5" thickBot="1">
      <c r="A1278" s="27" t="s">
        <v>106</v>
      </c>
      <c r="B1278" s="28"/>
      <c r="C1278" s="29"/>
      <c r="D1278" s="29"/>
      <c r="E1278" s="29"/>
      <c r="F1278" s="29"/>
      <c r="G1278" s="29">
        <f>SUM(G1277:G1277)</f>
        <v>5</v>
      </c>
      <c r="H1278" s="29">
        <f>SUM(H1277:H1277)</f>
        <v>9</v>
      </c>
      <c r="I1278" s="29"/>
      <c r="J1278" s="30">
        <f>SUM(J1277:J1277)</f>
        <v>14</v>
      </c>
      <c r="K1278"/>
    </row>
    <row r="1279" spans="1:15">
      <c r="A1279" s="22" t="s">
        <v>108</v>
      </c>
      <c r="B1279" s="32" t="s">
        <v>10</v>
      </c>
      <c r="C1279" s="6"/>
      <c r="D1279" s="6"/>
      <c r="E1279" s="6"/>
      <c r="F1279" s="6"/>
      <c r="G1279" s="76"/>
      <c r="H1279" s="76"/>
      <c r="I1279" s="6"/>
      <c r="J1279" s="24">
        <f>H1279</f>
        <v>0</v>
      </c>
      <c r="K1279"/>
    </row>
    <row r="1280" spans="1:15">
      <c r="A1280" s="22" t="s">
        <v>32</v>
      </c>
      <c r="B1280" s="32" t="s">
        <v>33</v>
      </c>
      <c r="C1280" s="6">
        <v>5</v>
      </c>
      <c r="D1280" s="6"/>
      <c r="E1280" s="6"/>
      <c r="F1280" s="6"/>
      <c r="G1280" s="76"/>
      <c r="H1280" s="76"/>
      <c r="I1280" s="6"/>
      <c r="J1280" s="24">
        <f>C1280</f>
        <v>5</v>
      </c>
      <c r="K1280"/>
    </row>
    <row r="1281" spans="1:12" ht="13.5" thickBot="1">
      <c r="A1281" s="36" t="s">
        <v>34</v>
      </c>
      <c r="B1281" s="37"/>
      <c r="C1281" s="29">
        <f>SUM(C1279:C1280)</f>
        <v>5</v>
      </c>
      <c r="D1281" s="29"/>
      <c r="E1281" s="29"/>
      <c r="F1281" s="29"/>
      <c r="G1281" s="29"/>
      <c r="H1281" s="29"/>
      <c r="I1281" s="29"/>
      <c r="J1281" s="30">
        <f>SUM(J1279:J1280)</f>
        <v>5</v>
      </c>
      <c r="K1281"/>
    </row>
    <row r="1282" spans="1:12" ht="17.25" customHeight="1" thickBot="1">
      <c r="A1282" s="78" t="s">
        <v>35</v>
      </c>
      <c r="B1282" s="79"/>
      <c r="C1282" s="80">
        <f>C1273+C1276+C1278+C1281</f>
        <v>5</v>
      </c>
      <c r="D1282" s="80">
        <f>D1273+D1276+D1278+D1281</f>
        <v>26</v>
      </c>
      <c r="E1282" s="80">
        <f>E1273+E1276+E1278+E1281</f>
        <v>266</v>
      </c>
      <c r="F1282" s="80"/>
      <c r="G1282" s="80">
        <f>G1273+G1276+G1278+G1281</f>
        <v>89</v>
      </c>
      <c r="H1282" s="80">
        <f>H1273+H1276+H1278+H1281</f>
        <v>389</v>
      </c>
      <c r="I1282" s="80"/>
      <c r="J1282" s="80">
        <f>J1273+J1276+J1278+J1281</f>
        <v>776</v>
      </c>
      <c r="K1282"/>
    </row>
    <row r="1283" spans="1:12">
      <c r="B1283" s="38" t="s">
        <v>36</v>
      </c>
      <c r="C1283" s="39"/>
      <c r="L1283" s="26"/>
    </row>
    <row r="1284" spans="1:12">
      <c r="A1284" s="7" t="s">
        <v>37</v>
      </c>
      <c r="B1284" s="8">
        <f>D1273+D1276+D1278+D1281</f>
        <v>26</v>
      </c>
      <c r="C1284" s="6"/>
    </row>
    <row r="1285" spans="1:12">
      <c r="A1285" s="7" t="s">
        <v>38</v>
      </c>
      <c r="B1285" s="8">
        <f>E1282+F1282</f>
        <v>266</v>
      </c>
      <c r="C1285" s="6"/>
    </row>
    <row r="1286" spans="1:12">
      <c r="A1286" s="7" t="s">
        <v>2615</v>
      </c>
      <c r="B1286" s="8">
        <v>1</v>
      </c>
      <c r="C1286" s="6"/>
    </row>
    <row r="1287" spans="1:12">
      <c r="A1287" s="7" t="s">
        <v>39</v>
      </c>
      <c r="B1287" s="8">
        <f>J1269</f>
        <v>70</v>
      </c>
      <c r="C1287" s="6"/>
    </row>
    <row r="1288" spans="1:12">
      <c r="A1288" s="7" t="s">
        <v>40</v>
      </c>
      <c r="B1288" s="8">
        <f>J1270+J1275+J1277</f>
        <v>355</v>
      </c>
      <c r="C1288" s="6"/>
    </row>
    <row r="1289" spans="1:12">
      <c r="A1289" s="7" t="s">
        <v>41</v>
      </c>
      <c r="B1289" s="8">
        <f>J1271</f>
        <v>5</v>
      </c>
      <c r="C1289" s="6"/>
    </row>
    <row r="1290" spans="1:12">
      <c r="A1290" s="7" t="s">
        <v>42</v>
      </c>
      <c r="B1290" s="8">
        <f>J1272</f>
        <v>48</v>
      </c>
      <c r="C1290" s="6"/>
    </row>
    <row r="1291" spans="1:12">
      <c r="A1291" s="7" t="s">
        <v>43</v>
      </c>
      <c r="B1291" s="8">
        <f>J1279</f>
        <v>0</v>
      </c>
      <c r="C1291" s="6"/>
    </row>
    <row r="1292" spans="1:12">
      <c r="A1292" s="7" t="s">
        <v>44</v>
      </c>
      <c r="B1292" s="8">
        <f>J1280</f>
        <v>5</v>
      </c>
      <c r="C1292" s="6"/>
    </row>
    <row r="1293" spans="1:12">
      <c r="A1293" s="7"/>
      <c r="B1293" s="81">
        <f>SUM(B1284:B1292)</f>
        <v>776</v>
      </c>
      <c r="C1293" s="6"/>
    </row>
    <row r="1297" spans="1:15" ht="13.5" thickBot="1"/>
    <row r="1298" spans="1:15" ht="18" customHeight="1" thickBot="1">
      <c r="A1298" s="85" t="s">
        <v>2616</v>
      </c>
      <c r="B1298" s="9"/>
    </row>
    <row r="1299" spans="1:15" ht="15.6" customHeight="1" thickBot="1">
      <c r="A1299" s="11" t="s">
        <v>17</v>
      </c>
      <c r="B1299" s="12" t="s">
        <v>18</v>
      </c>
      <c r="C1299" s="13" t="s">
        <v>16</v>
      </c>
      <c r="D1299" s="14" t="s">
        <v>15</v>
      </c>
      <c r="E1299" s="14" t="s">
        <v>6</v>
      </c>
      <c r="F1299" s="14" t="s">
        <v>19</v>
      </c>
      <c r="G1299" s="74" t="s">
        <v>20</v>
      </c>
      <c r="H1299" s="74" t="s">
        <v>21</v>
      </c>
      <c r="I1299" s="14" t="s">
        <v>22</v>
      </c>
      <c r="J1299" s="15" t="s">
        <v>9</v>
      </c>
      <c r="K1299"/>
    </row>
    <row r="1300" spans="1:15">
      <c r="A1300" s="16" t="s">
        <v>0</v>
      </c>
      <c r="B1300" s="17" t="s">
        <v>15</v>
      </c>
      <c r="C1300" s="18"/>
      <c r="D1300" s="6">
        <v>26</v>
      </c>
      <c r="E1300" s="18"/>
      <c r="F1300" s="18"/>
      <c r="G1300" s="75"/>
      <c r="H1300" s="75"/>
      <c r="I1300" s="18"/>
      <c r="J1300" s="19">
        <f>D1300</f>
        <v>26</v>
      </c>
      <c r="K1300"/>
    </row>
    <row r="1301" spans="1:15">
      <c r="A1301" s="22" t="s">
        <v>0</v>
      </c>
      <c r="B1301" s="23" t="s">
        <v>6</v>
      </c>
      <c r="C1301" s="6"/>
      <c r="D1301" s="6"/>
      <c r="E1301" s="6">
        <v>269</v>
      </c>
      <c r="F1301" s="6">
        <v>1</v>
      </c>
      <c r="G1301" s="76"/>
      <c r="H1301" s="76"/>
      <c r="I1301" s="6"/>
      <c r="J1301" s="24">
        <f>E1301+F1301</f>
        <v>270</v>
      </c>
      <c r="K1301"/>
      <c r="L1301" s="20" t="s">
        <v>23</v>
      </c>
      <c r="M1301" s="21" t="s">
        <v>109</v>
      </c>
      <c r="N1301" s="84" t="s">
        <v>2617</v>
      </c>
      <c r="O1301" s="26"/>
    </row>
    <row r="1302" spans="1:15">
      <c r="A1302" s="22" t="s">
        <v>0</v>
      </c>
      <c r="B1302" s="23" t="s">
        <v>13</v>
      </c>
      <c r="C1302" s="6"/>
      <c r="D1302" s="6"/>
      <c r="E1302" s="6"/>
      <c r="F1302" s="6"/>
      <c r="G1302" s="76">
        <v>1</v>
      </c>
      <c r="H1302" s="76">
        <v>72</v>
      </c>
      <c r="I1302" s="6"/>
      <c r="J1302" s="24">
        <f>G1302+H1302+I1302</f>
        <v>73</v>
      </c>
      <c r="K1302"/>
      <c r="L1302" s="20">
        <v>190</v>
      </c>
      <c r="M1302" s="25" t="s">
        <v>24</v>
      </c>
    </row>
    <row r="1303" spans="1:15">
      <c r="A1303" s="22" t="s">
        <v>0</v>
      </c>
      <c r="B1303" s="23" t="s">
        <v>8</v>
      </c>
      <c r="C1303" s="6"/>
      <c r="D1303" s="6"/>
      <c r="E1303" s="6"/>
      <c r="F1303" s="6"/>
      <c r="G1303" s="76">
        <v>73</v>
      </c>
      <c r="H1303" s="76">
        <v>231</v>
      </c>
      <c r="I1303" s="6"/>
      <c r="J1303" s="24">
        <f>G1303+H1303+I1303</f>
        <v>304</v>
      </c>
      <c r="K1303"/>
      <c r="L1303" s="20">
        <v>43</v>
      </c>
      <c r="M1303" s="25" t="s">
        <v>25</v>
      </c>
    </row>
    <row r="1304" spans="1:15">
      <c r="A1304" s="22" t="s">
        <v>0</v>
      </c>
      <c r="B1304" s="23" t="s">
        <v>12</v>
      </c>
      <c r="C1304" s="6"/>
      <c r="D1304" s="6"/>
      <c r="E1304" s="6"/>
      <c r="F1304" s="6"/>
      <c r="G1304" s="76"/>
      <c r="H1304" s="76">
        <v>5</v>
      </c>
      <c r="I1304" s="6"/>
      <c r="J1304" s="24">
        <f>H1304</f>
        <v>5</v>
      </c>
      <c r="K1304"/>
      <c r="L1304" s="20">
        <v>35</v>
      </c>
      <c r="M1304" s="25" t="s">
        <v>26</v>
      </c>
      <c r="N1304" s="26" t="s">
        <v>2618</v>
      </c>
    </row>
    <row r="1305" spans="1:15">
      <c r="A1305" s="22" t="s">
        <v>0</v>
      </c>
      <c r="B1305" s="23" t="s">
        <v>14</v>
      </c>
      <c r="C1305" s="6"/>
      <c r="D1305" s="6"/>
      <c r="E1305" s="6"/>
      <c r="F1305" s="6"/>
      <c r="G1305" s="76">
        <v>5</v>
      </c>
      <c r="H1305" s="76">
        <v>43</v>
      </c>
      <c r="I1305" s="6"/>
      <c r="J1305" s="24">
        <f>G1305+H1305</f>
        <v>48</v>
      </c>
      <c r="K1305"/>
      <c r="L1305" s="20">
        <v>0</v>
      </c>
      <c r="M1305" s="25" t="s">
        <v>27</v>
      </c>
    </row>
    <row r="1306" spans="1:15" ht="13.5" thickBot="1">
      <c r="A1306" s="27" t="s">
        <v>29</v>
      </c>
      <c r="B1306" s="28"/>
      <c r="C1306" s="29"/>
      <c r="D1306" s="29">
        <f>SUM(D1300:D1305)</f>
        <v>26</v>
      </c>
      <c r="E1306" s="29">
        <f>SUM(E1300:E1305)</f>
        <v>269</v>
      </c>
      <c r="F1306" s="29"/>
      <c r="G1306" s="29">
        <f>SUM(G1300:G1305)</f>
        <v>79</v>
      </c>
      <c r="H1306" s="29">
        <f>SUM(H1300:H1305)</f>
        <v>351</v>
      </c>
      <c r="I1306" s="29"/>
      <c r="J1306" s="30">
        <f>SUM(J1300:J1305)</f>
        <v>726</v>
      </c>
      <c r="K1306"/>
      <c r="L1306" s="20">
        <v>1</v>
      </c>
      <c r="M1306" s="25" t="s">
        <v>28</v>
      </c>
      <c r="N1306" s="26"/>
    </row>
    <row r="1307" spans="1:15">
      <c r="A1307" s="31" t="s">
        <v>7</v>
      </c>
      <c r="B1307" s="32" t="s">
        <v>15</v>
      </c>
      <c r="C1307" s="33"/>
      <c r="D1307" s="33"/>
      <c r="E1307" s="33"/>
      <c r="F1307" s="33"/>
      <c r="G1307" s="77"/>
      <c r="H1307" s="77"/>
      <c r="I1307" s="33"/>
      <c r="J1307" s="34"/>
      <c r="K1307"/>
      <c r="L1307" s="20">
        <v>1</v>
      </c>
      <c r="M1307" s="25" t="s">
        <v>30</v>
      </c>
    </row>
    <row r="1308" spans="1:15">
      <c r="A1308" s="31" t="s">
        <v>7</v>
      </c>
      <c r="B1308" s="32" t="s">
        <v>8</v>
      </c>
      <c r="C1308" s="33"/>
      <c r="D1308" s="33"/>
      <c r="E1308" s="33"/>
      <c r="F1308" s="33"/>
      <c r="G1308" s="77">
        <v>4</v>
      </c>
      <c r="H1308" s="77">
        <v>29</v>
      </c>
      <c r="I1308" s="33"/>
      <c r="J1308" s="34">
        <f>G1308+H1308</f>
        <v>33</v>
      </c>
      <c r="K1308"/>
      <c r="L1308" s="35">
        <f>SUM(L1302:L1307)</f>
        <v>270</v>
      </c>
      <c r="M1308" s="21"/>
    </row>
    <row r="1309" spans="1:15" ht="13.5" thickBot="1">
      <c r="A1309" s="27" t="s">
        <v>31</v>
      </c>
      <c r="B1309" s="28"/>
      <c r="C1309" s="29"/>
      <c r="D1309" s="29"/>
      <c r="E1309" s="29"/>
      <c r="F1309" s="29"/>
      <c r="G1309" s="29">
        <f>SUM(G1307:G1308)</f>
        <v>4</v>
      </c>
      <c r="H1309" s="29">
        <f>SUM(H1307:H1308)</f>
        <v>29</v>
      </c>
      <c r="I1309" s="29"/>
      <c r="J1309" s="30">
        <f>SUM(J1307:J1308)</f>
        <v>33</v>
      </c>
      <c r="K1309"/>
    </row>
    <row r="1310" spans="1:15">
      <c r="A1310" s="31" t="s">
        <v>105</v>
      </c>
      <c r="B1310" s="32" t="s">
        <v>8</v>
      </c>
      <c r="C1310" s="33"/>
      <c r="D1310" s="33"/>
      <c r="E1310" s="33"/>
      <c r="F1310" s="33"/>
      <c r="G1310" s="77">
        <v>5</v>
      </c>
      <c r="H1310" s="77">
        <v>9</v>
      </c>
      <c r="I1310" s="33"/>
      <c r="J1310" s="34">
        <f>G1310+H1310</f>
        <v>14</v>
      </c>
      <c r="K1310"/>
    </row>
    <row r="1311" spans="1:15" ht="13.5" thickBot="1">
      <c r="A1311" s="27" t="s">
        <v>106</v>
      </c>
      <c r="B1311" s="28"/>
      <c r="C1311" s="29"/>
      <c r="D1311" s="29"/>
      <c r="E1311" s="29"/>
      <c r="F1311" s="29"/>
      <c r="G1311" s="29">
        <f>SUM(G1310:G1310)</f>
        <v>5</v>
      </c>
      <c r="H1311" s="29">
        <f>SUM(H1310:H1310)</f>
        <v>9</v>
      </c>
      <c r="I1311" s="29"/>
      <c r="J1311" s="30">
        <f>SUM(J1310:J1310)</f>
        <v>14</v>
      </c>
      <c r="K1311"/>
    </row>
    <row r="1312" spans="1:15">
      <c r="A1312" s="22" t="s">
        <v>108</v>
      </c>
      <c r="B1312" s="32" t="s">
        <v>10</v>
      </c>
      <c r="C1312" s="6"/>
      <c r="D1312" s="6"/>
      <c r="E1312" s="6"/>
      <c r="F1312" s="6"/>
      <c r="G1312" s="76"/>
      <c r="H1312" s="76"/>
      <c r="I1312" s="6"/>
      <c r="J1312" s="24">
        <f>H1312</f>
        <v>0</v>
      </c>
      <c r="K1312"/>
    </row>
    <row r="1313" spans="1:12">
      <c r="A1313" s="22" t="s">
        <v>32</v>
      </c>
      <c r="B1313" s="32" t="s">
        <v>33</v>
      </c>
      <c r="C1313" s="6">
        <v>5</v>
      </c>
      <c r="D1313" s="6"/>
      <c r="E1313" s="6"/>
      <c r="F1313" s="6"/>
      <c r="G1313" s="76"/>
      <c r="H1313" s="76"/>
      <c r="I1313" s="6"/>
      <c r="J1313" s="24">
        <f>C1313</f>
        <v>5</v>
      </c>
      <c r="K1313"/>
    </row>
    <row r="1314" spans="1:12" ht="13.5" thickBot="1">
      <c r="A1314" s="36" t="s">
        <v>34</v>
      </c>
      <c r="B1314" s="37"/>
      <c r="C1314" s="29">
        <f>SUM(C1312:C1313)</f>
        <v>5</v>
      </c>
      <c r="D1314" s="29"/>
      <c r="E1314" s="29"/>
      <c r="F1314" s="29"/>
      <c r="G1314" s="29"/>
      <c r="H1314" s="29"/>
      <c r="I1314" s="29"/>
      <c r="J1314" s="30">
        <f>SUM(J1312:J1313)</f>
        <v>5</v>
      </c>
      <c r="K1314"/>
    </row>
    <row r="1315" spans="1:12" ht="17.25" customHeight="1" thickBot="1">
      <c r="A1315" s="78" t="s">
        <v>35</v>
      </c>
      <c r="B1315" s="79"/>
      <c r="C1315" s="80">
        <f>C1306+C1309+C1311+C1314</f>
        <v>5</v>
      </c>
      <c r="D1315" s="80">
        <f>D1306+D1309+D1311+D1314</f>
        <v>26</v>
      </c>
      <c r="E1315" s="80">
        <f>E1306+E1309+E1311+E1314</f>
        <v>269</v>
      </c>
      <c r="F1315" s="80"/>
      <c r="G1315" s="80">
        <f>G1306+G1309+G1311+G1314</f>
        <v>88</v>
      </c>
      <c r="H1315" s="80">
        <f>H1306+H1309+H1311+H1314</f>
        <v>389</v>
      </c>
      <c r="I1315" s="80"/>
      <c r="J1315" s="80">
        <f>J1306+J1309+J1311+J1314</f>
        <v>778</v>
      </c>
      <c r="K1315"/>
    </row>
    <row r="1316" spans="1:12">
      <c r="B1316" s="38" t="s">
        <v>36</v>
      </c>
      <c r="C1316" s="39"/>
      <c r="L1316" s="26"/>
    </row>
    <row r="1317" spans="1:12">
      <c r="A1317" s="7" t="s">
        <v>37</v>
      </c>
      <c r="B1317" s="8">
        <f>D1306+D1309+D1311+D1314</f>
        <v>26</v>
      </c>
      <c r="C1317" s="6"/>
    </row>
    <row r="1318" spans="1:12">
      <c r="A1318" s="7" t="s">
        <v>38</v>
      </c>
      <c r="B1318" s="8">
        <f>E1315+F1315</f>
        <v>269</v>
      </c>
      <c r="C1318" s="6"/>
    </row>
    <row r="1319" spans="1:12">
      <c r="A1319" s="7" t="s">
        <v>2615</v>
      </c>
      <c r="B1319" s="8">
        <v>1</v>
      </c>
      <c r="C1319" s="6"/>
    </row>
    <row r="1320" spans="1:12">
      <c r="A1320" s="7" t="s">
        <v>39</v>
      </c>
      <c r="B1320" s="8">
        <f>J1302</f>
        <v>73</v>
      </c>
      <c r="C1320" s="6"/>
    </row>
    <row r="1321" spans="1:12">
      <c r="A1321" s="7" t="s">
        <v>40</v>
      </c>
      <c r="B1321" s="8">
        <f>J1303+J1308+J1310</f>
        <v>351</v>
      </c>
      <c r="C1321" s="6"/>
    </row>
    <row r="1322" spans="1:12">
      <c r="A1322" s="7" t="s">
        <v>41</v>
      </c>
      <c r="B1322" s="8">
        <f>J1304</f>
        <v>5</v>
      </c>
      <c r="C1322" s="6"/>
    </row>
    <row r="1323" spans="1:12">
      <c r="A1323" s="7" t="s">
        <v>42</v>
      </c>
      <c r="B1323" s="8">
        <f>J1305</f>
        <v>48</v>
      </c>
      <c r="C1323" s="6"/>
    </row>
    <row r="1324" spans="1:12">
      <c r="A1324" s="7" t="s">
        <v>43</v>
      </c>
      <c r="B1324" s="8">
        <f>J1312</f>
        <v>0</v>
      </c>
      <c r="C1324" s="6"/>
    </row>
    <row r="1325" spans="1:12">
      <c r="A1325" s="7" t="s">
        <v>44</v>
      </c>
      <c r="B1325" s="8">
        <f>J1313</f>
        <v>5</v>
      </c>
      <c r="C1325" s="6"/>
    </row>
    <row r="1326" spans="1:12">
      <c r="A1326" s="7"/>
      <c r="B1326" s="81">
        <f>SUM(B1317:B1325)</f>
        <v>778</v>
      </c>
      <c r="C1326" s="6"/>
    </row>
    <row r="1327" spans="1:12" ht="13.5" thickBot="1">
      <c r="B1327" s="86"/>
    </row>
    <row r="1328" spans="1:12" ht="18" customHeight="1" thickBot="1">
      <c r="A1328" s="85" t="s">
        <v>2619</v>
      </c>
      <c r="B1328" s="9"/>
    </row>
    <row r="1329" spans="1:15" ht="15.6" customHeight="1" thickBot="1">
      <c r="A1329" s="11" t="s">
        <v>17</v>
      </c>
      <c r="B1329" s="12" t="s">
        <v>18</v>
      </c>
      <c r="C1329" s="13" t="s">
        <v>16</v>
      </c>
      <c r="D1329" s="14" t="s">
        <v>15</v>
      </c>
      <c r="E1329" s="14" t="s">
        <v>6</v>
      </c>
      <c r="F1329" s="14" t="s">
        <v>19</v>
      </c>
      <c r="G1329" s="74" t="s">
        <v>20</v>
      </c>
      <c r="H1329" s="74" t="s">
        <v>21</v>
      </c>
      <c r="I1329" s="14" t="s">
        <v>22</v>
      </c>
      <c r="J1329" s="15" t="s">
        <v>9</v>
      </c>
      <c r="K1329"/>
    </row>
    <row r="1330" spans="1:15">
      <c r="A1330" s="16" t="s">
        <v>0</v>
      </c>
      <c r="B1330" s="17" t="s">
        <v>15</v>
      </c>
      <c r="C1330" s="18"/>
      <c r="D1330" s="6">
        <v>27</v>
      </c>
      <c r="E1330" s="18"/>
      <c r="F1330" s="18"/>
      <c r="G1330" s="75"/>
      <c r="H1330" s="75"/>
      <c r="I1330" s="18"/>
      <c r="J1330" s="19">
        <f>D1330</f>
        <v>27</v>
      </c>
      <c r="K1330"/>
    </row>
    <row r="1331" spans="1:15">
      <c r="A1331" s="22" t="s">
        <v>0</v>
      </c>
      <c r="B1331" s="23" t="s">
        <v>6</v>
      </c>
      <c r="C1331" s="6"/>
      <c r="D1331" s="6"/>
      <c r="E1331" s="6">
        <v>270</v>
      </c>
      <c r="F1331" s="6">
        <v>1</v>
      </c>
      <c r="G1331" s="76"/>
      <c r="H1331" s="76"/>
      <c r="I1331" s="6"/>
      <c r="J1331" s="24">
        <f>E1331+F1331</f>
        <v>271</v>
      </c>
      <c r="K1331"/>
      <c r="L1331" s="20" t="s">
        <v>23</v>
      </c>
      <c r="M1331" s="21" t="s">
        <v>109</v>
      </c>
      <c r="N1331" s="84" t="s">
        <v>2620</v>
      </c>
      <c r="O1331" s="26"/>
    </row>
    <row r="1332" spans="1:15">
      <c r="A1332" s="22" t="s">
        <v>0</v>
      </c>
      <c r="B1332" s="23" t="s">
        <v>13</v>
      </c>
      <c r="C1332" s="6"/>
      <c r="D1332" s="6"/>
      <c r="E1332" s="6"/>
      <c r="F1332" s="6"/>
      <c r="G1332" s="76">
        <v>1</v>
      </c>
      <c r="H1332" s="76">
        <v>72</v>
      </c>
      <c r="I1332" s="6"/>
      <c r="J1332" s="24">
        <f>G1332+H1332+I1332</f>
        <v>73</v>
      </c>
      <c r="K1332"/>
      <c r="L1332" s="20">
        <v>190</v>
      </c>
      <c r="M1332" s="25" t="s">
        <v>24</v>
      </c>
    </row>
    <row r="1333" spans="1:15">
      <c r="A1333" s="22" t="s">
        <v>0</v>
      </c>
      <c r="B1333" s="23" t="s">
        <v>8</v>
      </c>
      <c r="C1333" s="6"/>
      <c r="D1333" s="6"/>
      <c r="E1333" s="6"/>
      <c r="F1333" s="6"/>
      <c r="G1333" s="76">
        <v>74</v>
      </c>
      <c r="H1333" s="76">
        <v>231</v>
      </c>
      <c r="I1333" s="6"/>
      <c r="J1333" s="24">
        <f>G1333+H1333+I1333</f>
        <v>305</v>
      </c>
      <c r="K1333"/>
      <c r="L1333" s="20">
        <v>43</v>
      </c>
      <c r="M1333" s="25" t="s">
        <v>25</v>
      </c>
    </row>
    <row r="1334" spans="1:15">
      <c r="A1334" s="22" t="s">
        <v>0</v>
      </c>
      <c r="B1334" s="23" t="s">
        <v>12</v>
      </c>
      <c r="C1334" s="6"/>
      <c r="D1334" s="6"/>
      <c r="E1334" s="6"/>
      <c r="F1334" s="6"/>
      <c r="G1334" s="76"/>
      <c r="H1334" s="76">
        <v>5</v>
      </c>
      <c r="I1334" s="6"/>
      <c r="J1334" s="24">
        <f>H1334</f>
        <v>5</v>
      </c>
      <c r="K1334"/>
      <c r="L1334" s="20">
        <v>35</v>
      </c>
      <c r="M1334" s="25" t="s">
        <v>26</v>
      </c>
    </row>
    <row r="1335" spans="1:15">
      <c r="A1335" s="22" t="s">
        <v>0</v>
      </c>
      <c r="B1335" s="23" t="s">
        <v>14</v>
      </c>
      <c r="C1335" s="6"/>
      <c r="D1335" s="6"/>
      <c r="E1335" s="6"/>
      <c r="F1335" s="6"/>
      <c r="G1335" s="76">
        <v>5</v>
      </c>
      <c r="H1335" s="76">
        <v>45</v>
      </c>
      <c r="I1335" s="6"/>
      <c r="J1335" s="24">
        <f>G1335+H1335</f>
        <v>50</v>
      </c>
      <c r="K1335"/>
      <c r="L1335" s="20">
        <v>1</v>
      </c>
      <c r="M1335" s="25" t="s">
        <v>27</v>
      </c>
    </row>
    <row r="1336" spans="1:15" ht="13.5" thickBot="1">
      <c r="A1336" s="27" t="s">
        <v>29</v>
      </c>
      <c r="B1336" s="28"/>
      <c r="C1336" s="29"/>
      <c r="D1336" s="29">
        <f>SUM(D1330:D1335)</f>
        <v>27</v>
      </c>
      <c r="E1336" s="29">
        <f>SUM(E1330:E1335)</f>
        <v>270</v>
      </c>
      <c r="F1336" s="29"/>
      <c r="G1336" s="29">
        <f>SUM(G1330:G1335)</f>
        <v>80</v>
      </c>
      <c r="H1336" s="29">
        <f>SUM(H1330:H1335)</f>
        <v>353</v>
      </c>
      <c r="I1336" s="29"/>
      <c r="J1336" s="30">
        <f>SUM(J1330:J1335)</f>
        <v>731</v>
      </c>
      <c r="K1336"/>
      <c r="L1336" s="20">
        <v>1</v>
      </c>
      <c r="M1336" s="25" t="s">
        <v>28</v>
      </c>
      <c r="N1336" s="26"/>
    </row>
    <row r="1337" spans="1:15">
      <c r="A1337" s="31" t="s">
        <v>7</v>
      </c>
      <c r="B1337" s="32" t="s">
        <v>15</v>
      </c>
      <c r="C1337" s="33"/>
      <c r="D1337" s="33"/>
      <c r="E1337" s="33"/>
      <c r="F1337" s="33"/>
      <c r="G1337" s="77"/>
      <c r="H1337" s="77"/>
      <c r="I1337" s="33"/>
      <c r="J1337" s="34"/>
      <c r="K1337"/>
      <c r="L1337" s="20">
        <v>1</v>
      </c>
      <c r="M1337" s="25" t="s">
        <v>30</v>
      </c>
    </row>
    <row r="1338" spans="1:15">
      <c r="A1338" s="31" t="s">
        <v>7</v>
      </c>
      <c r="B1338" s="32" t="s">
        <v>8</v>
      </c>
      <c r="C1338" s="33"/>
      <c r="D1338" s="33"/>
      <c r="E1338" s="33"/>
      <c r="F1338" s="33"/>
      <c r="G1338" s="77">
        <v>4</v>
      </c>
      <c r="H1338" s="77">
        <v>29</v>
      </c>
      <c r="I1338" s="33"/>
      <c r="J1338" s="34">
        <f>G1338+H1338</f>
        <v>33</v>
      </c>
      <c r="K1338"/>
      <c r="L1338" s="35">
        <f>SUM(L1332:L1337)</f>
        <v>271</v>
      </c>
      <c r="M1338" s="21"/>
    </row>
    <row r="1339" spans="1:15" ht="13.5" thickBot="1">
      <c r="A1339" s="27" t="s">
        <v>31</v>
      </c>
      <c r="B1339" s="28"/>
      <c r="C1339" s="29"/>
      <c r="D1339" s="29"/>
      <c r="E1339" s="29"/>
      <c r="F1339" s="29"/>
      <c r="G1339" s="29">
        <f>SUM(G1337:G1338)</f>
        <v>4</v>
      </c>
      <c r="H1339" s="29">
        <f>SUM(H1337:H1338)</f>
        <v>29</v>
      </c>
      <c r="I1339" s="29"/>
      <c r="J1339" s="30">
        <f>SUM(J1337:J1338)</f>
        <v>33</v>
      </c>
      <c r="K1339"/>
    </row>
    <row r="1340" spans="1:15">
      <c r="A1340" s="31" t="s">
        <v>105</v>
      </c>
      <c r="B1340" s="32" t="s">
        <v>8</v>
      </c>
      <c r="C1340" s="33"/>
      <c r="D1340" s="33"/>
      <c r="E1340" s="33"/>
      <c r="F1340" s="33"/>
      <c r="G1340" s="77">
        <v>5</v>
      </c>
      <c r="H1340" s="77">
        <v>9</v>
      </c>
      <c r="I1340" s="33"/>
      <c r="J1340" s="34">
        <f>G1340+H1340</f>
        <v>14</v>
      </c>
      <c r="K1340"/>
    </row>
    <row r="1341" spans="1:15" ht="13.5" thickBot="1">
      <c r="A1341" s="27" t="s">
        <v>106</v>
      </c>
      <c r="B1341" s="28"/>
      <c r="C1341" s="29"/>
      <c r="D1341" s="29"/>
      <c r="E1341" s="29"/>
      <c r="F1341" s="29"/>
      <c r="G1341" s="29">
        <f>SUM(G1340:G1340)</f>
        <v>5</v>
      </c>
      <c r="H1341" s="29">
        <f>SUM(H1340:H1340)</f>
        <v>9</v>
      </c>
      <c r="I1341" s="29"/>
      <c r="J1341" s="30">
        <f>SUM(J1340:J1340)</f>
        <v>14</v>
      </c>
      <c r="K1341"/>
    </row>
    <row r="1342" spans="1:15">
      <c r="A1342" s="22" t="s">
        <v>108</v>
      </c>
      <c r="B1342" s="32" t="s">
        <v>10</v>
      </c>
      <c r="C1342" s="6"/>
      <c r="D1342" s="6"/>
      <c r="E1342" s="6"/>
      <c r="F1342" s="6"/>
      <c r="G1342" s="76"/>
      <c r="H1342" s="76"/>
      <c r="I1342" s="6"/>
      <c r="J1342" s="24">
        <f>H1342</f>
        <v>0</v>
      </c>
      <c r="K1342"/>
    </row>
    <row r="1343" spans="1:15">
      <c r="A1343" s="22" t="s">
        <v>32</v>
      </c>
      <c r="B1343" s="32" t="s">
        <v>33</v>
      </c>
      <c r="C1343" s="6">
        <v>5</v>
      </c>
      <c r="D1343" s="6"/>
      <c r="E1343" s="6"/>
      <c r="F1343" s="6"/>
      <c r="G1343" s="76"/>
      <c r="H1343" s="76"/>
      <c r="I1343" s="6"/>
      <c r="J1343" s="24">
        <f>C1343</f>
        <v>5</v>
      </c>
      <c r="K1343"/>
    </row>
    <row r="1344" spans="1:15" ht="13.5" thickBot="1">
      <c r="A1344" s="36" t="s">
        <v>34</v>
      </c>
      <c r="B1344" s="37"/>
      <c r="C1344" s="29">
        <f>SUM(C1342:C1343)</f>
        <v>5</v>
      </c>
      <c r="D1344" s="29"/>
      <c r="E1344" s="29"/>
      <c r="F1344" s="29"/>
      <c r="G1344" s="29"/>
      <c r="H1344" s="29"/>
      <c r="I1344" s="29"/>
      <c r="J1344" s="30">
        <f>SUM(J1342:J1343)</f>
        <v>5</v>
      </c>
      <c r="K1344"/>
    </row>
    <row r="1345" spans="1:12" ht="17.25" customHeight="1" thickBot="1">
      <c r="A1345" s="78" t="s">
        <v>35</v>
      </c>
      <c r="B1345" s="79"/>
      <c r="C1345" s="80">
        <f>C1336+C1339+C1341+C1344</f>
        <v>5</v>
      </c>
      <c r="D1345" s="80">
        <f>D1336+D1339+D1341+D1344</f>
        <v>27</v>
      </c>
      <c r="E1345" s="80">
        <f>E1336+E1339+E1341+E1344</f>
        <v>270</v>
      </c>
      <c r="F1345" s="80"/>
      <c r="G1345" s="80">
        <f>G1336+G1339+G1341+G1344</f>
        <v>89</v>
      </c>
      <c r="H1345" s="80">
        <f>H1336+H1339+H1341+H1344</f>
        <v>391</v>
      </c>
      <c r="I1345" s="80"/>
      <c r="J1345" s="80">
        <f>J1336+J1339+J1341+J1344</f>
        <v>783</v>
      </c>
      <c r="K1345"/>
    </row>
    <row r="1346" spans="1:12">
      <c r="B1346" s="38" t="s">
        <v>36</v>
      </c>
      <c r="C1346" s="39"/>
      <c r="L1346" s="26"/>
    </row>
    <row r="1347" spans="1:12">
      <c r="A1347" s="7" t="s">
        <v>37</v>
      </c>
      <c r="B1347" s="8">
        <f>D1336+D1339+D1341+D1344</f>
        <v>27</v>
      </c>
      <c r="C1347" s="6"/>
    </row>
    <row r="1348" spans="1:12">
      <c r="A1348" s="7" t="s">
        <v>38</v>
      </c>
      <c r="B1348" s="8">
        <f>E1345+F1345</f>
        <v>270</v>
      </c>
      <c r="C1348" s="6"/>
    </row>
    <row r="1349" spans="1:12">
      <c r="A1349" s="7" t="s">
        <v>2615</v>
      </c>
      <c r="B1349" s="8">
        <v>1</v>
      </c>
      <c r="C1349" s="6"/>
    </row>
    <row r="1350" spans="1:12">
      <c r="A1350" s="7" t="s">
        <v>39</v>
      </c>
      <c r="B1350" s="8">
        <f>J1332</f>
        <v>73</v>
      </c>
      <c r="C1350" s="6"/>
    </row>
    <row r="1351" spans="1:12">
      <c r="A1351" s="7" t="s">
        <v>40</v>
      </c>
      <c r="B1351" s="8">
        <f>J1333+J1338+J1340</f>
        <v>352</v>
      </c>
      <c r="C1351" s="6"/>
    </row>
    <row r="1352" spans="1:12">
      <c r="A1352" s="7" t="s">
        <v>41</v>
      </c>
      <c r="B1352" s="8">
        <f>J1334</f>
        <v>5</v>
      </c>
      <c r="C1352" s="6"/>
    </row>
    <row r="1353" spans="1:12">
      <c r="A1353" s="7" t="s">
        <v>42</v>
      </c>
      <c r="B1353" s="8">
        <f>J1335</f>
        <v>50</v>
      </c>
      <c r="C1353" s="6"/>
    </row>
    <row r="1354" spans="1:12">
      <c r="A1354" s="7" t="s">
        <v>43</v>
      </c>
      <c r="B1354" s="8">
        <f>J1342</f>
        <v>0</v>
      </c>
      <c r="C1354" s="6"/>
    </row>
    <row r="1355" spans="1:12">
      <c r="A1355" s="7" t="s">
        <v>44</v>
      </c>
      <c r="B1355" s="8">
        <f>J1343</f>
        <v>5</v>
      </c>
      <c r="C1355" s="6"/>
    </row>
    <row r="1356" spans="1:12">
      <c r="A1356" s="7"/>
      <c r="B1356" s="81">
        <f>SUM(B1347:B1355)</f>
        <v>783</v>
      </c>
      <c r="C1356" s="6"/>
    </row>
    <row r="1357" spans="1:12" ht="13.5" thickBot="1"/>
    <row r="1358" spans="1:12" ht="18" customHeight="1" thickBot="1">
      <c r="A1358" s="85" t="s">
        <v>2621</v>
      </c>
      <c r="B1358" s="9"/>
    </row>
    <row r="1359" spans="1:12" ht="15.6" customHeight="1" thickBot="1">
      <c r="A1359" s="11" t="s">
        <v>17</v>
      </c>
      <c r="B1359" s="12" t="s">
        <v>18</v>
      </c>
      <c r="C1359" s="13" t="s">
        <v>16</v>
      </c>
      <c r="D1359" s="14" t="s">
        <v>15</v>
      </c>
      <c r="E1359" s="14" t="s">
        <v>6</v>
      </c>
      <c r="F1359" s="14" t="s">
        <v>19</v>
      </c>
      <c r="G1359" s="74" t="s">
        <v>20</v>
      </c>
      <c r="H1359" s="74" t="s">
        <v>21</v>
      </c>
      <c r="I1359" s="14" t="s">
        <v>22</v>
      </c>
      <c r="J1359" s="15" t="s">
        <v>9</v>
      </c>
      <c r="K1359"/>
    </row>
    <row r="1360" spans="1:12">
      <c r="A1360" s="16" t="s">
        <v>0</v>
      </c>
      <c r="B1360" s="17" t="s">
        <v>15</v>
      </c>
      <c r="C1360" s="18"/>
      <c r="D1360" s="6">
        <v>26</v>
      </c>
      <c r="E1360" s="18"/>
      <c r="F1360" s="18"/>
      <c r="G1360" s="75"/>
      <c r="H1360" s="75"/>
      <c r="I1360" s="18"/>
      <c r="J1360" s="19">
        <f>D1360</f>
        <v>26</v>
      </c>
      <c r="K1360"/>
    </row>
    <row r="1361" spans="1:15">
      <c r="A1361" s="22" t="s">
        <v>0</v>
      </c>
      <c r="B1361" s="23" t="s">
        <v>6</v>
      </c>
      <c r="C1361" s="6"/>
      <c r="D1361" s="6"/>
      <c r="E1361" s="6">
        <v>271</v>
      </c>
      <c r="F1361" s="6">
        <v>1</v>
      </c>
      <c r="G1361" s="76"/>
      <c r="H1361" s="76"/>
      <c r="I1361" s="6"/>
      <c r="J1361" s="24">
        <f>E1361+F1361</f>
        <v>272</v>
      </c>
      <c r="K1361"/>
      <c r="L1361" s="20" t="s">
        <v>23</v>
      </c>
      <c r="M1361" s="21" t="s">
        <v>109</v>
      </c>
      <c r="N1361" s="84" t="s">
        <v>2622</v>
      </c>
      <c r="O1361" s="26"/>
    </row>
    <row r="1362" spans="1:15">
      <c r="A1362" s="22" t="s">
        <v>0</v>
      </c>
      <c r="B1362" s="23" t="s">
        <v>13</v>
      </c>
      <c r="C1362" s="6"/>
      <c r="D1362" s="6"/>
      <c r="E1362" s="6"/>
      <c r="F1362" s="6"/>
      <c r="G1362" s="76">
        <v>1</v>
      </c>
      <c r="H1362" s="76">
        <v>83</v>
      </c>
      <c r="I1362" s="6"/>
      <c r="J1362" s="24">
        <f>G1362+H1362+I1362</f>
        <v>84</v>
      </c>
      <c r="K1362"/>
      <c r="L1362" s="20">
        <v>189</v>
      </c>
      <c r="M1362" s="25" t="s">
        <v>24</v>
      </c>
    </row>
    <row r="1363" spans="1:15">
      <c r="A1363" s="22" t="s">
        <v>0</v>
      </c>
      <c r="B1363" s="23" t="s">
        <v>8</v>
      </c>
      <c r="C1363" s="6"/>
      <c r="D1363" s="6"/>
      <c r="E1363" s="6"/>
      <c r="F1363" s="6"/>
      <c r="G1363" s="76">
        <v>74</v>
      </c>
      <c r="H1363" s="76">
        <v>233</v>
      </c>
      <c r="I1363" s="6"/>
      <c r="J1363" s="24">
        <f>G1363+H1363+I1363</f>
        <v>307</v>
      </c>
      <c r="K1363"/>
      <c r="L1363" s="20">
        <v>43</v>
      </c>
      <c r="M1363" s="25" t="s">
        <v>25</v>
      </c>
    </row>
    <row r="1364" spans="1:15">
      <c r="A1364" s="22" t="s">
        <v>0</v>
      </c>
      <c r="B1364" s="23" t="s">
        <v>12</v>
      </c>
      <c r="C1364" s="6"/>
      <c r="D1364" s="6"/>
      <c r="E1364" s="6"/>
      <c r="F1364" s="6"/>
      <c r="G1364" s="76"/>
      <c r="H1364" s="76">
        <v>5</v>
      </c>
      <c r="I1364" s="6"/>
      <c r="J1364" s="24">
        <f>H1364</f>
        <v>5</v>
      </c>
      <c r="K1364"/>
      <c r="L1364" s="20">
        <v>35</v>
      </c>
      <c r="M1364" s="25" t="s">
        <v>26</v>
      </c>
    </row>
    <row r="1365" spans="1:15">
      <c r="A1365" s="22" t="s">
        <v>0</v>
      </c>
      <c r="B1365" s="23" t="s">
        <v>14</v>
      </c>
      <c r="C1365" s="6"/>
      <c r="D1365" s="6"/>
      <c r="E1365" s="6"/>
      <c r="F1365" s="6"/>
      <c r="G1365" s="76">
        <v>5</v>
      </c>
      <c r="H1365" s="76">
        <v>44</v>
      </c>
      <c r="I1365" s="6"/>
      <c r="J1365" s="24">
        <f>G1365+H1365</f>
        <v>49</v>
      </c>
      <c r="K1365"/>
      <c r="L1365" s="20">
        <v>2</v>
      </c>
      <c r="M1365" s="25" t="s">
        <v>27</v>
      </c>
    </row>
    <row r="1366" spans="1:15" ht="13.5" thickBot="1">
      <c r="A1366" s="27" t="s">
        <v>29</v>
      </c>
      <c r="B1366" s="28"/>
      <c r="C1366" s="29"/>
      <c r="D1366" s="29">
        <f>SUM(D1360:D1365)</f>
        <v>26</v>
      </c>
      <c r="E1366" s="29">
        <f>SUM(E1360:E1365)</f>
        <v>271</v>
      </c>
      <c r="F1366" s="29"/>
      <c r="G1366" s="29">
        <f>SUM(G1360:G1365)</f>
        <v>80</v>
      </c>
      <c r="H1366" s="29">
        <f>SUM(H1360:H1365)</f>
        <v>365</v>
      </c>
      <c r="I1366" s="29"/>
      <c r="J1366" s="30">
        <f>SUM(J1360:J1365)</f>
        <v>743</v>
      </c>
      <c r="K1366"/>
      <c r="L1366" s="20">
        <v>1</v>
      </c>
      <c r="M1366" s="25" t="s">
        <v>28</v>
      </c>
      <c r="N1366" s="26"/>
    </row>
    <row r="1367" spans="1:15">
      <c r="A1367" s="31" t="s">
        <v>7</v>
      </c>
      <c r="B1367" s="32" t="s">
        <v>15</v>
      </c>
      <c r="C1367" s="33"/>
      <c r="D1367" s="33"/>
      <c r="E1367" s="33"/>
      <c r="F1367" s="33"/>
      <c r="G1367" s="77"/>
      <c r="H1367" s="77"/>
      <c r="I1367" s="33"/>
      <c r="J1367" s="34"/>
      <c r="K1367"/>
      <c r="L1367" s="20">
        <v>1</v>
      </c>
      <c r="M1367" s="25" t="s">
        <v>30</v>
      </c>
    </row>
    <row r="1368" spans="1:15">
      <c r="A1368" s="31" t="s">
        <v>7</v>
      </c>
      <c r="B1368" s="32" t="s">
        <v>8</v>
      </c>
      <c r="C1368" s="33"/>
      <c r="D1368" s="33"/>
      <c r="E1368" s="33"/>
      <c r="F1368" s="33"/>
      <c r="G1368" s="77">
        <v>4</v>
      </c>
      <c r="H1368" s="77">
        <v>29</v>
      </c>
      <c r="I1368" s="33"/>
      <c r="J1368" s="34">
        <f>G1368+H1368</f>
        <v>33</v>
      </c>
      <c r="K1368"/>
      <c r="L1368" s="35">
        <f>SUM(L1362:L1367)</f>
        <v>271</v>
      </c>
      <c r="M1368" s="21"/>
    </row>
    <row r="1369" spans="1:15" ht="13.5" thickBot="1">
      <c r="A1369" s="27" t="s">
        <v>31</v>
      </c>
      <c r="B1369" s="28"/>
      <c r="C1369" s="29"/>
      <c r="D1369" s="29"/>
      <c r="E1369" s="29"/>
      <c r="F1369" s="29"/>
      <c r="G1369" s="29">
        <f>SUM(G1367:G1368)</f>
        <v>4</v>
      </c>
      <c r="H1369" s="29">
        <f>SUM(H1367:H1368)</f>
        <v>29</v>
      </c>
      <c r="I1369" s="29"/>
      <c r="J1369" s="30">
        <f>SUM(J1367:J1368)</f>
        <v>33</v>
      </c>
      <c r="K1369"/>
    </row>
    <row r="1370" spans="1:15">
      <c r="A1370" s="31" t="s">
        <v>105</v>
      </c>
      <c r="B1370" s="32" t="s">
        <v>8</v>
      </c>
      <c r="C1370" s="33"/>
      <c r="D1370" s="33"/>
      <c r="E1370" s="33"/>
      <c r="F1370" s="33"/>
      <c r="G1370" s="77">
        <v>5</v>
      </c>
      <c r="H1370" s="77">
        <v>9</v>
      </c>
      <c r="I1370" s="33"/>
      <c r="J1370" s="34">
        <f>G1370+H1370</f>
        <v>14</v>
      </c>
      <c r="K1370"/>
    </row>
    <row r="1371" spans="1:15" ht="13.5" thickBot="1">
      <c r="A1371" s="27" t="s">
        <v>106</v>
      </c>
      <c r="B1371" s="28"/>
      <c r="C1371" s="29"/>
      <c r="D1371" s="29"/>
      <c r="E1371" s="29"/>
      <c r="F1371" s="29"/>
      <c r="G1371" s="29">
        <f>SUM(G1370:G1370)</f>
        <v>5</v>
      </c>
      <c r="H1371" s="29">
        <f>SUM(H1370:H1370)</f>
        <v>9</v>
      </c>
      <c r="I1371" s="29"/>
      <c r="J1371" s="30">
        <f>SUM(J1370:J1370)</f>
        <v>14</v>
      </c>
      <c r="K1371"/>
    </row>
    <row r="1372" spans="1:15">
      <c r="A1372" s="22" t="s">
        <v>108</v>
      </c>
      <c r="B1372" s="32" t="s">
        <v>10</v>
      </c>
      <c r="C1372" s="6"/>
      <c r="D1372" s="6"/>
      <c r="E1372" s="6"/>
      <c r="F1372" s="6"/>
      <c r="G1372" s="76"/>
      <c r="H1372" s="76"/>
      <c r="I1372" s="6"/>
      <c r="J1372" s="24">
        <f>H1372</f>
        <v>0</v>
      </c>
      <c r="K1372"/>
    </row>
    <row r="1373" spans="1:15">
      <c r="A1373" s="22" t="s">
        <v>32</v>
      </c>
      <c r="B1373" s="32" t="s">
        <v>33</v>
      </c>
      <c r="C1373" s="6">
        <v>5</v>
      </c>
      <c r="D1373" s="6"/>
      <c r="E1373" s="6"/>
      <c r="F1373" s="6"/>
      <c r="G1373" s="76"/>
      <c r="H1373" s="76"/>
      <c r="I1373" s="6"/>
      <c r="J1373" s="24">
        <f>C1373</f>
        <v>5</v>
      </c>
      <c r="K1373"/>
    </row>
    <row r="1374" spans="1:15" ht="13.5" thickBot="1">
      <c r="A1374" s="36" t="s">
        <v>34</v>
      </c>
      <c r="B1374" s="37"/>
      <c r="C1374" s="29">
        <f>SUM(C1372:C1373)</f>
        <v>5</v>
      </c>
      <c r="D1374" s="29"/>
      <c r="E1374" s="29"/>
      <c r="F1374" s="29"/>
      <c r="G1374" s="29"/>
      <c r="H1374" s="29"/>
      <c r="I1374" s="29"/>
      <c r="J1374" s="30">
        <f>SUM(J1372:J1373)</f>
        <v>5</v>
      </c>
      <c r="K1374"/>
    </row>
    <row r="1375" spans="1:15" ht="17.25" customHeight="1" thickBot="1">
      <c r="A1375" s="78" t="s">
        <v>35</v>
      </c>
      <c r="B1375" s="79"/>
      <c r="C1375" s="80">
        <f>C1366+C1369+C1371+C1374</f>
        <v>5</v>
      </c>
      <c r="D1375" s="80">
        <f>D1366+D1369+D1371+D1374</f>
        <v>26</v>
      </c>
      <c r="E1375" s="80">
        <f>E1366+E1369+E1371+E1374</f>
        <v>271</v>
      </c>
      <c r="F1375" s="80"/>
      <c r="G1375" s="80">
        <f>G1366+G1369+G1371+G1374</f>
        <v>89</v>
      </c>
      <c r="H1375" s="80">
        <f>H1366+H1369+H1371+H1374</f>
        <v>403</v>
      </c>
      <c r="I1375" s="80"/>
      <c r="J1375" s="80">
        <f>J1366+J1369+J1371+J1374</f>
        <v>795</v>
      </c>
      <c r="K1375"/>
    </row>
    <row r="1376" spans="1:15">
      <c r="B1376" s="38" t="s">
        <v>36</v>
      </c>
      <c r="C1376" s="39"/>
      <c r="L1376" s="26"/>
    </row>
    <row r="1377" spans="1:15">
      <c r="A1377" s="7" t="s">
        <v>37</v>
      </c>
      <c r="B1377" s="8">
        <f>D1366+D1369+D1371+D1374</f>
        <v>26</v>
      </c>
      <c r="C1377" s="6"/>
    </row>
    <row r="1378" spans="1:15">
      <c r="A1378" s="7" t="s">
        <v>38</v>
      </c>
      <c r="B1378" s="8">
        <f>E1375+F1375</f>
        <v>271</v>
      </c>
      <c r="C1378" s="6"/>
    </row>
    <row r="1379" spans="1:15">
      <c r="A1379" s="7" t="s">
        <v>2615</v>
      </c>
      <c r="B1379" s="8">
        <v>1</v>
      </c>
      <c r="C1379" s="6"/>
    </row>
    <row r="1380" spans="1:15">
      <c r="A1380" s="7" t="s">
        <v>39</v>
      </c>
      <c r="B1380" s="8">
        <f>J1362</f>
        <v>84</v>
      </c>
      <c r="C1380" s="6"/>
    </row>
    <row r="1381" spans="1:15">
      <c r="A1381" s="7" t="s">
        <v>40</v>
      </c>
      <c r="B1381" s="8">
        <f>J1363+J1368+J1370</f>
        <v>354</v>
      </c>
      <c r="C1381" s="6"/>
    </row>
    <row r="1382" spans="1:15">
      <c r="A1382" s="7" t="s">
        <v>41</v>
      </c>
      <c r="B1382" s="8">
        <f>J1364</f>
        <v>5</v>
      </c>
      <c r="C1382" s="6"/>
    </row>
    <row r="1383" spans="1:15">
      <c r="A1383" s="7" t="s">
        <v>42</v>
      </c>
      <c r="B1383" s="8">
        <f>J1365</f>
        <v>49</v>
      </c>
      <c r="C1383" s="6"/>
    </row>
    <row r="1384" spans="1:15">
      <c r="A1384" s="7" t="s">
        <v>43</v>
      </c>
      <c r="B1384" s="8">
        <f>J1372</f>
        <v>0</v>
      </c>
      <c r="C1384" s="6"/>
    </row>
    <row r="1385" spans="1:15">
      <c r="A1385" s="7" t="s">
        <v>44</v>
      </c>
      <c r="B1385" s="8">
        <f>J1373</f>
        <v>5</v>
      </c>
      <c r="C1385" s="6"/>
    </row>
    <row r="1386" spans="1:15">
      <c r="A1386" s="7"/>
      <c r="B1386" s="81">
        <f>SUM(B1377:B1385)</f>
        <v>795</v>
      </c>
      <c r="C1386" s="6"/>
    </row>
    <row r="1387" spans="1:15" ht="13.5" thickBot="1"/>
    <row r="1388" spans="1:15" ht="18" customHeight="1" thickBot="1">
      <c r="A1388" s="85" t="s">
        <v>2623</v>
      </c>
      <c r="B1388" s="9"/>
    </row>
    <row r="1389" spans="1:15" ht="15.6" customHeight="1" thickBot="1">
      <c r="A1389" s="11" t="s">
        <v>17</v>
      </c>
      <c r="B1389" s="12" t="s">
        <v>18</v>
      </c>
      <c r="C1389" s="13" t="s">
        <v>16</v>
      </c>
      <c r="D1389" s="14" t="s">
        <v>15</v>
      </c>
      <c r="E1389" s="14" t="s">
        <v>6</v>
      </c>
      <c r="F1389" s="14" t="s">
        <v>19</v>
      </c>
      <c r="G1389" s="74" t="s">
        <v>20</v>
      </c>
      <c r="H1389" s="74" t="s">
        <v>21</v>
      </c>
      <c r="I1389" s="14" t="s">
        <v>22</v>
      </c>
      <c r="J1389" s="15" t="s">
        <v>9</v>
      </c>
      <c r="K1389"/>
    </row>
    <row r="1390" spans="1:15">
      <c r="A1390" s="16" t="s">
        <v>0</v>
      </c>
      <c r="B1390" s="17" t="s">
        <v>15</v>
      </c>
      <c r="C1390" s="18"/>
      <c r="D1390" s="6">
        <v>26</v>
      </c>
      <c r="E1390" s="18"/>
      <c r="F1390" s="18"/>
      <c r="G1390" s="75"/>
      <c r="H1390" s="75"/>
      <c r="I1390" s="18"/>
      <c r="J1390" s="19">
        <f>D1390</f>
        <v>26</v>
      </c>
      <c r="K1390"/>
    </row>
    <row r="1391" spans="1:15">
      <c r="A1391" s="22" t="s">
        <v>0</v>
      </c>
      <c r="B1391" s="23" t="s">
        <v>6</v>
      </c>
      <c r="C1391" s="6"/>
      <c r="D1391" s="6"/>
      <c r="E1391" s="6">
        <v>276</v>
      </c>
      <c r="F1391" s="6"/>
      <c r="G1391" s="76"/>
      <c r="H1391" s="76"/>
      <c r="I1391" s="6"/>
      <c r="J1391" s="24">
        <f>E1391+F1391</f>
        <v>276</v>
      </c>
      <c r="K1391"/>
      <c r="L1391" s="20" t="s">
        <v>23</v>
      </c>
      <c r="M1391" s="21" t="s">
        <v>109</v>
      </c>
      <c r="N1391" s="84" t="s">
        <v>2624</v>
      </c>
      <c r="O1391" s="26"/>
    </row>
    <row r="1392" spans="1:15">
      <c r="A1392" s="22" t="s">
        <v>0</v>
      </c>
      <c r="B1392" s="23" t="s">
        <v>13</v>
      </c>
      <c r="C1392" s="6"/>
      <c r="D1392" s="6"/>
      <c r="E1392" s="6"/>
      <c r="F1392" s="6"/>
      <c r="G1392" s="76">
        <v>1</v>
      </c>
      <c r="H1392" s="76">
        <v>83</v>
      </c>
      <c r="I1392" s="6"/>
      <c r="J1392" s="24">
        <f>G1392+H1392+I1392</f>
        <v>84</v>
      </c>
      <c r="K1392"/>
      <c r="L1392" s="20">
        <v>192</v>
      </c>
      <c r="M1392" s="25" t="s">
        <v>24</v>
      </c>
    </row>
    <row r="1393" spans="1:17">
      <c r="A1393" s="22" t="s">
        <v>0</v>
      </c>
      <c r="B1393" s="23" t="s">
        <v>8</v>
      </c>
      <c r="C1393" s="6"/>
      <c r="D1393" s="6"/>
      <c r="E1393" s="6"/>
      <c r="F1393" s="6"/>
      <c r="G1393" s="76">
        <v>74</v>
      </c>
      <c r="H1393" s="76">
        <v>236</v>
      </c>
      <c r="I1393" s="6"/>
      <c r="J1393" s="24">
        <f>G1393+H1393+I1393</f>
        <v>310</v>
      </c>
      <c r="K1393"/>
      <c r="L1393" s="20">
        <v>44</v>
      </c>
      <c r="M1393" s="25" t="s">
        <v>25</v>
      </c>
    </row>
    <row r="1394" spans="1:17">
      <c r="A1394" s="22" t="s">
        <v>0</v>
      </c>
      <c r="B1394" s="23" t="s">
        <v>12</v>
      </c>
      <c r="C1394" s="6"/>
      <c r="D1394" s="6"/>
      <c r="E1394" s="6"/>
      <c r="F1394" s="6"/>
      <c r="G1394" s="76"/>
      <c r="H1394" s="76">
        <v>5</v>
      </c>
      <c r="I1394" s="6"/>
      <c r="J1394" s="24">
        <f>H1394</f>
        <v>5</v>
      </c>
      <c r="K1394"/>
      <c r="L1394" s="20">
        <v>36</v>
      </c>
      <c r="M1394" s="25" t="s">
        <v>26</v>
      </c>
    </row>
    <row r="1395" spans="1:17">
      <c r="A1395" s="22" t="s">
        <v>0</v>
      </c>
      <c r="B1395" s="23" t="s">
        <v>14</v>
      </c>
      <c r="C1395" s="6"/>
      <c r="D1395" s="6"/>
      <c r="E1395" s="6"/>
      <c r="F1395" s="6"/>
      <c r="G1395" s="76">
        <v>5</v>
      </c>
      <c r="H1395" s="76">
        <v>44</v>
      </c>
      <c r="I1395" s="6"/>
      <c r="J1395" s="24">
        <f>G1395+H1395</f>
        <v>49</v>
      </c>
      <c r="K1395"/>
      <c r="L1395" s="20">
        <v>2</v>
      </c>
      <c r="M1395" s="25" t="s">
        <v>27</v>
      </c>
    </row>
    <row r="1396" spans="1:17" ht="13.5" thickBot="1">
      <c r="A1396" s="27" t="s">
        <v>29</v>
      </c>
      <c r="B1396" s="28"/>
      <c r="C1396" s="29"/>
      <c r="D1396" s="29">
        <f>SUM(D1390:D1395)</f>
        <v>26</v>
      </c>
      <c r="E1396" s="29">
        <f>SUM(E1390:E1395)</f>
        <v>276</v>
      </c>
      <c r="F1396" s="29"/>
      <c r="G1396" s="29">
        <f>SUM(G1390:G1395)</f>
        <v>80</v>
      </c>
      <c r="H1396" s="29">
        <f>SUM(H1390:H1395)</f>
        <v>368</v>
      </c>
      <c r="I1396" s="29"/>
      <c r="J1396" s="30">
        <f>SUM(J1390:J1395)</f>
        <v>750</v>
      </c>
      <c r="K1396"/>
      <c r="L1396" s="20">
        <v>1</v>
      </c>
      <c r="M1396" s="25" t="s">
        <v>28</v>
      </c>
      <c r="N1396" s="26"/>
    </row>
    <row r="1397" spans="1:17">
      <c r="A1397" s="31" t="s">
        <v>7</v>
      </c>
      <c r="B1397" s="32" t="s">
        <v>15</v>
      </c>
      <c r="C1397" s="33"/>
      <c r="D1397" s="33"/>
      <c r="E1397" s="33"/>
      <c r="F1397" s="33"/>
      <c r="G1397" s="77"/>
      <c r="H1397" s="77"/>
      <c r="I1397" s="33"/>
      <c r="J1397" s="34"/>
      <c r="K1397"/>
      <c r="L1397" s="20">
        <v>1</v>
      </c>
      <c r="M1397" s="25" t="s">
        <v>30</v>
      </c>
    </row>
    <row r="1398" spans="1:17">
      <c r="A1398" s="31" t="s">
        <v>7</v>
      </c>
      <c r="B1398" s="32" t="s">
        <v>8</v>
      </c>
      <c r="C1398" s="33"/>
      <c r="D1398" s="33"/>
      <c r="E1398" s="33"/>
      <c r="F1398" s="33"/>
      <c r="G1398" s="77">
        <v>4</v>
      </c>
      <c r="H1398" s="77">
        <v>28</v>
      </c>
      <c r="I1398" s="33"/>
      <c r="J1398" s="34">
        <f>G1398+H1398</f>
        <v>32</v>
      </c>
      <c r="K1398"/>
      <c r="L1398" s="35">
        <f>SUM(L1392:L1397)</f>
        <v>276</v>
      </c>
      <c r="M1398" s="21"/>
    </row>
    <row r="1399" spans="1:17" ht="13.5" thickBot="1">
      <c r="A1399" s="27" t="s">
        <v>31</v>
      </c>
      <c r="B1399" s="28"/>
      <c r="C1399" s="29"/>
      <c r="D1399" s="29"/>
      <c r="E1399" s="29"/>
      <c r="F1399" s="29"/>
      <c r="G1399" s="29">
        <f>SUM(G1397:G1398)</f>
        <v>4</v>
      </c>
      <c r="H1399" s="29">
        <f>SUM(H1397:H1398)</f>
        <v>28</v>
      </c>
      <c r="I1399" s="29"/>
      <c r="J1399" s="30">
        <f>SUM(J1397:J1398)</f>
        <v>32</v>
      </c>
      <c r="K1399"/>
      <c r="N1399" s="88"/>
      <c r="O1399" s="88"/>
      <c r="P1399" s="88"/>
      <c r="Q1399" s="88"/>
    </row>
    <row r="1400" spans="1:17">
      <c r="A1400" s="31" t="s">
        <v>105</v>
      </c>
      <c r="B1400" s="32" t="s">
        <v>8</v>
      </c>
      <c r="C1400" s="33"/>
      <c r="D1400" s="33"/>
      <c r="E1400" s="33"/>
      <c r="F1400" s="33"/>
      <c r="G1400" s="77">
        <v>5</v>
      </c>
      <c r="H1400" s="77">
        <v>9</v>
      </c>
      <c r="I1400" s="33"/>
      <c r="J1400" s="34">
        <f>G1400+H1400</f>
        <v>14</v>
      </c>
      <c r="K1400"/>
      <c r="L1400" s="87" t="s">
        <v>2625</v>
      </c>
      <c r="M1400" s="88"/>
    </row>
    <row r="1401" spans="1:17" ht="13.5" thickBot="1">
      <c r="A1401" s="27" t="s">
        <v>106</v>
      </c>
      <c r="B1401" s="28"/>
      <c r="C1401" s="29"/>
      <c r="D1401" s="29"/>
      <c r="E1401" s="29"/>
      <c r="F1401" s="29"/>
      <c r="G1401" s="29">
        <f>SUM(G1400:G1400)</f>
        <v>5</v>
      </c>
      <c r="H1401" s="29">
        <f>SUM(H1400:H1400)</f>
        <v>9</v>
      </c>
      <c r="I1401" s="29"/>
      <c r="J1401" s="30">
        <f>SUM(J1400:J1400)</f>
        <v>14</v>
      </c>
      <c r="K1401"/>
    </row>
    <row r="1402" spans="1:17">
      <c r="A1402" s="22" t="s">
        <v>108</v>
      </c>
      <c r="B1402" s="32" t="s">
        <v>10</v>
      </c>
      <c r="C1402" s="6"/>
      <c r="D1402" s="6"/>
      <c r="E1402" s="6"/>
      <c r="F1402" s="6"/>
      <c r="G1402" s="76"/>
      <c r="H1402" s="76"/>
      <c r="I1402" s="6"/>
      <c r="J1402" s="24">
        <f>H1402</f>
        <v>0</v>
      </c>
      <c r="K1402"/>
    </row>
    <row r="1403" spans="1:17">
      <c r="A1403" s="22" t="s">
        <v>32</v>
      </c>
      <c r="B1403" s="32" t="s">
        <v>33</v>
      </c>
      <c r="C1403" s="6">
        <v>5</v>
      </c>
      <c r="D1403" s="6"/>
      <c r="E1403" s="6"/>
      <c r="F1403" s="6"/>
      <c r="G1403" s="76"/>
      <c r="H1403" s="76"/>
      <c r="I1403" s="6"/>
      <c r="J1403" s="24">
        <f>C1403</f>
        <v>5</v>
      </c>
      <c r="K1403"/>
    </row>
    <row r="1404" spans="1:17" ht="13.5" thickBot="1">
      <c r="A1404" s="36" t="s">
        <v>34</v>
      </c>
      <c r="B1404" s="37"/>
      <c r="C1404" s="29">
        <f>SUM(C1402:C1403)</f>
        <v>5</v>
      </c>
      <c r="D1404" s="29"/>
      <c r="E1404" s="29"/>
      <c r="F1404" s="29"/>
      <c r="G1404" s="29"/>
      <c r="H1404" s="29"/>
      <c r="I1404" s="29"/>
      <c r="J1404" s="30">
        <f>SUM(J1402:J1403)</f>
        <v>5</v>
      </c>
      <c r="K1404"/>
    </row>
    <row r="1405" spans="1:17" ht="17.25" customHeight="1" thickBot="1">
      <c r="A1405" s="78" t="s">
        <v>35</v>
      </c>
      <c r="B1405" s="79"/>
      <c r="C1405" s="80">
        <f>C1396+C1399+C1401+C1404</f>
        <v>5</v>
      </c>
      <c r="D1405" s="80">
        <f>D1396+D1399+D1401+D1404</f>
        <v>26</v>
      </c>
      <c r="E1405" s="80">
        <f>E1396+E1399+E1401+E1404</f>
        <v>276</v>
      </c>
      <c r="F1405" s="80"/>
      <c r="G1405" s="80">
        <f>G1396+G1399+G1401+G1404</f>
        <v>89</v>
      </c>
      <c r="H1405" s="80">
        <f>H1396+H1399+H1401+H1404</f>
        <v>405</v>
      </c>
      <c r="I1405" s="80"/>
      <c r="J1405" s="80">
        <f>J1396+J1399+J1401+J1404</f>
        <v>801</v>
      </c>
      <c r="K1405"/>
    </row>
    <row r="1406" spans="1:17">
      <c r="B1406" s="38" t="s">
        <v>36</v>
      </c>
      <c r="C1406" s="39"/>
      <c r="L1406" s="26"/>
    </row>
    <row r="1407" spans="1:17">
      <c r="A1407" s="7" t="s">
        <v>37</v>
      </c>
      <c r="B1407" s="8">
        <f>D1396+D1399+D1401+D1404</f>
        <v>26</v>
      </c>
      <c r="C1407" s="6"/>
    </row>
    <row r="1408" spans="1:17">
      <c r="A1408" s="7" t="s">
        <v>38</v>
      </c>
      <c r="B1408" s="8">
        <f>E1405+F1405</f>
        <v>276</v>
      </c>
      <c r="C1408" s="6"/>
    </row>
    <row r="1409" spans="1:15">
      <c r="A1409" s="7" t="s">
        <v>39</v>
      </c>
      <c r="B1409" s="8">
        <f>J1392</f>
        <v>84</v>
      </c>
      <c r="C1409" s="6"/>
    </row>
    <row r="1410" spans="1:15">
      <c r="A1410" s="7" t="s">
        <v>40</v>
      </c>
      <c r="B1410" s="8">
        <f>J1393+J1398+J1400</f>
        <v>356</v>
      </c>
      <c r="C1410" s="6"/>
    </row>
    <row r="1411" spans="1:15">
      <c r="A1411" s="7" t="s">
        <v>41</v>
      </c>
      <c r="B1411" s="8">
        <f>J1394</f>
        <v>5</v>
      </c>
      <c r="C1411" s="6"/>
    </row>
    <row r="1412" spans="1:15">
      <c r="A1412" s="7" t="s">
        <v>42</v>
      </c>
      <c r="B1412" s="8">
        <f>J1395</f>
        <v>49</v>
      </c>
      <c r="C1412" s="6"/>
    </row>
    <row r="1413" spans="1:15">
      <c r="A1413" s="7" t="s">
        <v>43</v>
      </c>
      <c r="B1413" s="8">
        <f>J1402</f>
        <v>0</v>
      </c>
      <c r="C1413" s="6"/>
    </row>
    <row r="1414" spans="1:15">
      <c r="A1414" s="7" t="s">
        <v>44</v>
      </c>
      <c r="B1414" s="8">
        <f>J1403</f>
        <v>5</v>
      </c>
      <c r="C1414" s="6"/>
    </row>
    <row r="1415" spans="1:15">
      <c r="A1415" s="7"/>
      <c r="B1415" s="81">
        <f>SUM(B1407:B1414)</f>
        <v>801</v>
      </c>
      <c r="C1415" s="6"/>
    </row>
    <row r="1416" spans="1:15" ht="13.5" thickBot="1"/>
    <row r="1417" spans="1:15" ht="18" customHeight="1" thickBot="1">
      <c r="A1417" s="85" t="s">
        <v>2626</v>
      </c>
      <c r="B1417" s="9"/>
    </row>
    <row r="1418" spans="1:15" ht="15.6" customHeight="1" thickBot="1">
      <c r="A1418" s="11" t="s">
        <v>17</v>
      </c>
      <c r="B1418" s="12" t="s">
        <v>18</v>
      </c>
      <c r="C1418" s="13" t="s">
        <v>16</v>
      </c>
      <c r="D1418" s="14" t="s">
        <v>15</v>
      </c>
      <c r="E1418" s="14" t="s">
        <v>6</v>
      </c>
      <c r="F1418" s="14" t="s">
        <v>19</v>
      </c>
      <c r="G1418" s="74" t="s">
        <v>20</v>
      </c>
      <c r="H1418" s="74" t="s">
        <v>21</v>
      </c>
      <c r="I1418" s="14" t="s">
        <v>22</v>
      </c>
      <c r="J1418" s="15" t="s">
        <v>9</v>
      </c>
      <c r="K1418"/>
    </row>
    <row r="1419" spans="1:15">
      <c r="A1419" s="16" t="s">
        <v>0</v>
      </c>
      <c r="B1419" s="17" t="s">
        <v>15</v>
      </c>
      <c r="C1419" s="18"/>
      <c r="D1419" s="89">
        <v>26</v>
      </c>
      <c r="E1419" s="18"/>
      <c r="F1419" s="18"/>
      <c r="G1419" s="75"/>
      <c r="H1419" s="75"/>
      <c r="I1419" s="18"/>
      <c r="J1419" s="19">
        <f>D1419</f>
        <v>26</v>
      </c>
      <c r="K1419"/>
    </row>
    <row r="1420" spans="1:15">
      <c r="A1420" s="22" t="s">
        <v>0</v>
      </c>
      <c r="B1420" s="23" t="s">
        <v>6</v>
      </c>
      <c r="C1420" s="6"/>
      <c r="D1420" s="6"/>
      <c r="E1420" s="6">
        <v>277</v>
      </c>
      <c r="F1420" s="6"/>
      <c r="G1420" s="76"/>
      <c r="H1420" s="76"/>
      <c r="I1420" s="6"/>
      <c r="J1420" s="24">
        <f>E1420+F1420</f>
        <v>277</v>
      </c>
      <c r="K1420"/>
      <c r="L1420" s="20" t="s">
        <v>23</v>
      </c>
      <c r="M1420" s="21" t="s">
        <v>109</v>
      </c>
      <c r="N1420" s="84"/>
      <c r="O1420" s="26"/>
    </row>
    <row r="1421" spans="1:15">
      <c r="A1421" s="22" t="s">
        <v>0</v>
      </c>
      <c r="B1421" s="23" t="s">
        <v>13</v>
      </c>
      <c r="C1421" s="6"/>
      <c r="D1421" s="6"/>
      <c r="E1421" s="6"/>
      <c r="F1421" s="6"/>
      <c r="G1421" s="76">
        <v>1</v>
      </c>
      <c r="H1421" s="76">
        <v>83</v>
      </c>
      <c r="I1421" s="6"/>
      <c r="J1421" s="24">
        <f>G1421+H1421+I1421</f>
        <v>84</v>
      </c>
      <c r="K1421"/>
      <c r="L1421" s="20">
        <v>193</v>
      </c>
      <c r="M1421" s="25" t="s">
        <v>24</v>
      </c>
    </row>
    <row r="1422" spans="1:15">
      <c r="A1422" s="22" t="s">
        <v>0</v>
      </c>
      <c r="B1422" s="23" t="s">
        <v>8</v>
      </c>
      <c r="C1422" s="6"/>
      <c r="D1422" s="6"/>
      <c r="E1422" s="6"/>
      <c r="F1422" s="6"/>
      <c r="G1422" s="76">
        <v>73</v>
      </c>
      <c r="H1422" s="76">
        <v>240</v>
      </c>
      <c r="I1422" s="6"/>
      <c r="J1422" s="24">
        <f>G1422+H1422+I1422</f>
        <v>313</v>
      </c>
      <c r="K1422"/>
      <c r="L1422" s="20">
        <v>44</v>
      </c>
      <c r="M1422" s="25" t="s">
        <v>25</v>
      </c>
    </row>
    <row r="1423" spans="1:15">
      <c r="A1423" s="22" t="s">
        <v>0</v>
      </c>
      <c r="B1423" s="23" t="s">
        <v>12</v>
      </c>
      <c r="C1423" s="6"/>
      <c r="D1423" s="6"/>
      <c r="E1423" s="6"/>
      <c r="F1423" s="6"/>
      <c r="G1423" s="76"/>
      <c r="H1423" s="76">
        <v>5</v>
      </c>
      <c r="I1423" s="6"/>
      <c r="J1423" s="24">
        <f>H1423</f>
        <v>5</v>
      </c>
      <c r="K1423"/>
      <c r="L1423" s="20">
        <v>36</v>
      </c>
      <c r="M1423" s="25" t="s">
        <v>26</v>
      </c>
    </row>
    <row r="1424" spans="1:15">
      <c r="A1424" s="22" t="s">
        <v>0</v>
      </c>
      <c r="B1424" s="23" t="s">
        <v>14</v>
      </c>
      <c r="C1424" s="6"/>
      <c r="D1424" s="6"/>
      <c r="E1424" s="6"/>
      <c r="F1424" s="6"/>
      <c r="G1424" s="76">
        <v>5</v>
      </c>
      <c r="H1424" s="76">
        <v>44</v>
      </c>
      <c r="I1424" s="6"/>
      <c r="J1424" s="24">
        <f>G1424+H1424</f>
        <v>49</v>
      </c>
      <c r="K1424"/>
      <c r="L1424" s="20">
        <v>2</v>
      </c>
      <c r="M1424" s="25" t="s">
        <v>27</v>
      </c>
    </row>
    <row r="1425" spans="1:17" ht="13.5" thickBot="1">
      <c r="A1425" s="27" t="s">
        <v>29</v>
      </c>
      <c r="B1425" s="28"/>
      <c r="C1425" s="29"/>
      <c r="D1425" s="29">
        <f>SUM(D1419:D1424)</f>
        <v>26</v>
      </c>
      <c r="E1425" s="29">
        <f>SUM(E1419:E1424)</f>
        <v>277</v>
      </c>
      <c r="F1425" s="29"/>
      <c r="G1425" s="29">
        <f>SUM(G1419:G1424)</f>
        <v>79</v>
      </c>
      <c r="H1425" s="29">
        <f>SUM(H1419:H1424)</f>
        <v>372</v>
      </c>
      <c r="I1425" s="29"/>
      <c r="J1425" s="30">
        <f>SUM(J1419:J1424)</f>
        <v>754</v>
      </c>
      <c r="K1425"/>
      <c r="L1425" s="20">
        <v>1</v>
      </c>
      <c r="M1425" s="25" t="s">
        <v>28</v>
      </c>
      <c r="N1425" s="26"/>
    </row>
    <row r="1426" spans="1:17">
      <c r="A1426" s="31" t="s">
        <v>7</v>
      </c>
      <c r="B1426" s="32" t="s">
        <v>15</v>
      </c>
      <c r="C1426" s="33"/>
      <c r="D1426" s="33"/>
      <c r="E1426" s="33"/>
      <c r="F1426" s="33"/>
      <c r="G1426" s="77"/>
      <c r="H1426" s="77"/>
      <c r="I1426" s="33"/>
      <c r="J1426" s="34"/>
      <c r="K1426"/>
      <c r="L1426" s="20">
        <v>1</v>
      </c>
      <c r="M1426" s="25" t="s">
        <v>30</v>
      </c>
    </row>
    <row r="1427" spans="1:17">
      <c r="A1427" s="31" t="s">
        <v>7</v>
      </c>
      <c r="B1427" s="32" t="s">
        <v>8</v>
      </c>
      <c r="C1427" s="33"/>
      <c r="D1427" s="33"/>
      <c r="E1427" s="33"/>
      <c r="F1427" s="33"/>
      <c r="G1427" s="77">
        <v>4</v>
      </c>
      <c r="H1427" s="77">
        <v>29</v>
      </c>
      <c r="I1427" s="33"/>
      <c r="J1427" s="34">
        <f>G1427+H1427</f>
        <v>33</v>
      </c>
      <c r="K1427"/>
      <c r="L1427" s="35">
        <f>SUM(L1421:L1426)</f>
        <v>277</v>
      </c>
      <c r="M1427" s="21"/>
    </row>
    <row r="1428" spans="1:17" ht="13.5" thickBot="1">
      <c r="A1428" s="27" t="s">
        <v>31</v>
      </c>
      <c r="B1428" s="28"/>
      <c r="C1428" s="29"/>
      <c r="D1428" s="29"/>
      <c r="E1428" s="29"/>
      <c r="F1428" s="29"/>
      <c r="G1428" s="29">
        <f>SUM(G1426:G1427)</f>
        <v>4</v>
      </c>
      <c r="H1428" s="29">
        <f>SUM(H1426:H1427)</f>
        <v>29</v>
      </c>
      <c r="I1428" s="29"/>
      <c r="J1428" s="30">
        <f>SUM(J1426:J1427)</f>
        <v>33</v>
      </c>
      <c r="K1428"/>
      <c r="N1428" s="88"/>
      <c r="O1428" s="88"/>
      <c r="P1428" s="88"/>
      <c r="Q1428" s="88"/>
    </row>
    <row r="1429" spans="1:17">
      <c r="A1429" s="31" t="s">
        <v>105</v>
      </c>
      <c r="B1429" s="32" t="s">
        <v>8</v>
      </c>
      <c r="C1429" s="33"/>
      <c r="D1429" s="33"/>
      <c r="E1429" s="33"/>
      <c r="F1429" s="33"/>
      <c r="G1429" s="77">
        <v>5</v>
      </c>
      <c r="H1429" s="77">
        <v>9</v>
      </c>
      <c r="I1429" s="33"/>
      <c r="J1429" s="34">
        <f>G1429+H1429</f>
        <v>14</v>
      </c>
      <c r="K1429"/>
      <c r="L1429" s="87" t="s">
        <v>2625</v>
      </c>
      <c r="M1429" s="88"/>
    </row>
    <row r="1430" spans="1:17" ht="13.5" thickBot="1">
      <c r="A1430" s="27" t="s">
        <v>106</v>
      </c>
      <c r="B1430" s="28"/>
      <c r="C1430" s="29"/>
      <c r="D1430" s="29"/>
      <c r="E1430" s="29"/>
      <c r="F1430" s="29"/>
      <c r="G1430" s="29">
        <f>SUM(G1429:G1429)</f>
        <v>5</v>
      </c>
      <c r="H1430" s="29">
        <f>SUM(H1429:H1429)</f>
        <v>9</v>
      </c>
      <c r="I1430" s="29"/>
      <c r="J1430" s="30">
        <f>SUM(J1429:J1429)</f>
        <v>14</v>
      </c>
      <c r="K1430"/>
    </row>
    <row r="1431" spans="1:17">
      <c r="A1431" s="22" t="s">
        <v>108</v>
      </c>
      <c r="B1431" s="32" t="s">
        <v>10</v>
      </c>
      <c r="C1431" s="6"/>
      <c r="D1431" s="6"/>
      <c r="E1431" s="6"/>
      <c r="F1431" s="6"/>
      <c r="G1431" s="76"/>
      <c r="H1431" s="76"/>
      <c r="I1431" s="6"/>
      <c r="J1431" s="24">
        <f>H1431</f>
        <v>0</v>
      </c>
      <c r="K1431"/>
    </row>
    <row r="1432" spans="1:17">
      <c r="A1432" s="22" t="s">
        <v>32</v>
      </c>
      <c r="B1432" s="32" t="s">
        <v>33</v>
      </c>
      <c r="C1432" s="6">
        <v>5</v>
      </c>
      <c r="D1432" s="6"/>
      <c r="E1432" s="6"/>
      <c r="F1432" s="6"/>
      <c r="G1432" s="76"/>
      <c r="H1432" s="76"/>
      <c r="I1432" s="6"/>
      <c r="J1432" s="24">
        <f>C1432</f>
        <v>5</v>
      </c>
      <c r="K1432"/>
    </row>
    <row r="1433" spans="1:17" ht="13.5" thickBot="1">
      <c r="A1433" s="36" t="s">
        <v>34</v>
      </c>
      <c r="B1433" s="37"/>
      <c r="C1433" s="29">
        <f>SUM(C1431:C1432)</f>
        <v>5</v>
      </c>
      <c r="D1433" s="29"/>
      <c r="E1433" s="29"/>
      <c r="F1433" s="29"/>
      <c r="G1433" s="29"/>
      <c r="H1433" s="29"/>
      <c r="I1433" s="29"/>
      <c r="J1433" s="30">
        <f>SUM(J1431:J1432)</f>
        <v>5</v>
      </c>
      <c r="K1433"/>
    </row>
    <row r="1434" spans="1:17" ht="17.25" customHeight="1" thickBot="1">
      <c r="A1434" s="78" t="s">
        <v>35</v>
      </c>
      <c r="B1434" s="79"/>
      <c r="C1434" s="80">
        <f>C1425+C1428+C1430+C1433</f>
        <v>5</v>
      </c>
      <c r="D1434" s="80">
        <f>D1425+D1428+D1430+D1433</f>
        <v>26</v>
      </c>
      <c r="E1434" s="80">
        <f>E1425+E1428+E1430+E1433</f>
        <v>277</v>
      </c>
      <c r="F1434" s="80"/>
      <c r="G1434" s="80">
        <f>G1425+G1428+G1430+G1433</f>
        <v>88</v>
      </c>
      <c r="H1434" s="80">
        <f>H1425+H1428+H1430+H1433</f>
        <v>410</v>
      </c>
      <c r="I1434" s="80"/>
      <c r="J1434" s="80">
        <f>J1425+J1428+J1430+J1433</f>
        <v>806</v>
      </c>
      <c r="K1434"/>
    </row>
    <row r="1435" spans="1:17">
      <c r="B1435" s="38" t="s">
        <v>36</v>
      </c>
      <c r="C1435" s="39"/>
      <c r="L1435" s="26"/>
    </row>
    <row r="1436" spans="1:17">
      <c r="A1436" s="7" t="s">
        <v>37</v>
      </c>
      <c r="B1436" s="8">
        <f>D1425+D1428+D1430+D1433</f>
        <v>26</v>
      </c>
      <c r="C1436" s="6"/>
    </row>
    <row r="1437" spans="1:17">
      <c r="A1437" s="7" t="s">
        <v>38</v>
      </c>
      <c r="B1437" s="8">
        <f>E1434+F1434</f>
        <v>277</v>
      </c>
      <c r="C1437" s="6"/>
    </row>
    <row r="1438" spans="1:17">
      <c r="A1438" s="7" t="s">
        <v>39</v>
      </c>
      <c r="B1438" s="8">
        <f>J1421</f>
        <v>84</v>
      </c>
      <c r="C1438" s="6"/>
    </row>
    <row r="1439" spans="1:17">
      <c r="A1439" s="7" t="s">
        <v>40</v>
      </c>
      <c r="B1439" s="8">
        <f>J1422+J1427+J1429</f>
        <v>360</v>
      </c>
      <c r="C1439" s="6"/>
    </row>
    <row r="1440" spans="1:17">
      <c r="A1440" s="7" t="s">
        <v>41</v>
      </c>
      <c r="B1440" s="8">
        <f>J1423</f>
        <v>5</v>
      </c>
      <c r="C1440" s="6"/>
    </row>
    <row r="1441" spans="1:15">
      <c r="A1441" s="7" t="s">
        <v>42</v>
      </c>
      <c r="B1441" s="8">
        <f>J1424</f>
        <v>49</v>
      </c>
      <c r="C1441" s="6"/>
    </row>
    <row r="1442" spans="1:15">
      <c r="A1442" s="7" t="s">
        <v>43</v>
      </c>
      <c r="B1442" s="8">
        <f>J1431</f>
        <v>0</v>
      </c>
      <c r="C1442" s="6"/>
    </row>
    <row r="1443" spans="1:15">
      <c r="A1443" s="7" t="s">
        <v>44</v>
      </c>
      <c r="B1443" s="8">
        <f>J1432</f>
        <v>5</v>
      </c>
      <c r="C1443" s="6"/>
    </row>
    <row r="1444" spans="1:15">
      <c r="A1444" s="7"/>
      <c r="B1444" s="81">
        <f>SUM(B1436:B1443)</f>
        <v>806</v>
      </c>
      <c r="C1444" s="6"/>
    </row>
    <row r="1445" spans="1:15" ht="13.5" thickBot="1"/>
    <row r="1446" spans="1:15" ht="18" customHeight="1" thickBot="1">
      <c r="A1446" s="85" t="s">
        <v>2627</v>
      </c>
      <c r="B1446" s="9"/>
    </row>
    <row r="1447" spans="1:15" ht="15.6" customHeight="1" thickBot="1">
      <c r="A1447" s="11" t="s">
        <v>17</v>
      </c>
      <c r="B1447" s="12" t="s">
        <v>18</v>
      </c>
      <c r="C1447" s="13" t="s">
        <v>16</v>
      </c>
      <c r="D1447" s="14" t="s">
        <v>15</v>
      </c>
      <c r="E1447" s="14" t="s">
        <v>6</v>
      </c>
      <c r="F1447" s="14" t="s">
        <v>19</v>
      </c>
      <c r="G1447" s="74" t="s">
        <v>20</v>
      </c>
      <c r="H1447" s="74" t="s">
        <v>21</v>
      </c>
      <c r="I1447" s="14" t="s">
        <v>22</v>
      </c>
      <c r="J1447" s="15" t="s">
        <v>9</v>
      </c>
      <c r="K1447"/>
    </row>
    <row r="1448" spans="1:15">
      <c r="A1448" s="16" t="s">
        <v>0</v>
      </c>
      <c r="B1448" s="17" t="s">
        <v>15</v>
      </c>
      <c r="C1448" s="18"/>
      <c r="D1448" s="18">
        <v>25</v>
      </c>
      <c r="E1448" s="18"/>
      <c r="F1448" s="18"/>
      <c r="G1448" s="75"/>
      <c r="H1448" s="75"/>
      <c r="I1448" s="18"/>
      <c r="J1448" s="19">
        <f>D1448</f>
        <v>25</v>
      </c>
      <c r="K1448"/>
    </row>
    <row r="1449" spans="1:15">
      <c r="A1449" s="22" t="s">
        <v>0</v>
      </c>
      <c r="B1449" s="23" t="s">
        <v>6</v>
      </c>
      <c r="C1449" s="6"/>
      <c r="D1449" s="6"/>
      <c r="E1449" s="6">
        <v>277</v>
      </c>
      <c r="F1449" s="6"/>
      <c r="G1449" s="76"/>
      <c r="H1449" s="76"/>
      <c r="I1449" s="6"/>
      <c r="J1449" s="24">
        <f>E1449+F1449</f>
        <v>277</v>
      </c>
      <c r="K1449"/>
      <c r="L1449" s="20" t="s">
        <v>23</v>
      </c>
      <c r="M1449" s="21" t="s">
        <v>109</v>
      </c>
      <c r="N1449" s="84" t="s">
        <v>2628</v>
      </c>
      <c r="O1449" s="26"/>
    </row>
    <row r="1450" spans="1:15">
      <c r="A1450" s="22" t="s">
        <v>0</v>
      </c>
      <c r="B1450" s="23" t="s">
        <v>13</v>
      </c>
      <c r="C1450" s="6"/>
      <c r="D1450" s="6"/>
      <c r="E1450" s="6"/>
      <c r="F1450" s="6"/>
      <c r="G1450" s="76">
        <v>1</v>
      </c>
      <c r="H1450" s="76">
        <v>84</v>
      </c>
      <c r="I1450" s="6">
        <v>0</v>
      </c>
      <c r="J1450" s="24">
        <f>G1450+H1450+I1450</f>
        <v>85</v>
      </c>
      <c r="K1450"/>
      <c r="L1450" s="20">
        <v>193</v>
      </c>
      <c r="M1450" s="25" t="s">
        <v>24</v>
      </c>
    </row>
    <row r="1451" spans="1:15">
      <c r="A1451" s="22" t="s">
        <v>0</v>
      </c>
      <c r="B1451" s="23" t="s">
        <v>8</v>
      </c>
      <c r="C1451" s="6"/>
      <c r="D1451" s="6"/>
      <c r="E1451" s="6"/>
      <c r="F1451" s="6"/>
      <c r="G1451" s="76">
        <v>73</v>
      </c>
      <c r="H1451" s="76">
        <v>256</v>
      </c>
      <c r="I1451" s="6"/>
      <c r="J1451" s="24">
        <f>G1451+H1451+I1451</f>
        <v>329</v>
      </c>
      <c r="K1451"/>
      <c r="L1451" s="20">
        <v>44</v>
      </c>
      <c r="M1451" s="25" t="s">
        <v>25</v>
      </c>
    </row>
    <row r="1452" spans="1:15">
      <c r="A1452" s="22" t="s">
        <v>0</v>
      </c>
      <c r="B1452" s="23" t="s">
        <v>12</v>
      </c>
      <c r="C1452" s="6"/>
      <c r="D1452" s="6"/>
      <c r="E1452" s="6"/>
      <c r="F1452" s="6"/>
      <c r="G1452" s="76"/>
      <c r="H1452" s="76">
        <v>4</v>
      </c>
      <c r="I1452" s="6"/>
      <c r="J1452" s="24">
        <f>H1452</f>
        <v>4</v>
      </c>
      <c r="K1452"/>
      <c r="L1452" s="20">
        <v>36</v>
      </c>
      <c r="M1452" s="25" t="s">
        <v>26</v>
      </c>
    </row>
    <row r="1453" spans="1:15">
      <c r="A1453" s="22" t="s">
        <v>0</v>
      </c>
      <c r="B1453" s="23" t="s">
        <v>14</v>
      </c>
      <c r="C1453" s="6"/>
      <c r="D1453" s="6"/>
      <c r="E1453" s="6"/>
      <c r="F1453" s="6"/>
      <c r="G1453" s="76">
        <v>5</v>
      </c>
      <c r="H1453" s="76">
        <v>44</v>
      </c>
      <c r="I1453" s="6"/>
      <c r="J1453" s="24">
        <f>G1453+H1453</f>
        <v>49</v>
      </c>
      <c r="K1453"/>
      <c r="L1453" s="20">
        <v>2</v>
      </c>
      <c r="M1453" s="25" t="s">
        <v>27</v>
      </c>
    </row>
    <row r="1454" spans="1:15" ht="13.5" thickBot="1">
      <c r="A1454" s="27" t="s">
        <v>29</v>
      </c>
      <c r="B1454" s="28"/>
      <c r="C1454" s="29"/>
      <c r="D1454" s="29">
        <f>SUM(D1448:D1453)</f>
        <v>25</v>
      </c>
      <c r="E1454" s="29">
        <f>SUM(E1448:E1453)</f>
        <v>277</v>
      </c>
      <c r="F1454" s="29"/>
      <c r="G1454" s="29">
        <f>SUM(G1448:G1453)</f>
        <v>79</v>
      </c>
      <c r="H1454" s="29">
        <f>SUM(H1448:H1453)</f>
        <v>388</v>
      </c>
      <c r="I1454" s="29">
        <f>SUM(I1448:I1453)</f>
        <v>0</v>
      </c>
      <c r="J1454" s="30">
        <f>SUM(J1448:J1453)</f>
        <v>769</v>
      </c>
      <c r="K1454"/>
      <c r="L1454" s="20">
        <v>1</v>
      </c>
      <c r="M1454" s="25" t="s">
        <v>28</v>
      </c>
      <c r="N1454" s="26"/>
    </row>
    <row r="1455" spans="1:15">
      <c r="A1455" s="31" t="s">
        <v>7</v>
      </c>
      <c r="B1455" s="32" t="s">
        <v>15</v>
      </c>
      <c r="C1455" s="33"/>
      <c r="D1455" s="33"/>
      <c r="E1455" s="33"/>
      <c r="F1455" s="33"/>
      <c r="G1455" s="77"/>
      <c r="H1455" s="77"/>
      <c r="I1455" s="33"/>
      <c r="J1455" s="34"/>
      <c r="K1455"/>
      <c r="L1455" s="20">
        <v>1</v>
      </c>
      <c r="M1455" s="25" t="s">
        <v>30</v>
      </c>
    </row>
    <row r="1456" spans="1:15">
      <c r="A1456" s="31" t="s">
        <v>7</v>
      </c>
      <c r="B1456" s="32" t="s">
        <v>8</v>
      </c>
      <c r="C1456" s="33"/>
      <c r="D1456" s="33"/>
      <c r="E1456" s="33"/>
      <c r="F1456" s="33"/>
      <c r="G1456" s="77">
        <v>4</v>
      </c>
      <c r="H1456" s="77">
        <v>28</v>
      </c>
      <c r="I1456" s="33"/>
      <c r="J1456" s="34">
        <f>G1456+H1456</f>
        <v>32</v>
      </c>
      <c r="K1456"/>
      <c r="L1456" s="35">
        <f>SUM(L1450:L1455)</f>
        <v>277</v>
      </c>
      <c r="M1456" s="21"/>
    </row>
    <row r="1457" spans="1:12" ht="13.5" thickBot="1">
      <c r="A1457" s="27" t="s">
        <v>31</v>
      </c>
      <c r="B1457" s="28"/>
      <c r="C1457" s="29"/>
      <c r="D1457" s="29"/>
      <c r="E1457" s="29"/>
      <c r="F1457" s="29"/>
      <c r="G1457" s="29">
        <f>SUM(G1455:G1456)</f>
        <v>4</v>
      </c>
      <c r="H1457" s="29">
        <f>SUM(H1455:H1456)</f>
        <v>28</v>
      </c>
      <c r="I1457" s="29"/>
      <c r="J1457" s="30">
        <f>SUM(J1455:J1456)</f>
        <v>32</v>
      </c>
      <c r="K1457"/>
    </row>
    <row r="1458" spans="1:12">
      <c r="A1458" s="31" t="s">
        <v>105</v>
      </c>
      <c r="B1458" s="32" t="s">
        <v>8</v>
      </c>
      <c r="C1458" s="33"/>
      <c r="D1458" s="33"/>
      <c r="E1458" s="33"/>
      <c r="F1458" s="33"/>
      <c r="G1458" s="77">
        <v>5</v>
      </c>
      <c r="H1458" s="77">
        <v>9</v>
      </c>
      <c r="I1458" s="33"/>
      <c r="J1458" s="34">
        <f>G1458+H1458</f>
        <v>14</v>
      </c>
      <c r="K1458"/>
    </row>
    <row r="1459" spans="1:12" ht="13.5" thickBot="1">
      <c r="A1459" s="27" t="s">
        <v>106</v>
      </c>
      <c r="B1459" s="28"/>
      <c r="C1459" s="29"/>
      <c r="D1459" s="29"/>
      <c r="E1459" s="29"/>
      <c r="F1459" s="29"/>
      <c r="G1459" s="29">
        <f>SUM(G1458:G1458)</f>
        <v>5</v>
      </c>
      <c r="H1459" s="29">
        <f>SUM(H1458:H1458)</f>
        <v>9</v>
      </c>
      <c r="I1459" s="29"/>
      <c r="J1459" s="30">
        <f>SUM(J1458:J1458)</f>
        <v>14</v>
      </c>
      <c r="K1459"/>
    </row>
    <row r="1460" spans="1:12">
      <c r="A1460" s="22" t="s">
        <v>108</v>
      </c>
      <c r="B1460" s="32" t="s">
        <v>10</v>
      </c>
      <c r="C1460" s="6"/>
      <c r="D1460" s="6"/>
      <c r="E1460" s="6"/>
      <c r="F1460" s="6"/>
      <c r="G1460" s="76"/>
      <c r="H1460" s="76"/>
      <c r="I1460" s="6"/>
      <c r="J1460" s="24">
        <f>H1460</f>
        <v>0</v>
      </c>
      <c r="K1460"/>
    </row>
    <row r="1461" spans="1:12">
      <c r="A1461" s="22" t="s">
        <v>32</v>
      </c>
      <c r="B1461" s="32" t="s">
        <v>33</v>
      </c>
      <c r="C1461" s="6">
        <v>5</v>
      </c>
      <c r="D1461" s="6"/>
      <c r="E1461" s="6"/>
      <c r="F1461" s="6"/>
      <c r="G1461" s="76"/>
      <c r="H1461" s="76"/>
      <c r="I1461" s="6"/>
      <c r="J1461" s="24">
        <f>C1461</f>
        <v>5</v>
      </c>
      <c r="K1461"/>
    </row>
    <row r="1462" spans="1:12" ht="13.5" thickBot="1">
      <c r="A1462" s="36" t="s">
        <v>34</v>
      </c>
      <c r="B1462" s="37"/>
      <c r="C1462" s="29">
        <f>SUM(C1460:C1461)</f>
        <v>5</v>
      </c>
      <c r="D1462" s="29"/>
      <c r="E1462" s="29"/>
      <c r="F1462" s="29"/>
      <c r="G1462" s="29"/>
      <c r="H1462" s="29">
        <f>SUM(H1460:H1461)</f>
        <v>0</v>
      </c>
      <c r="I1462" s="29"/>
      <c r="J1462" s="30">
        <f>SUM(J1460:J1461)</f>
        <v>5</v>
      </c>
      <c r="K1462"/>
    </row>
    <row r="1463" spans="1:12" ht="17.25" customHeight="1" thickBot="1">
      <c r="A1463" s="78" t="s">
        <v>35</v>
      </c>
      <c r="B1463" s="79"/>
      <c r="C1463" s="80">
        <f>C1454+C1457+C1459+C1462</f>
        <v>5</v>
      </c>
      <c r="D1463" s="80">
        <f>D1454+D1457+D1459+D1462</f>
        <v>25</v>
      </c>
      <c r="E1463" s="80">
        <f>E1454+E1457+E1459+E1462</f>
        <v>277</v>
      </c>
      <c r="F1463" s="80"/>
      <c r="G1463" s="80">
        <f>G1454+G1457+G1459+G1462</f>
        <v>88</v>
      </c>
      <c r="H1463" s="80">
        <f>H1454+H1457+H1459+H1462</f>
        <v>425</v>
      </c>
      <c r="I1463" s="80">
        <f>I1454+I1457+I1459+I1462</f>
        <v>0</v>
      </c>
      <c r="J1463" s="80">
        <f>J1454+J1457+J1459+J1462</f>
        <v>820</v>
      </c>
      <c r="K1463"/>
    </row>
    <row r="1464" spans="1:12">
      <c r="B1464" s="38" t="s">
        <v>36</v>
      </c>
      <c r="C1464" s="39"/>
      <c r="L1464" s="26" t="s">
        <v>2629</v>
      </c>
    </row>
    <row r="1465" spans="1:12">
      <c r="A1465" s="7" t="s">
        <v>37</v>
      </c>
      <c r="B1465" s="8">
        <f>D1454+D1457+D1459+D1462</f>
        <v>25</v>
      </c>
      <c r="C1465" s="6"/>
    </row>
    <row r="1466" spans="1:12">
      <c r="A1466" s="7" t="s">
        <v>38</v>
      </c>
      <c r="B1466" s="8">
        <f>E1463+F1463</f>
        <v>277</v>
      </c>
      <c r="C1466" s="6"/>
    </row>
    <row r="1467" spans="1:12">
      <c r="A1467" s="7" t="s">
        <v>39</v>
      </c>
      <c r="B1467" s="8">
        <f>J1450</f>
        <v>85</v>
      </c>
      <c r="C1467" s="6"/>
    </row>
    <row r="1468" spans="1:12">
      <c r="A1468" s="7" t="s">
        <v>40</v>
      </c>
      <c r="B1468" s="8">
        <f>J1451+J1456+J1458</f>
        <v>375</v>
      </c>
      <c r="C1468" s="6"/>
    </row>
    <row r="1469" spans="1:12">
      <c r="A1469" s="7" t="s">
        <v>41</v>
      </c>
      <c r="B1469" s="8">
        <f>J1452</f>
        <v>4</v>
      </c>
      <c r="C1469" s="6"/>
    </row>
    <row r="1470" spans="1:12">
      <c r="A1470" s="7" t="s">
        <v>42</v>
      </c>
      <c r="B1470" s="8">
        <f>J1453</f>
        <v>49</v>
      </c>
      <c r="C1470" s="6"/>
    </row>
    <row r="1471" spans="1:12">
      <c r="A1471" s="7" t="s">
        <v>43</v>
      </c>
      <c r="B1471" s="8">
        <f>J1460</f>
        <v>0</v>
      </c>
      <c r="C1471" s="6"/>
    </row>
    <row r="1472" spans="1:12">
      <c r="A1472" s="7" t="s">
        <v>44</v>
      </c>
      <c r="B1472" s="8">
        <f>J1461</f>
        <v>5</v>
      </c>
      <c r="C1472" s="6"/>
    </row>
    <row r="1473" spans="1:15">
      <c r="A1473" s="7"/>
      <c r="B1473" s="81">
        <f>SUM(B1465:B1472)</f>
        <v>820</v>
      </c>
      <c r="C1473" s="6"/>
    </row>
    <row r="1474" spans="1:15" ht="13.5" thickBot="1"/>
    <row r="1475" spans="1:15" ht="18" customHeight="1" thickBot="1">
      <c r="A1475" s="85" t="s">
        <v>2630</v>
      </c>
      <c r="B1475" s="9"/>
    </row>
    <row r="1476" spans="1:15" ht="15.6" customHeight="1" thickBot="1">
      <c r="A1476" s="11" t="s">
        <v>17</v>
      </c>
      <c r="B1476" s="12" t="s">
        <v>18</v>
      </c>
      <c r="C1476" s="13" t="s">
        <v>16</v>
      </c>
      <c r="D1476" s="14" t="s">
        <v>15</v>
      </c>
      <c r="E1476" s="14" t="s">
        <v>6</v>
      </c>
      <c r="F1476" s="14" t="s">
        <v>19</v>
      </c>
      <c r="G1476" s="74" t="s">
        <v>20</v>
      </c>
      <c r="H1476" s="74" t="s">
        <v>21</v>
      </c>
      <c r="I1476" s="14" t="s">
        <v>22</v>
      </c>
      <c r="J1476" s="15" t="s">
        <v>9</v>
      </c>
      <c r="K1476"/>
    </row>
    <row r="1477" spans="1:15">
      <c r="A1477" s="16" t="s">
        <v>0</v>
      </c>
      <c r="B1477" s="17" t="s">
        <v>15</v>
      </c>
      <c r="C1477" s="18"/>
      <c r="D1477" s="18">
        <v>25</v>
      </c>
      <c r="E1477" s="18"/>
      <c r="F1477" s="18"/>
      <c r="G1477" s="75"/>
      <c r="H1477" s="75"/>
      <c r="I1477" s="18"/>
      <c r="J1477" s="19">
        <f>D1477</f>
        <v>25</v>
      </c>
      <c r="K1477"/>
    </row>
    <row r="1478" spans="1:15">
      <c r="A1478" s="22" t="s">
        <v>0</v>
      </c>
      <c r="B1478" s="23" t="s">
        <v>6</v>
      </c>
      <c r="C1478" s="6"/>
      <c r="D1478" s="6"/>
      <c r="E1478" s="6">
        <v>278</v>
      </c>
      <c r="F1478" s="6"/>
      <c r="G1478" s="76"/>
      <c r="H1478" s="76"/>
      <c r="I1478" s="6"/>
      <c r="J1478" s="24">
        <f>E1478+F1478</f>
        <v>278</v>
      </c>
      <c r="K1478"/>
      <c r="L1478" s="20" t="s">
        <v>23</v>
      </c>
      <c r="M1478" s="21" t="s">
        <v>109</v>
      </c>
      <c r="N1478" s="84"/>
      <c r="O1478" s="26"/>
    </row>
    <row r="1479" spans="1:15">
      <c r="A1479" s="22" t="s">
        <v>0</v>
      </c>
      <c r="B1479" s="23" t="s">
        <v>13</v>
      </c>
      <c r="C1479" s="6"/>
      <c r="D1479" s="6"/>
      <c r="E1479" s="6"/>
      <c r="F1479" s="6"/>
      <c r="G1479" s="76">
        <v>1</v>
      </c>
      <c r="H1479" s="76">
        <v>85</v>
      </c>
      <c r="I1479" s="6">
        <v>2</v>
      </c>
      <c r="J1479" s="24">
        <f>G1479+H1479+I1479</f>
        <v>88</v>
      </c>
      <c r="K1479"/>
      <c r="L1479" s="20">
        <v>194</v>
      </c>
      <c r="M1479" s="25" t="s">
        <v>24</v>
      </c>
    </row>
    <row r="1480" spans="1:15">
      <c r="A1480" s="22" t="s">
        <v>0</v>
      </c>
      <c r="B1480" s="23" t="s">
        <v>8</v>
      </c>
      <c r="C1480" s="6"/>
      <c r="D1480" s="6"/>
      <c r="E1480" s="6"/>
      <c r="F1480" s="6"/>
      <c r="G1480" s="76">
        <v>74</v>
      </c>
      <c r="H1480" s="76">
        <v>257</v>
      </c>
      <c r="I1480" s="6"/>
      <c r="J1480" s="24">
        <f>G1480+H1480+I1480</f>
        <v>331</v>
      </c>
      <c r="K1480"/>
      <c r="L1480" s="20">
        <v>44</v>
      </c>
      <c r="M1480" s="25" t="s">
        <v>25</v>
      </c>
    </row>
    <row r="1481" spans="1:15">
      <c r="A1481" s="22" t="s">
        <v>0</v>
      </c>
      <c r="B1481" s="23" t="s">
        <v>12</v>
      </c>
      <c r="C1481" s="6"/>
      <c r="D1481" s="6"/>
      <c r="E1481" s="6"/>
      <c r="F1481" s="6"/>
      <c r="G1481" s="76"/>
      <c r="H1481" s="76">
        <v>4</v>
      </c>
      <c r="I1481" s="6"/>
      <c r="J1481" s="24">
        <f>H1481</f>
        <v>4</v>
      </c>
      <c r="K1481"/>
      <c r="L1481" s="20">
        <v>36</v>
      </c>
      <c r="M1481" s="25" t="s">
        <v>26</v>
      </c>
    </row>
    <row r="1482" spans="1:15">
      <c r="A1482" s="22" t="s">
        <v>0</v>
      </c>
      <c r="B1482" s="23" t="s">
        <v>14</v>
      </c>
      <c r="C1482" s="6"/>
      <c r="D1482" s="6"/>
      <c r="E1482" s="6"/>
      <c r="F1482" s="6"/>
      <c r="G1482" s="76">
        <v>5</v>
      </c>
      <c r="H1482" s="76">
        <v>44</v>
      </c>
      <c r="I1482" s="6"/>
      <c r="J1482" s="24">
        <f>G1482+H1482</f>
        <v>49</v>
      </c>
      <c r="K1482"/>
      <c r="L1482" s="20">
        <v>2</v>
      </c>
      <c r="M1482" s="25" t="s">
        <v>27</v>
      </c>
    </row>
    <row r="1483" spans="1:15" ht="13.5" thickBot="1">
      <c r="A1483" s="27" t="s">
        <v>29</v>
      </c>
      <c r="B1483" s="28"/>
      <c r="C1483" s="29"/>
      <c r="D1483" s="29">
        <f>SUM(D1477:D1482)</f>
        <v>25</v>
      </c>
      <c r="E1483" s="29">
        <f>SUM(E1477:E1482)</f>
        <v>278</v>
      </c>
      <c r="F1483" s="29"/>
      <c r="G1483" s="29">
        <f>SUM(G1477:G1482)</f>
        <v>80</v>
      </c>
      <c r="H1483" s="29">
        <f>SUM(H1477:H1482)</f>
        <v>390</v>
      </c>
      <c r="I1483" s="29">
        <f>SUM(I1477:I1482)</f>
        <v>2</v>
      </c>
      <c r="J1483" s="30">
        <f>SUM(J1477:J1482)</f>
        <v>775</v>
      </c>
      <c r="K1483"/>
      <c r="L1483" s="20">
        <v>1</v>
      </c>
      <c r="M1483" s="25" t="s">
        <v>28</v>
      </c>
      <c r="N1483" s="26"/>
    </row>
    <row r="1484" spans="1:15">
      <c r="A1484" s="31" t="s">
        <v>7</v>
      </c>
      <c r="B1484" s="32" t="s">
        <v>15</v>
      </c>
      <c r="C1484" s="33"/>
      <c r="D1484" s="33"/>
      <c r="E1484" s="33"/>
      <c r="F1484" s="33"/>
      <c r="G1484" s="77"/>
      <c r="H1484" s="77"/>
      <c r="I1484" s="33"/>
      <c r="J1484" s="34"/>
      <c r="K1484"/>
      <c r="L1484" s="20">
        <v>1</v>
      </c>
      <c r="M1484" s="25" t="s">
        <v>30</v>
      </c>
    </row>
    <row r="1485" spans="1:15">
      <c r="A1485" s="31" t="s">
        <v>7</v>
      </c>
      <c r="B1485" s="32" t="s">
        <v>8</v>
      </c>
      <c r="C1485" s="33"/>
      <c r="D1485" s="33"/>
      <c r="E1485" s="33"/>
      <c r="F1485" s="33"/>
      <c r="G1485" s="77">
        <v>4</v>
      </c>
      <c r="H1485" s="77">
        <v>28</v>
      </c>
      <c r="I1485" s="33"/>
      <c r="J1485" s="34">
        <f>G1485+H1485</f>
        <v>32</v>
      </c>
      <c r="K1485"/>
      <c r="L1485" s="35">
        <f>SUM(L1479:L1484)</f>
        <v>278</v>
      </c>
      <c r="M1485" s="21"/>
    </row>
    <row r="1486" spans="1:15" ht="13.5" thickBot="1">
      <c r="A1486" s="27" t="s">
        <v>31</v>
      </c>
      <c r="B1486" s="28"/>
      <c r="C1486" s="29"/>
      <c r="D1486" s="29"/>
      <c r="E1486" s="29"/>
      <c r="F1486" s="29"/>
      <c r="G1486" s="29">
        <f>SUM(G1484:G1485)</f>
        <v>4</v>
      </c>
      <c r="H1486" s="29">
        <f>SUM(H1484:H1485)</f>
        <v>28</v>
      </c>
      <c r="I1486" s="29"/>
      <c r="J1486" s="30">
        <f>SUM(J1484:J1485)</f>
        <v>32</v>
      </c>
      <c r="K1486"/>
    </row>
    <row r="1487" spans="1:15">
      <c r="A1487" s="31" t="s">
        <v>105</v>
      </c>
      <c r="B1487" s="32" t="s">
        <v>8</v>
      </c>
      <c r="C1487" s="33"/>
      <c r="D1487" s="33"/>
      <c r="E1487" s="33"/>
      <c r="F1487" s="33"/>
      <c r="G1487" s="77">
        <v>5</v>
      </c>
      <c r="H1487" s="77">
        <v>9</v>
      </c>
      <c r="I1487" s="33"/>
      <c r="J1487" s="34">
        <f>G1487+H1487</f>
        <v>14</v>
      </c>
      <c r="K1487"/>
    </row>
    <row r="1488" spans="1:15" ht="13.5" thickBot="1">
      <c r="A1488" s="27" t="s">
        <v>106</v>
      </c>
      <c r="B1488" s="28"/>
      <c r="C1488" s="29"/>
      <c r="D1488" s="29"/>
      <c r="E1488" s="29"/>
      <c r="F1488" s="29"/>
      <c r="G1488" s="29">
        <f>SUM(G1487:G1487)</f>
        <v>5</v>
      </c>
      <c r="H1488" s="29">
        <f>SUM(H1487:H1487)</f>
        <v>9</v>
      </c>
      <c r="I1488" s="29"/>
      <c r="J1488" s="30">
        <f>SUM(J1487:J1487)</f>
        <v>14</v>
      </c>
      <c r="K1488"/>
    </row>
    <row r="1489" spans="1:11">
      <c r="A1489" s="22" t="s">
        <v>108</v>
      </c>
      <c r="B1489" s="32" t="s">
        <v>10</v>
      </c>
      <c r="C1489" s="6"/>
      <c r="D1489" s="6"/>
      <c r="E1489" s="6"/>
      <c r="F1489" s="6"/>
      <c r="G1489" s="76"/>
      <c r="H1489" s="76"/>
      <c r="I1489" s="6"/>
      <c r="J1489" s="24">
        <f>H1489</f>
        <v>0</v>
      </c>
      <c r="K1489"/>
    </row>
    <row r="1490" spans="1:11">
      <c r="A1490" s="22" t="s">
        <v>32</v>
      </c>
      <c r="B1490" s="32" t="s">
        <v>33</v>
      </c>
      <c r="C1490" s="6">
        <v>5</v>
      </c>
      <c r="D1490" s="6"/>
      <c r="E1490" s="6"/>
      <c r="F1490" s="6"/>
      <c r="G1490" s="76"/>
      <c r="H1490" s="76"/>
      <c r="I1490" s="6"/>
      <c r="J1490" s="24">
        <f>C1490</f>
        <v>5</v>
      </c>
      <c r="K1490"/>
    </row>
    <row r="1491" spans="1:11" ht="13.5" thickBot="1">
      <c r="A1491" s="36" t="s">
        <v>34</v>
      </c>
      <c r="B1491" s="37"/>
      <c r="C1491" s="29">
        <f>SUM(C1489:C1490)</f>
        <v>5</v>
      </c>
      <c r="D1491" s="29"/>
      <c r="E1491" s="29"/>
      <c r="F1491" s="29"/>
      <c r="G1491" s="29"/>
      <c r="H1491" s="29">
        <f>SUM(H1489:H1490)</f>
        <v>0</v>
      </c>
      <c r="I1491" s="29"/>
      <c r="J1491" s="30">
        <f>SUM(J1489:J1490)</f>
        <v>5</v>
      </c>
      <c r="K1491"/>
    </row>
    <row r="1492" spans="1:11" ht="17.25" customHeight="1" thickBot="1">
      <c r="A1492" s="78" t="s">
        <v>35</v>
      </c>
      <c r="B1492" s="79"/>
      <c r="C1492" s="80">
        <f>C1483+C1486+C1488+C1491</f>
        <v>5</v>
      </c>
      <c r="D1492" s="80">
        <f>D1483+D1486+D1488+D1491</f>
        <v>25</v>
      </c>
      <c r="E1492" s="80">
        <f>E1483+E1486+E1488+E1491</f>
        <v>278</v>
      </c>
      <c r="F1492" s="80"/>
      <c r="G1492" s="80">
        <f>G1483+G1486+G1488+G1491</f>
        <v>89</v>
      </c>
      <c r="H1492" s="80">
        <f>H1483+H1486+H1488+H1491</f>
        <v>427</v>
      </c>
      <c r="I1492" s="80">
        <f>I1483+I1486+I1488+I1491</f>
        <v>2</v>
      </c>
      <c r="J1492" s="80">
        <f>J1483+J1486+J1488+J1491</f>
        <v>826</v>
      </c>
      <c r="K1492"/>
    </row>
    <row r="1493" spans="1:11">
      <c r="B1493" s="38" t="s">
        <v>36</v>
      </c>
      <c r="C1493" s="39"/>
    </row>
    <row r="1494" spans="1:11">
      <c r="A1494" s="7" t="s">
        <v>37</v>
      </c>
      <c r="B1494" s="8">
        <f>D1483+D1486+D1488+D1491</f>
        <v>25</v>
      </c>
      <c r="C1494" s="6"/>
    </row>
    <row r="1495" spans="1:11">
      <c r="A1495" s="7" t="s">
        <v>38</v>
      </c>
      <c r="B1495" s="8">
        <f>E1492+F1492</f>
        <v>278</v>
      </c>
      <c r="C1495" s="6"/>
    </row>
    <row r="1496" spans="1:11">
      <c r="A1496" s="7" t="s">
        <v>39</v>
      </c>
      <c r="B1496" s="8">
        <f>J1479</f>
        <v>88</v>
      </c>
      <c r="C1496" s="6"/>
    </row>
    <row r="1497" spans="1:11">
      <c r="A1497" s="7" t="s">
        <v>40</v>
      </c>
      <c r="B1497" s="8">
        <f>J1480+J1485+J1487</f>
        <v>377</v>
      </c>
      <c r="C1497" s="6"/>
    </row>
    <row r="1498" spans="1:11">
      <c r="A1498" s="7" t="s">
        <v>41</v>
      </c>
      <c r="B1498" s="8">
        <f>J1481</f>
        <v>4</v>
      </c>
      <c r="C1498" s="6"/>
    </row>
    <row r="1499" spans="1:11">
      <c r="A1499" s="7" t="s">
        <v>42</v>
      </c>
      <c r="B1499" s="8">
        <f>J1482</f>
        <v>49</v>
      </c>
      <c r="C1499" s="6"/>
    </row>
    <row r="1500" spans="1:11">
      <c r="A1500" s="7" t="s">
        <v>43</v>
      </c>
      <c r="B1500" s="8">
        <f>J1489</f>
        <v>0</v>
      </c>
      <c r="C1500" s="6"/>
    </row>
    <row r="1501" spans="1:11">
      <c r="A1501" s="7" t="s">
        <v>44</v>
      </c>
      <c r="B1501" s="8">
        <f>J1490</f>
        <v>5</v>
      </c>
      <c r="C1501" s="6"/>
    </row>
    <row r="1502" spans="1:11">
      <c r="A1502" s="7"/>
      <c r="B1502" s="81">
        <f>SUM(B1494:B1501)</f>
        <v>826</v>
      </c>
      <c r="C1502" s="6"/>
    </row>
    <row r="1503" spans="1:11" ht="13.5" thickBot="1"/>
    <row r="1504" spans="1:11" ht="18" customHeight="1" thickBot="1">
      <c r="A1504" s="82" t="s">
        <v>2631</v>
      </c>
      <c r="B1504" s="9"/>
    </row>
    <row r="1505" spans="1:15" ht="15.6" customHeight="1" thickBot="1">
      <c r="A1505" s="11" t="s">
        <v>17</v>
      </c>
      <c r="B1505" s="12" t="s">
        <v>18</v>
      </c>
      <c r="C1505" s="13" t="s">
        <v>16</v>
      </c>
      <c r="D1505" s="14" t="s">
        <v>15</v>
      </c>
      <c r="E1505" s="14" t="s">
        <v>6</v>
      </c>
      <c r="F1505" s="14" t="s">
        <v>19</v>
      </c>
      <c r="G1505" s="74" t="s">
        <v>20</v>
      </c>
      <c r="H1505" s="74" t="s">
        <v>21</v>
      </c>
      <c r="I1505" s="14" t="s">
        <v>22</v>
      </c>
      <c r="J1505" s="15" t="s">
        <v>9</v>
      </c>
      <c r="K1505"/>
    </row>
    <row r="1506" spans="1:15">
      <c r="A1506" s="16" t="s">
        <v>0</v>
      </c>
      <c r="B1506" s="17" t="s">
        <v>15</v>
      </c>
      <c r="C1506" s="18"/>
      <c r="D1506" s="18">
        <v>25</v>
      </c>
      <c r="E1506" s="18"/>
      <c r="F1506" s="18"/>
      <c r="G1506" s="75"/>
      <c r="H1506" s="75"/>
      <c r="I1506" s="18"/>
      <c r="J1506" s="19">
        <f>D1506</f>
        <v>25</v>
      </c>
      <c r="K1506"/>
    </row>
    <row r="1507" spans="1:15">
      <c r="A1507" s="22" t="s">
        <v>0</v>
      </c>
      <c r="B1507" s="23" t="s">
        <v>6</v>
      </c>
      <c r="C1507" s="6"/>
      <c r="D1507" s="6"/>
      <c r="E1507" s="6">
        <v>278</v>
      </c>
      <c r="F1507" s="6"/>
      <c r="G1507" s="76"/>
      <c r="H1507" s="76"/>
      <c r="I1507" s="6"/>
      <c r="J1507" s="24">
        <f>E1507+F1507</f>
        <v>278</v>
      </c>
      <c r="K1507"/>
      <c r="L1507" s="20" t="s">
        <v>23</v>
      </c>
      <c r="M1507" s="21" t="s">
        <v>109</v>
      </c>
      <c r="N1507" s="84"/>
      <c r="O1507" s="26"/>
    </row>
    <row r="1508" spans="1:15">
      <c r="A1508" s="22" t="s">
        <v>0</v>
      </c>
      <c r="B1508" s="23" t="s">
        <v>13</v>
      </c>
      <c r="C1508" s="6"/>
      <c r="D1508" s="6"/>
      <c r="E1508" s="6"/>
      <c r="F1508" s="6"/>
      <c r="G1508" s="76">
        <v>1</v>
      </c>
      <c r="H1508" s="76">
        <v>85</v>
      </c>
      <c r="I1508" s="6">
        <v>2</v>
      </c>
      <c r="J1508" s="24">
        <f>G1508+H1508+I1508</f>
        <v>88</v>
      </c>
      <c r="K1508"/>
      <c r="L1508" s="20">
        <v>194</v>
      </c>
      <c r="M1508" s="25" t="s">
        <v>24</v>
      </c>
    </row>
    <row r="1509" spans="1:15">
      <c r="A1509" s="22" t="s">
        <v>0</v>
      </c>
      <c r="B1509" s="23" t="s">
        <v>8</v>
      </c>
      <c r="C1509" s="6"/>
      <c r="D1509" s="6"/>
      <c r="E1509" s="6"/>
      <c r="F1509" s="6"/>
      <c r="G1509" s="76">
        <v>73</v>
      </c>
      <c r="H1509" s="76">
        <v>255</v>
      </c>
      <c r="I1509" s="6"/>
      <c r="J1509" s="24">
        <f>G1509+H1509+I1509</f>
        <v>328</v>
      </c>
      <c r="K1509"/>
      <c r="L1509" s="20">
        <v>44</v>
      </c>
      <c r="M1509" s="25" t="s">
        <v>25</v>
      </c>
    </row>
    <row r="1510" spans="1:15">
      <c r="A1510" s="22" t="s">
        <v>0</v>
      </c>
      <c r="B1510" s="23" t="s">
        <v>12</v>
      </c>
      <c r="C1510" s="6"/>
      <c r="D1510" s="6"/>
      <c r="E1510" s="6"/>
      <c r="F1510" s="6"/>
      <c r="G1510" s="76"/>
      <c r="H1510" s="76">
        <v>4</v>
      </c>
      <c r="I1510" s="6"/>
      <c r="J1510" s="24">
        <f>H1510</f>
        <v>4</v>
      </c>
      <c r="K1510"/>
      <c r="L1510" s="20">
        <v>36</v>
      </c>
      <c r="M1510" s="25" t="s">
        <v>26</v>
      </c>
    </row>
    <row r="1511" spans="1:15">
      <c r="A1511" s="22" t="s">
        <v>0</v>
      </c>
      <c r="B1511" s="23" t="s">
        <v>14</v>
      </c>
      <c r="C1511" s="6"/>
      <c r="D1511" s="6"/>
      <c r="E1511" s="6"/>
      <c r="F1511" s="6"/>
      <c r="G1511" s="76">
        <v>5</v>
      </c>
      <c r="H1511" s="76">
        <v>44</v>
      </c>
      <c r="I1511" s="6"/>
      <c r="J1511" s="24">
        <f>G1511+H1511</f>
        <v>49</v>
      </c>
      <c r="K1511"/>
      <c r="L1511" s="20">
        <v>2</v>
      </c>
      <c r="M1511" s="25" t="s">
        <v>27</v>
      </c>
    </row>
    <row r="1512" spans="1:15" ht="13.5" thickBot="1">
      <c r="A1512" s="27" t="s">
        <v>29</v>
      </c>
      <c r="B1512" s="28"/>
      <c r="C1512" s="29"/>
      <c r="D1512" s="29">
        <f>SUM(D1506:D1511)</f>
        <v>25</v>
      </c>
      <c r="E1512" s="29">
        <f>SUM(E1506:E1511)</f>
        <v>278</v>
      </c>
      <c r="F1512" s="29"/>
      <c r="G1512" s="29">
        <f>SUM(G1506:G1511)</f>
        <v>79</v>
      </c>
      <c r="H1512" s="29">
        <f>SUM(H1506:H1511)</f>
        <v>388</v>
      </c>
      <c r="I1512" s="29">
        <f>SUM(I1506:I1511)</f>
        <v>2</v>
      </c>
      <c r="J1512" s="30">
        <f>SUM(J1506:J1511)</f>
        <v>772</v>
      </c>
      <c r="K1512"/>
      <c r="L1512" s="20">
        <v>1</v>
      </c>
      <c r="M1512" s="25" t="s">
        <v>28</v>
      </c>
      <c r="N1512" s="26"/>
    </row>
    <row r="1513" spans="1:15">
      <c r="A1513" s="31" t="s">
        <v>7</v>
      </c>
      <c r="B1513" s="32" t="s">
        <v>15</v>
      </c>
      <c r="C1513" s="33"/>
      <c r="D1513" s="33"/>
      <c r="E1513" s="33"/>
      <c r="F1513" s="33"/>
      <c r="G1513" s="77"/>
      <c r="H1513" s="77"/>
      <c r="I1513" s="33"/>
      <c r="J1513" s="34"/>
      <c r="K1513"/>
      <c r="L1513" s="20">
        <v>1</v>
      </c>
      <c r="M1513" s="25" t="s">
        <v>30</v>
      </c>
    </row>
    <row r="1514" spans="1:15">
      <c r="A1514" s="31" t="s">
        <v>7</v>
      </c>
      <c r="B1514" s="32" t="s">
        <v>8</v>
      </c>
      <c r="C1514" s="33"/>
      <c r="D1514" s="33"/>
      <c r="E1514" s="33"/>
      <c r="F1514" s="33"/>
      <c r="G1514" s="77">
        <v>4</v>
      </c>
      <c r="H1514" s="77">
        <v>27</v>
      </c>
      <c r="I1514" s="33"/>
      <c r="J1514" s="34">
        <f>G1514+H1514</f>
        <v>31</v>
      </c>
      <c r="K1514"/>
      <c r="L1514" s="35">
        <f>SUM(L1508:L1513)</f>
        <v>278</v>
      </c>
      <c r="M1514" s="21"/>
    </row>
    <row r="1515" spans="1:15" ht="13.5" thickBot="1">
      <c r="A1515" s="27" t="s">
        <v>31</v>
      </c>
      <c r="B1515" s="28"/>
      <c r="C1515" s="29"/>
      <c r="D1515" s="29"/>
      <c r="E1515" s="29"/>
      <c r="F1515" s="29"/>
      <c r="G1515" s="29">
        <f>SUM(G1513:G1514)</f>
        <v>4</v>
      </c>
      <c r="H1515" s="29">
        <f>SUM(H1513:H1514)</f>
        <v>27</v>
      </c>
      <c r="I1515" s="29"/>
      <c r="J1515" s="30">
        <f>SUM(J1513:J1514)</f>
        <v>31</v>
      </c>
      <c r="K1515"/>
    </row>
    <row r="1516" spans="1:15">
      <c r="A1516" s="31" t="s">
        <v>105</v>
      </c>
      <c r="B1516" s="32" t="s">
        <v>8</v>
      </c>
      <c r="C1516" s="33"/>
      <c r="D1516" s="33"/>
      <c r="E1516" s="33"/>
      <c r="F1516" s="33"/>
      <c r="G1516" s="77">
        <v>5</v>
      </c>
      <c r="H1516" s="77">
        <v>8</v>
      </c>
      <c r="I1516" s="33"/>
      <c r="J1516" s="34">
        <f>G1516+H1516</f>
        <v>13</v>
      </c>
      <c r="K1516"/>
    </row>
    <row r="1517" spans="1:15" ht="13.5" thickBot="1">
      <c r="A1517" s="27" t="s">
        <v>106</v>
      </c>
      <c r="B1517" s="28"/>
      <c r="C1517" s="29"/>
      <c r="D1517" s="29"/>
      <c r="E1517" s="29"/>
      <c r="F1517" s="29"/>
      <c r="G1517" s="29">
        <f>SUM(G1516:G1516)</f>
        <v>5</v>
      </c>
      <c r="H1517" s="29">
        <f>SUM(H1516:H1516)</f>
        <v>8</v>
      </c>
      <c r="I1517" s="29"/>
      <c r="J1517" s="30">
        <f>SUM(J1516:J1516)</f>
        <v>13</v>
      </c>
      <c r="K1517"/>
    </row>
    <row r="1518" spans="1:15">
      <c r="A1518" s="22" t="s">
        <v>108</v>
      </c>
      <c r="B1518" s="32" t="s">
        <v>10</v>
      </c>
      <c r="C1518" s="6"/>
      <c r="D1518" s="6"/>
      <c r="E1518" s="6"/>
      <c r="F1518" s="6"/>
      <c r="G1518" s="76"/>
      <c r="H1518" s="76"/>
      <c r="I1518" s="6"/>
      <c r="J1518" s="24">
        <f>H1518</f>
        <v>0</v>
      </c>
      <c r="K1518"/>
    </row>
    <row r="1519" spans="1:15">
      <c r="A1519" s="22" t="s">
        <v>32</v>
      </c>
      <c r="B1519" s="32" t="s">
        <v>33</v>
      </c>
      <c r="C1519" s="6">
        <v>5</v>
      </c>
      <c r="D1519" s="6"/>
      <c r="E1519" s="6"/>
      <c r="F1519" s="6"/>
      <c r="G1519" s="76"/>
      <c r="H1519" s="76"/>
      <c r="I1519" s="6"/>
      <c r="J1519" s="24">
        <f>C1519</f>
        <v>5</v>
      </c>
      <c r="K1519"/>
    </row>
    <row r="1520" spans="1:15" ht="13.5" thickBot="1">
      <c r="A1520" s="36" t="s">
        <v>34</v>
      </c>
      <c r="B1520" s="37"/>
      <c r="C1520" s="29">
        <f>SUM(C1518:C1519)</f>
        <v>5</v>
      </c>
      <c r="D1520" s="29"/>
      <c r="E1520" s="29"/>
      <c r="F1520" s="29"/>
      <c r="G1520" s="29"/>
      <c r="H1520" s="29">
        <f>SUM(H1518:H1519)</f>
        <v>0</v>
      </c>
      <c r="I1520" s="29"/>
      <c r="J1520" s="30">
        <f>SUM(J1518:J1519)</f>
        <v>5</v>
      </c>
      <c r="K1520"/>
    </row>
    <row r="1521" spans="1:11" ht="17.25" customHeight="1" thickBot="1">
      <c r="A1521" s="78" t="s">
        <v>35</v>
      </c>
      <c r="B1521" s="79"/>
      <c r="C1521" s="80">
        <f>C1512+C1515+C1517+C1520</f>
        <v>5</v>
      </c>
      <c r="D1521" s="80">
        <f>D1512+D1515+D1517+D1520</f>
        <v>25</v>
      </c>
      <c r="E1521" s="80">
        <f>E1512+E1515+E1517+E1520</f>
        <v>278</v>
      </c>
      <c r="F1521" s="80"/>
      <c r="G1521" s="80">
        <f>G1512+G1515+G1517+G1520</f>
        <v>88</v>
      </c>
      <c r="H1521" s="80">
        <f>H1512+H1515+H1517+H1520</f>
        <v>423</v>
      </c>
      <c r="I1521" s="80">
        <f>I1512+I1515+I1517+I1520</f>
        <v>2</v>
      </c>
      <c r="J1521" s="80">
        <f>J1512+J1515+J1517+J1520</f>
        <v>821</v>
      </c>
      <c r="K1521"/>
    </row>
    <row r="1522" spans="1:11">
      <c r="B1522" s="38" t="s">
        <v>36</v>
      </c>
      <c r="C1522" s="39"/>
    </row>
    <row r="1523" spans="1:11">
      <c r="A1523" s="7" t="s">
        <v>37</v>
      </c>
      <c r="B1523" s="8">
        <f>D1512+D1515+D1517+D1520</f>
        <v>25</v>
      </c>
      <c r="C1523" s="6"/>
    </row>
    <row r="1524" spans="1:11">
      <c r="A1524" s="7" t="s">
        <v>38</v>
      </c>
      <c r="B1524" s="8">
        <f>E1521+F1521</f>
        <v>278</v>
      </c>
      <c r="C1524" s="6"/>
    </row>
    <row r="1525" spans="1:11">
      <c r="A1525" s="7" t="s">
        <v>39</v>
      </c>
      <c r="B1525" s="8">
        <f>J1508</f>
        <v>88</v>
      </c>
      <c r="C1525" s="6"/>
    </row>
    <row r="1526" spans="1:11">
      <c r="A1526" s="7" t="s">
        <v>40</v>
      </c>
      <c r="B1526" s="8">
        <f>J1509+J1514+J1516</f>
        <v>372</v>
      </c>
      <c r="C1526" s="6"/>
    </row>
    <row r="1527" spans="1:11">
      <c r="A1527" s="7" t="s">
        <v>41</v>
      </c>
      <c r="B1527" s="8">
        <f>J1510</f>
        <v>4</v>
      </c>
      <c r="C1527" s="6"/>
    </row>
    <row r="1528" spans="1:11">
      <c r="A1528" s="7" t="s">
        <v>42</v>
      </c>
      <c r="B1528" s="8">
        <f>J1511</f>
        <v>49</v>
      </c>
      <c r="C1528" s="6"/>
    </row>
    <row r="1529" spans="1:11">
      <c r="A1529" s="7" t="s">
        <v>43</v>
      </c>
      <c r="B1529" s="8">
        <f>J1518</f>
        <v>0</v>
      </c>
      <c r="C1529" s="6"/>
    </row>
    <row r="1530" spans="1:11">
      <c r="A1530" s="7" t="s">
        <v>44</v>
      </c>
      <c r="B1530" s="8">
        <f>J1519</f>
        <v>5</v>
      </c>
      <c r="C1530" s="6"/>
    </row>
    <row r="1531" spans="1:11">
      <c r="A1531" s="7"/>
      <c r="B1531" s="81">
        <f>SUM(B1523:B1530)</f>
        <v>821</v>
      </c>
      <c r="C1531" s="6"/>
    </row>
    <row r="1533" spans="1:11" ht="13.5" thickBot="1"/>
    <row r="1534" spans="1:11" ht="18" customHeight="1" thickBot="1">
      <c r="A1534" s="82" t="s">
        <v>2632</v>
      </c>
      <c r="B1534" s="9"/>
    </row>
    <row r="1535" spans="1:11" ht="15.6" customHeight="1" thickBot="1">
      <c r="A1535" s="11" t="s">
        <v>17</v>
      </c>
      <c r="B1535" s="12" t="s">
        <v>18</v>
      </c>
      <c r="C1535" s="13" t="s">
        <v>16</v>
      </c>
      <c r="D1535" s="14" t="s">
        <v>15</v>
      </c>
      <c r="E1535" s="14" t="s">
        <v>6</v>
      </c>
      <c r="F1535" s="14" t="s">
        <v>19</v>
      </c>
      <c r="G1535" s="74" t="s">
        <v>20</v>
      </c>
      <c r="H1535" s="74" t="s">
        <v>21</v>
      </c>
      <c r="I1535" s="14" t="s">
        <v>22</v>
      </c>
      <c r="J1535" s="15" t="s">
        <v>9</v>
      </c>
      <c r="K1535"/>
    </row>
    <row r="1536" spans="1:11">
      <c r="A1536" s="16" t="s">
        <v>0</v>
      </c>
      <c r="B1536" s="17" t="s">
        <v>15</v>
      </c>
      <c r="C1536" s="18"/>
      <c r="D1536" s="18">
        <v>25</v>
      </c>
      <c r="E1536" s="18"/>
      <c r="F1536" s="18"/>
      <c r="G1536" s="75"/>
      <c r="H1536" s="75"/>
      <c r="I1536" s="18"/>
      <c r="J1536" s="19">
        <f>D1536</f>
        <v>25</v>
      </c>
      <c r="K1536"/>
    </row>
    <row r="1537" spans="1:15">
      <c r="A1537" s="22" t="s">
        <v>0</v>
      </c>
      <c r="B1537" s="23" t="s">
        <v>6</v>
      </c>
      <c r="C1537" s="6"/>
      <c r="D1537" s="6"/>
      <c r="E1537" s="6">
        <v>278</v>
      </c>
      <c r="F1537" s="6"/>
      <c r="G1537" s="76"/>
      <c r="H1537" s="76"/>
      <c r="I1537" s="6"/>
      <c r="J1537" s="24">
        <f>E1537+F1537</f>
        <v>278</v>
      </c>
      <c r="K1537"/>
      <c r="L1537" s="20" t="s">
        <v>23</v>
      </c>
      <c r="M1537" s="21" t="s">
        <v>109</v>
      </c>
      <c r="N1537" s="84"/>
      <c r="O1537" s="26"/>
    </row>
    <row r="1538" spans="1:15">
      <c r="A1538" s="22" t="s">
        <v>0</v>
      </c>
      <c r="B1538" s="23" t="s">
        <v>13</v>
      </c>
      <c r="C1538" s="6"/>
      <c r="D1538" s="6"/>
      <c r="E1538" s="6"/>
      <c r="F1538" s="6"/>
      <c r="G1538" s="76">
        <v>1</v>
      </c>
      <c r="H1538" s="76">
        <v>86</v>
      </c>
      <c r="I1538" s="6">
        <v>2</v>
      </c>
      <c r="J1538" s="24">
        <f>G1538+H1538+I1538</f>
        <v>89</v>
      </c>
      <c r="K1538"/>
      <c r="L1538" s="20">
        <v>194</v>
      </c>
      <c r="M1538" s="25" t="s">
        <v>24</v>
      </c>
    </row>
    <row r="1539" spans="1:15">
      <c r="A1539" s="22" t="s">
        <v>0</v>
      </c>
      <c r="B1539" s="23" t="s">
        <v>8</v>
      </c>
      <c r="C1539" s="6"/>
      <c r="D1539" s="6"/>
      <c r="E1539" s="6"/>
      <c r="F1539" s="6"/>
      <c r="G1539" s="76">
        <v>73</v>
      </c>
      <c r="H1539" s="76">
        <v>257</v>
      </c>
      <c r="I1539" s="6"/>
      <c r="J1539" s="24">
        <f>G1539+H1539+I1539</f>
        <v>330</v>
      </c>
      <c r="K1539"/>
      <c r="L1539" s="20">
        <v>44</v>
      </c>
      <c r="M1539" s="25" t="s">
        <v>25</v>
      </c>
    </row>
    <row r="1540" spans="1:15">
      <c r="A1540" s="22" t="s">
        <v>0</v>
      </c>
      <c r="B1540" s="23" t="s">
        <v>12</v>
      </c>
      <c r="C1540" s="6"/>
      <c r="D1540" s="6"/>
      <c r="E1540" s="6"/>
      <c r="F1540" s="6"/>
      <c r="G1540" s="76"/>
      <c r="H1540" s="76">
        <v>4</v>
      </c>
      <c r="I1540" s="6"/>
      <c r="J1540" s="24">
        <f>H1540</f>
        <v>4</v>
      </c>
      <c r="K1540"/>
      <c r="L1540" s="20">
        <v>36</v>
      </c>
      <c r="M1540" s="25" t="s">
        <v>26</v>
      </c>
    </row>
    <row r="1541" spans="1:15">
      <c r="A1541" s="22" t="s">
        <v>0</v>
      </c>
      <c r="B1541" s="23" t="s">
        <v>14</v>
      </c>
      <c r="C1541" s="6"/>
      <c r="D1541" s="6"/>
      <c r="E1541" s="6"/>
      <c r="F1541" s="6"/>
      <c r="G1541" s="76">
        <v>5</v>
      </c>
      <c r="H1541" s="76">
        <v>45</v>
      </c>
      <c r="I1541" s="6"/>
      <c r="J1541" s="24">
        <f>G1541+H1541</f>
        <v>50</v>
      </c>
      <c r="K1541"/>
      <c r="L1541" s="20">
        <v>2</v>
      </c>
      <c r="M1541" s="25" t="s">
        <v>27</v>
      </c>
    </row>
    <row r="1542" spans="1:15" ht="13.5" thickBot="1">
      <c r="A1542" s="27" t="s">
        <v>29</v>
      </c>
      <c r="B1542" s="28"/>
      <c r="C1542" s="29"/>
      <c r="D1542" s="29">
        <f>SUM(D1536:D1541)</f>
        <v>25</v>
      </c>
      <c r="E1542" s="29">
        <f>SUM(E1536:E1541)</f>
        <v>278</v>
      </c>
      <c r="F1542" s="29"/>
      <c r="G1542" s="29">
        <f>SUM(G1536:G1541)</f>
        <v>79</v>
      </c>
      <c r="H1542" s="29">
        <f>SUM(H1536:H1541)</f>
        <v>392</v>
      </c>
      <c r="I1542" s="29">
        <f>SUM(I1536:I1541)</f>
        <v>2</v>
      </c>
      <c r="J1542" s="30">
        <f>SUM(J1536:J1541)</f>
        <v>776</v>
      </c>
      <c r="K1542"/>
      <c r="L1542" s="20">
        <v>1</v>
      </c>
      <c r="M1542" s="25" t="s">
        <v>28</v>
      </c>
      <c r="N1542" s="26"/>
    </row>
    <row r="1543" spans="1:15">
      <c r="A1543" s="31" t="s">
        <v>7</v>
      </c>
      <c r="B1543" s="32" t="s">
        <v>15</v>
      </c>
      <c r="C1543" s="33"/>
      <c r="D1543" s="33"/>
      <c r="E1543" s="33"/>
      <c r="F1543" s="33"/>
      <c r="G1543" s="77"/>
      <c r="H1543" s="77"/>
      <c r="I1543" s="33"/>
      <c r="J1543" s="34"/>
      <c r="K1543"/>
      <c r="L1543" s="20">
        <v>1</v>
      </c>
      <c r="M1543" s="25" t="s">
        <v>30</v>
      </c>
    </row>
    <row r="1544" spans="1:15">
      <c r="A1544" s="31" t="s">
        <v>7</v>
      </c>
      <c r="B1544" s="32" t="s">
        <v>8</v>
      </c>
      <c r="C1544" s="33"/>
      <c r="D1544" s="33"/>
      <c r="E1544" s="33"/>
      <c r="F1544" s="33"/>
      <c r="G1544" s="77">
        <v>4</v>
      </c>
      <c r="H1544" s="77">
        <v>27</v>
      </c>
      <c r="I1544" s="33"/>
      <c r="J1544" s="34">
        <f>G1544+H1544</f>
        <v>31</v>
      </c>
      <c r="K1544"/>
      <c r="L1544" s="35">
        <f>SUM(L1538:L1543)</f>
        <v>278</v>
      </c>
      <c r="M1544" s="21"/>
    </row>
    <row r="1545" spans="1:15" ht="13.5" thickBot="1">
      <c r="A1545" s="27" t="s">
        <v>31</v>
      </c>
      <c r="B1545" s="28"/>
      <c r="C1545" s="29"/>
      <c r="D1545" s="29"/>
      <c r="E1545" s="29"/>
      <c r="F1545" s="29"/>
      <c r="G1545" s="29">
        <f>SUM(G1543:G1544)</f>
        <v>4</v>
      </c>
      <c r="H1545" s="29">
        <f>SUM(H1543:H1544)</f>
        <v>27</v>
      </c>
      <c r="I1545" s="29"/>
      <c r="J1545" s="30">
        <f>SUM(J1543:J1544)</f>
        <v>31</v>
      </c>
      <c r="K1545"/>
    </row>
    <row r="1546" spans="1:15">
      <c r="A1546" s="31" t="s">
        <v>105</v>
      </c>
      <c r="B1546" s="32" t="s">
        <v>8</v>
      </c>
      <c r="C1546" s="33"/>
      <c r="D1546" s="33"/>
      <c r="E1546" s="33"/>
      <c r="F1546" s="33"/>
      <c r="G1546" s="77">
        <v>5</v>
      </c>
      <c r="H1546" s="77">
        <v>8</v>
      </c>
      <c r="I1546" s="33"/>
      <c r="J1546" s="34">
        <f>G1546+H1546</f>
        <v>13</v>
      </c>
      <c r="K1546"/>
    </row>
    <row r="1547" spans="1:15" ht="13.5" thickBot="1">
      <c r="A1547" s="27" t="s">
        <v>106</v>
      </c>
      <c r="B1547" s="28"/>
      <c r="C1547" s="29"/>
      <c r="D1547" s="29"/>
      <c r="E1547" s="29"/>
      <c r="F1547" s="29"/>
      <c r="G1547" s="29">
        <f>SUM(G1546:G1546)</f>
        <v>5</v>
      </c>
      <c r="H1547" s="29">
        <f>SUM(H1546:H1546)</f>
        <v>8</v>
      </c>
      <c r="I1547" s="29"/>
      <c r="J1547" s="30">
        <f>SUM(J1546:J1546)</f>
        <v>13</v>
      </c>
      <c r="K1547"/>
    </row>
    <row r="1548" spans="1:15">
      <c r="A1548" s="22" t="s">
        <v>108</v>
      </c>
      <c r="B1548" s="32" t="s">
        <v>10</v>
      </c>
      <c r="C1548" s="6"/>
      <c r="D1548" s="6"/>
      <c r="E1548" s="6"/>
      <c r="F1548" s="6"/>
      <c r="G1548" s="76"/>
      <c r="H1548" s="76"/>
      <c r="I1548" s="6"/>
      <c r="J1548" s="24">
        <f>H1548</f>
        <v>0</v>
      </c>
      <c r="K1548"/>
    </row>
    <row r="1549" spans="1:15">
      <c r="A1549" s="22" t="s">
        <v>32</v>
      </c>
      <c r="B1549" s="32" t="s">
        <v>33</v>
      </c>
      <c r="C1549" s="6">
        <v>5</v>
      </c>
      <c r="D1549" s="6"/>
      <c r="E1549" s="6"/>
      <c r="F1549" s="6"/>
      <c r="G1549" s="76"/>
      <c r="H1549" s="76"/>
      <c r="I1549" s="6"/>
      <c r="J1549" s="24">
        <f>C1549</f>
        <v>5</v>
      </c>
      <c r="K1549"/>
    </row>
    <row r="1550" spans="1:15" ht="13.5" thickBot="1">
      <c r="A1550" s="36" t="s">
        <v>34</v>
      </c>
      <c r="B1550" s="37"/>
      <c r="C1550" s="29">
        <f>SUM(C1548:C1549)</f>
        <v>5</v>
      </c>
      <c r="D1550" s="29"/>
      <c r="E1550" s="29"/>
      <c r="F1550" s="29"/>
      <c r="G1550" s="29"/>
      <c r="H1550" s="29">
        <f>SUM(H1548:H1549)</f>
        <v>0</v>
      </c>
      <c r="I1550" s="29"/>
      <c r="J1550" s="30">
        <f>SUM(J1548:J1549)</f>
        <v>5</v>
      </c>
      <c r="K1550"/>
    </row>
    <row r="1551" spans="1:15" ht="17.25" customHeight="1" thickBot="1">
      <c r="A1551" s="78" t="s">
        <v>35</v>
      </c>
      <c r="B1551" s="79"/>
      <c r="C1551" s="80">
        <f>C1542+C1545+C1547+C1550</f>
        <v>5</v>
      </c>
      <c r="D1551" s="80">
        <f>D1542+D1545+D1547+D1550</f>
        <v>25</v>
      </c>
      <c r="E1551" s="80">
        <f>E1542+E1545+E1547+E1550</f>
        <v>278</v>
      </c>
      <c r="F1551" s="80"/>
      <c r="G1551" s="80">
        <f>G1542+G1545+G1547+G1550</f>
        <v>88</v>
      </c>
      <c r="H1551" s="80">
        <f>H1542+H1545+H1547+H1550</f>
        <v>427</v>
      </c>
      <c r="I1551" s="80">
        <f>I1542+I1545+I1547+I1550</f>
        <v>2</v>
      </c>
      <c r="J1551" s="80">
        <f>J1542+J1545+J1547+J1550</f>
        <v>825</v>
      </c>
      <c r="K1551"/>
    </row>
    <row r="1552" spans="1:15">
      <c r="B1552" s="38" t="s">
        <v>36</v>
      </c>
      <c r="C1552" s="39"/>
    </row>
    <row r="1553" spans="1:15">
      <c r="A1553" s="7" t="s">
        <v>37</v>
      </c>
      <c r="B1553" s="8">
        <f>D1542+D1545+D1547+D1550</f>
        <v>25</v>
      </c>
      <c r="C1553" s="6"/>
    </row>
    <row r="1554" spans="1:15">
      <c r="A1554" s="7" t="s">
        <v>38</v>
      </c>
      <c r="B1554" s="8">
        <f>E1551+F1551</f>
        <v>278</v>
      </c>
      <c r="C1554" s="6"/>
    </row>
    <row r="1555" spans="1:15">
      <c r="A1555" s="7" t="s">
        <v>39</v>
      </c>
      <c r="B1555" s="8">
        <f>J1538</f>
        <v>89</v>
      </c>
      <c r="C1555" s="6"/>
    </row>
    <row r="1556" spans="1:15">
      <c r="A1556" s="7" t="s">
        <v>40</v>
      </c>
      <c r="B1556" s="8">
        <f>J1539+J1544+J1546</f>
        <v>374</v>
      </c>
      <c r="C1556" s="6"/>
    </row>
    <row r="1557" spans="1:15">
      <c r="A1557" s="7" t="s">
        <v>41</v>
      </c>
      <c r="B1557" s="8">
        <f>J1540</f>
        <v>4</v>
      </c>
      <c r="C1557" s="6"/>
    </row>
    <row r="1558" spans="1:15">
      <c r="A1558" s="7" t="s">
        <v>42</v>
      </c>
      <c r="B1558" s="8">
        <f>J1541</f>
        <v>50</v>
      </c>
      <c r="C1558" s="6"/>
    </row>
    <row r="1559" spans="1:15">
      <c r="A1559" s="7" t="s">
        <v>43</v>
      </c>
      <c r="B1559" s="8">
        <f>J1548</f>
        <v>0</v>
      </c>
      <c r="C1559" s="6"/>
    </row>
    <row r="1560" spans="1:15">
      <c r="A1560" s="7" t="s">
        <v>44</v>
      </c>
      <c r="B1560" s="8">
        <f>J1549</f>
        <v>5</v>
      </c>
      <c r="C1560" s="6"/>
    </row>
    <row r="1561" spans="1:15" ht="13.5" thickBot="1">
      <c r="A1561" s="7"/>
      <c r="B1561" s="81">
        <f>SUM(B1553:B1560)</f>
        <v>825</v>
      </c>
      <c r="C1561" s="6"/>
    </row>
    <row r="1562" spans="1:15" ht="18" customHeight="1" thickBot="1">
      <c r="A1562" s="82" t="s">
        <v>2633</v>
      </c>
      <c r="B1562" s="9"/>
    </row>
    <row r="1563" spans="1:15" ht="15.6" customHeight="1" thickBot="1">
      <c r="A1563" s="11" t="s">
        <v>17</v>
      </c>
      <c r="B1563" s="12" t="s">
        <v>18</v>
      </c>
      <c r="C1563" s="13" t="s">
        <v>16</v>
      </c>
      <c r="D1563" s="14" t="s">
        <v>15</v>
      </c>
      <c r="E1563" s="14" t="s">
        <v>6</v>
      </c>
      <c r="F1563" s="14" t="s">
        <v>19</v>
      </c>
      <c r="G1563" s="74" t="s">
        <v>20</v>
      </c>
      <c r="H1563" s="74" t="s">
        <v>21</v>
      </c>
      <c r="I1563" s="14" t="s">
        <v>22</v>
      </c>
      <c r="J1563" s="15" t="s">
        <v>9</v>
      </c>
      <c r="K1563"/>
    </row>
    <row r="1564" spans="1:15">
      <c r="A1564" s="16" t="s">
        <v>0</v>
      </c>
      <c r="B1564" s="17" t="s">
        <v>15</v>
      </c>
      <c r="C1564" s="18"/>
      <c r="D1564" s="18">
        <v>25</v>
      </c>
      <c r="E1564" s="18"/>
      <c r="F1564" s="18"/>
      <c r="G1564" s="75"/>
      <c r="H1564" s="75"/>
      <c r="I1564" s="18"/>
      <c r="J1564" s="19">
        <f>D1564</f>
        <v>25</v>
      </c>
      <c r="K1564"/>
    </row>
    <row r="1565" spans="1:15">
      <c r="A1565" s="22" t="s">
        <v>0</v>
      </c>
      <c r="B1565" s="23" t="s">
        <v>6</v>
      </c>
      <c r="C1565" s="6"/>
      <c r="D1565" s="6"/>
      <c r="E1565" s="6">
        <v>279</v>
      </c>
      <c r="F1565" s="6"/>
      <c r="G1565" s="76"/>
      <c r="H1565" s="76"/>
      <c r="I1565" s="6"/>
      <c r="J1565" s="24">
        <f>E1565+F1565</f>
        <v>279</v>
      </c>
      <c r="K1565"/>
      <c r="L1565" s="20" t="s">
        <v>23</v>
      </c>
      <c r="M1565" s="21" t="s">
        <v>109</v>
      </c>
      <c r="N1565" s="84"/>
      <c r="O1565" s="26"/>
    </row>
    <row r="1566" spans="1:15">
      <c r="A1566" s="22" t="s">
        <v>0</v>
      </c>
      <c r="B1566" s="23" t="s">
        <v>13</v>
      </c>
      <c r="C1566" s="6"/>
      <c r="D1566" s="6"/>
      <c r="E1566" s="6"/>
      <c r="F1566" s="6"/>
      <c r="G1566" s="76">
        <v>1</v>
      </c>
      <c r="H1566" s="76">
        <v>86</v>
      </c>
      <c r="I1566" s="6">
        <v>2</v>
      </c>
      <c r="J1566" s="24">
        <f>G1566+H1566+I1566</f>
        <v>89</v>
      </c>
      <c r="K1566"/>
      <c r="L1566" s="20">
        <v>195</v>
      </c>
      <c r="M1566" s="25" t="s">
        <v>24</v>
      </c>
    </row>
    <row r="1567" spans="1:15">
      <c r="A1567" s="22" t="s">
        <v>0</v>
      </c>
      <c r="B1567" s="23" t="s">
        <v>8</v>
      </c>
      <c r="C1567" s="6"/>
      <c r="D1567" s="6"/>
      <c r="E1567" s="6"/>
      <c r="F1567" s="6"/>
      <c r="G1567" s="76">
        <v>74</v>
      </c>
      <c r="H1567" s="76">
        <v>259</v>
      </c>
      <c r="I1567" s="6"/>
      <c r="J1567" s="24">
        <f>G1567+H1567+I1567</f>
        <v>333</v>
      </c>
      <c r="K1567"/>
      <c r="L1567" s="20">
        <v>44</v>
      </c>
      <c r="M1567" s="25" t="s">
        <v>25</v>
      </c>
    </row>
    <row r="1568" spans="1:15">
      <c r="A1568" s="22" t="s">
        <v>0</v>
      </c>
      <c r="B1568" s="23" t="s">
        <v>12</v>
      </c>
      <c r="C1568" s="6"/>
      <c r="D1568" s="6"/>
      <c r="E1568" s="6"/>
      <c r="F1568" s="6"/>
      <c r="G1568" s="76"/>
      <c r="H1568" s="76">
        <v>4</v>
      </c>
      <c r="I1568" s="6"/>
      <c r="J1568" s="24">
        <f>H1568</f>
        <v>4</v>
      </c>
      <c r="K1568"/>
      <c r="L1568" s="20">
        <v>36</v>
      </c>
      <c r="M1568" s="25" t="s">
        <v>26</v>
      </c>
    </row>
    <row r="1569" spans="1:14">
      <c r="A1569" s="22" t="s">
        <v>0</v>
      </c>
      <c r="B1569" s="23" t="s">
        <v>14</v>
      </c>
      <c r="C1569" s="6"/>
      <c r="D1569" s="6"/>
      <c r="E1569" s="6"/>
      <c r="F1569" s="6"/>
      <c r="G1569" s="76">
        <v>5</v>
      </c>
      <c r="H1569" s="76">
        <v>47</v>
      </c>
      <c r="I1569" s="6"/>
      <c r="J1569" s="24">
        <f>G1569+H1569</f>
        <v>52</v>
      </c>
      <c r="K1569"/>
      <c r="L1569" s="20">
        <v>2</v>
      </c>
      <c r="M1569" s="25" t="s">
        <v>27</v>
      </c>
    </row>
    <row r="1570" spans="1:14" ht="13.5" thickBot="1">
      <c r="A1570" s="27" t="s">
        <v>29</v>
      </c>
      <c r="B1570" s="28"/>
      <c r="C1570" s="29"/>
      <c r="D1570" s="29">
        <f>SUM(D1564:D1569)</f>
        <v>25</v>
      </c>
      <c r="E1570" s="29">
        <f>SUM(E1564:E1569)</f>
        <v>279</v>
      </c>
      <c r="F1570" s="29"/>
      <c r="G1570" s="29">
        <f>SUM(G1564:G1569)</f>
        <v>80</v>
      </c>
      <c r="H1570" s="29">
        <f>SUM(H1564:H1569)</f>
        <v>396</v>
      </c>
      <c r="I1570" s="29">
        <f>SUM(I1564:I1569)</f>
        <v>2</v>
      </c>
      <c r="J1570" s="30">
        <f>SUM(J1564:J1569)</f>
        <v>782</v>
      </c>
      <c r="K1570"/>
      <c r="L1570" s="20">
        <v>1</v>
      </c>
      <c r="M1570" s="25" t="s">
        <v>28</v>
      </c>
      <c r="N1570" s="26"/>
    </row>
    <row r="1571" spans="1:14">
      <c r="A1571" s="31" t="s">
        <v>7</v>
      </c>
      <c r="B1571" s="32" t="s">
        <v>15</v>
      </c>
      <c r="C1571" s="33"/>
      <c r="D1571" s="33"/>
      <c r="E1571" s="33"/>
      <c r="F1571" s="33"/>
      <c r="G1571" s="77"/>
      <c r="H1571" s="77"/>
      <c r="I1571" s="33"/>
      <c r="J1571" s="34"/>
      <c r="K1571"/>
      <c r="L1571" s="20">
        <v>1</v>
      </c>
      <c r="M1571" s="25" t="s">
        <v>30</v>
      </c>
    </row>
    <row r="1572" spans="1:14">
      <c r="A1572" s="31" t="s">
        <v>7</v>
      </c>
      <c r="B1572" s="32" t="s">
        <v>8</v>
      </c>
      <c r="C1572" s="33"/>
      <c r="D1572" s="33"/>
      <c r="E1572" s="33"/>
      <c r="F1572" s="33"/>
      <c r="G1572" s="77">
        <v>4</v>
      </c>
      <c r="H1572" s="77">
        <v>27</v>
      </c>
      <c r="I1572" s="33"/>
      <c r="J1572" s="34">
        <f>G1572+H1572</f>
        <v>31</v>
      </c>
      <c r="K1572"/>
      <c r="L1572" s="35">
        <f>SUM(L1566:L1571)</f>
        <v>279</v>
      </c>
      <c r="M1572" s="21"/>
    </row>
    <row r="1573" spans="1:14" ht="13.5" thickBot="1">
      <c r="A1573" s="27" t="s">
        <v>31</v>
      </c>
      <c r="B1573" s="28"/>
      <c r="C1573" s="29"/>
      <c r="D1573" s="29"/>
      <c r="E1573" s="29"/>
      <c r="F1573" s="29"/>
      <c r="G1573" s="29">
        <f>SUM(G1571:G1572)</f>
        <v>4</v>
      </c>
      <c r="H1573" s="29">
        <f>SUM(H1571:H1572)</f>
        <v>27</v>
      </c>
      <c r="I1573" s="29"/>
      <c r="J1573" s="30">
        <f>SUM(J1571:J1572)</f>
        <v>31</v>
      </c>
      <c r="K1573"/>
    </row>
    <row r="1574" spans="1:14">
      <c r="A1574" s="31" t="s">
        <v>105</v>
      </c>
      <c r="B1574" s="32" t="s">
        <v>8</v>
      </c>
      <c r="C1574" s="33"/>
      <c r="D1574" s="33"/>
      <c r="E1574" s="33"/>
      <c r="F1574" s="33"/>
      <c r="G1574" s="77">
        <v>5</v>
      </c>
      <c r="H1574" s="77">
        <v>9</v>
      </c>
      <c r="I1574" s="33"/>
      <c r="J1574" s="34">
        <f>G1574+H1574</f>
        <v>14</v>
      </c>
      <c r="K1574"/>
    </row>
    <row r="1575" spans="1:14" ht="13.5" thickBot="1">
      <c r="A1575" s="27" t="s">
        <v>106</v>
      </c>
      <c r="B1575" s="28"/>
      <c r="C1575" s="29"/>
      <c r="D1575" s="29"/>
      <c r="E1575" s="29"/>
      <c r="F1575" s="29"/>
      <c r="G1575" s="29">
        <f>SUM(G1574:G1574)</f>
        <v>5</v>
      </c>
      <c r="H1575" s="29">
        <f>SUM(H1574:H1574)</f>
        <v>9</v>
      </c>
      <c r="I1575" s="29"/>
      <c r="J1575" s="30">
        <f>SUM(J1574:J1574)</f>
        <v>14</v>
      </c>
      <c r="K1575"/>
    </row>
    <row r="1576" spans="1:14">
      <c r="A1576" s="22" t="s">
        <v>108</v>
      </c>
      <c r="B1576" s="32" t="s">
        <v>10</v>
      </c>
      <c r="C1576" s="6"/>
      <c r="D1576" s="6"/>
      <c r="E1576" s="6"/>
      <c r="F1576" s="6"/>
      <c r="G1576" s="76"/>
      <c r="H1576" s="76"/>
      <c r="I1576" s="6"/>
      <c r="J1576" s="24">
        <f>H1576</f>
        <v>0</v>
      </c>
      <c r="K1576"/>
    </row>
    <row r="1577" spans="1:14">
      <c r="A1577" s="22" t="s">
        <v>32</v>
      </c>
      <c r="B1577" s="32" t="s">
        <v>33</v>
      </c>
      <c r="C1577" s="6">
        <v>5</v>
      </c>
      <c r="D1577" s="6"/>
      <c r="E1577" s="6"/>
      <c r="F1577" s="6"/>
      <c r="G1577" s="76"/>
      <c r="H1577" s="76"/>
      <c r="I1577" s="6"/>
      <c r="J1577" s="24">
        <f>C1577</f>
        <v>5</v>
      </c>
      <c r="K1577"/>
    </row>
    <row r="1578" spans="1:14" ht="13.5" thickBot="1">
      <c r="A1578" s="36" t="s">
        <v>34</v>
      </c>
      <c r="B1578" s="37"/>
      <c r="C1578" s="29">
        <f>SUM(C1576:C1577)</f>
        <v>5</v>
      </c>
      <c r="D1578" s="29"/>
      <c r="E1578" s="29"/>
      <c r="F1578" s="29"/>
      <c r="G1578" s="29"/>
      <c r="H1578" s="29">
        <f>SUM(H1576:H1577)</f>
        <v>0</v>
      </c>
      <c r="I1578" s="29"/>
      <c r="J1578" s="30">
        <f>SUM(J1576:J1577)</f>
        <v>5</v>
      </c>
      <c r="K1578"/>
    </row>
    <row r="1579" spans="1:14" ht="17.25" customHeight="1" thickBot="1">
      <c r="A1579" s="78" t="s">
        <v>35</v>
      </c>
      <c r="B1579" s="79"/>
      <c r="C1579" s="80">
        <f>C1570+C1573+C1575+C1578</f>
        <v>5</v>
      </c>
      <c r="D1579" s="80">
        <f>D1570+D1573+D1575+D1578</f>
        <v>25</v>
      </c>
      <c r="E1579" s="80">
        <f>E1570+E1573+E1575+E1578</f>
        <v>279</v>
      </c>
      <c r="F1579" s="80"/>
      <c r="G1579" s="80">
        <f>G1570+G1573+G1575+G1578</f>
        <v>89</v>
      </c>
      <c r="H1579" s="80">
        <f>H1570+H1573+H1575+H1578</f>
        <v>432</v>
      </c>
      <c r="I1579" s="80">
        <f>I1570+I1573+I1575+I1578</f>
        <v>2</v>
      </c>
      <c r="J1579" s="80">
        <f>J1570+J1573+J1575+J1578</f>
        <v>832</v>
      </c>
      <c r="K1579"/>
    </row>
    <row r="1580" spans="1:14">
      <c r="B1580" s="38" t="s">
        <v>36</v>
      </c>
      <c r="C1580" s="39"/>
    </row>
    <row r="1581" spans="1:14">
      <c r="A1581" s="7" t="s">
        <v>37</v>
      </c>
      <c r="B1581" s="8">
        <f>D1570+D1573+D1575+D1578</f>
        <v>25</v>
      </c>
      <c r="C1581" s="6"/>
    </row>
    <row r="1582" spans="1:14">
      <c r="A1582" s="7" t="s">
        <v>38</v>
      </c>
      <c r="B1582" s="8">
        <f>E1579+F1579</f>
        <v>279</v>
      </c>
      <c r="C1582" s="6"/>
    </row>
    <row r="1583" spans="1:14">
      <c r="A1583" s="7" t="s">
        <v>39</v>
      </c>
      <c r="B1583" s="8">
        <f>J1566</f>
        <v>89</v>
      </c>
      <c r="C1583" s="6"/>
    </row>
    <row r="1584" spans="1:14">
      <c r="A1584" s="7" t="s">
        <v>40</v>
      </c>
      <c r="B1584" s="8">
        <f>J1567+J1572+J1574</f>
        <v>378</v>
      </c>
      <c r="C1584" s="6"/>
    </row>
    <row r="1585" spans="1:15">
      <c r="A1585" s="7" t="s">
        <v>41</v>
      </c>
      <c r="B1585" s="8">
        <f>J1568</f>
        <v>4</v>
      </c>
      <c r="C1585" s="6"/>
    </row>
    <row r="1586" spans="1:15">
      <c r="A1586" s="7" t="s">
        <v>42</v>
      </c>
      <c r="B1586" s="8">
        <f>J1569</f>
        <v>52</v>
      </c>
      <c r="C1586" s="6"/>
    </row>
    <row r="1587" spans="1:15">
      <c r="A1587" s="7" t="s">
        <v>43</v>
      </c>
      <c r="B1587" s="8">
        <f>J1576</f>
        <v>0</v>
      </c>
      <c r="C1587" s="6"/>
    </row>
    <row r="1588" spans="1:15">
      <c r="A1588" s="7" t="s">
        <v>44</v>
      </c>
      <c r="B1588" s="8">
        <f>J1577</f>
        <v>5</v>
      </c>
      <c r="C1588" s="6"/>
    </row>
    <row r="1589" spans="1:15">
      <c r="A1589" s="7"/>
      <c r="B1589" s="81">
        <f>SUM(B1581:B1588)</f>
        <v>832</v>
      </c>
      <c r="C1589" s="6"/>
    </row>
    <row r="1590" spans="1:15" ht="13.5" thickBot="1"/>
    <row r="1591" spans="1:15" ht="18" customHeight="1" thickBot="1">
      <c r="A1591" s="82" t="s">
        <v>2612</v>
      </c>
      <c r="B1591" s="9"/>
    </row>
    <row r="1592" spans="1:15" ht="15.6" customHeight="1" thickBot="1">
      <c r="A1592" s="11" t="s">
        <v>17</v>
      </c>
      <c r="B1592" s="12" t="s">
        <v>18</v>
      </c>
      <c r="C1592" s="13" t="s">
        <v>16</v>
      </c>
      <c r="D1592" s="14" t="s">
        <v>15</v>
      </c>
      <c r="E1592" s="14" t="s">
        <v>6</v>
      </c>
      <c r="F1592" s="14" t="s">
        <v>19</v>
      </c>
      <c r="G1592" s="74" t="s">
        <v>20</v>
      </c>
      <c r="H1592" s="74" t="s">
        <v>21</v>
      </c>
      <c r="I1592" s="14" t="s">
        <v>22</v>
      </c>
      <c r="J1592" s="15" t="s">
        <v>9</v>
      </c>
      <c r="K1592"/>
    </row>
    <row r="1593" spans="1:15">
      <c r="A1593" s="16" t="s">
        <v>0</v>
      </c>
      <c r="B1593" s="17" t="s">
        <v>15</v>
      </c>
      <c r="C1593" s="18"/>
      <c r="D1593" s="18">
        <v>24</v>
      </c>
      <c r="E1593" s="18"/>
      <c r="F1593" s="18"/>
      <c r="G1593" s="75"/>
      <c r="H1593" s="75"/>
      <c r="I1593" s="18"/>
      <c r="J1593" s="19">
        <f>D1593</f>
        <v>24</v>
      </c>
      <c r="K1593"/>
    </row>
    <row r="1594" spans="1:15">
      <c r="A1594" s="22" t="s">
        <v>0</v>
      </c>
      <c r="B1594" s="23" t="s">
        <v>6</v>
      </c>
      <c r="C1594" s="6"/>
      <c r="D1594" s="6"/>
      <c r="E1594" s="6">
        <v>279</v>
      </c>
      <c r="F1594" s="6"/>
      <c r="G1594" s="76"/>
      <c r="H1594" s="76"/>
      <c r="I1594" s="6"/>
      <c r="J1594" s="24">
        <f>E1594+F1594</f>
        <v>279</v>
      </c>
      <c r="K1594"/>
      <c r="L1594" s="20" t="s">
        <v>23</v>
      </c>
      <c r="M1594" s="21" t="s">
        <v>109</v>
      </c>
      <c r="N1594" s="84"/>
      <c r="O1594" s="26"/>
    </row>
    <row r="1595" spans="1:15">
      <c r="A1595" s="22" t="s">
        <v>0</v>
      </c>
      <c r="B1595" s="23" t="s">
        <v>13</v>
      </c>
      <c r="C1595" s="6"/>
      <c r="D1595" s="6"/>
      <c r="E1595" s="6"/>
      <c r="F1595" s="6"/>
      <c r="G1595" s="76">
        <v>1</v>
      </c>
      <c r="H1595" s="76">
        <v>86</v>
      </c>
      <c r="I1595" s="6">
        <v>2</v>
      </c>
      <c r="J1595" s="24">
        <f>G1595+H1595+I1595</f>
        <v>89</v>
      </c>
      <c r="K1595"/>
      <c r="L1595" s="20">
        <v>195</v>
      </c>
      <c r="M1595" s="25" t="s">
        <v>24</v>
      </c>
    </row>
    <row r="1596" spans="1:15">
      <c r="A1596" s="22" t="s">
        <v>0</v>
      </c>
      <c r="B1596" s="23" t="s">
        <v>8</v>
      </c>
      <c r="C1596" s="6"/>
      <c r="D1596" s="6"/>
      <c r="E1596" s="6"/>
      <c r="F1596" s="6"/>
      <c r="G1596" s="76">
        <v>74</v>
      </c>
      <c r="H1596" s="76">
        <v>260</v>
      </c>
      <c r="I1596" s="6"/>
      <c r="J1596" s="24">
        <f>G1596+H1596+I1596</f>
        <v>334</v>
      </c>
      <c r="K1596"/>
      <c r="L1596" s="20">
        <v>44</v>
      </c>
      <c r="M1596" s="25" t="s">
        <v>25</v>
      </c>
    </row>
    <row r="1597" spans="1:15">
      <c r="A1597" s="22" t="s">
        <v>0</v>
      </c>
      <c r="B1597" s="23" t="s">
        <v>12</v>
      </c>
      <c r="C1597" s="6"/>
      <c r="D1597" s="6"/>
      <c r="E1597" s="6"/>
      <c r="F1597" s="6"/>
      <c r="G1597" s="76"/>
      <c r="H1597" s="76">
        <v>4</v>
      </c>
      <c r="I1597" s="6"/>
      <c r="J1597" s="24">
        <f>H1597</f>
        <v>4</v>
      </c>
      <c r="K1597"/>
      <c r="L1597" s="20">
        <v>36</v>
      </c>
      <c r="M1597" s="25" t="s">
        <v>26</v>
      </c>
    </row>
    <row r="1598" spans="1:15">
      <c r="A1598" s="22" t="s">
        <v>0</v>
      </c>
      <c r="B1598" s="23" t="s">
        <v>14</v>
      </c>
      <c r="C1598" s="6"/>
      <c r="D1598" s="6"/>
      <c r="E1598" s="6"/>
      <c r="F1598" s="6"/>
      <c r="G1598" s="76">
        <v>5</v>
      </c>
      <c r="H1598" s="76">
        <v>47</v>
      </c>
      <c r="I1598" s="6"/>
      <c r="J1598" s="24">
        <f>G1598+H1598</f>
        <v>52</v>
      </c>
      <c r="K1598"/>
      <c r="L1598" s="20">
        <v>2</v>
      </c>
      <c r="M1598" s="25" t="s">
        <v>27</v>
      </c>
    </row>
    <row r="1599" spans="1:15" ht="13.5" thickBot="1">
      <c r="A1599" s="27" t="s">
        <v>29</v>
      </c>
      <c r="B1599" s="28"/>
      <c r="C1599" s="29"/>
      <c r="D1599" s="29">
        <f>SUM(D1593:D1598)</f>
        <v>24</v>
      </c>
      <c r="E1599" s="29">
        <f>SUM(E1593:E1598)</f>
        <v>279</v>
      </c>
      <c r="F1599" s="29"/>
      <c r="G1599" s="29">
        <f>SUM(G1593:G1598)</f>
        <v>80</v>
      </c>
      <c r="H1599" s="29">
        <f>SUM(H1593:H1598)</f>
        <v>397</v>
      </c>
      <c r="I1599" s="29">
        <f>SUM(I1593:I1598)</f>
        <v>2</v>
      </c>
      <c r="J1599" s="30">
        <f>SUM(J1593:J1598)</f>
        <v>782</v>
      </c>
      <c r="K1599"/>
      <c r="L1599" s="20">
        <v>1</v>
      </c>
      <c r="M1599" s="25" t="s">
        <v>28</v>
      </c>
      <c r="N1599" s="26"/>
    </row>
    <row r="1600" spans="1:15">
      <c r="A1600" s="31" t="s">
        <v>7</v>
      </c>
      <c r="B1600" s="32" t="s">
        <v>15</v>
      </c>
      <c r="C1600" s="33"/>
      <c r="D1600" s="33"/>
      <c r="E1600" s="33"/>
      <c r="F1600" s="33"/>
      <c r="G1600" s="77"/>
      <c r="H1600" s="77"/>
      <c r="I1600" s="33"/>
      <c r="J1600" s="34"/>
      <c r="K1600"/>
      <c r="L1600" s="20">
        <v>1</v>
      </c>
      <c r="M1600" s="25" t="s">
        <v>30</v>
      </c>
    </row>
    <row r="1601" spans="1:13">
      <c r="A1601" s="31" t="s">
        <v>7</v>
      </c>
      <c r="B1601" s="32" t="s">
        <v>8</v>
      </c>
      <c r="C1601" s="33"/>
      <c r="D1601" s="33"/>
      <c r="E1601" s="33"/>
      <c r="F1601" s="33"/>
      <c r="G1601" s="77">
        <v>4</v>
      </c>
      <c r="H1601" s="77">
        <v>25</v>
      </c>
      <c r="I1601" s="33"/>
      <c r="J1601" s="34">
        <f>G1601+H1601</f>
        <v>29</v>
      </c>
      <c r="K1601"/>
      <c r="L1601" s="35">
        <f>SUM(L1595:L1600)</f>
        <v>279</v>
      </c>
      <c r="M1601" s="21"/>
    </row>
    <row r="1602" spans="1:13" ht="13.5" thickBot="1">
      <c r="A1602" s="27" t="s">
        <v>31</v>
      </c>
      <c r="B1602" s="28"/>
      <c r="C1602" s="29"/>
      <c r="D1602" s="29"/>
      <c r="E1602" s="29"/>
      <c r="F1602" s="29"/>
      <c r="G1602" s="29">
        <f>SUM(G1600:G1601)</f>
        <v>4</v>
      </c>
      <c r="H1602" s="29">
        <f>SUM(H1600:H1601)</f>
        <v>25</v>
      </c>
      <c r="I1602" s="29"/>
      <c r="J1602" s="30">
        <f>SUM(J1600:J1601)</f>
        <v>29</v>
      </c>
      <c r="K1602"/>
    </row>
    <row r="1603" spans="1:13">
      <c r="A1603" s="31" t="s">
        <v>105</v>
      </c>
      <c r="B1603" s="32" t="s">
        <v>8</v>
      </c>
      <c r="C1603" s="33"/>
      <c r="D1603" s="33"/>
      <c r="E1603" s="33"/>
      <c r="F1603" s="33"/>
      <c r="G1603" s="77">
        <v>5</v>
      </c>
      <c r="H1603" s="77">
        <v>9</v>
      </c>
      <c r="I1603" s="33"/>
      <c r="J1603" s="34">
        <f>G1603+H1603</f>
        <v>14</v>
      </c>
      <c r="K1603"/>
    </row>
    <row r="1604" spans="1:13" ht="13.5" thickBot="1">
      <c r="A1604" s="27" t="s">
        <v>106</v>
      </c>
      <c r="B1604" s="28"/>
      <c r="C1604" s="29"/>
      <c r="D1604" s="29"/>
      <c r="E1604" s="29"/>
      <c r="F1604" s="29"/>
      <c r="G1604" s="29">
        <f>SUM(G1603:G1603)</f>
        <v>5</v>
      </c>
      <c r="H1604" s="29">
        <f>SUM(H1603:H1603)</f>
        <v>9</v>
      </c>
      <c r="I1604" s="29"/>
      <c r="J1604" s="30">
        <f>SUM(J1603:J1603)</f>
        <v>14</v>
      </c>
      <c r="K1604"/>
    </row>
    <row r="1605" spans="1:13">
      <c r="A1605" s="22" t="s">
        <v>108</v>
      </c>
      <c r="B1605" s="32" t="s">
        <v>10</v>
      </c>
      <c r="C1605" s="6"/>
      <c r="D1605" s="6"/>
      <c r="E1605" s="6"/>
      <c r="F1605" s="6"/>
      <c r="G1605" s="76"/>
      <c r="H1605" s="76"/>
      <c r="I1605" s="6"/>
      <c r="J1605" s="24">
        <f>H1605</f>
        <v>0</v>
      </c>
      <c r="K1605"/>
    </row>
    <row r="1606" spans="1:13">
      <c r="A1606" s="22" t="s">
        <v>32</v>
      </c>
      <c r="B1606" s="32" t="s">
        <v>33</v>
      </c>
      <c r="C1606" s="6">
        <v>5</v>
      </c>
      <c r="D1606" s="6"/>
      <c r="E1606" s="6"/>
      <c r="F1606" s="6"/>
      <c r="G1606" s="76"/>
      <c r="H1606" s="76"/>
      <c r="I1606" s="6"/>
      <c r="J1606" s="24">
        <f>C1606</f>
        <v>5</v>
      </c>
      <c r="K1606"/>
    </row>
    <row r="1607" spans="1:13" ht="13.5" thickBot="1">
      <c r="A1607" s="36" t="s">
        <v>34</v>
      </c>
      <c r="B1607" s="37"/>
      <c r="C1607" s="29">
        <f>SUM(C1605:C1606)</f>
        <v>5</v>
      </c>
      <c r="D1607" s="29"/>
      <c r="E1607" s="29"/>
      <c r="F1607" s="29"/>
      <c r="G1607" s="29"/>
      <c r="H1607" s="29">
        <f>SUM(H1605:H1606)</f>
        <v>0</v>
      </c>
      <c r="I1607" s="29"/>
      <c r="J1607" s="30">
        <f>SUM(J1605:J1606)</f>
        <v>5</v>
      </c>
      <c r="K1607"/>
    </row>
    <row r="1608" spans="1:13" ht="17.25" customHeight="1" thickBot="1">
      <c r="A1608" s="78" t="s">
        <v>35</v>
      </c>
      <c r="B1608" s="79"/>
      <c r="C1608" s="80">
        <f>C1599+C1602+C1604+C1607</f>
        <v>5</v>
      </c>
      <c r="D1608" s="80">
        <f>D1599+D1602+D1604+D1607</f>
        <v>24</v>
      </c>
      <c r="E1608" s="80">
        <f>E1599+E1602+E1604+E1607</f>
        <v>279</v>
      </c>
      <c r="F1608" s="80"/>
      <c r="G1608" s="80">
        <f>G1599+G1602+G1604+G1607</f>
        <v>89</v>
      </c>
      <c r="H1608" s="80">
        <f>H1599+H1602+H1604+H1607</f>
        <v>431</v>
      </c>
      <c r="I1608" s="80">
        <f>I1599+I1602+I1604+I1607</f>
        <v>2</v>
      </c>
      <c r="J1608" s="80">
        <f>J1599+J1602+J1604+J1607</f>
        <v>830</v>
      </c>
      <c r="K1608"/>
    </row>
    <row r="1609" spans="1:13">
      <c r="B1609" s="38" t="s">
        <v>36</v>
      </c>
      <c r="C1609" s="39"/>
    </row>
    <row r="1610" spans="1:13">
      <c r="A1610" s="7" t="s">
        <v>37</v>
      </c>
      <c r="B1610" s="8">
        <f>D1599+D1602+D1604+D1607</f>
        <v>24</v>
      </c>
      <c r="C1610" s="6"/>
    </row>
    <row r="1611" spans="1:13">
      <c r="A1611" s="7" t="s">
        <v>38</v>
      </c>
      <c r="B1611" s="8">
        <f>E1608+F1608</f>
        <v>279</v>
      </c>
      <c r="C1611" s="6"/>
    </row>
    <row r="1612" spans="1:13">
      <c r="A1612" s="7" t="s">
        <v>39</v>
      </c>
      <c r="B1612" s="8">
        <f>J1595</f>
        <v>89</v>
      </c>
      <c r="C1612" s="6"/>
    </row>
    <row r="1613" spans="1:13">
      <c r="A1613" s="7" t="s">
        <v>40</v>
      </c>
      <c r="B1613" s="8">
        <f>J1596+J1601+J1603</f>
        <v>377</v>
      </c>
      <c r="C1613" s="6"/>
    </row>
    <row r="1614" spans="1:13">
      <c r="A1614" s="7" t="s">
        <v>41</v>
      </c>
      <c r="B1614" s="8">
        <f>J1597</f>
        <v>4</v>
      </c>
      <c r="C1614" s="6"/>
    </row>
    <row r="1615" spans="1:13">
      <c r="A1615" s="7" t="s">
        <v>42</v>
      </c>
      <c r="B1615" s="8">
        <f>J1598</f>
        <v>52</v>
      </c>
      <c r="C1615" s="6"/>
    </row>
    <row r="1616" spans="1:13">
      <c r="A1616" s="7" t="s">
        <v>43</v>
      </c>
      <c r="B1616" s="8">
        <f>J1605</f>
        <v>0</v>
      </c>
      <c r="C1616" s="6"/>
    </row>
    <row r="1617" spans="1:15">
      <c r="A1617" s="7" t="s">
        <v>44</v>
      </c>
      <c r="B1617" s="8">
        <f>J1606</f>
        <v>5</v>
      </c>
      <c r="C1617" s="6"/>
    </row>
    <row r="1618" spans="1:15">
      <c r="A1618" s="7"/>
      <c r="B1618" s="81">
        <f>SUM(B1610:B1617)</f>
        <v>830</v>
      </c>
      <c r="C1618" s="6"/>
    </row>
    <row r="1619" spans="1:15" ht="13.5" thickBot="1"/>
    <row r="1620" spans="1:15" ht="18" customHeight="1" thickBot="1">
      <c r="A1620" s="82" t="s">
        <v>2589</v>
      </c>
      <c r="B1620" s="9"/>
    </row>
    <row r="1621" spans="1:15" ht="15.6" customHeight="1" thickBot="1">
      <c r="A1621" s="11" t="s">
        <v>17</v>
      </c>
      <c r="B1621" s="12" t="s">
        <v>18</v>
      </c>
      <c r="C1621" s="13" t="s">
        <v>16</v>
      </c>
      <c r="D1621" s="14" t="s">
        <v>15</v>
      </c>
      <c r="E1621" s="14" t="s">
        <v>6</v>
      </c>
      <c r="F1621" s="14" t="s">
        <v>19</v>
      </c>
      <c r="G1621" s="74" t="s">
        <v>20</v>
      </c>
      <c r="H1621" s="74" t="s">
        <v>21</v>
      </c>
      <c r="I1621" s="14" t="s">
        <v>22</v>
      </c>
      <c r="J1621" s="15" t="s">
        <v>9</v>
      </c>
      <c r="K1621"/>
    </row>
    <row r="1622" spans="1:15">
      <c r="A1622" s="16" t="s">
        <v>0</v>
      </c>
      <c r="B1622" s="17" t="s">
        <v>15</v>
      </c>
      <c r="C1622" s="18"/>
      <c r="D1622" s="18">
        <v>24</v>
      </c>
      <c r="E1622" s="18"/>
      <c r="F1622" s="18"/>
      <c r="G1622" s="75"/>
      <c r="H1622" s="75"/>
      <c r="I1622" s="18"/>
      <c r="J1622" s="19">
        <f>D1622</f>
        <v>24</v>
      </c>
      <c r="K1622"/>
    </row>
    <row r="1623" spans="1:15">
      <c r="A1623" s="22" t="s">
        <v>0</v>
      </c>
      <c r="B1623" s="23" t="s">
        <v>6</v>
      </c>
      <c r="C1623" s="6"/>
      <c r="D1623" s="6"/>
      <c r="E1623" s="6">
        <v>279</v>
      </c>
      <c r="F1623" s="6"/>
      <c r="G1623" s="76"/>
      <c r="H1623" s="76"/>
      <c r="I1623" s="6"/>
      <c r="J1623" s="24">
        <f>E1623+F1623</f>
        <v>279</v>
      </c>
      <c r="K1623"/>
      <c r="L1623" s="20" t="s">
        <v>23</v>
      </c>
      <c r="M1623" s="21" t="s">
        <v>109</v>
      </c>
      <c r="N1623" s="84"/>
      <c r="O1623" s="26"/>
    </row>
    <row r="1624" spans="1:15">
      <c r="A1624" s="22" t="s">
        <v>0</v>
      </c>
      <c r="B1624" s="23" t="s">
        <v>13</v>
      </c>
      <c r="C1624" s="6"/>
      <c r="D1624" s="6"/>
      <c r="E1624" s="6"/>
      <c r="F1624" s="6"/>
      <c r="G1624" s="76">
        <v>1</v>
      </c>
      <c r="H1624" s="76">
        <v>87</v>
      </c>
      <c r="I1624" s="6">
        <v>8</v>
      </c>
      <c r="J1624" s="24">
        <f>G1624+H1624+I1624</f>
        <v>96</v>
      </c>
      <c r="K1624"/>
      <c r="L1624" s="20">
        <v>195</v>
      </c>
      <c r="M1624" s="25" t="s">
        <v>24</v>
      </c>
    </row>
    <row r="1625" spans="1:15">
      <c r="A1625" s="22" t="s">
        <v>0</v>
      </c>
      <c r="B1625" s="23" t="s">
        <v>8</v>
      </c>
      <c r="C1625" s="6"/>
      <c r="D1625" s="6"/>
      <c r="E1625" s="6"/>
      <c r="F1625" s="6"/>
      <c r="G1625" s="76">
        <v>74</v>
      </c>
      <c r="H1625" s="76">
        <v>258</v>
      </c>
      <c r="I1625" s="6"/>
      <c r="J1625" s="24">
        <f>G1625+H1625+I1625</f>
        <v>332</v>
      </c>
      <c r="K1625"/>
      <c r="L1625" s="20">
        <v>44</v>
      </c>
      <c r="M1625" s="25" t="s">
        <v>25</v>
      </c>
    </row>
    <row r="1626" spans="1:15">
      <c r="A1626" s="22" t="s">
        <v>0</v>
      </c>
      <c r="B1626" s="23" t="s">
        <v>12</v>
      </c>
      <c r="C1626" s="6"/>
      <c r="D1626" s="6"/>
      <c r="E1626" s="6"/>
      <c r="F1626" s="6"/>
      <c r="G1626" s="76"/>
      <c r="H1626" s="76">
        <v>4</v>
      </c>
      <c r="I1626" s="6"/>
      <c r="J1626" s="24">
        <f>H1626</f>
        <v>4</v>
      </c>
      <c r="K1626"/>
      <c r="L1626" s="20">
        <v>36</v>
      </c>
      <c r="M1626" s="25" t="s">
        <v>26</v>
      </c>
    </row>
    <row r="1627" spans="1:15">
      <c r="A1627" s="22" t="s">
        <v>0</v>
      </c>
      <c r="B1627" s="23" t="s">
        <v>14</v>
      </c>
      <c r="C1627" s="6"/>
      <c r="D1627" s="6"/>
      <c r="E1627" s="6"/>
      <c r="F1627" s="6"/>
      <c r="G1627" s="76">
        <v>5</v>
      </c>
      <c r="H1627" s="76">
        <v>47</v>
      </c>
      <c r="I1627" s="6"/>
      <c r="J1627" s="24">
        <f>G1627+H1627</f>
        <v>52</v>
      </c>
      <c r="K1627"/>
      <c r="L1627" s="20">
        <v>2</v>
      </c>
      <c r="M1627" s="25" t="s">
        <v>27</v>
      </c>
    </row>
    <row r="1628" spans="1:15" ht="13.5" thickBot="1">
      <c r="A1628" s="27" t="s">
        <v>29</v>
      </c>
      <c r="B1628" s="28"/>
      <c r="C1628" s="29"/>
      <c r="D1628" s="29">
        <f>SUM(D1622:D1627)</f>
        <v>24</v>
      </c>
      <c r="E1628" s="29">
        <f>SUM(E1622:E1627)</f>
        <v>279</v>
      </c>
      <c r="F1628" s="29"/>
      <c r="G1628" s="29">
        <f>SUM(G1622:G1627)</f>
        <v>80</v>
      </c>
      <c r="H1628" s="29">
        <f>SUM(H1622:H1627)</f>
        <v>396</v>
      </c>
      <c r="I1628" s="29">
        <f>SUM(I1622:I1627)</f>
        <v>8</v>
      </c>
      <c r="J1628" s="30">
        <f>SUM(J1622:J1627)</f>
        <v>787</v>
      </c>
      <c r="K1628"/>
      <c r="L1628" s="20">
        <v>1</v>
      </c>
      <c r="M1628" s="25" t="s">
        <v>28</v>
      </c>
      <c r="N1628" s="26"/>
    </row>
    <row r="1629" spans="1:15">
      <c r="A1629" s="31" t="s">
        <v>7</v>
      </c>
      <c r="B1629" s="32" t="s">
        <v>15</v>
      </c>
      <c r="C1629" s="33"/>
      <c r="D1629" s="33"/>
      <c r="E1629" s="33"/>
      <c r="F1629" s="33"/>
      <c r="G1629" s="77"/>
      <c r="H1629" s="77"/>
      <c r="I1629" s="33"/>
      <c r="J1629" s="34"/>
      <c r="K1629"/>
      <c r="L1629" s="20">
        <v>1</v>
      </c>
      <c r="M1629" s="25" t="s">
        <v>30</v>
      </c>
    </row>
    <row r="1630" spans="1:15">
      <c r="A1630" s="31" t="s">
        <v>7</v>
      </c>
      <c r="B1630" s="32" t="s">
        <v>8</v>
      </c>
      <c r="C1630" s="33"/>
      <c r="D1630" s="33"/>
      <c r="E1630" s="33"/>
      <c r="F1630" s="33"/>
      <c r="G1630" s="77">
        <v>4</v>
      </c>
      <c r="H1630" s="77">
        <v>25</v>
      </c>
      <c r="I1630" s="33"/>
      <c r="J1630" s="34">
        <f>G1630+H1630</f>
        <v>29</v>
      </c>
      <c r="K1630"/>
      <c r="L1630" s="35">
        <f>SUM(L1624:L1629)</f>
        <v>279</v>
      </c>
      <c r="M1630" s="21"/>
    </row>
    <row r="1631" spans="1:15" ht="13.5" thickBot="1">
      <c r="A1631" s="27" t="s">
        <v>31</v>
      </c>
      <c r="B1631" s="28"/>
      <c r="C1631" s="29"/>
      <c r="D1631" s="29"/>
      <c r="E1631" s="29"/>
      <c r="F1631" s="29"/>
      <c r="G1631" s="29">
        <f>SUM(G1629:G1630)</f>
        <v>4</v>
      </c>
      <c r="H1631" s="29">
        <f>SUM(H1629:H1630)</f>
        <v>25</v>
      </c>
      <c r="I1631" s="29"/>
      <c r="J1631" s="30">
        <f>SUM(J1629:J1630)</f>
        <v>29</v>
      </c>
      <c r="K1631"/>
    </row>
    <row r="1632" spans="1:15">
      <c r="A1632" s="31" t="s">
        <v>105</v>
      </c>
      <c r="B1632" s="32" t="s">
        <v>8</v>
      </c>
      <c r="C1632" s="33"/>
      <c r="D1632" s="33"/>
      <c r="E1632" s="33"/>
      <c r="F1632" s="33"/>
      <c r="G1632" s="77">
        <v>5</v>
      </c>
      <c r="H1632" s="77">
        <v>8</v>
      </c>
      <c r="I1632" s="33"/>
      <c r="J1632" s="34">
        <f>G1632+H1632</f>
        <v>13</v>
      </c>
      <c r="K1632"/>
    </row>
    <row r="1633" spans="1:11" ht="13.5" thickBot="1">
      <c r="A1633" s="27" t="s">
        <v>106</v>
      </c>
      <c r="B1633" s="28"/>
      <c r="C1633" s="29"/>
      <c r="D1633" s="29"/>
      <c r="E1633" s="29"/>
      <c r="F1633" s="29"/>
      <c r="G1633" s="29">
        <f>SUM(G1632:G1632)</f>
        <v>5</v>
      </c>
      <c r="H1633" s="29">
        <f>SUM(H1632:H1632)</f>
        <v>8</v>
      </c>
      <c r="I1633" s="29"/>
      <c r="J1633" s="30">
        <f>SUM(J1632:J1632)</f>
        <v>13</v>
      </c>
      <c r="K1633"/>
    </row>
    <row r="1634" spans="1:11">
      <c r="A1634" s="22" t="s">
        <v>108</v>
      </c>
      <c r="B1634" s="32" t="s">
        <v>10</v>
      </c>
      <c r="C1634" s="6"/>
      <c r="D1634" s="6"/>
      <c r="E1634" s="6"/>
      <c r="F1634" s="6"/>
      <c r="G1634" s="76"/>
      <c r="H1634" s="76"/>
      <c r="I1634" s="6"/>
      <c r="J1634" s="24">
        <f>H1634</f>
        <v>0</v>
      </c>
      <c r="K1634"/>
    </row>
    <row r="1635" spans="1:11">
      <c r="A1635" s="22" t="s">
        <v>32</v>
      </c>
      <c r="B1635" s="32" t="s">
        <v>33</v>
      </c>
      <c r="C1635" s="6">
        <v>5</v>
      </c>
      <c r="D1635" s="6"/>
      <c r="E1635" s="6"/>
      <c r="F1635" s="6"/>
      <c r="G1635" s="76"/>
      <c r="H1635" s="76"/>
      <c r="I1635" s="6"/>
      <c r="J1635" s="24">
        <f>C1635</f>
        <v>5</v>
      </c>
      <c r="K1635"/>
    </row>
    <row r="1636" spans="1:11" ht="13.5" thickBot="1">
      <c r="A1636" s="36" t="s">
        <v>34</v>
      </c>
      <c r="B1636" s="37"/>
      <c r="C1636" s="29">
        <f>SUM(C1634:C1635)</f>
        <v>5</v>
      </c>
      <c r="D1636" s="29"/>
      <c r="E1636" s="29"/>
      <c r="F1636" s="29"/>
      <c r="G1636" s="29"/>
      <c r="H1636" s="29">
        <f>SUM(H1634:H1635)</f>
        <v>0</v>
      </c>
      <c r="I1636" s="29"/>
      <c r="J1636" s="30">
        <f>SUM(J1634:J1635)</f>
        <v>5</v>
      </c>
      <c r="K1636"/>
    </row>
    <row r="1637" spans="1:11" ht="17.25" customHeight="1" thickBot="1">
      <c r="A1637" s="78" t="s">
        <v>35</v>
      </c>
      <c r="B1637" s="79"/>
      <c r="C1637" s="80">
        <f>C1628+C1631+C1633+C1636</f>
        <v>5</v>
      </c>
      <c r="D1637" s="80">
        <f>D1628+D1631+D1633+D1636</f>
        <v>24</v>
      </c>
      <c r="E1637" s="80">
        <f>E1628+E1631+E1633+E1636</f>
        <v>279</v>
      </c>
      <c r="F1637" s="80"/>
      <c r="G1637" s="80">
        <f>G1628+G1631+G1633+G1636</f>
        <v>89</v>
      </c>
      <c r="H1637" s="80">
        <f>H1628+H1631+H1633+H1636</f>
        <v>429</v>
      </c>
      <c r="I1637" s="80">
        <f>I1628+I1631+I1633+I1636</f>
        <v>8</v>
      </c>
      <c r="J1637" s="80">
        <f>J1628+J1631+J1633+J1636</f>
        <v>834</v>
      </c>
      <c r="K1637"/>
    </row>
    <row r="1638" spans="1:11">
      <c r="B1638" s="38" t="s">
        <v>36</v>
      </c>
      <c r="C1638" s="39"/>
    </row>
    <row r="1639" spans="1:11">
      <c r="A1639" s="7" t="s">
        <v>37</v>
      </c>
      <c r="B1639" s="8">
        <f>D1628+D1631+D1633+D1636</f>
        <v>24</v>
      </c>
      <c r="C1639" s="6"/>
    </row>
    <row r="1640" spans="1:11">
      <c r="A1640" s="7" t="s">
        <v>38</v>
      </c>
      <c r="B1640" s="8">
        <f>E1637+F1637</f>
        <v>279</v>
      </c>
      <c r="C1640" s="6"/>
    </row>
    <row r="1641" spans="1:11">
      <c r="A1641" s="7" t="s">
        <v>39</v>
      </c>
      <c r="B1641" s="8">
        <f>J1624</f>
        <v>96</v>
      </c>
      <c r="C1641" s="6"/>
    </row>
    <row r="1642" spans="1:11">
      <c r="A1642" s="7" t="s">
        <v>40</v>
      </c>
      <c r="B1642" s="8">
        <f>J1625+J1630+J1632</f>
        <v>374</v>
      </c>
      <c r="C1642" s="6"/>
    </row>
    <row r="1643" spans="1:11">
      <c r="A1643" s="7" t="s">
        <v>41</v>
      </c>
      <c r="B1643" s="8">
        <f>J1626</f>
        <v>4</v>
      </c>
      <c r="C1643" s="6"/>
    </row>
    <row r="1644" spans="1:11">
      <c r="A1644" s="7" t="s">
        <v>42</v>
      </c>
      <c r="B1644" s="8">
        <f>J1627</f>
        <v>52</v>
      </c>
      <c r="C1644" s="6"/>
    </row>
    <row r="1645" spans="1:11">
      <c r="A1645" s="7" t="s">
        <v>43</v>
      </c>
      <c r="B1645" s="8">
        <f>J1634</f>
        <v>0</v>
      </c>
      <c r="C1645" s="6"/>
    </row>
    <row r="1646" spans="1:11">
      <c r="A1646" s="7" t="s">
        <v>44</v>
      </c>
      <c r="B1646" s="8">
        <f>J1635</f>
        <v>5</v>
      </c>
      <c r="C1646" s="6"/>
    </row>
    <row r="1647" spans="1:11">
      <c r="A1647" s="7"/>
      <c r="B1647" s="81">
        <f>SUM(B1639:B1646)</f>
        <v>834</v>
      </c>
      <c r="C1647" s="6"/>
    </row>
    <row r="1649" spans="1:15" ht="13.5" thickBot="1"/>
    <row r="1650" spans="1:15" ht="18" customHeight="1" thickBot="1">
      <c r="A1650" s="82" t="s">
        <v>122</v>
      </c>
      <c r="B1650" s="9"/>
    </row>
    <row r="1651" spans="1:15" ht="15.6" customHeight="1" thickBot="1">
      <c r="A1651" s="11" t="s">
        <v>17</v>
      </c>
      <c r="B1651" s="12" t="s">
        <v>18</v>
      </c>
      <c r="C1651" s="13" t="s">
        <v>16</v>
      </c>
      <c r="D1651" s="14" t="s">
        <v>15</v>
      </c>
      <c r="E1651" s="14" t="s">
        <v>6</v>
      </c>
      <c r="F1651" s="14" t="s">
        <v>19</v>
      </c>
      <c r="G1651" s="74" t="s">
        <v>20</v>
      </c>
      <c r="H1651" s="74" t="s">
        <v>21</v>
      </c>
      <c r="I1651" s="14" t="s">
        <v>22</v>
      </c>
      <c r="J1651" s="15" t="s">
        <v>9</v>
      </c>
      <c r="K1651"/>
    </row>
    <row r="1652" spans="1:15">
      <c r="A1652" s="16" t="s">
        <v>0</v>
      </c>
      <c r="B1652" s="17" t="s">
        <v>15</v>
      </c>
      <c r="C1652" s="18"/>
      <c r="D1652" s="18">
        <v>25</v>
      </c>
      <c r="E1652" s="18"/>
      <c r="F1652" s="18"/>
      <c r="G1652" s="75"/>
      <c r="H1652" s="75"/>
      <c r="I1652" s="18"/>
      <c r="J1652" s="19">
        <f>D1652</f>
        <v>25</v>
      </c>
      <c r="K1652"/>
    </row>
    <row r="1653" spans="1:15">
      <c r="A1653" s="22" t="s">
        <v>0</v>
      </c>
      <c r="B1653" s="23" t="s">
        <v>6</v>
      </c>
      <c r="C1653" s="6"/>
      <c r="D1653" s="6"/>
      <c r="E1653" s="6">
        <v>279</v>
      </c>
      <c r="F1653" s="6"/>
      <c r="G1653" s="76"/>
      <c r="H1653" s="76"/>
      <c r="I1653" s="6"/>
      <c r="J1653" s="24">
        <f>E1653+F1653</f>
        <v>279</v>
      </c>
      <c r="K1653"/>
      <c r="L1653" s="20" t="s">
        <v>23</v>
      </c>
      <c r="M1653" s="21" t="s">
        <v>109</v>
      </c>
      <c r="N1653" s="84"/>
      <c r="O1653" s="26"/>
    </row>
    <row r="1654" spans="1:15">
      <c r="A1654" s="22" t="s">
        <v>0</v>
      </c>
      <c r="B1654" s="23" t="s">
        <v>13</v>
      </c>
      <c r="C1654" s="6"/>
      <c r="D1654" s="6"/>
      <c r="E1654" s="6"/>
      <c r="F1654" s="6"/>
      <c r="G1654" s="76">
        <v>1</v>
      </c>
      <c r="H1654" s="76">
        <v>87</v>
      </c>
      <c r="I1654" s="6">
        <v>8</v>
      </c>
      <c r="J1654" s="24">
        <f>G1654+H1654+I1654</f>
        <v>96</v>
      </c>
      <c r="K1654"/>
      <c r="L1654" s="20">
        <v>195</v>
      </c>
      <c r="M1654" s="25" t="s">
        <v>24</v>
      </c>
    </row>
    <row r="1655" spans="1:15">
      <c r="A1655" s="22" t="s">
        <v>0</v>
      </c>
      <c r="B1655" s="23" t="s">
        <v>8</v>
      </c>
      <c r="C1655" s="6"/>
      <c r="D1655" s="6"/>
      <c r="E1655" s="6"/>
      <c r="F1655" s="6"/>
      <c r="G1655" s="76">
        <v>74</v>
      </c>
      <c r="H1655" s="76">
        <v>258</v>
      </c>
      <c r="I1655" s="6"/>
      <c r="J1655" s="24">
        <f>G1655+H1655+I1655</f>
        <v>332</v>
      </c>
      <c r="K1655"/>
      <c r="L1655" s="20">
        <v>44</v>
      </c>
      <c r="M1655" s="25" t="s">
        <v>25</v>
      </c>
    </row>
    <row r="1656" spans="1:15">
      <c r="A1656" s="22" t="s">
        <v>0</v>
      </c>
      <c r="B1656" s="23" t="s">
        <v>12</v>
      </c>
      <c r="C1656" s="6"/>
      <c r="D1656" s="6"/>
      <c r="E1656" s="6"/>
      <c r="F1656" s="6"/>
      <c r="G1656" s="76"/>
      <c r="H1656" s="76">
        <v>4</v>
      </c>
      <c r="I1656" s="6"/>
      <c r="J1656" s="24">
        <f>H1656</f>
        <v>4</v>
      </c>
      <c r="K1656"/>
      <c r="L1656" s="20">
        <v>36</v>
      </c>
      <c r="M1656" s="25" t="s">
        <v>26</v>
      </c>
    </row>
    <row r="1657" spans="1:15">
      <c r="A1657" s="22" t="s">
        <v>0</v>
      </c>
      <c r="B1657" s="23" t="s">
        <v>14</v>
      </c>
      <c r="C1657" s="6"/>
      <c r="D1657" s="6"/>
      <c r="E1657" s="6"/>
      <c r="F1657" s="6"/>
      <c r="G1657" s="76">
        <v>5</v>
      </c>
      <c r="H1657" s="76">
        <v>47</v>
      </c>
      <c r="I1657" s="6"/>
      <c r="J1657" s="24">
        <f>G1657+H1657</f>
        <v>52</v>
      </c>
      <c r="K1657"/>
      <c r="L1657" s="20">
        <v>2</v>
      </c>
      <c r="M1657" s="25" t="s">
        <v>27</v>
      </c>
    </row>
    <row r="1658" spans="1:15" ht="13.5" thickBot="1">
      <c r="A1658" s="27" t="s">
        <v>29</v>
      </c>
      <c r="B1658" s="28"/>
      <c r="C1658" s="29"/>
      <c r="D1658" s="29">
        <f>SUM(D1652:D1657)</f>
        <v>25</v>
      </c>
      <c r="E1658" s="29">
        <f>SUM(E1652:E1657)</f>
        <v>279</v>
      </c>
      <c r="F1658" s="29"/>
      <c r="G1658" s="29">
        <f>SUM(G1652:G1657)</f>
        <v>80</v>
      </c>
      <c r="H1658" s="29">
        <f>SUM(H1652:H1657)</f>
        <v>396</v>
      </c>
      <c r="I1658" s="29">
        <f>SUM(I1652:I1657)</f>
        <v>8</v>
      </c>
      <c r="J1658" s="30">
        <f>SUM(J1652:J1657)</f>
        <v>788</v>
      </c>
      <c r="K1658"/>
      <c r="L1658" s="20">
        <v>1</v>
      </c>
      <c r="M1658" s="25" t="s">
        <v>28</v>
      </c>
      <c r="N1658" s="26"/>
    </row>
    <row r="1659" spans="1:15">
      <c r="A1659" s="31" t="s">
        <v>7</v>
      </c>
      <c r="B1659" s="32" t="s">
        <v>15</v>
      </c>
      <c r="C1659" s="33"/>
      <c r="D1659" s="33"/>
      <c r="E1659" s="33"/>
      <c r="F1659" s="33"/>
      <c r="G1659" s="77"/>
      <c r="H1659" s="77"/>
      <c r="I1659" s="33"/>
      <c r="J1659" s="34"/>
      <c r="K1659"/>
      <c r="L1659" s="20">
        <v>1</v>
      </c>
      <c r="M1659" s="25" t="s">
        <v>30</v>
      </c>
    </row>
    <row r="1660" spans="1:15">
      <c r="A1660" s="31" t="s">
        <v>7</v>
      </c>
      <c r="B1660" s="32" t="s">
        <v>8</v>
      </c>
      <c r="C1660" s="33"/>
      <c r="D1660" s="33"/>
      <c r="E1660" s="33"/>
      <c r="F1660" s="33"/>
      <c r="G1660" s="77">
        <v>4</v>
      </c>
      <c r="H1660" s="77">
        <v>25</v>
      </c>
      <c r="I1660" s="33"/>
      <c r="J1660" s="34">
        <f>G1660+H1660</f>
        <v>29</v>
      </c>
      <c r="K1660"/>
      <c r="L1660" s="35">
        <f>SUM(L1654:L1659)</f>
        <v>279</v>
      </c>
      <c r="M1660" s="21"/>
    </row>
    <row r="1661" spans="1:15" ht="13.5" thickBot="1">
      <c r="A1661" s="27" t="s">
        <v>31</v>
      </c>
      <c r="B1661" s="28"/>
      <c r="C1661" s="29"/>
      <c r="D1661" s="29"/>
      <c r="E1661" s="29"/>
      <c r="F1661" s="29"/>
      <c r="G1661" s="29">
        <f>SUM(G1659:G1660)</f>
        <v>4</v>
      </c>
      <c r="H1661" s="29">
        <f>SUM(H1659:H1660)</f>
        <v>25</v>
      </c>
      <c r="I1661" s="29"/>
      <c r="J1661" s="30">
        <f>SUM(J1659:J1660)</f>
        <v>29</v>
      </c>
      <c r="K1661"/>
    </row>
    <row r="1662" spans="1:15">
      <c r="A1662" s="31" t="s">
        <v>105</v>
      </c>
      <c r="B1662" s="32" t="s">
        <v>8</v>
      </c>
      <c r="C1662" s="33"/>
      <c r="D1662" s="33"/>
      <c r="E1662" s="33"/>
      <c r="F1662" s="33"/>
      <c r="G1662" s="77">
        <v>5</v>
      </c>
      <c r="H1662" s="77">
        <v>7</v>
      </c>
      <c r="I1662" s="33"/>
      <c r="J1662" s="34">
        <f>G1662+H1662</f>
        <v>12</v>
      </c>
      <c r="K1662"/>
    </row>
    <row r="1663" spans="1:15" ht="13.5" thickBot="1">
      <c r="A1663" s="27" t="s">
        <v>106</v>
      </c>
      <c r="B1663" s="28"/>
      <c r="C1663" s="29"/>
      <c r="D1663" s="29"/>
      <c r="E1663" s="29"/>
      <c r="F1663" s="29"/>
      <c r="G1663" s="29">
        <f>SUM(G1662:G1662)</f>
        <v>5</v>
      </c>
      <c r="H1663" s="29">
        <f>SUM(H1662:H1662)</f>
        <v>7</v>
      </c>
      <c r="I1663" s="29"/>
      <c r="J1663" s="30">
        <f>SUM(J1662:J1662)</f>
        <v>12</v>
      </c>
      <c r="K1663"/>
    </row>
    <row r="1664" spans="1:15">
      <c r="A1664" s="22" t="s">
        <v>108</v>
      </c>
      <c r="B1664" s="32" t="s">
        <v>10</v>
      </c>
      <c r="C1664" s="6"/>
      <c r="D1664" s="6"/>
      <c r="E1664" s="6"/>
      <c r="F1664" s="6"/>
      <c r="G1664" s="76"/>
      <c r="H1664" s="76"/>
      <c r="I1664" s="6"/>
      <c r="J1664" s="24">
        <f>H1664</f>
        <v>0</v>
      </c>
      <c r="K1664"/>
    </row>
    <row r="1665" spans="1:11">
      <c r="A1665" s="22" t="s">
        <v>32</v>
      </c>
      <c r="B1665" s="32" t="s">
        <v>33</v>
      </c>
      <c r="C1665" s="6">
        <v>4</v>
      </c>
      <c r="D1665" s="6"/>
      <c r="E1665" s="6"/>
      <c r="F1665" s="6"/>
      <c r="G1665" s="76"/>
      <c r="H1665" s="76"/>
      <c r="I1665" s="6"/>
      <c r="J1665" s="24">
        <f>C1665</f>
        <v>4</v>
      </c>
      <c r="K1665"/>
    </row>
    <row r="1666" spans="1:11" ht="13.5" thickBot="1">
      <c r="A1666" s="36" t="s">
        <v>34</v>
      </c>
      <c r="B1666" s="37"/>
      <c r="C1666" s="29">
        <f>SUM(C1664:C1665)</f>
        <v>4</v>
      </c>
      <c r="D1666" s="29"/>
      <c r="E1666" s="29"/>
      <c r="F1666" s="29"/>
      <c r="G1666" s="29"/>
      <c r="H1666" s="29">
        <f>SUM(H1664:H1665)</f>
        <v>0</v>
      </c>
      <c r="I1666" s="29"/>
      <c r="J1666" s="30">
        <f>SUM(J1664:J1665)</f>
        <v>4</v>
      </c>
      <c r="K1666"/>
    </row>
    <row r="1667" spans="1:11" ht="17.25" customHeight="1" thickBot="1">
      <c r="A1667" s="78" t="s">
        <v>35</v>
      </c>
      <c r="B1667" s="79"/>
      <c r="C1667" s="80">
        <f>C1658+C1661+C1663+C1666</f>
        <v>4</v>
      </c>
      <c r="D1667" s="80">
        <f>D1658+D1661+D1663+D1666</f>
        <v>25</v>
      </c>
      <c r="E1667" s="80">
        <f>E1658+E1661+E1663+E1666</f>
        <v>279</v>
      </c>
      <c r="F1667" s="80"/>
      <c r="G1667" s="80">
        <f>G1658+G1661+G1663+G1666</f>
        <v>89</v>
      </c>
      <c r="H1667" s="80">
        <f>H1658+H1661+H1663+H1666</f>
        <v>428</v>
      </c>
      <c r="I1667" s="80">
        <f>I1658+I1661+I1663+I1666</f>
        <v>8</v>
      </c>
      <c r="J1667" s="80">
        <f>J1658+J1661+J1663+J1666</f>
        <v>833</v>
      </c>
      <c r="K1667"/>
    </row>
    <row r="1668" spans="1:11">
      <c r="B1668" s="38" t="s">
        <v>36</v>
      </c>
      <c r="C1668" s="39"/>
    </row>
    <row r="1669" spans="1:11">
      <c r="A1669" s="7" t="s">
        <v>37</v>
      </c>
      <c r="B1669" s="8">
        <f>D1658+D1661+D1663+D1666</f>
        <v>25</v>
      </c>
      <c r="C1669" s="6"/>
    </row>
    <row r="1670" spans="1:11">
      <c r="A1670" s="7" t="s">
        <v>38</v>
      </c>
      <c r="B1670" s="8">
        <f>E1667+F1667</f>
        <v>279</v>
      </c>
      <c r="C1670" s="6"/>
    </row>
    <row r="1671" spans="1:11">
      <c r="A1671" s="7" t="s">
        <v>39</v>
      </c>
      <c r="B1671" s="8">
        <f>J1654</f>
        <v>96</v>
      </c>
      <c r="C1671" s="6"/>
    </row>
    <row r="1672" spans="1:11">
      <c r="A1672" s="7" t="s">
        <v>40</v>
      </c>
      <c r="B1672" s="8">
        <f>J1655+J1660+J1662</f>
        <v>373</v>
      </c>
      <c r="C1672" s="6"/>
    </row>
    <row r="1673" spans="1:11">
      <c r="A1673" s="7" t="s">
        <v>41</v>
      </c>
      <c r="B1673" s="8">
        <f>J1656</f>
        <v>4</v>
      </c>
      <c r="C1673" s="6"/>
    </row>
    <row r="1674" spans="1:11">
      <c r="A1674" s="7" t="s">
        <v>42</v>
      </c>
      <c r="B1674" s="8">
        <f>J1657</f>
        <v>52</v>
      </c>
      <c r="C1674" s="6"/>
    </row>
    <row r="1675" spans="1:11">
      <c r="A1675" s="7" t="s">
        <v>43</v>
      </c>
      <c r="B1675" s="8">
        <f>J1664</f>
        <v>0</v>
      </c>
      <c r="C1675" s="6"/>
    </row>
    <row r="1676" spans="1:11">
      <c r="A1676" s="7" t="s">
        <v>44</v>
      </c>
      <c r="B1676" s="8">
        <f>J1665</f>
        <v>4</v>
      </c>
      <c r="C1676" s="6"/>
    </row>
    <row r="1677" spans="1:11" ht="13.5" thickBot="1">
      <c r="A1677" s="7"/>
      <c r="B1677" s="81">
        <f>SUM(B1669:B1676)</f>
        <v>833</v>
      </c>
      <c r="C1677" s="6"/>
    </row>
    <row r="1678" spans="1:11" ht="18" customHeight="1" thickBot="1">
      <c r="A1678" s="82" t="s">
        <v>123</v>
      </c>
      <c r="B1678" s="9"/>
    </row>
    <row r="1679" spans="1:11" ht="15.6" customHeight="1" thickBot="1">
      <c r="A1679" s="11" t="s">
        <v>17</v>
      </c>
      <c r="B1679" s="12" t="s">
        <v>18</v>
      </c>
      <c r="C1679" s="13" t="s">
        <v>16</v>
      </c>
      <c r="D1679" s="14" t="s">
        <v>15</v>
      </c>
      <c r="E1679" s="14" t="s">
        <v>6</v>
      </c>
      <c r="F1679" s="14" t="s">
        <v>19</v>
      </c>
      <c r="G1679" s="74" t="s">
        <v>20</v>
      </c>
      <c r="H1679" s="74" t="s">
        <v>21</v>
      </c>
      <c r="I1679" s="14" t="s">
        <v>22</v>
      </c>
      <c r="J1679" s="15" t="s">
        <v>9</v>
      </c>
      <c r="K1679"/>
    </row>
    <row r="1680" spans="1:11">
      <c r="A1680" s="16" t="s">
        <v>0</v>
      </c>
      <c r="B1680" s="17" t="s">
        <v>15</v>
      </c>
      <c r="C1680" s="18"/>
      <c r="D1680" s="18">
        <v>26</v>
      </c>
      <c r="E1680" s="18"/>
      <c r="F1680" s="18"/>
      <c r="G1680" s="75"/>
      <c r="H1680" s="75"/>
      <c r="I1680" s="18"/>
      <c r="J1680" s="19">
        <v>26</v>
      </c>
      <c r="K1680"/>
    </row>
    <row r="1681" spans="1:15">
      <c r="A1681" s="22" t="s">
        <v>0</v>
      </c>
      <c r="B1681" s="23" t="s">
        <v>6</v>
      </c>
      <c r="C1681" s="6"/>
      <c r="D1681" s="6"/>
      <c r="E1681" s="6">
        <v>279</v>
      </c>
      <c r="F1681" s="6"/>
      <c r="G1681" s="76"/>
      <c r="H1681" s="76"/>
      <c r="I1681" s="6"/>
      <c r="J1681" s="24">
        <v>279</v>
      </c>
      <c r="K1681"/>
      <c r="L1681" s="20" t="s">
        <v>23</v>
      </c>
      <c r="M1681" s="21" t="s">
        <v>109</v>
      </c>
      <c r="N1681" s="84"/>
      <c r="O1681" s="26"/>
    </row>
    <row r="1682" spans="1:15">
      <c r="A1682" s="22" t="s">
        <v>0</v>
      </c>
      <c r="B1682" s="23" t="s">
        <v>13</v>
      </c>
      <c r="C1682" s="6"/>
      <c r="D1682" s="6"/>
      <c r="E1682" s="6"/>
      <c r="F1682" s="6"/>
      <c r="G1682" s="76">
        <v>2</v>
      </c>
      <c r="H1682" s="76">
        <v>87</v>
      </c>
      <c r="I1682" s="6">
        <v>9</v>
      </c>
      <c r="J1682" s="24">
        <v>98</v>
      </c>
      <c r="K1682"/>
      <c r="L1682" s="20">
        <v>195</v>
      </c>
      <c r="M1682" s="25" t="s">
        <v>24</v>
      </c>
    </row>
    <row r="1683" spans="1:15">
      <c r="A1683" s="22" t="s">
        <v>0</v>
      </c>
      <c r="B1683" s="23" t="s">
        <v>8</v>
      </c>
      <c r="C1683" s="6"/>
      <c r="D1683" s="6"/>
      <c r="E1683" s="6"/>
      <c r="F1683" s="6"/>
      <c r="G1683" s="76">
        <v>74</v>
      </c>
      <c r="H1683" s="76">
        <v>258</v>
      </c>
      <c r="I1683" s="6"/>
      <c r="J1683" s="24">
        <v>332</v>
      </c>
      <c r="K1683"/>
      <c r="L1683" s="20">
        <v>44</v>
      </c>
      <c r="M1683" s="25" t="s">
        <v>25</v>
      </c>
    </row>
    <row r="1684" spans="1:15">
      <c r="A1684" s="22" t="s">
        <v>0</v>
      </c>
      <c r="B1684" s="23" t="s">
        <v>12</v>
      </c>
      <c r="C1684" s="6"/>
      <c r="D1684" s="6"/>
      <c r="E1684" s="6"/>
      <c r="F1684" s="6"/>
      <c r="G1684" s="76"/>
      <c r="H1684" s="76">
        <v>4</v>
      </c>
      <c r="I1684" s="6"/>
      <c r="J1684" s="24">
        <v>4</v>
      </c>
      <c r="K1684"/>
      <c r="L1684" s="20">
        <v>36</v>
      </c>
      <c r="M1684" s="25" t="s">
        <v>26</v>
      </c>
    </row>
    <row r="1685" spans="1:15">
      <c r="A1685" s="22" t="s">
        <v>0</v>
      </c>
      <c r="B1685" s="23" t="s">
        <v>14</v>
      </c>
      <c r="C1685" s="6"/>
      <c r="D1685" s="6"/>
      <c r="E1685" s="6"/>
      <c r="F1685" s="6"/>
      <c r="G1685" s="76">
        <v>5</v>
      </c>
      <c r="H1685" s="76">
        <v>47</v>
      </c>
      <c r="I1685" s="6"/>
      <c r="J1685" s="24">
        <v>52</v>
      </c>
      <c r="K1685"/>
      <c r="L1685" s="20">
        <v>2</v>
      </c>
      <c r="M1685" s="25" t="s">
        <v>27</v>
      </c>
    </row>
    <row r="1686" spans="1:15" ht="13.5" thickBot="1">
      <c r="A1686" s="27" t="s">
        <v>29</v>
      </c>
      <c r="B1686" s="28"/>
      <c r="C1686" s="29"/>
      <c r="D1686" s="29">
        <v>26</v>
      </c>
      <c r="E1686" s="29">
        <v>279</v>
      </c>
      <c r="F1686" s="29"/>
      <c r="G1686" s="29">
        <v>81</v>
      </c>
      <c r="H1686" s="29">
        <v>396</v>
      </c>
      <c r="I1686" s="29">
        <v>9</v>
      </c>
      <c r="J1686" s="30">
        <v>791</v>
      </c>
      <c r="K1686"/>
      <c r="L1686" s="20">
        <v>1</v>
      </c>
      <c r="M1686" s="25" t="s">
        <v>28</v>
      </c>
      <c r="N1686" s="26"/>
    </row>
    <row r="1687" spans="1:15">
      <c r="A1687" s="31" t="s">
        <v>7</v>
      </c>
      <c r="B1687" s="32" t="s">
        <v>15</v>
      </c>
      <c r="C1687" s="33"/>
      <c r="D1687" s="33"/>
      <c r="E1687" s="33"/>
      <c r="F1687" s="33"/>
      <c r="G1687" s="77"/>
      <c r="H1687" s="77"/>
      <c r="I1687" s="33"/>
      <c r="J1687" s="34"/>
      <c r="K1687"/>
      <c r="L1687" s="20">
        <v>1</v>
      </c>
      <c r="M1687" s="25" t="s">
        <v>30</v>
      </c>
    </row>
    <row r="1688" spans="1:15">
      <c r="A1688" s="31" t="s">
        <v>7</v>
      </c>
      <c r="B1688" s="32" t="s">
        <v>8</v>
      </c>
      <c r="C1688" s="33"/>
      <c r="D1688" s="33"/>
      <c r="E1688" s="33"/>
      <c r="F1688" s="33"/>
      <c r="G1688" s="77">
        <v>4</v>
      </c>
      <c r="H1688" s="77">
        <v>26</v>
      </c>
      <c r="I1688" s="33"/>
      <c r="J1688" s="34">
        <v>30</v>
      </c>
      <c r="K1688"/>
      <c r="L1688" s="35">
        <f>SUM(L1682:L1687)</f>
        <v>279</v>
      </c>
      <c r="M1688" s="21"/>
    </row>
    <row r="1689" spans="1:15" ht="13.5" thickBot="1">
      <c r="A1689" s="27" t="s">
        <v>31</v>
      </c>
      <c r="B1689" s="28"/>
      <c r="C1689" s="29"/>
      <c r="D1689" s="29"/>
      <c r="E1689" s="29"/>
      <c r="F1689" s="29"/>
      <c r="G1689" s="29">
        <v>4</v>
      </c>
      <c r="H1689" s="29">
        <v>26</v>
      </c>
      <c r="I1689" s="29"/>
      <c r="J1689" s="30">
        <v>30</v>
      </c>
      <c r="K1689"/>
    </row>
    <row r="1690" spans="1:15">
      <c r="A1690" s="31" t="s">
        <v>105</v>
      </c>
      <c r="B1690" s="32" t="s">
        <v>8</v>
      </c>
      <c r="C1690" s="33"/>
      <c r="D1690" s="33"/>
      <c r="E1690" s="33"/>
      <c r="F1690" s="33"/>
      <c r="G1690" s="77">
        <v>5</v>
      </c>
      <c r="H1690" s="77">
        <v>5</v>
      </c>
      <c r="I1690" s="33"/>
      <c r="J1690" s="34">
        <v>10</v>
      </c>
      <c r="K1690"/>
    </row>
    <row r="1691" spans="1:15" ht="13.5" thickBot="1">
      <c r="A1691" s="27" t="s">
        <v>106</v>
      </c>
      <c r="B1691" s="28"/>
      <c r="C1691" s="29"/>
      <c r="D1691" s="29"/>
      <c r="E1691" s="29"/>
      <c r="F1691" s="29"/>
      <c r="G1691" s="29">
        <v>5</v>
      </c>
      <c r="H1691" s="29">
        <v>5</v>
      </c>
      <c r="I1691" s="29"/>
      <c r="J1691" s="30">
        <v>10</v>
      </c>
      <c r="K1691"/>
    </row>
    <row r="1692" spans="1:15">
      <c r="A1692" s="22" t="s">
        <v>108</v>
      </c>
      <c r="B1692" s="32" t="s">
        <v>10</v>
      </c>
      <c r="C1692" s="6"/>
      <c r="D1692" s="6"/>
      <c r="E1692" s="6"/>
      <c r="F1692" s="6"/>
      <c r="G1692" s="76"/>
      <c r="H1692" s="76"/>
      <c r="I1692" s="6"/>
      <c r="J1692" s="24">
        <v>0</v>
      </c>
      <c r="K1692"/>
    </row>
    <row r="1693" spans="1:15">
      <c r="A1693" s="22" t="s">
        <v>32</v>
      </c>
      <c r="B1693" s="32" t="s">
        <v>33</v>
      </c>
      <c r="C1693" s="6">
        <v>4</v>
      </c>
      <c r="D1693" s="6"/>
      <c r="E1693" s="6"/>
      <c r="F1693" s="6"/>
      <c r="G1693" s="76"/>
      <c r="H1693" s="76"/>
      <c r="I1693" s="6"/>
      <c r="J1693" s="24">
        <v>4</v>
      </c>
      <c r="K1693"/>
    </row>
    <row r="1694" spans="1:15" ht="13.5" thickBot="1">
      <c r="A1694" s="36" t="s">
        <v>34</v>
      </c>
      <c r="B1694" s="37"/>
      <c r="C1694" s="29">
        <v>4</v>
      </c>
      <c r="D1694" s="29"/>
      <c r="E1694" s="29"/>
      <c r="F1694" s="29"/>
      <c r="G1694" s="29"/>
      <c r="H1694" s="29">
        <v>0</v>
      </c>
      <c r="I1694" s="29"/>
      <c r="J1694" s="30">
        <v>4</v>
      </c>
      <c r="K1694"/>
    </row>
    <row r="1695" spans="1:15" ht="17.25" customHeight="1" thickBot="1">
      <c r="A1695" s="78" t="s">
        <v>35</v>
      </c>
      <c r="B1695" s="79"/>
      <c r="C1695" s="80">
        <v>4</v>
      </c>
      <c r="D1695" s="80">
        <v>26</v>
      </c>
      <c r="E1695" s="80">
        <v>279</v>
      </c>
      <c r="F1695" s="80"/>
      <c r="G1695" s="80">
        <v>90</v>
      </c>
      <c r="H1695" s="80">
        <v>427</v>
      </c>
      <c r="I1695" s="80">
        <v>9</v>
      </c>
      <c r="J1695" s="80">
        <v>835</v>
      </c>
      <c r="K1695"/>
    </row>
    <row r="1696" spans="1:15">
      <c r="B1696" s="38" t="s">
        <v>36</v>
      </c>
      <c r="C1696" s="39"/>
    </row>
    <row r="1697" spans="1:15">
      <c r="A1697" s="7" t="s">
        <v>37</v>
      </c>
      <c r="B1697" s="8">
        <f>D1686+D1689+D1691+D1694</f>
        <v>26</v>
      </c>
      <c r="C1697" s="6"/>
    </row>
    <row r="1698" spans="1:15">
      <c r="A1698" s="7" t="s">
        <v>38</v>
      </c>
      <c r="B1698" s="8">
        <f>E1695+F1695</f>
        <v>279</v>
      </c>
      <c r="C1698" s="6"/>
    </row>
    <row r="1699" spans="1:15">
      <c r="A1699" s="7" t="s">
        <v>39</v>
      </c>
      <c r="B1699" s="8">
        <f>J1682</f>
        <v>98</v>
      </c>
      <c r="C1699" s="6"/>
    </row>
    <row r="1700" spans="1:15">
      <c r="A1700" s="7" t="s">
        <v>40</v>
      </c>
      <c r="B1700" s="8">
        <f>J1683+J1688+J1690</f>
        <v>372</v>
      </c>
      <c r="C1700" s="6"/>
    </row>
    <row r="1701" spans="1:15">
      <c r="A1701" s="7" t="s">
        <v>41</v>
      </c>
      <c r="B1701" s="8">
        <f>J1684</f>
        <v>4</v>
      </c>
      <c r="C1701" s="6"/>
    </row>
    <row r="1702" spans="1:15">
      <c r="A1702" s="7" t="s">
        <v>42</v>
      </c>
      <c r="B1702" s="8">
        <f>J1685</f>
        <v>52</v>
      </c>
      <c r="C1702" s="6"/>
    </row>
    <row r="1703" spans="1:15">
      <c r="A1703" s="7" t="s">
        <v>43</v>
      </c>
      <c r="B1703" s="8">
        <f>J1692</f>
        <v>0</v>
      </c>
      <c r="C1703" s="6"/>
    </row>
    <row r="1704" spans="1:15">
      <c r="A1704" s="7" t="s">
        <v>44</v>
      </c>
      <c r="B1704" s="8">
        <f>J1693</f>
        <v>4</v>
      </c>
      <c r="C1704" s="6"/>
    </row>
    <row r="1705" spans="1:15">
      <c r="A1705" s="7"/>
      <c r="B1705" s="81">
        <f>SUM(B1697:B1704)</f>
        <v>835</v>
      </c>
      <c r="C1705" s="6"/>
    </row>
    <row r="1707" spans="1:15" ht="13.5" thickBot="1"/>
    <row r="1708" spans="1:15" ht="18" customHeight="1" thickBot="1">
      <c r="A1708" s="83" t="s">
        <v>118</v>
      </c>
      <c r="B1708" s="9"/>
    </row>
    <row r="1709" spans="1:15" ht="15.6" customHeight="1" thickBot="1">
      <c r="A1709" s="11" t="s">
        <v>17</v>
      </c>
      <c r="B1709" s="12" t="s">
        <v>18</v>
      </c>
      <c r="C1709" s="13" t="s">
        <v>16</v>
      </c>
      <c r="D1709" s="14" t="s">
        <v>15</v>
      </c>
      <c r="E1709" s="14" t="s">
        <v>6</v>
      </c>
      <c r="F1709" s="14" t="s">
        <v>19</v>
      </c>
      <c r="G1709" s="74" t="s">
        <v>20</v>
      </c>
      <c r="H1709" s="74" t="s">
        <v>21</v>
      </c>
      <c r="I1709" s="14" t="s">
        <v>22</v>
      </c>
      <c r="J1709" s="15" t="s">
        <v>9</v>
      </c>
      <c r="K1709"/>
    </row>
    <row r="1710" spans="1:15">
      <c r="A1710" s="16" t="s">
        <v>0</v>
      </c>
      <c r="B1710" s="17" t="s">
        <v>15</v>
      </c>
      <c r="C1710" s="18"/>
      <c r="D1710" s="18">
        <v>26</v>
      </c>
      <c r="E1710" s="18"/>
      <c r="F1710" s="18"/>
      <c r="G1710" s="75"/>
      <c r="H1710" s="75"/>
      <c r="I1710" s="18"/>
      <c r="J1710" s="19">
        <v>26</v>
      </c>
      <c r="K1710"/>
    </row>
    <row r="1711" spans="1:15">
      <c r="A1711" s="22" t="s">
        <v>0</v>
      </c>
      <c r="B1711" s="23" t="s">
        <v>6</v>
      </c>
      <c r="C1711" s="6"/>
      <c r="D1711" s="6"/>
      <c r="E1711" s="6">
        <v>279</v>
      </c>
      <c r="F1711" s="6"/>
      <c r="G1711" s="76"/>
      <c r="H1711" s="76"/>
      <c r="I1711" s="6"/>
      <c r="J1711" s="24">
        <v>279</v>
      </c>
      <c r="K1711"/>
      <c r="L1711" s="20" t="s">
        <v>23</v>
      </c>
      <c r="M1711" s="21" t="s">
        <v>109</v>
      </c>
      <c r="N1711" s="84"/>
      <c r="O1711" s="26"/>
    </row>
    <row r="1712" spans="1:15">
      <c r="A1712" s="22" t="s">
        <v>0</v>
      </c>
      <c r="B1712" s="23" t="s">
        <v>13</v>
      </c>
      <c r="C1712" s="6"/>
      <c r="D1712" s="6"/>
      <c r="E1712" s="6"/>
      <c r="F1712" s="6"/>
      <c r="G1712" s="76">
        <v>2</v>
      </c>
      <c r="H1712" s="76">
        <v>87</v>
      </c>
      <c r="I1712" s="6">
        <v>9</v>
      </c>
      <c r="J1712" s="24">
        <v>98</v>
      </c>
      <c r="K1712"/>
      <c r="L1712" s="20">
        <v>195</v>
      </c>
      <c r="M1712" s="25" t="s">
        <v>24</v>
      </c>
    </row>
    <row r="1713" spans="1:14">
      <c r="A1713" s="22" t="s">
        <v>0</v>
      </c>
      <c r="B1713" s="23" t="s">
        <v>8</v>
      </c>
      <c r="C1713" s="6"/>
      <c r="D1713" s="6"/>
      <c r="E1713" s="6"/>
      <c r="F1713" s="6"/>
      <c r="G1713" s="76">
        <v>73</v>
      </c>
      <c r="H1713" s="76">
        <v>258</v>
      </c>
      <c r="I1713" s="6"/>
      <c r="J1713" s="24">
        <v>331</v>
      </c>
      <c r="K1713"/>
      <c r="L1713" s="20">
        <v>44</v>
      </c>
      <c r="M1713" s="25" t="s">
        <v>25</v>
      </c>
    </row>
    <row r="1714" spans="1:14">
      <c r="A1714" s="22" t="s">
        <v>0</v>
      </c>
      <c r="B1714" s="23" t="s">
        <v>12</v>
      </c>
      <c r="C1714" s="6"/>
      <c r="D1714" s="6"/>
      <c r="E1714" s="6"/>
      <c r="F1714" s="6"/>
      <c r="G1714" s="76"/>
      <c r="H1714" s="76">
        <v>4</v>
      </c>
      <c r="I1714" s="6"/>
      <c r="J1714" s="24">
        <v>4</v>
      </c>
      <c r="K1714"/>
      <c r="L1714" s="20">
        <v>36</v>
      </c>
      <c r="M1714" s="25" t="s">
        <v>26</v>
      </c>
    </row>
    <row r="1715" spans="1:14">
      <c r="A1715" s="22" t="s">
        <v>0</v>
      </c>
      <c r="B1715" s="23" t="s">
        <v>14</v>
      </c>
      <c r="C1715" s="6"/>
      <c r="D1715" s="6"/>
      <c r="E1715" s="6"/>
      <c r="F1715" s="6"/>
      <c r="G1715" s="76">
        <v>5</v>
      </c>
      <c r="H1715" s="76">
        <v>47</v>
      </c>
      <c r="I1715" s="6"/>
      <c r="J1715" s="24">
        <v>52</v>
      </c>
      <c r="K1715"/>
      <c r="L1715" s="20">
        <v>2</v>
      </c>
      <c r="M1715" s="25" t="s">
        <v>27</v>
      </c>
    </row>
    <row r="1716" spans="1:14" ht="13.5" thickBot="1">
      <c r="A1716" s="27" t="s">
        <v>29</v>
      </c>
      <c r="B1716" s="28"/>
      <c r="C1716" s="29"/>
      <c r="D1716" s="29">
        <v>26</v>
      </c>
      <c r="E1716" s="29">
        <v>279</v>
      </c>
      <c r="F1716" s="29"/>
      <c r="G1716" s="29">
        <v>80</v>
      </c>
      <c r="H1716" s="29">
        <v>396</v>
      </c>
      <c r="I1716" s="29">
        <v>9</v>
      </c>
      <c r="J1716" s="30">
        <v>790</v>
      </c>
      <c r="K1716"/>
      <c r="L1716" s="20">
        <v>1</v>
      </c>
      <c r="M1716" s="25" t="s">
        <v>28</v>
      </c>
      <c r="N1716" s="26"/>
    </row>
    <row r="1717" spans="1:14">
      <c r="A1717" s="31" t="s">
        <v>7</v>
      </c>
      <c r="B1717" s="32" t="s">
        <v>15</v>
      </c>
      <c r="C1717" s="33"/>
      <c r="D1717" s="33"/>
      <c r="E1717" s="33"/>
      <c r="F1717" s="33"/>
      <c r="G1717" s="77"/>
      <c r="H1717" s="77"/>
      <c r="I1717" s="33"/>
      <c r="J1717" s="34"/>
      <c r="K1717"/>
      <c r="L1717" s="20">
        <v>1</v>
      </c>
      <c r="M1717" s="25" t="s">
        <v>30</v>
      </c>
    </row>
    <row r="1718" spans="1:14">
      <c r="A1718" s="31" t="s">
        <v>7</v>
      </c>
      <c r="B1718" s="32" t="s">
        <v>8</v>
      </c>
      <c r="C1718" s="33"/>
      <c r="D1718" s="33"/>
      <c r="E1718" s="33"/>
      <c r="F1718" s="33"/>
      <c r="G1718" s="77">
        <v>4</v>
      </c>
      <c r="H1718" s="77">
        <v>26</v>
      </c>
      <c r="I1718" s="33"/>
      <c r="J1718" s="34">
        <v>30</v>
      </c>
      <c r="K1718"/>
      <c r="L1718" s="35">
        <f>SUM(L1712:L1717)</f>
        <v>279</v>
      </c>
      <c r="M1718" s="21"/>
    </row>
    <row r="1719" spans="1:14" ht="13.5" thickBot="1">
      <c r="A1719" s="27" t="s">
        <v>31</v>
      </c>
      <c r="B1719" s="28"/>
      <c r="C1719" s="29"/>
      <c r="D1719" s="29"/>
      <c r="E1719" s="29"/>
      <c r="F1719" s="29"/>
      <c r="G1719" s="29">
        <v>4</v>
      </c>
      <c r="H1719" s="29">
        <v>26</v>
      </c>
      <c r="I1719" s="29"/>
      <c r="J1719" s="30">
        <v>30</v>
      </c>
      <c r="K1719"/>
    </row>
    <row r="1720" spans="1:14">
      <c r="A1720" s="31" t="s">
        <v>105</v>
      </c>
      <c r="B1720" s="32" t="s">
        <v>8</v>
      </c>
      <c r="C1720" s="33"/>
      <c r="D1720" s="33"/>
      <c r="E1720" s="33"/>
      <c r="F1720" s="33"/>
      <c r="G1720" s="77">
        <v>5</v>
      </c>
      <c r="H1720" s="77">
        <v>5</v>
      </c>
      <c r="I1720" s="33"/>
      <c r="J1720" s="34">
        <v>10</v>
      </c>
      <c r="K1720"/>
    </row>
    <row r="1721" spans="1:14" ht="13.5" thickBot="1">
      <c r="A1721" s="27" t="s">
        <v>106</v>
      </c>
      <c r="B1721" s="28"/>
      <c r="C1721" s="29"/>
      <c r="D1721" s="29"/>
      <c r="E1721" s="29"/>
      <c r="F1721" s="29"/>
      <c r="G1721" s="29">
        <v>5</v>
      </c>
      <c r="H1721" s="29">
        <v>5</v>
      </c>
      <c r="I1721" s="29"/>
      <c r="J1721" s="30">
        <v>10</v>
      </c>
      <c r="K1721"/>
    </row>
    <row r="1722" spans="1:14">
      <c r="A1722" s="22" t="s">
        <v>108</v>
      </c>
      <c r="B1722" s="32" t="s">
        <v>10</v>
      </c>
      <c r="C1722" s="6"/>
      <c r="D1722" s="6"/>
      <c r="E1722" s="6"/>
      <c r="F1722" s="6"/>
      <c r="G1722" s="76"/>
      <c r="H1722" s="76"/>
      <c r="I1722" s="6"/>
      <c r="J1722" s="24">
        <v>0</v>
      </c>
      <c r="K1722"/>
    </row>
    <row r="1723" spans="1:14">
      <c r="A1723" s="22" t="s">
        <v>32</v>
      </c>
      <c r="B1723" s="32" t="s">
        <v>33</v>
      </c>
      <c r="C1723" s="6">
        <v>4</v>
      </c>
      <c r="D1723" s="6"/>
      <c r="E1723" s="6"/>
      <c r="F1723" s="6"/>
      <c r="G1723" s="76"/>
      <c r="H1723" s="76"/>
      <c r="I1723" s="6"/>
      <c r="J1723" s="24">
        <v>4</v>
      </c>
      <c r="K1723"/>
    </row>
    <row r="1724" spans="1:14" ht="13.5" thickBot="1">
      <c r="A1724" s="36" t="s">
        <v>34</v>
      </c>
      <c r="B1724" s="37"/>
      <c r="C1724" s="29">
        <v>4</v>
      </c>
      <c r="D1724" s="29"/>
      <c r="E1724" s="29"/>
      <c r="F1724" s="29"/>
      <c r="G1724" s="29"/>
      <c r="H1724" s="29">
        <v>0</v>
      </c>
      <c r="I1724" s="29"/>
      <c r="J1724" s="30">
        <v>4</v>
      </c>
      <c r="K1724"/>
    </row>
    <row r="1725" spans="1:14" ht="17.25" customHeight="1" thickBot="1">
      <c r="A1725" s="78" t="s">
        <v>35</v>
      </c>
      <c r="B1725" s="79"/>
      <c r="C1725" s="80">
        <v>4</v>
      </c>
      <c r="D1725" s="80">
        <v>26</v>
      </c>
      <c r="E1725" s="80">
        <v>279</v>
      </c>
      <c r="F1725" s="80"/>
      <c r="G1725" s="80">
        <v>89</v>
      </c>
      <c r="H1725" s="80">
        <v>427</v>
      </c>
      <c r="I1725" s="80">
        <v>9</v>
      </c>
      <c r="J1725" s="80">
        <v>834</v>
      </c>
      <c r="K1725"/>
    </row>
    <row r="1726" spans="1:14">
      <c r="B1726" s="38" t="s">
        <v>36</v>
      </c>
      <c r="C1726" s="39"/>
    </row>
    <row r="1727" spans="1:14">
      <c r="A1727" s="7" t="s">
        <v>37</v>
      </c>
      <c r="B1727" s="8">
        <f>D1716+D1719+D1721+D1724</f>
        <v>26</v>
      </c>
      <c r="C1727" s="6"/>
    </row>
    <row r="1728" spans="1:14">
      <c r="A1728" s="7" t="s">
        <v>38</v>
      </c>
      <c r="B1728" s="8">
        <f>E1725+F1725</f>
        <v>279</v>
      </c>
      <c r="C1728" s="6"/>
    </row>
    <row r="1729" spans="1:15">
      <c r="A1729" s="7" t="s">
        <v>39</v>
      </c>
      <c r="B1729" s="8">
        <f>J1712</f>
        <v>98</v>
      </c>
      <c r="C1729" s="6"/>
    </row>
    <row r="1730" spans="1:15">
      <c r="A1730" s="7" t="s">
        <v>40</v>
      </c>
      <c r="B1730" s="8">
        <f>J1713+J1718+J1720</f>
        <v>371</v>
      </c>
      <c r="C1730" s="6"/>
    </row>
    <row r="1731" spans="1:15">
      <c r="A1731" s="7" t="s">
        <v>41</v>
      </c>
      <c r="B1731" s="8">
        <f>J1714</f>
        <v>4</v>
      </c>
      <c r="C1731" s="6"/>
    </row>
    <row r="1732" spans="1:15">
      <c r="A1732" s="7" t="s">
        <v>42</v>
      </c>
      <c r="B1732" s="8">
        <f>J1715</f>
        <v>52</v>
      </c>
      <c r="C1732" s="6"/>
    </row>
    <row r="1733" spans="1:15">
      <c r="A1733" s="7" t="s">
        <v>43</v>
      </c>
      <c r="B1733" s="8">
        <f>J1722</f>
        <v>0</v>
      </c>
      <c r="C1733" s="6"/>
    </row>
    <row r="1734" spans="1:15">
      <c r="A1734" s="7" t="s">
        <v>44</v>
      </c>
      <c r="B1734" s="8">
        <f>J1723</f>
        <v>4</v>
      </c>
      <c r="C1734" s="6"/>
    </row>
    <row r="1735" spans="1:15">
      <c r="A1735" s="7"/>
      <c r="B1735" s="81">
        <f>SUM(B1727:B1734)</f>
        <v>834</v>
      </c>
      <c r="C1735" s="6"/>
    </row>
    <row r="1736" spans="1:15" ht="13.5" thickBot="1"/>
    <row r="1737" spans="1:15" ht="18" customHeight="1" thickBot="1">
      <c r="A1737" s="83" t="s">
        <v>117</v>
      </c>
      <c r="B1737" s="9"/>
    </row>
    <row r="1738" spans="1:15" ht="15.6" customHeight="1" thickBot="1">
      <c r="A1738" s="11" t="s">
        <v>17</v>
      </c>
      <c r="B1738" s="12" t="s">
        <v>18</v>
      </c>
      <c r="C1738" s="13" t="s">
        <v>16</v>
      </c>
      <c r="D1738" s="14" t="s">
        <v>15</v>
      </c>
      <c r="E1738" s="14" t="s">
        <v>6</v>
      </c>
      <c r="F1738" s="14" t="s">
        <v>19</v>
      </c>
      <c r="G1738" s="74" t="s">
        <v>20</v>
      </c>
      <c r="H1738" s="74" t="s">
        <v>21</v>
      </c>
      <c r="I1738" s="14" t="s">
        <v>22</v>
      </c>
      <c r="J1738" s="15" t="s">
        <v>9</v>
      </c>
      <c r="K1738"/>
    </row>
    <row r="1739" spans="1:15">
      <c r="A1739" s="16" t="s">
        <v>0</v>
      </c>
      <c r="B1739" s="17" t="s">
        <v>15</v>
      </c>
      <c r="C1739" s="18"/>
      <c r="D1739" s="18">
        <v>27</v>
      </c>
      <c r="E1739" s="18"/>
      <c r="F1739" s="18"/>
      <c r="G1739" s="75"/>
      <c r="H1739" s="75"/>
      <c r="I1739" s="18"/>
      <c r="J1739" s="19">
        <f>D1739</f>
        <v>27</v>
      </c>
      <c r="K1739"/>
    </row>
    <row r="1740" spans="1:15">
      <c r="A1740" s="22" t="s">
        <v>0</v>
      </c>
      <c r="B1740" s="23" t="s">
        <v>6</v>
      </c>
      <c r="C1740" s="6"/>
      <c r="D1740" s="6"/>
      <c r="E1740" s="6">
        <v>279</v>
      </c>
      <c r="F1740" s="6"/>
      <c r="G1740" s="76"/>
      <c r="H1740" s="76"/>
      <c r="I1740" s="6"/>
      <c r="J1740" s="24">
        <f>E1740+F1740</f>
        <v>279</v>
      </c>
      <c r="K1740"/>
      <c r="L1740" s="20" t="s">
        <v>23</v>
      </c>
      <c r="M1740" s="21" t="s">
        <v>109</v>
      </c>
      <c r="N1740" s="84" t="s">
        <v>120</v>
      </c>
      <c r="O1740" s="26"/>
    </row>
    <row r="1741" spans="1:15">
      <c r="A1741" s="22" t="s">
        <v>0</v>
      </c>
      <c r="B1741" s="23" t="s">
        <v>13</v>
      </c>
      <c r="C1741" s="6"/>
      <c r="D1741" s="6"/>
      <c r="E1741" s="6"/>
      <c r="F1741" s="6"/>
      <c r="G1741" s="76">
        <v>2</v>
      </c>
      <c r="H1741" s="76">
        <v>87</v>
      </c>
      <c r="I1741" s="6">
        <v>9</v>
      </c>
      <c r="J1741" s="24">
        <f>G1741+H1741+I1741</f>
        <v>98</v>
      </c>
      <c r="K1741"/>
      <c r="L1741" s="20">
        <v>195</v>
      </c>
      <c r="M1741" s="25" t="s">
        <v>24</v>
      </c>
    </row>
    <row r="1742" spans="1:15">
      <c r="A1742" s="22" t="s">
        <v>0</v>
      </c>
      <c r="B1742" s="23" t="s">
        <v>8</v>
      </c>
      <c r="C1742" s="6"/>
      <c r="D1742" s="6"/>
      <c r="E1742" s="6"/>
      <c r="F1742" s="6"/>
      <c r="G1742" s="76">
        <v>73</v>
      </c>
      <c r="H1742" s="76">
        <v>254</v>
      </c>
      <c r="I1742" s="6"/>
      <c r="J1742" s="24">
        <f>G1742+H1742+I1742</f>
        <v>327</v>
      </c>
      <c r="K1742"/>
      <c r="L1742" s="20">
        <v>44</v>
      </c>
      <c r="M1742" s="25" t="s">
        <v>25</v>
      </c>
    </row>
    <row r="1743" spans="1:15">
      <c r="A1743" s="22" t="s">
        <v>0</v>
      </c>
      <c r="B1743" s="23" t="s">
        <v>12</v>
      </c>
      <c r="C1743" s="6"/>
      <c r="D1743" s="6"/>
      <c r="E1743" s="6"/>
      <c r="F1743" s="6"/>
      <c r="G1743" s="76"/>
      <c r="H1743" s="76">
        <v>4</v>
      </c>
      <c r="I1743" s="6"/>
      <c r="J1743" s="24">
        <f>H1743</f>
        <v>4</v>
      </c>
      <c r="K1743"/>
      <c r="L1743" s="20">
        <v>36</v>
      </c>
      <c r="M1743" s="25" t="s">
        <v>26</v>
      </c>
      <c r="N1743" s="26" t="s">
        <v>119</v>
      </c>
    </row>
    <row r="1744" spans="1:15">
      <c r="A1744" s="22" t="s">
        <v>0</v>
      </c>
      <c r="B1744" s="23" t="s">
        <v>14</v>
      </c>
      <c r="C1744" s="6"/>
      <c r="D1744" s="6"/>
      <c r="E1744" s="6"/>
      <c r="F1744" s="6"/>
      <c r="G1744" s="76">
        <v>5</v>
      </c>
      <c r="H1744" s="76">
        <v>49</v>
      </c>
      <c r="I1744" s="6"/>
      <c r="J1744" s="24">
        <f>G1744+H1744</f>
        <v>54</v>
      </c>
      <c r="K1744"/>
      <c r="L1744" s="20">
        <v>2</v>
      </c>
      <c r="M1744" s="25" t="s">
        <v>27</v>
      </c>
    </row>
    <row r="1745" spans="1:14" ht="13.5" thickBot="1">
      <c r="A1745" s="27" t="s">
        <v>29</v>
      </c>
      <c r="B1745" s="28"/>
      <c r="C1745" s="29"/>
      <c r="D1745" s="29">
        <f>SUM(D1739:D1744)</f>
        <v>27</v>
      </c>
      <c r="E1745" s="29">
        <f>SUM(E1739:E1744)</f>
        <v>279</v>
      </c>
      <c r="F1745" s="29"/>
      <c r="G1745" s="29">
        <f>SUM(G1739:G1744)</f>
        <v>80</v>
      </c>
      <c r="H1745" s="29">
        <f>SUM(H1739:H1744)</f>
        <v>394</v>
      </c>
      <c r="I1745" s="29">
        <f>SUM(I1739:I1744)</f>
        <v>9</v>
      </c>
      <c r="J1745" s="30">
        <f>SUM(J1739:J1744)</f>
        <v>789</v>
      </c>
      <c r="K1745"/>
      <c r="L1745" s="20">
        <v>1</v>
      </c>
      <c r="M1745" s="25" t="s">
        <v>28</v>
      </c>
      <c r="N1745" s="26"/>
    </row>
    <row r="1746" spans="1:14">
      <c r="A1746" s="31" t="s">
        <v>7</v>
      </c>
      <c r="B1746" s="32" t="s">
        <v>15</v>
      </c>
      <c r="C1746" s="33"/>
      <c r="D1746" s="33"/>
      <c r="E1746" s="33"/>
      <c r="F1746" s="33"/>
      <c r="G1746" s="77"/>
      <c r="H1746" s="77"/>
      <c r="I1746" s="33"/>
      <c r="J1746" s="34"/>
      <c r="K1746"/>
      <c r="L1746" s="20">
        <v>1</v>
      </c>
      <c r="M1746" s="25" t="s">
        <v>30</v>
      </c>
    </row>
    <row r="1747" spans="1:14">
      <c r="A1747" s="31" t="s">
        <v>7</v>
      </c>
      <c r="B1747" s="32" t="s">
        <v>8</v>
      </c>
      <c r="C1747" s="33"/>
      <c r="D1747" s="33"/>
      <c r="E1747" s="33"/>
      <c r="F1747" s="33"/>
      <c r="G1747" s="77">
        <v>4</v>
      </c>
      <c r="H1747" s="77">
        <v>26</v>
      </c>
      <c r="I1747" s="33"/>
      <c r="J1747" s="34">
        <f>G1747+H1747</f>
        <v>30</v>
      </c>
      <c r="K1747"/>
      <c r="L1747" s="35">
        <f>SUM(L1741:L1746)</f>
        <v>279</v>
      </c>
      <c r="M1747" s="21"/>
    </row>
    <row r="1748" spans="1:14" ht="13.5" thickBot="1">
      <c r="A1748" s="27" t="s">
        <v>31</v>
      </c>
      <c r="B1748" s="28"/>
      <c r="C1748" s="29"/>
      <c r="D1748" s="29"/>
      <c r="E1748" s="29"/>
      <c r="F1748" s="29"/>
      <c r="G1748" s="29">
        <f>SUM(G1746:G1747)</f>
        <v>4</v>
      </c>
      <c r="H1748" s="29">
        <f>SUM(H1746:H1747)</f>
        <v>26</v>
      </c>
      <c r="I1748" s="29"/>
      <c r="J1748" s="30">
        <f>SUM(J1746:J1747)</f>
        <v>30</v>
      </c>
      <c r="K1748"/>
    </row>
    <row r="1749" spans="1:14">
      <c r="A1749" s="31" t="s">
        <v>105</v>
      </c>
      <c r="B1749" s="32" t="s">
        <v>8</v>
      </c>
      <c r="C1749" s="33"/>
      <c r="D1749" s="33"/>
      <c r="E1749" s="33"/>
      <c r="F1749" s="33"/>
      <c r="G1749" s="77">
        <v>5</v>
      </c>
      <c r="H1749" s="77">
        <v>5</v>
      </c>
      <c r="I1749" s="33"/>
      <c r="J1749" s="34">
        <f>G1749+H1749</f>
        <v>10</v>
      </c>
      <c r="K1749"/>
    </row>
    <row r="1750" spans="1:14" ht="13.5" thickBot="1">
      <c r="A1750" s="27" t="s">
        <v>106</v>
      </c>
      <c r="B1750" s="28"/>
      <c r="C1750" s="29"/>
      <c r="D1750" s="29"/>
      <c r="E1750" s="29"/>
      <c r="F1750" s="29"/>
      <c r="G1750" s="29">
        <f>SUM(G1749:G1749)</f>
        <v>5</v>
      </c>
      <c r="H1750" s="29">
        <f>SUM(H1749:H1749)</f>
        <v>5</v>
      </c>
      <c r="I1750" s="29"/>
      <c r="J1750" s="30">
        <f>SUM(J1749:J1749)</f>
        <v>10</v>
      </c>
      <c r="K1750"/>
    </row>
    <row r="1751" spans="1:14">
      <c r="A1751" s="22" t="s">
        <v>108</v>
      </c>
      <c r="B1751" s="32" t="s">
        <v>10</v>
      </c>
      <c r="C1751" s="6"/>
      <c r="D1751" s="6"/>
      <c r="E1751" s="6"/>
      <c r="F1751" s="6"/>
      <c r="G1751" s="76"/>
      <c r="H1751" s="76"/>
      <c r="I1751" s="6"/>
      <c r="J1751" s="24">
        <f>H1751</f>
        <v>0</v>
      </c>
      <c r="K1751"/>
    </row>
    <row r="1752" spans="1:14">
      <c r="A1752" s="22" t="s">
        <v>32</v>
      </c>
      <c r="B1752" s="32" t="s">
        <v>33</v>
      </c>
      <c r="C1752" s="6">
        <v>4</v>
      </c>
      <c r="D1752" s="6"/>
      <c r="E1752" s="6"/>
      <c r="F1752" s="6"/>
      <c r="G1752" s="76"/>
      <c r="H1752" s="76"/>
      <c r="I1752" s="6"/>
      <c r="J1752" s="24">
        <f>C1752</f>
        <v>4</v>
      </c>
      <c r="K1752"/>
    </row>
    <row r="1753" spans="1:14" ht="13.5" thickBot="1">
      <c r="A1753" s="36" t="s">
        <v>34</v>
      </c>
      <c r="B1753" s="37"/>
      <c r="C1753" s="29">
        <f>SUM(C1751:C1752)</f>
        <v>4</v>
      </c>
      <c r="D1753" s="29"/>
      <c r="E1753" s="29"/>
      <c r="F1753" s="29"/>
      <c r="G1753" s="29"/>
      <c r="H1753" s="29">
        <f>SUM(H1751:H1752)</f>
        <v>0</v>
      </c>
      <c r="I1753" s="29"/>
      <c r="J1753" s="30">
        <f>SUM(J1751:J1752)</f>
        <v>4</v>
      </c>
      <c r="K1753"/>
    </row>
    <row r="1754" spans="1:14" ht="17.25" customHeight="1" thickBot="1">
      <c r="A1754" s="78" t="s">
        <v>35</v>
      </c>
      <c r="B1754" s="79"/>
      <c r="C1754" s="80">
        <f>C1745+C1748+C1750+C1753</f>
        <v>4</v>
      </c>
      <c r="D1754" s="80">
        <f>D1745+D1748+D1750+D1753</f>
        <v>27</v>
      </c>
      <c r="E1754" s="80">
        <f>E1745+E1748+E1750+E1753</f>
        <v>279</v>
      </c>
      <c r="F1754" s="80"/>
      <c r="G1754" s="80">
        <f>G1745+G1748+G1750+G1753</f>
        <v>89</v>
      </c>
      <c r="H1754" s="80">
        <f>H1745+H1748+H1750+H1753</f>
        <v>425</v>
      </c>
      <c r="I1754" s="80">
        <f>I1745+I1748+I1750+I1753</f>
        <v>9</v>
      </c>
      <c r="J1754" s="80">
        <f>J1745+J1748+J1750+J1753</f>
        <v>833</v>
      </c>
      <c r="K1754"/>
    </row>
    <row r="1755" spans="1:14">
      <c r="B1755" s="38" t="s">
        <v>36</v>
      </c>
      <c r="C1755" s="39"/>
    </row>
    <row r="1756" spans="1:14">
      <c r="A1756" s="7" t="s">
        <v>37</v>
      </c>
      <c r="B1756" s="8">
        <f>D1745+D1748+D1750+D1753</f>
        <v>27</v>
      </c>
      <c r="C1756" s="6"/>
    </row>
    <row r="1757" spans="1:14">
      <c r="A1757" s="7" t="s">
        <v>38</v>
      </c>
      <c r="B1757" s="8">
        <f>E1754+F1754</f>
        <v>279</v>
      </c>
      <c r="C1757" s="6"/>
    </row>
    <row r="1758" spans="1:14">
      <c r="A1758" s="7" t="s">
        <v>39</v>
      </c>
      <c r="B1758" s="8">
        <f>J1741</f>
        <v>98</v>
      </c>
      <c r="C1758" s="6"/>
    </row>
    <row r="1759" spans="1:14">
      <c r="A1759" s="7" t="s">
        <v>40</v>
      </c>
      <c r="B1759" s="8">
        <f>J1742+J1747+J1749</f>
        <v>367</v>
      </c>
      <c r="C1759" s="6"/>
    </row>
    <row r="1760" spans="1:14">
      <c r="A1760" s="7" t="s">
        <v>41</v>
      </c>
      <c r="B1760" s="8">
        <f>J1743</f>
        <v>4</v>
      </c>
      <c r="C1760" s="6"/>
    </row>
    <row r="1761" spans="1:15">
      <c r="A1761" s="7" t="s">
        <v>42</v>
      </c>
      <c r="B1761" s="8">
        <f>J1744</f>
        <v>54</v>
      </c>
      <c r="C1761" s="6"/>
    </row>
    <row r="1762" spans="1:15">
      <c r="A1762" s="7" t="s">
        <v>43</v>
      </c>
      <c r="B1762" s="8">
        <f>J1751</f>
        <v>0</v>
      </c>
      <c r="C1762" s="6"/>
    </row>
    <row r="1763" spans="1:15">
      <c r="A1763" s="7" t="s">
        <v>44</v>
      </c>
      <c r="B1763" s="8">
        <f>J1752</f>
        <v>4</v>
      </c>
      <c r="C1763" s="6"/>
    </row>
    <row r="1764" spans="1:15" ht="13.5" thickBot="1">
      <c r="A1764" s="7"/>
      <c r="B1764" s="81">
        <f>SUM(B1756:B1763)</f>
        <v>833</v>
      </c>
      <c r="C1764" s="6"/>
    </row>
    <row r="1765" spans="1:15" ht="18" customHeight="1" thickBot="1">
      <c r="A1765" s="83" t="s">
        <v>115</v>
      </c>
      <c r="B1765" s="9"/>
    </row>
    <row r="1766" spans="1:15" ht="15.6" customHeight="1" thickBot="1">
      <c r="A1766" s="11" t="s">
        <v>17</v>
      </c>
      <c r="B1766" s="12" t="s">
        <v>18</v>
      </c>
      <c r="C1766" s="13" t="s">
        <v>16</v>
      </c>
      <c r="D1766" s="14" t="s">
        <v>15</v>
      </c>
      <c r="E1766" s="14" t="s">
        <v>6</v>
      </c>
      <c r="F1766" s="14" t="s">
        <v>19</v>
      </c>
      <c r="G1766" s="74" t="s">
        <v>20</v>
      </c>
      <c r="H1766" s="74" t="s">
        <v>21</v>
      </c>
      <c r="I1766" s="14" t="s">
        <v>22</v>
      </c>
      <c r="J1766" s="15" t="s">
        <v>9</v>
      </c>
      <c r="K1766"/>
    </row>
    <row r="1767" spans="1:15">
      <c r="A1767" s="16" t="s">
        <v>0</v>
      </c>
      <c r="B1767" s="17" t="s">
        <v>15</v>
      </c>
      <c r="C1767" s="18"/>
      <c r="D1767" s="18">
        <v>27</v>
      </c>
      <c r="E1767" s="18"/>
      <c r="F1767" s="18"/>
      <c r="G1767" s="75"/>
      <c r="H1767" s="75"/>
      <c r="I1767" s="18"/>
      <c r="J1767" s="19">
        <f>D1767</f>
        <v>27</v>
      </c>
      <c r="K1767"/>
    </row>
    <row r="1768" spans="1:15">
      <c r="A1768" s="22" t="s">
        <v>0</v>
      </c>
      <c r="B1768" s="23" t="s">
        <v>6</v>
      </c>
      <c r="C1768" s="6"/>
      <c r="D1768" s="6"/>
      <c r="E1768" s="6">
        <v>279</v>
      </c>
      <c r="F1768" s="6"/>
      <c r="G1768" s="76"/>
      <c r="H1768" s="76"/>
      <c r="I1768" s="6"/>
      <c r="J1768" s="24">
        <f>E1768+F1768</f>
        <v>279</v>
      </c>
      <c r="K1768"/>
      <c r="L1768" s="20" t="s">
        <v>23</v>
      </c>
      <c r="M1768" s="21" t="s">
        <v>109</v>
      </c>
      <c r="N1768" s="84" t="s">
        <v>116</v>
      </c>
      <c r="O1768" s="26"/>
    </row>
    <row r="1769" spans="1:15">
      <c r="A1769" s="22" t="s">
        <v>0</v>
      </c>
      <c r="B1769" s="23" t="s">
        <v>13</v>
      </c>
      <c r="C1769" s="6"/>
      <c r="D1769" s="6"/>
      <c r="E1769" s="6"/>
      <c r="F1769" s="6"/>
      <c r="G1769" s="76">
        <v>2</v>
      </c>
      <c r="H1769" s="76">
        <v>87</v>
      </c>
      <c r="I1769" s="6">
        <v>12</v>
      </c>
      <c r="J1769" s="24">
        <f>G1769+H1769+I1769</f>
        <v>101</v>
      </c>
      <c r="K1769"/>
      <c r="L1769" s="20">
        <v>194</v>
      </c>
      <c r="M1769" s="25" t="s">
        <v>24</v>
      </c>
    </row>
    <row r="1770" spans="1:15">
      <c r="A1770" s="22" t="s">
        <v>0</v>
      </c>
      <c r="B1770" s="23" t="s">
        <v>8</v>
      </c>
      <c r="C1770" s="6"/>
      <c r="D1770" s="6"/>
      <c r="E1770" s="6"/>
      <c r="F1770" s="6"/>
      <c r="G1770" s="76">
        <v>73</v>
      </c>
      <c r="H1770" s="76">
        <v>252</v>
      </c>
      <c r="I1770" s="6"/>
      <c r="J1770" s="24">
        <f>G1770+H1770+I1770</f>
        <v>325</v>
      </c>
      <c r="K1770"/>
      <c r="L1770" s="20">
        <v>44</v>
      </c>
      <c r="M1770" s="25" t="s">
        <v>25</v>
      </c>
    </row>
    <row r="1771" spans="1:15">
      <c r="A1771" s="22" t="s">
        <v>0</v>
      </c>
      <c r="B1771" s="23" t="s">
        <v>12</v>
      </c>
      <c r="C1771" s="6"/>
      <c r="D1771" s="6"/>
      <c r="E1771" s="6"/>
      <c r="F1771" s="6"/>
      <c r="G1771" s="76"/>
      <c r="H1771" s="76">
        <v>4</v>
      </c>
      <c r="I1771" s="6"/>
      <c r="J1771" s="24">
        <f>H1771</f>
        <v>4</v>
      </c>
      <c r="K1771"/>
      <c r="L1771" s="20">
        <v>36</v>
      </c>
      <c r="M1771" s="25" t="s">
        <v>26</v>
      </c>
    </row>
    <row r="1772" spans="1:15">
      <c r="A1772" s="22" t="s">
        <v>0</v>
      </c>
      <c r="B1772" s="23" t="s">
        <v>14</v>
      </c>
      <c r="C1772" s="6"/>
      <c r="D1772" s="6"/>
      <c r="E1772" s="6"/>
      <c r="F1772" s="6"/>
      <c r="G1772" s="76">
        <v>5</v>
      </c>
      <c r="H1772" s="76">
        <v>49</v>
      </c>
      <c r="I1772" s="6"/>
      <c r="J1772" s="24">
        <f>G1772+H1772</f>
        <v>54</v>
      </c>
      <c r="K1772"/>
      <c r="L1772" s="20">
        <v>3</v>
      </c>
      <c r="M1772" s="25" t="s">
        <v>27</v>
      </c>
    </row>
    <row r="1773" spans="1:15" ht="13.5" thickBot="1">
      <c r="A1773" s="27" t="s">
        <v>29</v>
      </c>
      <c r="B1773" s="28"/>
      <c r="C1773" s="29"/>
      <c r="D1773" s="29">
        <f>SUM(D1767:D1772)</f>
        <v>27</v>
      </c>
      <c r="E1773" s="29">
        <f>SUM(E1767:E1772)</f>
        <v>279</v>
      </c>
      <c r="F1773" s="29"/>
      <c r="G1773" s="29">
        <f>SUM(G1767:G1772)</f>
        <v>80</v>
      </c>
      <c r="H1773" s="29">
        <f>SUM(H1767:H1772)</f>
        <v>392</v>
      </c>
      <c r="I1773" s="29">
        <f>SUM(I1767:I1772)</f>
        <v>12</v>
      </c>
      <c r="J1773" s="30">
        <f>SUM(J1767:J1772)</f>
        <v>790</v>
      </c>
      <c r="K1773"/>
      <c r="L1773" s="20">
        <v>1</v>
      </c>
      <c r="M1773" s="25" t="s">
        <v>28</v>
      </c>
      <c r="N1773" s="26"/>
    </row>
    <row r="1774" spans="1:15">
      <c r="A1774" s="31" t="s">
        <v>7</v>
      </c>
      <c r="B1774" s="32" t="s">
        <v>15</v>
      </c>
      <c r="C1774" s="33"/>
      <c r="D1774" s="33"/>
      <c r="E1774" s="33"/>
      <c r="F1774" s="33"/>
      <c r="G1774" s="77"/>
      <c r="H1774" s="77"/>
      <c r="I1774" s="33"/>
      <c r="J1774" s="34"/>
      <c r="K1774"/>
      <c r="L1774" s="20">
        <v>1</v>
      </c>
      <c r="M1774" s="25" t="s">
        <v>30</v>
      </c>
    </row>
    <row r="1775" spans="1:15">
      <c r="A1775" s="31" t="s">
        <v>7</v>
      </c>
      <c r="B1775" s="32" t="s">
        <v>8</v>
      </c>
      <c r="C1775" s="33"/>
      <c r="D1775" s="33"/>
      <c r="E1775" s="33"/>
      <c r="F1775" s="33"/>
      <c r="G1775" s="77">
        <v>4</v>
      </c>
      <c r="H1775" s="77">
        <v>24</v>
      </c>
      <c r="I1775" s="33"/>
      <c r="J1775" s="34">
        <f>G1775+H1775</f>
        <v>28</v>
      </c>
      <c r="K1775"/>
      <c r="L1775" s="35">
        <f>SUM(L1769:L1774)</f>
        <v>279</v>
      </c>
      <c r="M1775" s="21"/>
    </row>
    <row r="1776" spans="1:15" ht="13.5" thickBot="1">
      <c r="A1776" s="27" t="s">
        <v>31</v>
      </c>
      <c r="B1776" s="28"/>
      <c r="C1776" s="29"/>
      <c r="D1776" s="29"/>
      <c r="E1776" s="29"/>
      <c r="F1776" s="29"/>
      <c r="G1776" s="29">
        <f>SUM(G1774:G1775)</f>
        <v>4</v>
      </c>
      <c r="H1776" s="29">
        <f>SUM(H1774:H1775)</f>
        <v>24</v>
      </c>
      <c r="I1776" s="29"/>
      <c r="J1776" s="30">
        <f>SUM(J1774:J1775)</f>
        <v>28</v>
      </c>
      <c r="K1776"/>
    </row>
    <row r="1777" spans="1:11">
      <c r="A1777" s="31" t="s">
        <v>105</v>
      </c>
      <c r="B1777" s="32" t="s">
        <v>8</v>
      </c>
      <c r="C1777" s="33"/>
      <c r="D1777" s="33"/>
      <c r="E1777" s="33"/>
      <c r="F1777" s="33"/>
      <c r="G1777" s="77">
        <v>5</v>
      </c>
      <c r="H1777" s="77">
        <v>5</v>
      </c>
      <c r="I1777" s="33"/>
      <c r="J1777" s="34">
        <f>G1777+H1777</f>
        <v>10</v>
      </c>
      <c r="K1777"/>
    </row>
    <row r="1778" spans="1:11" ht="13.5" thickBot="1">
      <c r="A1778" s="27" t="s">
        <v>106</v>
      </c>
      <c r="B1778" s="28"/>
      <c r="C1778" s="29"/>
      <c r="D1778" s="29"/>
      <c r="E1778" s="29"/>
      <c r="F1778" s="29"/>
      <c r="G1778" s="29">
        <f>SUM(G1777:G1777)</f>
        <v>5</v>
      </c>
      <c r="H1778" s="29">
        <f>SUM(H1777:H1777)</f>
        <v>5</v>
      </c>
      <c r="I1778" s="29"/>
      <c r="J1778" s="30">
        <f>SUM(J1777:J1777)</f>
        <v>10</v>
      </c>
      <c r="K1778"/>
    </row>
    <row r="1779" spans="1:11">
      <c r="A1779" s="22" t="s">
        <v>108</v>
      </c>
      <c r="B1779" s="32" t="s">
        <v>10</v>
      </c>
      <c r="C1779" s="6"/>
      <c r="D1779" s="6"/>
      <c r="E1779" s="6"/>
      <c r="F1779" s="6"/>
      <c r="G1779" s="76"/>
      <c r="H1779" s="76"/>
      <c r="I1779" s="6"/>
      <c r="J1779" s="24">
        <f>H1779</f>
        <v>0</v>
      </c>
      <c r="K1779"/>
    </row>
    <row r="1780" spans="1:11">
      <c r="A1780" s="22" t="s">
        <v>32</v>
      </c>
      <c r="B1780" s="32" t="s">
        <v>33</v>
      </c>
      <c r="C1780" s="6">
        <v>4</v>
      </c>
      <c r="D1780" s="6"/>
      <c r="E1780" s="6"/>
      <c r="F1780" s="6"/>
      <c r="G1780" s="76"/>
      <c r="H1780" s="76"/>
      <c r="I1780" s="6"/>
      <c r="J1780" s="24">
        <f>C1780</f>
        <v>4</v>
      </c>
      <c r="K1780"/>
    </row>
    <row r="1781" spans="1:11" ht="13.5" thickBot="1">
      <c r="A1781" s="36" t="s">
        <v>34</v>
      </c>
      <c r="B1781" s="37"/>
      <c r="C1781" s="29">
        <f>SUM(C1779:C1780)</f>
        <v>4</v>
      </c>
      <c r="D1781" s="29"/>
      <c r="E1781" s="29"/>
      <c r="F1781" s="29"/>
      <c r="G1781" s="29"/>
      <c r="H1781" s="29">
        <f>SUM(H1779:H1780)</f>
        <v>0</v>
      </c>
      <c r="I1781" s="29"/>
      <c r="J1781" s="30">
        <f>SUM(J1779:J1780)</f>
        <v>4</v>
      </c>
      <c r="K1781"/>
    </row>
    <row r="1782" spans="1:11" ht="17.25" customHeight="1" thickBot="1">
      <c r="A1782" s="78" t="s">
        <v>35</v>
      </c>
      <c r="B1782" s="79"/>
      <c r="C1782" s="80">
        <f>C1773+C1776+C1778+C1781</f>
        <v>4</v>
      </c>
      <c r="D1782" s="80">
        <f>D1773+D1776+D1778+D1781</f>
        <v>27</v>
      </c>
      <c r="E1782" s="80">
        <f>E1773+E1776+E1778+E1781</f>
        <v>279</v>
      </c>
      <c r="F1782" s="80"/>
      <c r="G1782" s="80">
        <f>G1773+G1776+G1778+G1781</f>
        <v>89</v>
      </c>
      <c r="H1782" s="80">
        <f>H1773+H1776+H1778+H1781</f>
        <v>421</v>
      </c>
      <c r="I1782" s="80">
        <f>I1773+I1776+I1778+I1781</f>
        <v>12</v>
      </c>
      <c r="J1782" s="80">
        <f>J1773+J1776+J1778+J1781</f>
        <v>832</v>
      </c>
      <c r="K1782"/>
    </row>
    <row r="1783" spans="1:11">
      <c r="B1783" s="38" t="s">
        <v>36</v>
      </c>
      <c r="C1783" s="39"/>
    </row>
    <row r="1784" spans="1:11">
      <c r="A1784" s="7" t="s">
        <v>37</v>
      </c>
      <c r="B1784" s="8">
        <f>D1773+D1776+D1778+D1781</f>
        <v>27</v>
      </c>
      <c r="C1784" s="6"/>
    </row>
    <row r="1785" spans="1:11">
      <c r="A1785" s="7" t="s">
        <v>38</v>
      </c>
      <c r="B1785" s="8">
        <f>E1782+F1782</f>
        <v>279</v>
      </c>
      <c r="C1785" s="6"/>
    </row>
    <row r="1786" spans="1:11">
      <c r="A1786" s="7" t="s">
        <v>39</v>
      </c>
      <c r="B1786" s="8">
        <f>J1769</f>
        <v>101</v>
      </c>
      <c r="C1786" s="6"/>
    </row>
    <row r="1787" spans="1:11">
      <c r="A1787" s="7" t="s">
        <v>40</v>
      </c>
      <c r="B1787" s="8">
        <f>J1770+J1775+J1777</f>
        <v>363</v>
      </c>
      <c r="C1787" s="6"/>
    </row>
    <row r="1788" spans="1:11">
      <c r="A1788" s="7" t="s">
        <v>41</v>
      </c>
      <c r="B1788" s="8">
        <f>J1771</f>
        <v>4</v>
      </c>
      <c r="C1788" s="6"/>
    </row>
    <row r="1789" spans="1:11">
      <c r="A1789" s="7" t="s">
        <v>42</v>
      </c>
      <c r="B1789" s="8">
        <f>J1772</f>
        <v>54</v>
      </c>
      <c r="C1789" s="6"/>
    </row>
    <row r="1790" spans="1:11">
      <c r="A1790" s="7" t="s">
        <v>43</v>
      </c>
      <c r="B1790" s="8">
        <f>J1779</f>
        <v>0</v>
      </c>
      <c r="C1790" s="6"/>
    </row>
    <row r="1791" spans="1:11">
      <c r="A1791" s="7" t="s">
        <v>44</v>
      </c>
      <c r="B1791" s="8">
        <f>J1780</f>
        <v>4</v>
      </c>
      <c r="C1791" s="6"/>
    </row>
    <row r="1792" spans="1:11">
      <c r="A1792" s="7"/>
      <c r="B1792" s="81">
        <f>SUM(B1784:B1791)</f>
        <v>832</v>
      </c>
      <c r="C1792" s="6"/>
    </row>
    <row r="1793" spans="1:15" ht="13.5" thickBot="1"/>
    <row r="1794" spans="1:15" ht="18" customHeight="1" thickBot="1">
      <c r="A1794" s="83" t="s">
        <v>112</v>
      </c>
      <c r="B1794" s="9"/>
    </row>
    <row r="1795" spans="1:15" ht="15.6" customHeight="1" thickBot="1">
      <c r="A1795" s="11" t="s">
        <v>17</v>
      </c>
      <c r="B1795" s="12" t="s">
        <v>18</v>
      </c>
      <c r="C1795" s="13" t="s">
        <v>16</v>
      </c>
      <c r="D1795" s="14" t="s">
        <v>15</v>
      </c>
      <c r="E1795" s="14" t="s">
        <v>6</v>
      </c>
      <c r="F1795" s="14" t="s">
        <v>19</v>
      </c>
      <c r="G1795" s="74" t="s">
        <v>20</v>
      </c>
      <c r="H1795" s="74" t="s">
        <v>21</v>
      </c>
      <c r="I1795" s="14" t="s">
        <v>22</v>
      </c>
      <c r="J1795" s="15" t="s">
        <v>9</v>
      </c>
      <c r="K1795"/>
    </row>
    <row r="1796" spans="1:15">
      <c r="A1796" s="16" t="s">
        <v>0</v>
      </c>
      <c r="B1796" s="17" t="s">
        <v>15</v>
      </c>
      <c r="C1796" s="18"/>
      <c r="D1796" s="18">
        <v>27</v>
      </c>
      <c r="E1796" s="18"/>
      <c r="F1796" s="18"/>
      <c r="G1796" s="75"/>
      <c r="H1796" s="75"/>
      <c r="I1796" s="18"/>
      <c r="J1796" s="19">
        <f>D1796</f>
        <v>27</v>
      </c>
      <c r="K1796"/>
    </row>
    <row r="1797" spans="1:15">
      <c r="A1797" s="22" t="s">
        <v>0</v>
      </c>
      <c r="B1797" s="23" t="s">
        <v>6</v>
      </c>
      <c r="C1797" s="6"/>
      <c r="D1797" s="6"/>
      <c r="E1797" s="6">
        <v>281</v>
      </c>
      <c r="F1797" s="6"/>
      <c r="G1797" s="76"/>
      <c r="H1797" s="76"/>
      <c r="I1797" s="6"/>
      <c r="J1797" s="24">
        <f>E1797+F1797</f>
        <v>281</v>
      </c>
      <c r="K1797"/>
      <c r="L1797" s="20" t="s">
        <v>23</v>
      </c>
      <c r="M1797" s="21" t="s">
        <v>109</v>
      </c>
      <c r="N1797" s="84" t="s">
        <v>113</v>
      </c>
      <c r="O1797" s="26"/>
    </row>
    <row r="1798" spans="1:15">
      <c r="A1798" s="22" t="s">
        <v>0</v>
      </c>
      <c r="B1798" s="23" t="s">
        <v>13</v>
      </c>
      <c r="C1798" s="6"/>
      <c r="D1798" s="6"/>
      <c r="E1798" s="6"/>
      <c r="F1798" s="6"/>
      <c r="G1798" s="76">
        <v>2</v>
      </c>
      <c r="H1798" s="76">
        <v>90</v>
      </c>
      <c r="I1798" s="6">
        <v>24</v>
      </c>
      <c r="J1798" s="24">
        <f>G1798+H1798+I1798</f>
        <v>116</v>
      </c>
      <c r="K1798"/>
      <c r="L1798" s="20">
        <v>196</v>
      </c>
      <c r="M1798" s="25" t="s">
        <v>24</v>
      </c>
    </row>
    <row r="1799" spans="1:15">
      <c r="A1799" s="22" t="s">
        <v>0</v>
      </c>
      <c r="B1799" s="23" t="s">
        <v>8</v>
      </c>
      <c r="C1799" s="6"/>
      <c r="D1799" s="6"/>
      <c r="E1799" s="6"/>
      <c r="F1799" s="6"/>
      <c r="G1799" s="76">
        <v>73</v>
      </c>
      <c r="H1799" s="76">
        <v>253</v>
      </c>
      <c r="I1799" s="6">
        <v>7</v>
      </c>
      <c r="J1799" s="24">
        <f>G1799+H1799+I1799</f>
        <v>333</v>
      </c>
      <c r="K1799"/>
      <c r="L1799" s="20">
        <v>44</v>
      </c>
      <c r="M1799" s="25" t="s">
        <v>25</v>
      </c>
    </row>
    <row r="1800" spans="1:15">
      <c r="A1800" s="22" t="s">
        <v>0</v>
      </c>
      <c r="B1800" s="23" t="s">
        <v>12</v>
      </c>
      <c r="C1800" s="6"/>
      <c r="D1800" s="6"/>
      <c r="E1800" s="6"/>
      <c r="F1800" s="6"/>
      <c r="G1800" s="76"/>
      <c r="H1800" s="76">
        <v>4</v>
      </c>
      <c r="I1800" s="6"/>
      <c r="J1800" s="24">
        <f>H1800</f>
        <v>4</v>
      </c>
      <c r="K1800"/>
      <c r="L1800" s="20">
        <v>36</v>
      </c>
      <c r="M1800" s="25" t="s">
        <v>26</v>
      </c>
    </row>
    <row r="1801" spans="1:15">
      <c r="A1801" s="22" t="s">
        <v>0</v>
      </c>
      <c r="B1801" s="23" t="s">
        <v>14</v>
      </c>
      <c r="C1801" s="6"/>
      <c r="D1801" s="6"/>
      <c r="E1801" s="6"/>
      <c r="F1801" s="6"/>
      <c r="G1801" s="76">
        <v>5</v>
      </c>
      <c r="H1801" s="76">
        <v>49</v>
      </c>
      <c r="I1801" s="6"/>
      <c r="J1801" s="24">
        <f>G1801+H1801</f>
        <v>54</v>
      </c>
      <c r="K1801"/>
      <c r="L1801" s="20">
        <v>3</v>
      </c>
      <c r="M1801" s="25" t="s">
        <v>27</v>
      </c>
    </row>
    <row r="1802" spans="1:15" ht="13.5" thickBot="1">
      <c r="A1802" s="27" t="s">
        <v>29</v>
      </c>
      <c r="B1802" s="28"/>
      <c r="C1802" s="29"/>
      <c r="D1802" s="29">
        <f>SUM(D1796:D1801)</f>
        <v>27</v>
      </c>
      <c r="E1802" s="29">
        <f>SUM(E1796:E1801)</f>
        <v>281</v>
      </c>
      <c r="F1802" s="29"/>
      <c r="G1802" s="29">
        <f>SUM(G1796:G1801)</f>
        <v>80</v>
      </c>
      <c r="H1802" s="29">
        <f>SUM(H1796:H1801)</f>
        <v>396</v>
      </c>
      <c r="I1802" s="29">
        <f>SUM(I1796:I1801)</f>
        <v>31</v>
      </c>
      <c r="J1802" s="30">
        <f>SUM(J1796:J1801)</f>
        <v>815</v>
      </c>
      <c r="K1802"/>
      <c r="L1802" s="20">
        <v>1</v>
      </c>
      <c r="M1802" s="25" t="s">
        <v>28</v>
      </c>
      <c r="N1802" s="26"/>
    </row>
    <row r="1803" spans="1:15">
      <c r="A1803" s="31" t="s">
        <v>7</v>
      </c>
      <c r="B1803" s="32" t="s">
        <v>15</v>
      </c>
      <c r="C1803" s="33"/>
      <c r="D1803" s="33"/>
      <c r="E1803" s="33"/>
      <c r="F1803" s="33"/>
      <c r="G1803" s="77"/>
      <c r="H1803" s="77"/>
      <c r="I1803" s="33"/>
      <c r="J1803" s="34"/>
      <c r="K1803"/>
      <c r="L1803" s="20">
        <v>1</v>
      </c>
      <c r="M1803" s="25" t="s">
        <v>30</v>
      </c>
    </row>
    <row r="1804" spans="1:15">
      <c r="A1804" s="31" t="s">
        <v>7</v>
      </c>
      <c r="B1804" s="32" t="s">
        <v>8</v>
      </c>
      <c r="C1804" s="33"/>
      <c r="D1804" s="33"/>
      <c r="E1804" s="33"/>
      <c r="F1804" s="33"/>
      <c r="G1804" s="77">
        <v>4</v>
      </c>
      <c r="H1804" s="77">
        <v>24</v>
      </c>
      <c r="I1804" s="33"/>
      <c r="J1804" s="34">
        <f>G1804+H1804</f>
        <v>28</v>
      </c>
      <c r="K1804"/>
      <c r="L1804" s="35">
        <f>SUM(L1798:L1803)</f>
        <v>281</v>
      </c>
      <c r="M1804" s="21"/>
    </row>
    <row r="1805" spans="1:15" ht="13.5" thickBot="1">
      <c r="A1805" s="27" t="s">
        <v>31</v>
      </c>
      <c r="B1805" s="28"/>
      <c r="C1805" s="29"/>
      <c r="D1805" s="29"/>
      <c r="E1805" s="29"/>
      <c r="F1805" s="29"/>
      <c r="G1805" s="29">
        <f>SUM(G1803:G1804)</f>
        <v>4</v>
      </c>
      <c r="H1805" s="29">
        <f>SUM(H1803:H1804)</f>
        <v>24</v>
      </c>
      <c r="I1805" s="29"/>
      <c r="J1805" s="30">
        <f>SUM(J1803:J1804)</f>
        <v>28</v>
      </c>
      <c r="K1805"/>
    </row>
    <row r="1806" spans="1:15">
      <c r="A1806" s="31" t="s">
        <v>105</v>
      </c>
      <c r="B1806" s="32" t="s">
        <v>8</v>
      </c>
      <c r="C1806" s="33"/>
      <c r="D1806" s="33"/>
      <c r="E1806" s="33"/>
      <c r="F1806" s="33"/>
      <c r="G1806" s="77">
        <v>5</v>
      </c>
      <c r="H1806" s="77">
        <v>5</v>
      </c>
      <c r="I1806" s="33"/>
      <c r="J1806" s="34">
        <f>G1806+H1806</f>
        <v>10</v>
      </c>
      <c r="K1806"/>
    </row>
    <row r="1807" spans="1:15" ht="13.5" thickBot="1">
      <c r="A1807" s="27" t="s">
        <v>106</v>
      </c>
      <c r="B1807" s="28"/>
      <c r="C1807" s="29"/>
      <c r="D1807" s="29"/>
      <c r="E1807" s="29"/>
      <c r="F1807" s="29"/>
      <c r="G1807" s="29">
        <f>SUM(G1806:G1806)</f>
        <v>5</v>
      </c>
      <c r="H1807" s="29">
        <f>SUM(H1806:H1806)</f>
        <v>5</v>
      </c>
      <c r="I1807" s="29"/>
      <c r="J1807" s="30">
        <f>SUM(J1806:J1806)</f>
        <v>10</v>
      </c>
      <c r="K1807"/>
    </row>
    <row r="1808" spans="1:15">
      <c r="A1808" s="22" t="s">
        <v>108</v>
      </c>
      <c r="B1808" s="32" t="s">
        <v>10</v>
      </c>
      <c r="C1808" s="6"/>
      <c r="D1808" s="6"/>
      <c r="E1808" s="6"/>
      <c r="F1808" s="6"/>
      <c r="G1808" s="76"/>
      <c r="H1808" s="76"/>
      <c r="I1808" s="6"/>
      <c r="J1808" s="24">
        <f>H1808</f>
        <v>0</v>
      </c>
      <c r="K1808"/>
    </row>
    <row r="1809" spans="1:11">
      <c r="A1809" s="22" t="s">
        <v>32</v>
      </c>
      <c r="B1809" s="32" t="s">
        <v>33</v>
      </c>
      <c r="C1809" s="6">
        <v>4</v>
      </c>
      <c r="D1809" s="6"/>
      <c r="E1809" s="6"/>
      <c r="F1809" s="6"/>
      <c r="G1809" s="76"/>
      <c r="H1809" s="76"/>
      <c r="I1809" s="6"/>
      <c r="J1809" s="24">
        <f>C1809</f>
        <v>4</v>
      </c>
      <c r="K1809"/>
    </row>
    <row r="1810" spans="1:11" ht="13.5" thickBot="1">
      <c r="A1810" s="36" t="s">
        <v>34</v>
      </c>
      <c r="B1810" s="37"/>
      <c r="C1810" s="29">
        <f>SUM(C1808:C1809)</f>
        <v>4</v>
      </c>
      <c r="D1810" s="29"/>
      <c r="E1810" s="29"/>
      <c r="F1810" s="29"/>
      <c r="G1810" s="29"/>
      <c r="H1810" s="29">
        <f>SUM(H1808:H1809)</f>
        <v>0</v>
      </c>
      <c r="I1810" s="29"/>
      <c r="J1810" s="30">
        <f>SUM(J1808:J1809)</f>
        <v>4</v>
      </c>
      <c r="K1810"/>
    </row>
    <row r="1811" spans="1:11" ht="17.25" customHeight="1" thickBot="1">
      <c r="A1811" s="78" t="s">
        <v>35</v>
      </c>
      <c r="B1811" s="79"/>
      <c r="C1811" s="80">
        <f>C1802+C1805+C1807+C1810</f>
        <v>4</v>
      </c>
      <c r="D1811" s="80">
        <f>D1802+D1805+D1807+D1810</f>
        <v>27</v>
      </c>
      <c r="E1811" s="80">
        <f>E1802+E1805+E1807+E1810</f>
        <v>281</v>
      </c>
      <c r="F1811" s="80"/>
      <c r="G1811" s="80">
        <f>G1802+G1805+G1807+G1810</f>
        <v>89</v>
      </c>
      <c r="H1811" s="80">
        <f>H1802+H1805+H1807+H1810</f>
        <v>425</v>
      </c>
      <c r="I1811" s="80">
        <f>I1802+I1805+I1807+I1810</f>
        <v>31</v>
      </c>
      <c r="J1811" s="80">
        <f>J1802+J1805+J1807+J1810</f>
        <v>857</v>
      </c>
      <c r="K1811"/>
    </row>
    <row r="1812" spans="1:11">
      <c r="B1812" s="38" t="s">
        <v>36</v>
      </c>
      <c r="C1812" s="39"/>
    </row>
    <row r="1813" spans="1:11">
      <c r="A1813" s="7" t="s">
        <v>37</v>
      </c>
      <c r="B1813" s="8">
        <f>D1802+D1805+D1807+D1810</f>
        <v>27</v>
      </c>
      <c r="C1813" s="6"/>
    </row>
    <row r="1814" spans="1:11">
      <c r="A1814" s="7" t="s">
        <v>38</v>
      </c>
      <c r="B1814" s="8">
        <f>E1811+F1811</f>
        <v>281</v>
      </c>
      <c r="C1814" s="6"/>
    </row>
    <row r="1815" spans="1:11">
      <c r="A1815" s="7" t="s">
        <v>39</v>
      </c>
      <c r="B1815" s="8">
        <f>J1798</f>
        <v>116</v>
      </c>
      <c r="C1815" s="6"/>
    </row>
    <row r="1816" spans="1:11">
      <c r="A1816" s="7" t="s">
        <v>40</v>
      </c>
      <c r="B1816" s="8">
        <f>J1799+J1804+J1806</f>
        <v>371</v>
      </c>
      <c r="C1816" s="6"/>
    </row>
    <row r="1817" spans="1:11">
      <c r="A1817" s="7" t="s">
        <v>41</v>
      </c>
      <c r="B1817" s="8">
        <f>J1800</f>
        <v>4</v>
      </c>
      <c r="C1817" s="6"/>
    </row>
    <row r="1818" spans="1:11">
      <c r="A1818" s="7" t="s">
        <v>42</v>
      </c>
      <c r="B1818" s="8">
        <f>J1801</f>
        <v>54</v>
      </c>
      <c r="C1818" s="6"/>
    </row>
    <row r="1819" spans="1:11">
      <c r="A1819" s="7" t="s">
        <v>43</v>
      </c>
      <c r="B1819" s="8">
        <f>J1808</f>
        <v>0</v>
      </c>
      <c r="C1819" s="6"/>
    </row>
    <row r="1820" spans="1:11">
      <c r="A1820" s="7" t="s">
        <v>44</v>
      </c>
      <c r="B1820" s="8">
        <f>J1809</f>
        <v>4</v>
      </c>
      <c r="C1820" s="6"/>
    </row>
    <row r="1821" spans="1:11">
      <c r="A1821" s="7"/>
      <c r="B1821" s="81">
        <f>SUM(B1813:B1820)</f>
        <v>857</v>
      </c>
      <c r="C1821" s="6"/>
    </row>
    <row r="1823" spans="1:11" ht="13.5" thickBot="1"/>
    <row r="1824" spans="1:11" ht="18" customHeight="1" thickBot="1">
      <c r="A1824" s="83" t="s">
        <v>111</v>
      </c>
      <c r="B1824" s="9"/>
    </row>
    <row r="1825" spans="1:15" ht="15.6" customHeight="1" thickBot="1">
      <c r="A1825" s="11" t="s">
        <v>17</v>
      </c>
      <c r="B1825" s="12" t="s">
        <v>18</v>
      </c>
      <c r="C1825" s="13" t="s">
        <v>16</v>
      </c>
      <c r="D1825" s="14" t="s">
        <v>15</v>
      </c>
      <c r="E1825" s="14" t="s">
        <v>6</v>
      </c>
      <c r="F1825" s="14" t="s">
        <v>19</v>
      </c>
      <c r="G1825" s="74" t="s">
        <v>20</v>
      </c>
      <c r="H1825" s="74" t="s">
        <v>21</v>
      </c>
      <c r="I1825" s="14" t="s">
        <v>22</v>
      </c>
      <c r="J1825" s="15" t="s">
        <v>9</v>
      </c>
      <c r="K1825"/>
    </row>
    <row r="1826" spans="1:15">
      <c r="A1826" s="16" t="s">
        <v>0</v>
      </c>
      <c r="B1826" s="17" t="s">
        <v>15</v>
      </c>
      <c r="C1826" s="18"/>
      <c r="D1826" s="18">
        <v>28</v>
      </c>
      <c r="E1826" s="18"/>
      <c r="F1826" s="18"/>
      <c r="G1826" s="75"/>
      <c r="H1826" s="75"/>
      <c r="I1826" s="18"/>
      <c r="J1826" s="19">
        <f>D1826</f>
        <v>28</v>
      </c>
      <c r="K1826"/>
    </row>
    <row r="1827" spans="1:15">
      <c r="A1827" s="22" t="s">
        <v>0</v>
      </c>
      <c r="B1827" s="23" t="s">
        <v>6</v>
      </c>
      <c r="C1827" s="6"/>
      <c r="D1827" s="6"/>
      <c r="E1827" s="6">
        <v>283</v>
      </c>
      <c r="F1827" s="6"/>
      <c r="G1827" s="76"/>
      <c r="H1827" s="76"/>
      <c r="I1827" s="6"/>
      <c r="J1827" s="24">
        <f>E1827+F1827</f>
        <v>283</v>
      </c>
      <c r="K1827"/>
      <c r="L1827" s="20" t="s">
        <v>23</v>
      </c>
      <c r="M1827" s="21" t="s">
        <v>109</v>
      </c>
      <c r="O1827" s="26"/>
    </row>
    <row r="1828" spans="1:15">
      <c r="A1828" s="22" t="s">
        <v>0</v>
      </c>
      <c r="B1828" s="23" t="s">
        <v>13</v>
      </c>
      <c r="C1828" s="6"/>
      <c r="D1828" s="6"/>
      <c r="E1828" s="6"/>
      <c r="F1828" s="6"/>
      <c r="G1828" s="76">
        <v>2</v>
      </c>
      <c r="H1828" s="76">
        <v>90</v>
      </c>
      <c r="I1828" s="6">
        <v>30</v>
      </c>
      <c r="J1828" s="24">
        <f>G1828+H1828+I1828</f>
        <v>122</v>
      </c>
      <c r="K1828"/>
      <c r="L1828" s="20">
        <v>198</v>
      </c>
      <c r="M1828" s="25" t="s">
        <v>24</v>
      </c>
    </row>
    <row r="1829" spans="1:15">
      <c r="A1829" s="22" t="s">
        <v>0</v>
      </c>
      <c r="B1829" s="23" t="s">
        <v>8</v>
      </c>
      <c r="C1829" s="6"/>
      <c r="D1829" s="6"/>
      <c r="E1829" s="6"/>
      <c r="F1829" s="6"/>
      <c r="G1829" s="76">
        <v>73</v>
      </c>
      <c r="H1829" s="76">
        <v>250</v>
      </c>
      <c r="I1829" s="6">
        <v>7</v>
      </c>
      <c r="J1829" s="24">
        <f>G1829+H1829+I1829</f>
        <v>330</v>
      </c>
      <c r="K1829"/>
      <c r="L1829" s="20">
        <v>44</v>
      </c>
      <c r="M1829" s="25" t="s">
        <v>25</v>
      </c>
    </row>
    <row r="1830" spans="1:15">
      <c r="A1830" s="22" t="s">
        <v>0</v>
      </c>
      <c r="B1830" s="23" t="s">
        <v>12</v>
      </c>
      <c r="C1830" s="6"/>
      <c r="D1830" s="6"/>
      <c r="E1830" s="6"/>
      <c r="F1830" s="6"/>
      <c r="G1830" s="76"/>
      <c r="H1830" s="76">
        <v>3</v>
      </c>
      <c r="I1830" s="6"/>
      <c r="J1830" s="24">
        <f>H1830</f>
        <v>3</v>
      </c>
      <c r="K1830"/>
      <c r="L1830" s="20">
        <v>36</v>
      </c>
      <c r="M1830" s="25" t="s">
        <v>26</v>
      </c>
    </row>
    <row r="1831" spans="1:15">
      <c r="A1831" s="22" t="s">
        <v>0</v>
      </c>
      <c r="B1831" s="23" t="s">
        <v>14</v>
      </c>
      <c r="C1831" s="6"/>
      <c r="D1831" s="6"/>
      <c r="E1831" s="6"/>
      <c r="F1831" s="6"/>
      <c r="G1831" s="76">
        <v>5</v>
      </c>
      <c r="H1831" s="76">
        <v>49</v>
      </c>
      <c r="I1831" s="6"/>
      <c r="J1831" s="24">
        <f>G1831+H1831</f>
        <v>54</v>
      </c>
      <c r="K1831"/>
      <c r="L1831" s="20">
        <v>3</v>
      </c>
      <c r="M1831" s="25" t="s">
        <v>27</v>
      </c>
    </row>
    <row r="1832" spans="1:15" ht="13.5" thickBot="1">
      <c r="A1832" s="27" t="s">
        <v>29</v>
      </c>
      <c r="B1832" s="28"/>
      <c r="C1832" s="29"/>
      <c r="D1832" s="29">
        <f>SUM(D1826:D1831)</f>
        <v>28</v>
      </c>
      <c r="E1832" s="29">
        <f>SUM(E1826:E1831)</f>
        <v>283</v>
      </c>
      <c r="F1832" s="29"/>
      <c r="G1832" s="29">
        <f>SUM(G1826:G1831)</f>
        <v>80</v>
      </c>
      <c r="H1832" s="29">
        <f>SUM(H1826:H1831)</f>
        <v>392</v>
      </c>
      <c r="I1832" s="29">
        <f>SUM(I1826:I1831)</f>
        <v>37</v>
      </c>
      <c r="J1832" s="30">
        <f>SUM(J1826:J1831)</f>
        <v>820</v>
      </c>
      <c r="K1832"/>
      <c r="L1832" s="20">
        <v>1</v>
      </c>
      <c r="M1832" s="25" t="s">
        <v>28</v>
      </c>
      <c r="N1832" s="26"/>
    </row>
    <row r="1833" spans="1:15">
      <c r="A1833" s="31" t="s">
        <v>7</v>
      </c>
      <c r="B1833" s="32" t="s">
        <v>15</v>
      </c>
      <c r="C1833" s="33"/>
      <c r="D1833" s="33"/>
      <c r="E1833" s="33"/>
      <c r="F1833" s="33"/>
      <c r="G1833" s="77"/>
      <c r="H1833" s="77"/>
      <c r="I1833" s="33"/>
      <c r="J1833" s="34"/>
      <c r="K1833"/>
      <c r="L1833" s="20">
        <v>1</v>
      </c>
      <c r="M1833" s="25" t="s">
        <v>30</v>
      </c>
    </row>
    <row r="1834" spans="1:15">
      <c r="A1834" s="31" t="s">
        <v>7</v>
      </c>
      <c r="B1834" s="32" t="s">
        <v>8</v>
      </c>
      <c r="C1834" s="33"/>
      <c r="D1834" s="33"/>
      <c r="E1834" s="33"/>
      <c r="F1834" s="33"/>
      <c r="G1834" s="77">
        <v>4</v>
      </c>
      <c r="H1834" s="77">
        <v>23</v>
      </c>
      <c r="I1834" s="33"/>
      <c r="J1834" s="34">
        <f>G1834+H1834</f>
        <v>27</v>
      </c>
      <c r="K1834"/>
      <c r="L1834" s="35">
        <f>SUM(L1828:L1833)</f>
        <v>283</v>
      </c>
      <c r="M1834" s="21"/>
    </row>
    <row r="1835" spans="1:15" ht="13.5" thickBot="1">
      <c r="A1835" s="27" t="s">
        <v>31</v>
      </c>
      <c r="B1835" s="28"/>
      <c r="C1835" s="29"/>
      <c r="D1835" s="29"/>
      <c r="E1835" s="29"/>
      <c r="F1835" s="29"/>
      <c r="G1835" s="29">
        <f>SUM(G1833:G1834)</f>
        <v>4</v>
      </c>
      <c r="H1835" s="29">
        <f>SUM(H1833:H1834)</f>
        <v>23</v>
      </c>
      <c r="I1835" s="29"/>
      <c r="J1835" s="30">
        <f>SUM(J1833:J1834)</f>
        <v>27</v>
      </c>
      <c r="K1835"/>
    </row>
    <row r="1836" spans="1:15">
      <c r="A1836" s="31" t="s">
        <v>105</v>
      </c>
      <c r="B1836" s="32" t="s">
        <v>8</v>
      </c>
      <c r="C1836" s="33"/>
      <c r="D1836" s="33"/>
      <c r="E1836" s="33"/>
      <c r="F1836" s="33"/>
      <c r="G1836" s="77">
        <v>5</v>
      </c>
      <c r="H1836" s="77">
        <v>5</v>
      </c>
      <c r="I1836" s="33"/>
      <c r="J1836" s="34">
        <f>G1836+H1836</f>
        <v>10</v>
      </c>
      <c r="K1836"/>
    </row>
    <row r="1837" spans="1:15" ht="13.5" thickBot="1">
      <c r="A1837" s="27" t="s">
        <v>106</v>
      </c>
      <c r="B1837" s="28"/>
      <c r="C1837" s="29"/>
      <c r="D1837" s="29"/>
      <c r="E1837" s="29"/>
      <c r="F1837" s="29"/>
      <c r="G1837" s="29">
        <f>SUM(G1836:G1836)</f>
        <v>5</v>
      </c>
      <c r="H1837" s="29">
        <f>SUM(H1836:H1836)</f>
        <v>5</v>
      </c>
      <c r="I1837" s="29"/>
      <c r="J1837" s="30">
        <f>SUM(J1836:J1836)</f>
        <v>10</v>
      </c>
      <c r="K1837"/>
    </row>
    <row r="1838" spans="1:15">
      <c r="A1838" s="22" t="s">
        <v>108</v>
      </c>
      <c r="B1838" s="32" t="s">
        <v>10</v>
      </c>
      <c r="C1838" s="6"/>
      <c r="D1838" s="6"/>
      <c r="E1838" s="6"/>
      <c r="F1838" s="6"/>
      <c r="G1838" s="76"/>
      <c r="H1838" s="76"/>
      <c r="I1838" s="6"/>
      <c r="J1838" s="24">
        <f>H1838</f>
        <v>0</v>
      </c>
      <c r="K1838"/>
    </row>
    <row r="1839" spans="1:15">
      <c r="A1839" s="22" t="s">
        <v>32</v>
      </c>
      <c r="B1839" s="32" t="s">
        <v>33</v>
      </c>
      <c r="C1839" s="6">
        <v>4</v>
      </c>
      <c r="D1839" s="6"/>
      <c r="E1839" s="6"/>
      <c r="F1839" s="6"/>
      <c r="G1839" s="76"/>
      <c r="H1839" s="76"/>
      <c r="I1839" s="6"/>
      <c r="J1839" s="24">
        <f>C1839</f>
        <v>4</v>
      </c>
      <c r="K1839"/>
    </row>
    <row r="1840" spans="1:15" ht="13.5" thickBot="1">
      <c r="A1840" s="36" t="s">
        <v>34</v>
      </c>
      <c r="B1840" s="37"/>
      <c r="C1840" s="29">
        <f>SUM(C1838:C1839)</f>
        <v>4</v>
      </c>
      <c r="D1840" s="29"/>
      <c r="E1840" s="29"/>
      <c r="F1840" s="29"/>
      <c r="G1840" s="29"/>
      <c r="H1840" s="29">
        <f>SUM(H1838:H1839)</f>
        <v>0</v>
      </c>
      <c r="I1840" s="29"/>
      <c r="J1840" s="30">
        <f>SUM(J1838:J1839)</f>
        <v>4</v>
      </c>
      <c r="K1840"/>
    </row>
    <row r="1841" spans="1:11" ht="17.25" customHeight="1" thickBot="1">
      <c r="A1841" s="78" t="s">
        <v>35</v>
      </c>
      <c r="B1841" s="79"/>
      <c r="C1841" s="80">
        <f>C1832+C1835+C1837+C1840</f>
        <v>4</v>
      </c>
      <c r="D1841" s="80">
        <f>D1832+D1835+D1837+D1840</f>
        <v>28</v>
      </c>
      <c r="E1841" s="80">
        <f>E1832+E1835+E1837+E1840</f>
        <v>283</v>
      </c>
      <c r="F1841" s="80"/>
      <c r="G1841" s="80">
        <f>G1832+G1835+G1837+G1840</f>
        <v>89</v>
      </c>
      <c r="H1841" s="80">
        <f>H1832+H1835+H1837+H1840</f>
        <v>420</v>
      </c>
      <c r="I1841" s="80">
        <f>I1832+I1835+I1837+I1840</f>
        <v>37</v>
      </c>
      <c r="J1841" s="80">
        <f>J1832+J1835+J1837+J1840</f>
        <v>861</v>
      </c>
      <c r="K1841"/>
    </row>
    <row r="1842" spans="1:11">
      <c r="B1842" s="38" t="s">
        <v>36</v>
      </c>
      <c r="C1842" s="39"/>
    </row>
    <row r="1843" spans="1:11">
      <c r="A1843" s="7" t="s">
        <v>37</v>
      </c>
      <c r="B1843" s="8">
        <f>D1832+D1835+D1837+D1840</f>
        <v>28</v>
      </c>
      <c r="C1843" s="6"/>
    </row>
    <row r="1844" spans="1:11">
      <c r="A1844" s="7" t="s">
        <v>38</v>
      </c>
      <c r="B1844" s="8">
        <f>E1841+F1841</f>
        <v>283</v>
      </c>
      <c r="C1844" s="6"/>
    </row>
    <row r="1845" spans="1:11">
      <c r="A1845" s="7" t="s">
        <v>39</v>
      </c>
      <c r="B1845" s="8">
        <f>J1828</f>
        <v>122</v>
      </c>
      <c r="C1845" s="6"/>
    </row>
    <row r="1846" spans="1:11">
      <c r="A1846" s="7" t="s">
        <v>40</v>
      </c>
      <c r="B1846" s="8">
        <f>J1829+J1834+J1836</f>
        <v>367</v>
      </c>
      <c r="C1846" s="6"/>
    </row>
    <row r="1847" spans="1:11">
      <c r="A1847" s="7" t="s">
        <v>41</v>
      </c>
      <c r="B1847" s="8">
        <f>J1830</f>
        <v>3</v>
      </c>
      <c r="C1847" s="6"/>
    </row>
    <row r="1848" spans="1:11">
      <c r="A1848" s="7" t="s">
        <v>42</v>
      </c>
      <c r="B1848" s="8">
        <f>J1831</f>
        <v>54</v>
      </c>
      <c r="C1848" s="6"/>
    </row>
    <row r="1849" spans="1:11">
      <c r="A1849" s="7" t="s">
        <v>43</v>
      </c>
      <c r="B1849" s="8">
        <f>J1838</f>
        <v>0</v>
      </c>
      <c r="C1849" s="6"/>
    </row>
    <row r="1850" spans="1:11">
      <c r="A1850" s="7" t="s">
        <v>44</v>
      </c>
      <c r="B1850" s="8">
        <f>J1839</f>
        <v>4</v>
      </c>
      <c r="C1850" s="6"/>
    </row>
    <row r="1851" spans="1:11">
      <c r="A1851" s="7"/>
      <c r="B1851" s="81">
        <f>SUM(B1843:B1850)</f>
        <v>861</v>
      </c>
      <c r="C1851" s="6"/>
    </row>
    <row r="1858" spans="1:15" ht="13.5" thickBot="1"/>
    <row r="1859" spans="1:15" ht="18" customHeight="1" thickBot="1">
      <c r="A1859" s="82" t="s">
        <v>110</v>
      </c>
      <c r="B1859" s="9"/>
    </row>
    <row r="1860" spans="1:15" ht="15.6" customHeight="1" thickBot="1">
      <c r="A1860" s="11" t="s">
        <v>17</v>
      </c>
      <c r="B1860" s="12" t="s">
        <v>18</v>
      </c>
      <c r="C1860" s="13" t="s">
        <v>16</v>
      </c>
      <c r="D1860" s="14" t="s">
        <v>15</v>
      </c>
      <c r="E1860" s="14" t="s">
        <v>6</v>
      </c>
      <c r="F1860" s="14" t="s">
        <v>19</v>
      </c>
      <c r="G1860" s="74" t="s">
        <v>20</v>
      </c>
      <c r="H1860" s="74" t="s">
        <v>21</v>
      </c>
      <c r="I1860" s="14" t="s">
        <v>22</v>
      </c>
      <c r="J1860" s="15" t="s">
        <v>9</v>
      </c>
      <c r="K1860"/>
    </row>
    <row r="1861" spans="1:15">
      <c r="A1861" s="16" t="s">
        <v>0</v>
      </c>
      <c r="B1861" s="17" t="s">
        <v>15</v>
      </c>
      <c r="C1861" s="18"/>
      <c r="D1861" s="18">
        <v>28</v>
      </c>
      <c r="E1861" s="18"/>
      <c r="F1861" s="18"/>
      <c r="G1861" s="75"/>
      <c r="H1861" s="75"/>
      <c r="I1861" s="18"/>
      <c r="J1861" s="19">
        <f>D1861</f>
        <v>28</v>
      </c>
      <c r="K1861"/>
    </row>
    <row r="1862" spans="1:15">
      <c r="A1862" s="22" t="s">
        <v>0</v>
      </c>
      <c r="B1862" s="23" t="s">
        <v>6</v>
      </c>
      <c r="C1862" s="6"/>
      <c r="D1862" s="6"/>
      <c r="E1862" s="6">
        <v>283</v>
      </c>
      <c r="F1862" s="6"/>
      <c r="G1862" s="76"/>
      <c r="H1862" s="76"/>
      <c r="I1862" s="6"/>
      <c r="J1862" s="24">
        <f>E1862+F1862</f>
        <v>283</v>
      </c>
      <c r="K1862"/>
      <c r="L1862" s="20" t="s">
        <v>23</v>
      </c>
      <c r="M1862" s="21" t="s">
        <v>109</v>
      </c>
      <c r="O1862" s="26"/>
    </row>
    <row r="1863" spans="1:15">
      <c r="A1863" s="22" t="s">
        <v>0</v>
      </c>
      <c r="B1863" s="23" t="s">
        <v>13</v>
      </c>
      <c r="C1863" s="6"/>
      <c r="D1863" s="6"/>
      <c r="E1863" s="6"/>
      <c r="F1863" s="6"/>
      <c r="G1863" s="76">
        <v>2</v>
      </c>
      <c r="H1863" s="76">
        <v>90</v>
      </c>
      <c r="I1863" s="6">
        <v>30</v>
      </c>
      <c r="J1863" s="24">
        <f>G1863+H1863+I1863</f>
        <v>122</v>
      </c>
      <c r="K1863"/>
      <c r="L1863" s="20">
        <v>198</v>
      </c>
      <c r="M1863" s="25" t="s">
        <v>24</v>
      </c>
    </row>
    <row r="1864" spans="1:15">
      <c r="A1864" s="22" t="s">
        <v>0</v>
      </c>
      <c r="B1864" s="23" t="s">
        <v>8</v>
      </c>
      <c r="C1864" s="6"/>
      <c r="D1864" s="6"/>
      <c r="E1864" s="6"/>
      <c r="F1864" s="6"/>
      <c r="G1864" s="76">
        <v>72</v>
      </c>
      <c r="H1864" s="76">
        <v>251</v>
      </c>
      <c r="I1864" s="6">
        <v>7</v>
      </c>
      <c r="J1864" s="24">
        <f>G1864+H1864+I1864</f>
        <v>330</v>
      </c>
      <c r="K1864"/>
      <c r="L1864" s="20">
        <v>44</v>
      </c>
      <c r="M1864" s="25" t="s">
        <v>25</v>
      </c>
    </row>
    <row r="1865" spans="1:15">
      <c r="A1865" s="22" t="s">
        <v>0</v>
      </c>
      <c r="B1865" s="23" t="s">
        <v>12</v>
      </c>
      <c r="C1865" s="6"/>
      <c r="D1865" s="6"/>
      <c r="E1865" s="6"/>
      <c r="F1865" s="6"/>
      <c r="G1865" s="76"/>
      <c r="H1865" s="76">
        <v>3</v>
      </c>
      <c r="I1865" s="6"/>
      <c r="J1865" s="24">
        <f>H1865</f>
        <v>3</v>
      </c>
      <c r="K1865"/>
      <c r="L1865" s="20">
        <v>36</v>
      </c>
      <c r="M1865" s="25" t="s">
        <v>26</v>
      </c>
    </row>
    <row r="1866" spans="1:15">
      <c r="A1866" s="22" t="s">
        <v>0</v>
      </c>
      <c r="B1866" s="23" t="s">
        <v>14</v>
      </c>
      <c r="C1866" s="6"/>
      <c r="D1866" s="6"/>
      <c r="E1866" s="6"/>
      <c r="F1866" s="6"/>
      <c r="G1866" s="76">
        <v>5</v>
      </c>
      <c r="H1866" s="76">
        <v>50</v>
      </c>
      <c r="I1866" s="6"/>
      <c r="J1866" s="24">
        <f>G1866+H1866</f>
        <v>55</v>
      </c>
      <c r="K1866"/>
      <c r="L1866" s="20">
        <v>3</v>
      </c>
      <c r="M1866" s="25" t="s">
        <v>27</v>
      </c>
    </row>
    <row r="1867" spans="1:15" ht="13.5" thickBot="1">
      <c r="A1867" s="27" t="s">
        <v>29</v>
      </c>
      <c r="B1867" s="28"/>
      <c r="C1867" s="29"/>
      <c r="D1867" s="29">
        <f>SUM(D1861:D1866)</f>
        <v>28</v>
      </c>
      <c r="E1867" s="29">
        <f>SUM(E1861:E1866)</f>
        <v>283</v>
      </c>
      <c r="F1867" s="29"/>
      <c r="G1867" s="29">
        <f>SUM(G1861:G1866)</f>
        <v>79</v>
      </c>
      <c r="H1867" s="29">
        <f>SUM(H1861:H1866)</f>
        <v>394</v>
      </c>
      <c r="I1867" s="29">
        <f>SUM(I1861:I1866)</f>
        <v>37</v>
      </c>
      <c r="J1867" s="30">
        <f>SUM(J1861:J1866)</f>
        <v>821</v>
      </c>
      <c r="K1867"/>
      <c r="L1867" s="20">
        <v>1</v>
      </c>
      <c r="M1867" s="25" t="s">
        <v>28</v>
      </c>
      <c r="N1867" s="26"/>
    </row>
    <row r="1868" spans="1:15">
      <c r="A1868" s="31" t="s">
        <v>7</v>
      </c>
      <c r="B1868" s="32" t="s">
        <v>15</v>
      </c>
      <c r="C1868" s="33"/>
      <c r="D1868" s="33"/>
      <c r="E1868" s="33"/>
      <c r="F1868" s="33"/>
      <c r="G1868" s="77"/>
      <c r="H1868" s="77"/>
      <c r="I1868" s="33"/>
      <c r="J1868" s="34"/>
      <c r="K1868"/>
      <c r="L1868" s="20">
        <v>1</v>
      </c>
      <c r="M1868" s="25" t="s">
        <v>30</v>
      </c>
    </row>
    <row r="1869" spans="1:15">
      <c r="A1869" s="31" t="s">
        <v>7</v>
      </c>
      <c r="B1869" s="32" t="s">
        <v>8</v>
      </c>
      <c r="C1869" s="33"/>
      <c r="D1869" s="33"/>
      <c r="E1869" s="33"/>
      <c r="F1869" s="33"/>
      <c r="G1869" s="77">
        <v>4</v>
      </c>
      <c r="H1869" s="77">
        <v>23</v>
      </c>
      <c r="I1869" s="33"/>
      <c r="J1869" s="34">
        <f>G1869+H1869</f>
        <v>27</v>
      </c>
      <c r="K1869"/>
      <c r="L1869" s="35">
        <f>SUM(L1863:L1868)</f>
        <v>283</v>
      </c>
      <c r="M1869" s="21"/>
    </row>
    <row r="1870" spans="1:15" ht="13.5" thickBot="1">
      <c r="A1870" s="27" t="s">
        <v>31</v>
      </c>
      <c r="B1870" s="28"/>
      <c r="C1870" s="29"/>
      <c r="D1870" s="29"/>
      <c r="E1870" s="29"/>
      <c r="F1870" s="29"/>
      <c r="G1870" s="29">
        <f>SUM(G1868:G1869)</f>
        <v>4</v>
      </c>
      <c r="H1870" s="29">
        <f>SUM(H1868:H1869)</f>
        <v>23</v>
      </c>
      <c r="I1870" s="29"/>
      <c r="J1870" s="30">
        <f>SUM(J1868:J1869)</f>
        <v>27</v>
      </c>
      <c r="K1870"/>
    </row>
    <row r="1871" spans="1:15">
      <c r="A1871" s="31" t="s">
        <v>105</v>
      </c>
      <c r="B1871" s="32" t="s">
        <v>8</v>
      </c>
      <c r="C1871" s="33"/>
      <c r="D1871" s="33"/>
      <c r="E1871" s="33"/>
      <c r="F1871" s="33"/>
      <c r="G1871" s="77">
        <v>5</v>
      </c>
      <c r="H1871" s="77">
        <v>5</v>
      </c>
      <c r="I1871" s="33"/>
      <c r="J1871" s="34">
        <f>G1871+H1871</f>
        <v>10</v>
      </c>
      <c r="K1871"/>
    </row>
    <row r="1872" spans="1:15" ht="13.5" thickBot="1">
      <c r="A1872" s="27" t="s">
        <v>106</v>
      </c>
      <c r="B1872" s="28"/>
      <c r="C1872" s="29"/>
      <c r="D1872" s="29"/>
      <c r="E1872" s="29"/>
      <c r="F1872" s="29"/>
      <c r="G1872" s="29">
        <f>SUM(G1871:G1871)</f>
        <v>5</v>
      </c>
      <c r="H1872" s="29">
        <f>SUM(H1871:H1871)</f>
        <v>5</v>
      </c>
      <c r="I1872" s="29"/>
      <c r="J1872" s="30">
        <f>SUM(J1871:J1871)</f>
        <v>10</v>
      </c>
      <c r="K1872"/>
    </row>
    <row r="1873" spans="1:11">
      <c r="A1873" s="22" t="s">
        <v>108</v>
      </c>
      <c r="B1873" s="32" t="s">
        <v>10</v>
      </c>
      <c r="C1873" s="6"/>
      <c r="D1873" s="6"/>
      <c r="E1873" s="6"/>
      <c r="F1873" s="6"/>
      <c r="G1873" s="76"/>
      <c r="H1873" s="76"/>
      <c r="I1873" s="6"/>
      <c r="J1873" s="24">
        <f>H1873</f>
        <v>0</v>
      </c>
      <c r="K1873"/>
    </row>
    <row r="1874" spans="1:11">
      <c r="A1874" s="22" t="s">
        <v>32</v>
      </c>
      <c r="B1874" s="32" t="s">
        <v>33</v>
      </c>
      <c r="C1874" s="6">
        <v>4</v>
      </c>
      <c r="D1874" s="6"/>
      <c r="E1874" s="6"/>
      <c r="F1874" s="6"/>
      <c r="G1874" s="76"/>
      <c r="H1874" s="76"/>
      <c r="I1874" s="6"/>
      <c r="J1874" s="24">
        <f>C1874</f>
        <v>4</v>
      </c>
      <c r="K1874"/>
    </row>
    <row r="1875" spans="1:11" ht="13.5" thickBot="1">
      <c r="A1875" s="36" t="s">
        <v>34</v>
      </c>
      <c r="B1875" s="37"/>
      <c r="C1875" s="29">
        <f>SUM(C1873:C1874)</f>
        <v>4</v>
      </c>
      <c r="D1875" s="29"/>
      <c r="E1875" s="29"/>
      <c r="F1875" s="29"/>
      <c r="G1875" s="29"/>
      <c r="H1875" s="29">
        <f>SUM(H1873:H1874)</f>
        <v>0</v>
      </c>
      <c r="I1875" s="29"/>
      <c r="J1875" s="30">
        <f>SUM(J1873:J1874)</f>
        <v>4</v>
      </c>
      <c r="K1875"/>
    </row>
    <row r="1876" spans="1:11" ht="17.25" customHeight="1" thickBot="1">
      <c r="A1876" s="78" t="s">
        <v>35</v>
      </c>
      <c r="B1876" s="79"/>
      <c r="C1876" s="80">
        <f>C1867+C1870+C1872+C1875</f>
        <v>4</v>
      </c>
      <c r="D1876" s="80">
        <f>D1867+D1870+D1872+D1875</f>
        <v>28</v>
      </c>
      <c r="E1876" s="80">
        <f>E1867+E1870+E1872+E1875</f>
        <v>283</v>
      </c>
      <c r="F1876" s="80"/>
      <c r="G1876" s="80">
        <f>G1867+G1870+G1872+G1875</f>
        <v>88</v>
      </c>
      <c r="H1876" s="80">
        <f>H1867+H1870+H1872+H1875</f>
        <v>422</v>
      </c>
      <c r="I1876" s="80">
        <f>I1867+I1870+I1872+I1875</f>
        <v>37</v>
      </c>
      <c r="J1876" s="80">
        <f>J1867+J1870+J1872+J1875</f>
        <v>862</v>
      </c>
      <c r="K1876"/>
    </row>
    <row r="1877" spans="1:11">
      <c r="B1877" s="38" t="s">
        <v>36</v>
      </c>
      <c r="C1877" s="39"/>
    </row>
    <row r="1878" spans="1:11">
      <c r="A1878" s="7" t="s">
        <v>37</v>
      </c>
      <c r="B1878" s="8">
        <f>D1867+D1870+D1872+D1875</f>
        <v>28</v>
      </c>
      <c r="C1878" s="6"/>
    </row>
    <row r="1879" spans="1:11">
      <c r="A1879" s="7" t="s">
        <v>38</v>
      </c>
      <c r="B1879" s="8">
        <f>E1876+F1876</f>
        <v>283</v>
      </c>
      <c r="C1879" s="6"/>
    </row>
    <row r="1880" spans="1:11">
      <c r="A1880" s="7" t="s">
        <v>39</v>
      </c>
      <c r="B1880" s="8">
        <f>J1863</f>
        <v>122</v>
      </c>
      <c r="C1880" s="6"/>
    </row>
    <row r="1881" spans="1:11">
      <c r="A1881" s="7" t="s">
        <v>40</v>
      </c>
      <c r="B1881" s="8">
        <f>J1864+J1869+J1871</f>
        <v>367</v>
      </c>
      <c r="C1881" s="6"/>
    </row>
    <row r="1882" spans="1:11">
      <c r="A1882" s="7" t="s">
        <v>41</v>
      </c>
      <c r="B1882" s="8">
        <f>J1865</f>
        <v>3</v>
      </c>
      <c r="C1882" s="6"/>
    </row>
    <row r="1883" spans="1:11">
      <c r="A1883" s="7" t="s">
        <v>42</v>
      </c>
      <c r="B1883" s="8">
        <f>J1866</f>
        <v>55</v>
      </c>
      <c r="C1883" s="6"/>
    </row>
    <row r="1884" spans="1:11">
      <c r="A1884" s="7" t="s">
        <v>43</v>
      </c>
      <c r="B1884" s="8">
        <f>J1873</f>
        <v>0</v>
      </c>
      <c r="C1884" s="6"/>
    </row>
    <row r="1885" spans="1:11">
      <c r="A1885" s="7" t="s">
        <v>44</v>
      </c>
      <c r="B1885" s="8">
        <f>J1874</f>
        <v>4</v>
      </c>
      <c r="C1885" s="6"/>
    </row>
    <row r="1886" spans="1:11">
      <c r="A1886" s="7"/>
      <c r="B1886" s="81">
        <f>SUM(B1878:B1885)</f>
        <v>862</v>
      </c>
      <c r="C1886" s="6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C8865-56D7-48D2-9AE3-D2ACF91734A8}">
  <dimension ref="A1:M28"/>
  <sheetViews>
    <sheetView topLeftCell="A5" workbookViewId="0">
      <selection activeCell="E32" sqref="E32"/>
    </sheetView>
  </sheetViews>
  <sheetFormatPr defaultRowHeight="12.75"/>
  <cols>
    <col min="1" max="1" width="25.85546875" bestFit="1" customWidth="1"/>
    <col min="2" max="11" width="11.42578125" customWidth="1"/>
  </cols>
  <sheetData>
    <row r="1" spans="1:13">
      <c r="A1" t="s">
        <v>45</v>
      </c>
      <c r="B1" t="s">
        <v>4</v>
      </c>
    </row>
    <row r="2" spans="1:13">
      <c r="A2" t="s">
        <v>66</v>
      </c>
      <c r="B2" t="s">
        <v>71</v>
      </c>
    </row>
    <row r="4" spans="1:13" s="42" customFormat="1" ht="42" customHeight="1">
      <c r="A4" s="50" t="s">
        <v>3</v>
      </c>
      <c r="B4" s="51" t="s">
        <v>60</v>
      </c>
      <c r="C4" s="51" t="s">
        <v>50</v>
      </c>
      <c r="D4" s="51" t="s">
        <v>51</v>
      </c>
      <c r="E4" s="51" t="s">
        <v>56</v>
      </c>
      <c r="F4" s="51" t="s">
        <v>53</v>
      </c>
      <c r="G4" s="51" t="s">
        <v>54</v>
      </c>
      <c r="H4" s="51" t="s">
        <v>59</v>
      </c>
      <c r="I4" s="51" t="s">
        <v>55</v>
      </c>
      <c r="J4" s="51" t="s">
        <v>57</v>
      </c>
      <c r="K4" s="51" t="s">
        <v>2969</v>
      </c>
      <c r="L4" s="51" t="s">
        <v>5052</v>
      </c>
      <c r="M4" s="51" t="s">
        <v>2</v>
      </c>
    </row>
    <row r="5" spans="1:13" s="42" customFormat="1" ht="16.7" customHeight="1">
      <c r="A5" s="90" t="s">
        <v>83</v>
      </c>
      <c r="B5" s="90"/>
      <c r="C5" s="91"/>
      <c r="D5" s="91"/>
      <c r="E5" s="91"/>
      <c r="F5" s="91">
        <v>1</v>
      </c>
      <c r="G5" s="91">
        <v>5</v>
      </c>
      <c r="H5" s="91"/>
      <c r="I5" s="91">
        <v>5</v>
      </c>
      <c r="J5" s="91"/>
      <c r="K5" s="91"/>
      <c r="L5" s="92"/>
      <c r="M5" s="42">
        <v>11</v>
      </c>
    </row>
    <row r="6" spans="1:13" s="42" customFormat="1" ht="16.7" customHeight="1">
      <c r="A6" s="93" t="s">
        <v>84</v>
      </c>
      <c r="B6" s="93"/>
      <c r="C6"/>
      <c r="D6">
        <v>1</v>
      </c>
      <c r="E6"/>
      <c r="F6">
        <v>2</v>
      </c>
      <c r="G6">
        <v>2</v>
      </c>
      <c r="H6">
        <v>1</v>
      </c>
      <c r="I6">
        <v>1</v>
      </c>
      <c r="J6"/>
      <c r="K6"/>
      <c r="L6" s="94"/>
      <c r="M6" s="42">
        <v>7</v>
      </c>
    </row>
    <row r="7" spans="1:13" s="42" customFormat="1" ht="16.7" customHeight="1">
      <c r="A7" s="93" t="s">
        <v>92</v>
      </c>
      <c r="B7" s="93"/>
      <c r="C7">
        <v>1</v>
      </c>
      <c r="D7"/>
      <c r="E7"/>
      <c r="F7">
        <v>2</v>
      </c>
      <c r="G7"/>
      <c r="H7"/>
      <c r="I7"/>
      <c r="J7"/>
      <c r="K7"/>
      <c r="L7" s="94"/>
      <c r="M7" s="42">
        <v>3</v>
      </c>
    </row>
    <row r="8" spans="1:13" s="42" customFormat="1" ht="16.7" customHeight="1">
      <c r="A8" s="93" t="s">
        <v>95</v>
      </c>
      <c r="B8" s="93"/>
      <c r="C8"/>
      <c r="D8"/>
      <c r="E8"/>
      <c r="F8"/>
      <c r="G8">
        <v>1</v>
      </c>
      <c r="H8"/>
      <c r="I8"/>
      <c r="J8"/>
      <c r="K8"/>
      <c r="L8" s="94"/>
      <c r="M8" s="42">
        <v>1</v>
      </c>
    </row>
    <row r="9" spans="1:13" s="42" customFormat="1" ht="16.7" customHeight="1">
      <c r="A9" s="93" t="s">
        <v>93</v>
      </c>
      <c r="B9" s="93"/>
      <c r="C9"/>
      <c r="D9"/>
      <c r="E9"/>
      <c r="F9"/>
      <c r="G9"/>
      <c r="H9"/>
      <c r="I9">
        <v>1</v>
      </c>
      <c r="J9"/>
      <c r="K9"/>
      <c r="L9" s="94"/>
      <c r="M9" s="42">
        <v>1</v>
      </c>
    </row>
    <row r="10" spans="1:13" s="42" customFormat="1" ht="16.7" customHeight="1">
      <c r="A10" s="93" t="s">
        <v>77</v>
      </c>
      <c r="B10" s="93">
        <v>1</v>
      </c>
      <c r="C10"/>
      <c r="D10"/>
      <c r="E10"/>
      <c r="F10"/>
      <c r="G10"/>
      <c r="H10"/>
      <c r="I10"/>
      <c r="J10"/>
      <c r="K10"/>
      <c r="L10" s="94"/>
      <c r="M10" s="42">
        <v>1</v>
      </c>
    </row>
    <row r="11" spans="1:13" s="42" customFormat="1" ht="16.7" customHeight="1">
      <c r="A11" s="93" t="s">
        <v>85</v>
      </c>
      <c r="B11" s="93"/>
      <c r="C11"/>
      <c r="D11">
        <v>1</v>
      </c>
      <c r="E11"/>
      <c r="F11">
        <v>1</v>
      </c>
      <c r="G11"/>
      <c r="H11"/>
      <c r="I11">
        <v>1</v>
      </c>
      <c r="J11"/>
      <c r="K11"/>
      <c r="L11" s="94"/>
      <c r="M11" s="42">
        <v>3</v>
      </c>
    </row>
    <row r="12" spans="1:13" s="42" customFormat="1" ht="16.7" customHeight="1">
      <c r="A12" s="93" t="s">
        <v>90</v>
      </c>
      <c r="B12" s="93"/>
      <c r="C12"/>
      <c r="D12"/>
      <c r="E12">
        <v>1</v>
      </c>
      <c r="F12">
        <v>1</v>
      </c>
      <c r="G12">
        <v>1</v>
      </c>
      <c r="H12"/>
      <c r="I12">
        <v>5</v>
      </c>
      <c r="J12"/>
      <c r="K12"/>
      <c r="L12" s="94"/>
      <c r="M12" s="42">
        <v>8</v>
      </c>
    </row>
    <row r="13" spans="1:13" s="42" customFormat="1" ht="16.7" customHeight="1">
      <c r="A13" s="93" t="s">
        <v>82</v>
      </c>
      <c r="B13" s="93"/>
      <c r="C13"/>
      <c r="D13">
        <v>1</v>
      </c>
      <c r="E13">
        <v>1</v>
      </c>
      <c r="F13">
        <v>2</v>
      </c>
      <c r="G13">
        <v>3</v>
      </c>
      <c r="H13"/>
      <c r="I13">
        <v>8</v>
      </c>
      <c r="J13"/>
      <c r="K13"/>
      <c r="L13" s="94"/>
      <c r="M13" s="42">
        <v>15</v>
      </c>
    </row>
    <row r="14" spans="1:13" s="42" customFormat="1" ht="16.7" customHeight="1">
      <c r="A14" s="93" t="s">
        <v>81</v>
      </c>
      <c r="B14" s="93"/>
      <c r="C14"/>
      <c r="D14">
        <v>1</v>
      </c>
      <c r="E14">
        <v>1</v>
      </c>
      <c r="F14">
        <v>2</v>
      </c>
      <c r="G14"/>
      <c r="H14"/>
      <c r="I14">
        <v>2</v>
      </c>
      <c r="J14"/>
      <c r="K14"/>
      <c r="L14" s="94"/>
      <c r="M14" s="42">
        <v>6</v>
      </c>
    </row>
    <row r="15" spans="1:13" s="42" customFormat="1" ht="16.7" customHeight="1">
      <c r="A15" s="93" t="s">
        <v>86</v>
      </c>
      <c r="B15" s="93"/>
      <c r="C15"/>
      <c r="D15">
        <v>2</v>
      </c>
      <c r="E15">
        <v>2</v>
      </c>
      <c r="F15">
        <v>2</v>
      </c>
      <c r="G15">
        <v>3</v>
      </c>
      <c r="H15"/>
      <c r="I15">
        <v>2</v>
      </c>
      <c r="J15"/>
      <c r="K15"/>
      <c r="L15" s="94"/>
      <c r="M15" s="42">
        <v>11</v>
      </c>
    </row>
    <row r="16" spans="1:13" s="42" customFormat="1" ht="16.7" customHeight="1">
      <c r="A16" s="93" t="s">
        <v>87</v>
      </c>
      <c r="B16" s="93"/>
      <c r="C16"/>
      <c r="D16">
        <v>1</v>
      </c>
      <c r="E16"/>
      <c r="F16">
        <v>1</v>
      </c>
      <c r="G16"/>
      <c r="H16"/>
      <c r="I16">
        <v>3</v>
      </c>
      <c r="J16"/>
      <c r="K16"/>
      <c r="L16" s="94"/>
      <c r="M16" s="42">
        <v>5</v>
      </c>
    </row>
    <row r="17" spans="1:13" s="42" customFormat="1" ht="16.7" customHeight="1">
      <c r="A17" s="93" t="s">
        <v>94</v>
      </c>
      <c r="B17" s="93"/>
      <c r="C17"/>
      <c r="D17"/>
      <c r="E17">
        <v>1</v>
      </c>
      <c r="F17"/>
      <c r="G17"/>
      <c r="H17"/>
      <c r="I17">
        <v>1</v>
      </c>
      <c r="J17"/>
      <c r="K17"/>
      <c r="L17" s="94"/>
      <c r="M17" s="42">
        <v>2</v>
      </c>
    </row>
    <row r="18" spans="1:13" s="42" customFormat="1" ht="16.7" customHeight="1">
      <c r="A18" s="93" t="s">
        <v>88</v>
      </c>
      <c r="B18" s="93"/>
      <c r="C18">
        <v>1</v>
      </c>
      <c r="D18">
        <v>1</v>
      </c>
      <c r="E18"/>
      <c r="F18">
        <v>4</v>
      </c>
      <c r="G18">
        <v>1</v>
      </c>
      <c r="H18"/>
      <c r="I18">
        <v>6</v>
      </c>
      <c r="J18"/>
      <c r="K18">
        <v>1</v>
      </c>
      <c r="L18" s="94"/>
      <c r="M18" s="42">
        <v>14</v>
      </c>
    </row>
    <row r="19" spans="1:13" s="42" customFormat="1" ht="16.7" customHeight="1">
      <c r="A19" s="93" t="s">
        <v>97</v>
      </c>
      <c r="B19" s="93"/>
      <c r="C19"/>
      <c r="D19"/>
      <c r="E19"/>
      <c r="F19">
        <v>1</v>
      </c>
      <c r="G19"/>
      <c r="H19"/>
      <c r="I19">
        <v>1</v>
      </c>
      <c r="J19"/>
      <c r="K19"/>
      <c r="L19" s="94"/>
      <c r="M19" s="42">
        <v>2</v>
      </c>
    </row>
    <row r="20" spans="1:13" s="42" customFormat="1" ht="16.7" customHeight="1">
      <c r="A20" s="93" t="s">
        <v>99</v>
      </c>
      <c r="B20" s="93"/>
      <c r="C20"/>
      <c r="D20">
        <v>1</v>
      </c>
      <c r="E20">
        <v>3</v>
      </c>
      <c r="F20">
        <v>4</v>
      </c>
      <c r="G20">
        <v>6</v>
      </c>
      <c r="H20"/>
      <c r="I20">
        <v>9</v>
      </c>
      <c r="J20">
        <v>1</v>
      </c>
      <c r="K20"/>
      <c r="L20" s="94">
        <v>1</v>
      </c>
      <c r="M20" s="42">
        <v>25</v>
      </c>
    </row>
    <row r="21" spans="1:13" s="42" customFormat="1" ht="16.7" customHeight="1">
      <c r="A21" s="93" t="s">
        <v>91</v>
      </c>
      <c r="B21" s="93"/>
      <c r="C21"/>
      <c r="D21">
        <v>1</v>
      </c>
      <c r="E21"/>
      <c r="F21">
        <v>1</v>
      </c>
      <c r="G21">
        <v>2</v>
      </c>
      <c r="H21"/>
      <c r="I21">
        <v>7</v>
      </c>
      <c r="J21">
        <v>1</v>
      </c>
      <c r="K21"/>
      <c r="L21" s="94"/>
      <c r="M21" s="42">
        <v>12</v>
      </c>
    </row>
    <row r="22" spans="1:13" s="42" customFormat="1" ht="16.7" customHeight="1">
      <c r="A22" s="93" t="s">
        <v>89</v>
      </c>
      <c r="B22" s="93"/>
      <c r="C22"/>
      <c r="D22">
        <v>2</v>
      </c>
      <c r="E22">
        <v>1</v>
      </c>
      <c r="F22"/>
      <c r="G22"/>
      <c r="H22"/>
      <c r="I22">
        <v>2</v>
      </c>
      <c r="J22"/>
      <c r="K22"/>
      <c r="L22" s="94"/>
      <c r="M22" s="42">
        <v>5</v>
      </c>
    </row>
    <row r="23" spans="1:13" s="42" customFormat="1" ht="16.7" customHeight="1">
      <c r="A23" s="93" t="s">
        <v>98</v>
      </c>
      <c r="B23" s="93"/>
      <c r="C23"/>
      <c r="D23">
        <v>3</v>
      </c>
      <c r="E23"/>
      <c r="F23">
        <v>6</v>
      </c>
      <c r="G23">
        <v>6</v>
      </c>
      <c r="H23">
        <v>2</v>
      </c>
      <c r="I23">
        <v>5</v>
      </c>
      <c r="J23"/>
      <c r="K23"/>
      <c r="L23" s="94">
        <v>1</v>
      </c>
      <c r="M23" s="42">
        <v>23</v>
      </c>
    </row>
    <row r="24" spans="1:13" s="42" customFormat="1" ht="16.7" customHeight="1">
      <c r="A24" s="93" t="s">
        <v>96</v>
      </c>
      <c r="B24" s="93"/>
      <c r="C24"/>
      <c r="D24"/>
      <c r="E24"/>
      <c r="F24">
        <v>2</v>
      </c>
      <c r="G24"/>
      <c r="H24"/>
      <c r="I24"/>
      <c r="J24"/>
      <c r="K24"/>
      <c r="L24" s="94"/>
      <c r="M24" s="42">
        <v>2</v>
      </c>
    </row>
    <row r="25" spans="1:13" s="42" customFormat="1" ht="16.7" customHeight="1">
      <c r="A25" s="93" t="s">
        <v>79</v>
      </c>
      <c r="B25" s="93"/>
      <c r="C25"/>
      <c r="D25"/>
      <c r="E25"/>
      <c r="F25"/>
      <c r="G25">
        <v>1</v>
      </c>
      <c r="H25"/>
      <c r="I25">
        <v>4</v>
      </c>
      <c r="J25"/>
      <c r="K25"/>
      <c r="L25" s="94"/>
      <c r="M25" s="42">
        <v>5</v>
      </c>
    </row>
    <row r="26" spans="1:13" s="42" customFormat="1" ht="16.7" customHeight="1">
      <c r="A26" s="93" t="s">
        <v>76</v>
      </c>
      <c r="B26" s="93"/>
      <c r="C26">
        <v>1</v>
      </c>
      <c r="D26"/>
      <c r="E26"/>
      <c r="F26"/>
      <c r="G26"/>
      <c r="H26"/>
      <c r="I26"/>
      <c r="J26"/>
      <c r="K26"/>
      <c r="L26" s="94"/>
      <c r="M26" s="42">
        <v>1</v>
      </c>
    </row>
    <row r="27" spans="1:13" s="42" customFormat="1" ht="16.7" customHeight="1">
      <c r="A27" s="93"/>
      <c r="B27" s="93"/>
      <c r="C27"/>
      <c r="D27"/>
      <c r="E27"/>
      <c r="F27"/>
      <c r="G27"/>
      <c r="H27"/>
      <c r="I27">
        <v>1</v>
      </c>
      <c r="J27"/>
      <c r="K27">
        <v>1</v>
      </c>
      <c r="L27" s="94"/>
      <c r="M27" s="42">
        <v>2</v>
      </c>
    </row>
    <row r="28" spans="1:13">
      <c r="A28" s="95" t="s">
        <v>2</v>
      </c>
      <c r="B28" s="95">
        <v>1</v>
      </c>
      <c r="C28" s="96">
        <v>3</v>
      </c>
      <c r="D28" s="96">
        <v>15</v>
      </c>
      <c r="E28" s="96">
        <v>10</v>
      </c>
      <c r="F28" s="96">
        <v>32</v>
      </c>
      <c r="G28" s="96">
        <v>31</v>
      </c>
      <c r="H28" s="96">
        <v>3</v>
      </c>
      <c r="I28" s="96">
        <v>64</v>
      </c>
      <c r="J28" s="96">
        <v>2</v>
      </c>
      <c r="K28" s="96">
        <v>2</v>
      </c>
      <c r="L28" s="97">
        <v>2</v>
      </c>
      <c r="M28">
        <v>165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5875-7C4A-414F-99A0-7012914B9BA8}">
  <dimension ref="A1:H34"/>
  <sheetViews>
    <sheetView topLeftCell="A22" workbookViewId="0">
      <selection activeCell="H35" sqref="H35"/>
    </sheetView>
  </sheetViews>
  <sheetFormatPr defaultRowHeight="12.75"/>
  <cols>
    <col min="1" max="1" width="41.5703125" bestFit="1" customWidth="1"/>
    <col min="2" max="2" width="10" customWidth="1"/>
    <col min="3" max="3" width="11.42578125" customWidth="1"/>
    <col min="4" max="5" width="10.85546875" customWidth="1"/>
    <col min="6" max="6" width="14.5703125" bestFit="1" customWidth="1"/>
  </cols>
  <sheetData>
    <row r="1" spans="1:7" ht="21" customHeight="1">
      <c r="A1" s="46" t="s">
        <v>0</v>
      </c>
      <c r="B1">
        <v>15</v>
      </c>
    </row>
    <row r="2" spans="1:7" hidden="1">
      <c r="A2" t="s">
        <v>61</v>
      </c>
      <c r="B2" t="s">
        <v>4</v>
      </c>
    </row>
    <row r="3" spans="1:7" hidden="1"/>
    <row r="4" spans="1:7" s="43" customFormat="1" ht="15" hidden="1">
      <c r="A4" s="43" t="s">
        <v>102</v>
      </c>
      <c r="B4" s="43" t="s">
        <v>46</v>
      </c>
    </row>
    <row r="5" spans="1:7" s="43" customFormat="1" ht="15"/>
    <row r="6" spans="1:7" s="43" customFormat="1" ht="27" customHeight="1">
      <c r="A6" s="44" t="s">
        <v>65</v>
      </c>
      <c r="B6" s="44" t="s">
        <v>58</v>
      </c>
      <c r="C6" s="44" t="s">
        <v>49</v>
      </c>
      <c r="D6" s="44" t="s">
        <v>48</v>
      </c>
      <c r="E6" s="44" t="s">
        <v>52</v>
      </c>
      <c r="F6" s="45" t="s">
        <v>5050</v>
      </c>
      <c r="G6" s="45" t="s">
        <v>2</v>
      </c>
    </row>
    <row r="7" spans="1:7" s="40" customFormat="1" ht="17.45" customHeight="1">
      <c r="A7" s="47" t="s">
        <v>70</v>
      </c>
      <c r="B7" s="48">
        <v>1</v>
      </c>
      <c r="C7" s="48">
        <v>67</v>
      </c>
      <c r="D7" s="48">
        <v>53</v>
      </c>
      <c r="E7" s="48">
        <v>11</v>
      </c>
      <c r="F7" s="48">
        <v>1</v>
      </c>
      <c r="G7" s="47">
        <v>133</v>
      </c>
    </row>
    <row r="8" spans="1:7" s="40" customFormat="1" ht="17.45" customHeight="1">
      <c r="A8" s="47" t="s">
        <v>78</v>
      </c>
      <c r="B8" s="48"/>
      <c r="C8" s="48">
        <v>1</v>
      </c>
      <c r="D8" s="48"/>
      <c r="E8" s="48"/>
      <c r="F8" s="48"/>
      <c r="G8" s="47">
        <v>1</v>
      </c>
    </row>
    <row r="9" spans="1:7" s="40" customFormat="1" ht="17.45" customHeight="1">
      <c r="A9" s="47" t="s">
        <v>73</v>
      </c>
      <c r="B9" s="48"/>
      <c r="C9" s="48"/>
      <c r="D9" s="48">
        <v>3</v>
      </c>
      <c r="E9" s="48"/>
      <c r="F9" s="48"/>
      <c r="G9" s="47">
        <v>3</v>
      </c>
    </row>
    <row r="10" spans="1:7" s="40" customFormat="1" ht="17.45" customHeight="1">
      <c r="A10" s="47" t="s">
        <v>80</v>
      </c>
      <c r="B10" s="48"/>
      <c r="C10" s="48">
        <v>1</v>
      </c>
      <c r="D10" s="48"/>
      <c r="E10" s="48"/>
      <c r="F10" s="48"/>
      <c r="G10" s="47">
        <v>1</v>
      </c>
    </row>
    <row r="11" spans="1:7" s="40" customFormat="1" ht="17.45" customHeight="1">
      <c r="A11" s="47" t="s">
        <v>114</v>
      </c>
      <c r="B11" s="48">
        <v>18</v>
      </c>
      <c r="C11" s="48">
        <v>176</v>
      </c>
      <c r="D11" s="48">
        <v>280</v>
      </c>
      <c r="E11" s="48">
        <v>68</v>
      </c>
      <c r="F11" s="48">
        <v>1</v>
      </c>
      <c r="G11" s="47">
        <v>543</v>
      </c>
    </row>
    <row r="12" spans="1:7" s="40" customFormat="1" ht="17.45" customHeight="1">
      <c r="A12" s="47" t="s">
        <v>1509</v>
      </c>
      <c r="B12" s="48"/>
      <c r="C12" s="48">
        <v>1</v>
      </c>
      <c r="D12" s="48"/>
      <c r="E12" s="48"/>
      <c r="F12" s="48"/>
      <c r="G12" s="47">
        <v>1</v>
      </c>
    </row>
    <row r="13" spans="1:7" s="40" customFormat="1" ht="17.45" customHeight="1">
      <c r="A13" s="47" t="s">
        <v>2948</v>
      </c>
      <c r="B13" s="48"/>
      <c r="C13" s="48">
        <v>1</v>
      </c>
      <c r="D13" s="48"/>
      <c r="E13" s="48"/>
      <c r="F13" s="48"/>
      <c r="G13" s="47">
        <v>1</v>
      </c>
    </row>
    <row r="14" spans="1:7" s="40" customFormat="1" ht="17.45" customHeight="1">
      <c r="A14" s="47" t="s">
        <v>3212</v>
      </c>
      <c r="B14" s="48"/>
      <c r="C14" s="48">
        <v>1</v>
      </c>
      <c r="D14" s="48">
        <v>1</v>
      </c>
      <c r="E14" s="48"/>
      <c r="F14" s="48"/>
      <c r="G14" s="47">
        <v>2</v>
      </c>
    </row>
    <row r="15" spans="1:7" s="40" customFormat="1" ht="17.45" customHeight="1">
      <c r="A15" s="47" t="s">
        <v>3339</v>
      </c>
      <c r="B15" s="48"/>
      <c r="C15" s="48">
        <v>1</v>
      </c>
      <c r="D15" s="48"/>
      <c r="E15" s="48"/>
      <c r="F15" s="48"/>
      <c r="G15" s="47">
        <v>1</v>
      </c>
    </row>
    <row r="16" spans="1:7" s="43" customFormat="1" ht="15">
      <c r="A16" s="44" t="s">
        <v>2</v>
      </c>
      <c r="B16" s="49">
        <v>19</v>
      </c>
      <c r="C16" s="49">
        <v>249</v>
      </c>
      <c r="D16" s="49">
        <v>337</v>
      </c>
      <c r="E16" s="49">
        <v>79</v>
      </c>
      <c r="F16" s="49">
        <v>2</v>
      </c>
      <c r="G16" s="45">
        <v>686</v>
      </c>
    </row>
    <row r="17" spans="1:6" ht="15">
      <c r="E17" s="43"/>
    </row>
    <row r="18" spans="1:6" ht="21" customHeight="1">
      <c r="A18" s="46" t="s">
        <v>103</v>
      </c>
      <c r="B18">
        <v>28</v>
      </c>
    </row>
    <row r="19" spans="1:6" ht="15">
      <c r="E19" s="43"/>
    </row>
    <row r="20" spans="1:6" ht="15" hidden="1">
      <c r="A20" t="s">
        <v>102</v>
      </c>
      <c r="B20" t="s">
        <v>46</v>
      </c>
      <c r="E20" s="43"/>
      <c r="F20" s="43"/>
    </row>
    <row r="21" spans="1:6" s="43" customFormat="1" ht="27" customHeight="1">
      <c r="A21" s="44" t="s">
        <v>65</v>
      </c>
      <c r="B21" s="44" t="s">
        <v>48</v>
      </c>
      <c r="C21" s="44" t="s">
        <v>52</v>
      </c>
      <c r="D21" s="45" t="s">
        <v>2</v>
      </c>
    </row>
    <row r="22" spans="1:6" s="40" customFormat="1" ht="17.45" customHeight="1">
      <c r="A22" s="47" t="s">
        <v>114</v>
      </c>
      <c r="B22" s="48">
        <v>18</v>
      </c>
      <c r="C22" s="48">
        <v>3</v>
      </c>
      <c r="D22" s="48">
        <v>21</v>
      </c>
    </row>
    <row r="23" spans="1:6" s="40" customFormat="1" ht="17.45" customHeight="1">
      <c r="A23" s="47" t="s">
        <v>121</v>
      </c>
      <c r="B23" s="48">
        <v>2</v>
      </c>
      <c r="C23" s="48"/>
      <c r="D23" s="48">
        <v>2</v>
      </c>
    </row>
    <row r="24" spans="1:6" s="43" customFormat="1" ht="15">
      <c r="A24" s="44" t="s">
        <v>2</v>
      </c>
      <c r="B24" s="49">
        <v>20</v>
      </c>
      <c r="C24" s="49">
        <v>3</v>
      </c>
      <c r="D24" s="49">
        <v>23</v>
      </c>
    </row>
    <row r="25" spans="1:6" ht="15">
      <c r="E25" s="43"/>
      <c r="F25" s="43"/>
    </row>
    <row r="27" spans="1:6" ht="21" customHeight="1">
      <c r="A27" s="46" t="s">
        <v>107</v>
      </c>
      <c r="B27">
        <v>35</v>
      </c>
      <c r="E27" s="43"/>
    </row>
    <row r="29" spans="1:6" hidden="1">
      <c r="A29" t="s">
        <v>102</v>
      </c>
      <c r="B29" t="s">
        <v>46</v>
      </c>
    </row>
    <row r="30" spans="1:6" s="43" customFormat="1" ht="27" customHeight="1">
      <c r="A30" s="44" t="s">
        <v>65</v>
      </c>
      <c r="B30" s="44" t="s">
        <v>58</v>
      </c>
      <c r="C30" s="44" t="s">
        <v>48</v>
      </c>
      <c r="D30" s="44" t="s">
        <v>52</v>
      </c>
      <c r="E30" s="45" t="s">
        <v>2</v>
      </c>
      <c r="F30"/>
    </row>
    <row r="31" spans="1:6" s="40" customFormat="1" ht="17.45" customHeight="1">
      <c r="A31" s="47" t="s">
        <v>70</v>
      </c>
      <c r="B31" s="48"/>
      <c r="C31" s="48"/>
      <c r="D31" s="48">
        <v>1</v>
      </c>
      <c r="E31" s="48">
        <v>1</v>
      </c>
    </row>
    <row r="32" spans="1:6" s="40" customFormat="1" ht="17.45" customHeight="1">
      <c r="A32" s="47" t="s">
        <v>114</v>
      </c>
      <c r="B32" s="48">
        <v>1</v>
      </c>
      <c r="C32" s="48">
        <v>14</v>
      </c>
      <c r="D32" s="48">
        <v>4</v>
      </c>
      <c r="E32" s="48">
        <v>19</v>
      </c>
    </row>
    <row r="33" spans="1:8" s="43" customFormat="1" ht="15">
      <c r="A33" s="44" t="s">
        <v>2</v>
      </c>
      <c r="B33" s="49">
        <v>1</v>
      </c>
      <c r="C33" s="49">
        <v>14</v>
      </c>
      <c r="D33" s="49">
        <v>5</v>
      </c>
      <c r="E33" s="49">
        <v>20</v>
      </c>
    </row>
    <row r="34" spans="1:8">
      <c r="H34">
        <f>SUM(G16+D24+E33)</f>
        <v>729</v>
      </c>
    </row>
  </sheetData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B5F3-3C2E-4AA6-A6A7-E552A2CF0067}">
  <dimension ref="A1:G42"/>
  <sheetViews>
    <sheetView topLeftCell="A5" workbookViewId="0">
      <selection activeCell="F18" sqref="F18"/>
    </sheetView>
  </sheetViews>
  <sheetFormatPr defaultRowHeight="12.75"/>
  <cols>
    <col min="1" max="1" width="41.140625" bestFit="1" customWidth="1"/>
    <col min="2" max="4" width="11.42578125" customWidth="1"/>
  </cols>
  <sheetData>
    <row r="1" spans="1:4" hidden="1">
      <c r="A1" s="41" t="s">
        <v>67</v>
      </c>
      <c r="B1" s="41" t="s">
        <v>72</v>
      </c>
    </row>
    <row r="2" spans="1:4">
      <c r="A2" s="55" t="s">
        <v>75</v>
      </c>
      <c r="B2" s="56"/>
      <c r="C2" s="56"/>
      <c r="D2" s="57"/>
    </row>
    <row r="3" spans="1:4" ht="30" customHeight="1">
      <c r="A3" s="58" t="s">
        <v>65</v>
      </c>
      <c r="B3" s="52" t="s">
        <v>1</v>
      </c>
      <c r="C3" s="53" t="s">
        <v>5</v>
      </c>
      <c r="D3" s="66" t="s">
        <v>2</v>
      </c>
    </row>
    <row r="4" spans="1:4" ht="15" customHeight="1">
      <c r="A4" s="62" t="s">
        <v>70</v>
      </c>
      <c r="B4" s="4">
        <v>11</v>
      </c>
      <c r="C4" s="1">
        <v>20</v>
      </c>
      <c r="D4" s="61">
        <v>31</v>
      </c>
    </row>
    <row r="5" spans="1:4" ht="15" customHeight="1">
      <c r="A5" s="62" t="s">
        <v>78</v>
      </c>
      <c r="B5" s="4"/>
      <c r="C5" s="1">
        <v>1</v>
      </c>
      <c r="D5" s="61">
        <v>1</v>
      </c>
    </row>
    <row r="6" spans="1:4" ht="15" customHeight="1">
      <c r="A6" s="62" t="s">
        <v>80</v>
      </c>
      <c r="B6" s="4"/>
      <c r="C6" s="1">
        <v>1</v>
      </c>
      <c r="D6" s="61">
        <v>1</v>
      </c>
    </row>
    <row r="7" spans="1:4" ht="15" customHeight="1">
      <c r="A7" s="62" t="s">
        <v>114</v>
      </c>
      <c r="B7" s="4">
        <v>54</v>
      </c>
      <c r="C7" s="1">
        <v>75</v>
      </c>
      <c r="D7" s="61">
        <v>129</v>
      </c>
    </row>
    <row r="8" spans="1:4" ht="15" customHeight="1">
      <c r="A8" s="62" t="s">
        <v>1509</v>
      </c>
      <c r="B8" s="4">
        <v>1</v>
      </c>
      <c r="C8" s="1"/>
      <c r="D8" s="61">
        <v>1</v>
      </c>
    </row>
    <row r="9" spans="1:4" ht="15" customHeight="1">
      <c r="A9" s="62" t="s">
        <v>2948</v>
      </c>
      <c r="B9" s="4">
        <v>1</v>
      </c>
      <c r="C9" s="1"/>
      <c r="D9" s="61">
        <v>1</v>
      </c>
    </row>
    <row r="10" spans="1:4" ht="15" customHeight="1">
      <c r="A10" s="62" t="s">
        <v>3339</v>
      </c>
      <c r="B10" s="4">
        <v>1</v>
      </c>
      <c r="C10" s="1"/>
      <c r="D10" s="61">
        <v>1</v>
      </c>
    </row>
    <row r="11" spans="1:4" s="54" customFormat="1" ht="18" customHeight="1" thickBot="1">
      <c r="A11" s="63" t="s">
        <v>2</v>
      </c>
      <c r="B11" s="64">
        <v>68</v>
      </c>
      <c r="C11" s="64">
        <v>97</v>
      </c>
      <c r="D11" s="64">
        <v>165</v>
      </c>
    </row>
    <row r="12" spans="1:4" ht="13.5" thickBot="1"/>
    <row r="13" spans="1:4" hidden="1">
      <c r="A13" s="41" t="s">
        <v>67</v>
      </c>
      <c r="B13" s="41" t="s">
        <v>72</v>
      </c>
    </row>
    <row r="14" spans="1:4" hidden="1">
      <c r="A14" s="41" t="s">
        <v>67</v>
      </c>
      <c r="B14" s="41" t="s">
        <v>72</v>
      </c>
    </row>
    <row r="15" spans="1:4">
      <c r="A15" s="55" t="s">
        <v>101</v>
      </c>
      <c r="B15" s="56"/>
      <c r="C15" s="57"/>
    </row>
    <row r="16" spans="1:4" ht="30" customHeight="1">
      <c r="A16" s="58" t="s">
        <v>65</v>
      </c>
      <c r="B16" s="52" t="s">
        <v>1</v>
      </c>
      <c r="C16" s="59" t="s">
        <v>2</v>
      </c>
    </row>
    <row r="17" spans="1:4" ht="15" customHeight="1">
      <c r="A17" s="62" t="s">
        <v>114</v>
      </c>
      <c r="B17" s="1">
        <v>1</v>
      </c>
      <c r="C17" s="69">
        <v>1</v>
      </c>
      <c r="D17" s="1"/>
    </row>
    <row r="18" spans="1:4" ht="13.5" thickBot="1">
      <c r="A18" s="68" t="s">
        <v>2</v>
      </c>
      <c r="B18" s="70">
        <v>1</v>
      </c>
      <c r="C18" s="71">
        <v>1</v>
      </c>
    </row>
    <row r="19" spans="1:4" ht="13.5" thickBot="1"/>
    <row r="20" spans="1:4" hidden="1">
      <c r="A20" s="41" t="s">
        <v>67</v>
      </c>
      <c r="B20" s="41" t="s">
        <v>72</v>
      </c>
    </row>
    <row r="21" spans="1:4">
      <c r="A21" s="55" t="s">
        <v>11</v>
      </c>
      <c r="B21" s="56"/>
      <c r="C21" s="56"/>
      <c r="D21" s="57"/>
    </row>
    <row r="22" spans="1:4" ht="30" customHeight="1">
      <c r="A22" s="58" t="s">
        <v>65</v>
      </c>
      <c r="B22" s="52" t="s">
        <v>1</v>
      </c>
      <c r="C22" s="53" t="s">
        <v>5</v>
      </c>
      <c r="D22" s="66" t="s">
        <v>2</v>
      </c>
    </row>
    <row r="23" spans="1:4" ht="15" customHeight="1">
      <c r="A23" s="60" t="s">
        <v>70</v>
      </c>
      <c r="B23" s="2">
        <v>11</v>
      </c>
      <c r="C23" s="3">
        <v>19</v>
      </c>
      <c r="D23" s="61">
        <v>30</v>
      </c>
    </row>
    <row r="24" spans="1:4" ht="15" customHeight="1">
      <c r="A24" s="60" t="s">
        <v>114</v>
      </c>
      <c r="B24" s="2">
        <v>13</v>
      </c>
      <c r="C24" s="3">
        <v>7</v>
      </c>
      <c r="D24" s="61">
        <v>20</v>
      </c>
    </row>
    <row r="25" spans="1:4" ht="16.7" customHeight="1" thickBot="1">
      <c r="A25" s="63" t="s">
        <v>2</v>
      </c>
      <c r="B25" s="64">
        <v>24</v>
      </c>
      <c r="C25" s="64">
        <v>26</v>
      </c>
      <c r="D25" s="67">
        <v>50</v>
      </c>
    </row>
    <row r="26" spans="1:4" ht="13.5" thickBot="1"/>
    <row r="27" spans="1:4" hidden="1">
      <c r="A27" s="5" t="s">
        <v>67</v>
      </c>
      <c r="B27" s="5" t="s">
        <v>72</v>
      </c>
    </row>
    <row r="28" spans="1:4">
      <c r="A28" s="55" t="s">
        <v>100</v>
      </c>
      <c r="B28" s="56"/>
      <c r="C28" s="56"/>
      <c r="D28" s="57"/>
    </row>
    <row r="29" spans="1:4" ht="30" customHeight="1">
      <c r="A29" s="58" t="s">
        <v>65</v>
      </c>
      <c r="B29" s="52" t="s">
        <v>1</v>
      </c>
      <c r="C29" s="53" t="s">
        <v>5</v>
      </c>
      <c r="D29" s="66" t="s">
        <v>2</v>
      </c>
    </row>
    <row r="30" spans="1:4" ht="15" customHeight="1">
      <c r="A30" s="60" t="s">
        <v>70</v>
      </c>
      <c r="B30" s="2">
        <v>4</v>
      </c>
      <c r="C30" s="3">
        <v>3</v>
      </c>
      <c r="D30" s="61">
        <v>7</v>
      </c>
    </row>
    <row r="31" spans="1:4" ht="15" customHeight="1">
      <c r="A31" s="60" t="s">
        <v>114</v>
      </c>
      <c r="B31" s="2">
        <v>14</v>
      </c>
      <c r="C31" s="3">
        <v>12</v>
      </c>
      <c r="D31" s="61">
        <v>26</v>
      </c>
    </row>
    <row r="32" spans="1:4" ht="16.7" customHeight="1" thickBot="1">
      <c r="A32" s="63" t="s">
        <v>2</v>
      </c>
      <c r="B32" s="64">
        <v>18</v>
      </c>
      <c r="C32" s="65">
        <v>15</v>
      </c>
      <c r="D32" s="67">
        <v>33</v>
      </c>
    </row>
    <row r="33" spans="1:7" ht="13.5" thickBot="1"/>
    <row r="34" spans="1:7">
      <c r="A34" s="72" t="s">
        <v>104</v>
      </c>
      <c r="B34" s="56"/>
      <c r="C34" s="57"/>
    </row>
    <row r="35" spans="1:7" ht="30" customHeight="1">
      <c r="A35" s="58" t="s">
        <v>65</v>
      </c>
      <c r="B35" s="52" t="s">
        <v>5</v>
      </c>
      <c r="C35" s="59" t="s">
        <v>2</v>
      </c>
    </row>
    <row r="36" spans="1:7" ht="15" customHeight="1">
      <c r="A36" s="62" t="s">
        <v>3212</v>
      </c>
      <c r="B36" s="1">
        <v>1</v>
      </c>
      <c r="C36" s="69">
        <v>1</v>
      </c>
      <c r="D36" s="1"/>
    </row>
    <row r="37" spans="1:7" ht="13.5" thickBot="1">
      <c r="A37" s="68" t="s">
        <v>2</v>
      </c>
      <c r="B37" s="70">
        <v>1</v>
      </c>
      <c r="C37" s="71">
        <v>1</v>
      </c>
    </row>
    <row r="38" spans="1:7" ht="13.5" thickBot="1"/>
    <row r="39" spans="1:7">
      <c r="A39" s="55" t="s">
        <v>3342</v>
      </c>
      <c r="B39" s="56"/>
      <c r="C39" s="57"/>
    </row>
    <row r="40" spans="1:7" ht="25.5">
      <c r="A40" s="58" t="s">
        <v>65</v>
      </c>
      <c r="B40" s="52" t="s">
        <v>1</v>
      </c>
      <c r="C40" s="59" t="s">
        <v>2</v>
      </c>
    </row>
    <row r="41" spans="1:7">
      <c r="A41" s="62" t="s">
        <v>114</v>
      </c>
      <c r="B41" s="1">
        <v>1</v>
      </c>
      <c r="C41" s="69">
        <v>1</v>
      </c>
    </row>
    <row r="42" spans="1:7" ht="13.5" thickBot="1">
      <c r="A42" s="68" t="s">
        <v>2</v>
      </c>
      <c r="B42" s="70">
        <v>1</v>
      </c>
      <c r="C42" s="71">
        <v>1</v>
      </c>
      <c r="G42">
        <f>D11+C18+D25+D32+C37+C42</f>
        <v>251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70A12-7DA5-4F5E-9A6F-E7D4F236BB79}">
  <dimension ref="A1:M30"/>
  <sheetViews>
    <sheetView topLeftCell="G1" zoomScale="70" zoomScaleNormal="70" workbookViewId="0">
      <selection activeCell="M30" sqref="A6:M30"/>
    </sheetView>
  </sheetViews>
  <sheetFormatPr defaultRowHeight="12.75"/>
  <cols>
    <col min="1" max="1" width="29.140625" bestFit="1" customWidth="1"/>
    <col min="2" max="12" width="32.42578125" bestFit="1" customWidth="1"/>
    <col min="13" max="13" width="16.7109375" bestFit="1" customWidth="1"/>
    <col min="14" max="43" width="32.140625" bestFit="1" customWidth="1"/>
    <col min="44" max="44" width="16.140625" bestFit="1" customWidth="1"/>
  </cols>
  <sheetData>
    <row r="1" spans="1:13">
      <c r="A1" s="107" t="s">
        <v>45</v>
      </c>
      <c r="B1" s="5" t="s">
        <v>3404</v>
      </c>
    </row>
    <row r="2" spans="1:13">
      <c r="A2" s="107" t="s">
        <v>66</v>
      </c>
      <c r="B2" s="5" t="s">
        <v>3404</v>
      </c>
    </row>
    <row r="3" spans="1:13">
      <c r="A3" s="107" t="s">
        <v>63</v>
      </c>
      <c r="B3" s="5" t="s">
        <v>74</v>
      </c>
    </row>
    <row r="5" spans="1:13">
      <c r="A5" s="100" t="s">
        <v>102</v>
      </c>
      <c r="B5" s="100" t="s">
        <v>47</v>
      </c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2"/>
    </row>
    <row r="6" spans="1:13">
      <c r="A6" s="100" t="s">
        <v>68</v>
      </c>
      <c r="B6" s="103" t="s">
        <v>60</v>
      </c>
      <c r="C6" s="104" t="s">
        <v>50</v>
      </c>
      <c r="D6" s="104" t="s">
        <v>51</v>
      </c>
      <c r="E6" s="104" t="s">
        <v>56</v>
      </c>
      <c r="F6" s="104" t="s">
        <v>53</v>
      </c>
      <c r="G6" s="104" t="s">
        <v>54</v>
      </c>
      <c r="H6" s="104" t="s">
        <v>59</v>
      </c>
      <c r="I6" s="104" t="s">
        <v>55</v>
      </c>
      <c r="J6" s="104" t="s">
        <v>57</v>
      </c>
      <c r="K6" s="104" t="s">
        <v>2969</v>
      </c>
      <c r="L6" s="104" t="s">
        <v>5052</v>
      </c>
      <c r="M6" s="41" t="s">
        <v>2</v>
      </c>
    </row>
    <row r="7" spans="1:13">
      <c r="A7" s="103" t="s">
        <v>83</v>
      </c>
      <c r="B7" s="103"/>
      <c r="C7" s="104"/>
      <c r="D7" s="104"/>
      <c r="E7" s="104"/>
      <c r="F7" s="104">
        <v>1</v>
      </c>
      <c r="G7" s="104">
        <v>5</v>
      </c>
      <c r="H7" s="104"/>
      <c r="I7" s="104">
        <v>5</v>
      </c>
      <c r="J7" s="104"/>
      <c r="K7" s="104"/>
      <c r="L7" s="104"/>
      <c r="M7" s="41">
        <v>11</v>
      </c>
    </row>
    <row r="8" spans="1:13">
      <c r="A8" s="105" t="s">
        <v>84</v>
      </c>
      <c r="B8" s="105"/>
      <c r="D8">
        <v>1</v>
      </c>
      <c r="F8">
        <v>2</v>
      </c>
      <c r="G8">
        <v>2</v>
      </c>
      <c r="H8">
        <v>1</v>
      </c>
      <c r="I8">
        <v>1</v>
      </c>
      <c r="M8" s="126">
        <v>7</v>
      </c>
    </row>
    <row r="9" spans="1:13">
      <c r="A9" s="105" t="s">
        <v>92</v>
      </c>
      <c r="B9" s="105"/>
      <c r="C9">
        <v>1</v>
      </c>
      <c r="F9">
        <v>2</v>
      </c>
      <c r="M9" s="126">
        <v>3</v>
      </c>
    </row>
    <row r="10" spans="1:13">
      <c r="A10" s="105" t="s">
        <v>95</v>
      </c>
      <c r="B10" s="105"/>
      <c r="G10">
        <v>1</v>
      </c>
      <c r="M10" s="126">
        <v>1</v>
      </c>
    </row>
    <row r="11" spans="1:13">
      <c r="A11" s="105" t="s">
        <v>93</v>
      </c>
      <c r="B11" s="105"/>
      <c r="I11">
        <v>1</v>
      </c>
      <c r="M11" s="126">
        <v>1</v>
      </c>
    </row>
    <row r="12" spans="1:13">
      <c r="A12" s="105" t="s">
        <v>77</v>
      </c>
      <c r="B12" s="105">
        <v>1</v>
      </c>
      <c r="M12" s="126">
        <v>1</v>
      </c>
    </row>
    <row r="13" spans="1:13">
      <c r="A13" s="105" t="s">
        <v>85</v>
      </c>
      <c r="B13" s="105"/>
      <c r="D13">
        <v>1</v>
      </c>
      <c r="F13">
        <v>1</v>
      </c>
      <c r="I13">
        <v>1</v>
      </c>
      <c r="M13" s="126">
        <v>3</v>
      </c>
    </row>
    <row r="14" spans="1:13">
      <c r="A14" s="105" t="s">
        <v>90</v>
      </c>
      <c r="B14" s="105"/>
      <c r="E14">
        <v>1</v>
      </c>
      <c r="F14">
        <v>1</v>
      </c>
      <c r="G14">
        <v>1</v>
      </c>
      <c r="I14">
        <v>5</v>
      </c>
      <c r="M14" s="126">
        <v>8</v>
      </c>
    </row>
    <row r="15" spans="1:13">
      <c r="A15" s="105" t="s">
        <v>82</v>
      </c>
      <c r="B15" s="105"/>
      <c r="D15">
        <v>1</v>
      </c>
      <c r="E15">
        <v>1</v>
      </c>
      <c r="F15">
        <v>2</v>
      </c>
      <c r="G15">
        <v>3</v>
      </c>
      <c r="I15">
        <v>8</v>
      </c>
      <c r="M15" s="126">
        <v>15</v>
      </c>
    </row>
    <row r="16" spans="1:13">
      <c r="A16" s="105" t="s">
        <v>81</v>
      </c>
      <c r="B16" s="105"/>
      <c r="D16">
        <v>1</v>
      </c>
      <c r="E16">
        <v>1</v>
      </c>
      <c r="F16">
        <v>2</v>
      </c>
      <c r="I16">
        <v>2</v>
      </c>
      <c r="M16" s="126">
        <v>6</v>
      </c>
    </row>
    <row r="17" spans="1:13">
      <c r="A17" s="105" t="s">
        <v>86</v>
      </c>
      <c r="B17" s="105"/>
      <c r="D17">
        <v>2</v>
      </c>
      <c r="E17">
        <v>2</v>
      </c>
      <c r="F17">
        <v>2</v>
      </c>
      <c r="G17">
        <v>3</v>
      </c>
      <c r="I17">
        <v>2</v>
      </c>
      <c r="M17" s="126">
        <v>11</v>
      </c>
    </row>
    <row r="18" spans="1:13">
      <c r="A18" s="105" t="s">
        <v>87</v>
      </c>
      <c r="B18" s="105"/>
      <c r="D18">
        <v>1</v>
      </c>
      <c r="F18">
        <v>1</v>
      </c>
      <c r="I18">
        <v>3</v>
      </c>
      <c r="M18" s="126">
        <v>5</v>
      </c>
    </row>
    <row r="19" spans="1:13">
      <c r="A19" s="105" t="s">
        <v>94</v>
      </c>
      <c r="B19" s="105"/>
      <c r="E19">
        <v>1</v>
      </c>
      <c r="I19">
        <v>1</v>
      </c>
      <c r="M19" s="126">
        <v>2</v>
      </c>
    </row>
    <row r="20" spans="1:13">
      <c r="A20" s="105" t="s">
        <v>88</v>
      </c>
      <c r="B20" s="105"/>
      <c r="C20">
        <v>1</v>
      </c>
      <c r="D20">
        <v>1</v>
      </c>
      <c r="F20">
        <v>4</v>
      </c>
      <c r="G20">
        <v>1</v>
      </c>
      <c r="I20">
        <v>6</v>
      </c>
      <c r="K20">
        <v>1</v>
      </c>
      <c r="M20" s="126">
        <v>14</v>
      </c>
    </row>
    <row r="21" spans="1:13">
      <c r="A21" s="105" t="s">
        <v>97</v>
      </c>
      <c r="B21" s="105"/>
      <c r="F21">
        <v>1</v>
      </c>
      <c r="I21">
        <v>1</v>
      </c>
      <c r="M21" s="126">
        <v>2</v>
      </c>
    </row>
    <row r="22" spans="1:13">
      <c r="A22" s="105" t="s">
        <v>99</v>
      </c>
      <c r="B22" s="105"/>
      <c r="D22">
        <v>1</v>
      </c>
      <c r="E22">
        <v>3</v>
      </c>
      <c r="F22">
        <v>4</v>
      </c>
      <c r="G22">
        <v>6</v>
      </c>
      <c r="I22">
        <v>9</v>
      </c>
      <c r="J22">
        <v>1</v>
      </c>
      <c r="L22">
        <v>1</v>
      </c>
      <c r="M22" s="126">
        <v>25</v>
      </c>
    </row>
    <row r="23" spans="1:13">
      <c r="A23" s="105" t="s">
        <v>91</v>
      </c>
      <c r="B23" s="105"/>
      <c r="D23">
        <v>1</v>
      </c>
      <c r="F23">
        <v>1</v>
      </c>
      <c r="G23">
        <v>2</v>
      </c>
      <c r="I23">
        <v>7</v>
      </c>
      <c r="J23">
        <v>1</v>
      </c>
      <c r="M23" s="126">
        <v>12</v>
      </c>
    </row>
    <row r="24" spans="1:13">
      <c r="A24" s="105" t="s">
        <v>89</v>
      </c>
      <c r="B24" s="105"/>
      <c r="D24">
        <v>2</v>
      </c>
      <c r="E24">
        <v>1</v>
      </c>
      <c r="I24">
        <v>2</v>
      </c>
      <c r="M24" s="126">
        <v>5</v>
      </c>
    </row>
    <row r="25" spans="1:13">
      <c r="A25" s="105" t="s">
        <v>98</v>
      </c>
      <c r="B25" s="105"/>
      <c r="D25">
        <v>3</v>
      </c>
      <c r="F25">
        <v>6</v>
      </c>
      <c r="G25">
        <v>6</v>
      </c>
      <c r="H25">
        <v>2</v>
      </c>
      <c r="I25">
        <v>5</v>
      </c>
      <c r="L25">
        <v>1</v>
      </c>
      <c r="M25" s="126">
        <v>23</v>
      </c>
    </row>
    <row r="26" spans="1:13">
      <c r="A26" s="105" t="s">
        <v>96</v>
      </c>
      <c r="B26" s="105"/>
      <c r="F26">
        <v>2</v>
      </c>
      <c r="M26" s="126">
        <v>2</v>
      </c>
    </row>
    <row r="27" spans="1:13">
      <c r="A27" s="105" t="s">
        <v>79</v>
      </c>
      <c r="B27" s="105"/>
      <c r="G27">
        <v>1</v>
      </c>
      <c r="I27">
        <v>4</v>
      </c>
      <c r="M27" s="126">
        <v>5</v>
      </c>
    </row>
    <row r="28" spans="1:13">
      <c r="A28" s="105" t="s">
        <v>76</v>
      </c>
      <c r="B28" s="105"/>
      <c r="C28">
        <v>1</v>
      </c>
      <c r="M28" s="126">
        <v>1</v>
      </c>
    </row>
    <row r="29" spans="1:13">
      <c r="A29" s="105"/>
      <c r="B29" s="105"/>
      <c r="I29">
        <v>1</v>
      </c>
      <c r="K29">
        <v>1</v>
      </c>
      <c r="M29" s="126">
        <v>2</v>
      </c>
    </row>
    <row r="30" spans="1:13">
      <c r="A30" s="106" t="s">
        <v>2</v>
      </c>
      <c r="B30" s="106">
        <v>1</v>
      </c>
      <c r="C30" s="127">
        <v>3</v>
      </c>
      <c r="D30" s="127">
        <v>15</v>
      </c>
      <c r="E30" s="127">
        <v>10</v>
      </c>
      <c r="F30" s="127">
        <v>32</v>
      </c>
      <c r="G30" s="127">
        <v>31</v>
      </c>
      <c r="H30" s="127">
        <v>3</v>
      </c>
      <c r="I30" s="127">
        <v>64</v>
      </c>
      <c r="J30" s="127">
        <v>2</v>
      </c>
      <c r="K30" s="127">
        <v>2</v>
      </c>
      <c r="L30" s="127">
        <v>2</v>
      </c>
      <c r="M30" s="5">
        <v>165</v>
      </c>
    </row>
  </sheetData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F6BD-F5BD-47BE-8072-3368AAFEAA46}">
  <dimension ref="A1:J85"/>
  <sheetViews>
    <sheetView topLeftCell="A35" workbookViewId="0">
      <selection activeCell="G15" sqref="G15"/>
    </sheetView>
  </sheetViews>
  <sheetFormatPr defaultColWidth="8.85546875" defaultRowHeight="12.75"/>
  <cols>
    <col min="1" max="1" width="25.140625" style="42" bestFit="1" customWidth="1"/>
    <col min="2" max="3" width="18.7109375" style="42" bestFit="1" customWidth="1"/>
    <col min="4" max="5" width="15.42578125" style="42" bestFit="1" customWidth="1"/>
    <col min="6" max="6" width="18.7109375" style="42" bestFit="1" customWidth="1"/>
    <col min="7" max="7" width="15.42578125" style="42" bestFit="1" customWidth="1"/>
    <col min="8" max="8" width="16.28515625" style="42" bestFit="1" customWidth="1"/>
    <col min="9" max="9" width="20.28515625" style="42" bestFit="1" customWidth="1"/>
    <col min="10" max="10" width="10.85546875" style="42" bestFit="1" customWidth="1"/>
    <col min="11" max="16384" width="8.85546875" style="42"/>
  </cols>
  <sheetData>
    <row r="1" spans="1:10" ht="19.7" customHeight="1">
      <c r="A1" s="118" t="s">
        <v>0</v>
      </c>
      <c r="B1" s="109" t="s">
        <v>4</v>
      </c>
    </row>
    <row r="2" spans="1:10" ht="27" customHeight="1">
      <c r="A2" s="108" t="s">
        <v>61</v>
      </c>
      <c r="B2" s="109" t="s">
        <v>3404</v>
      </c>
    </row>
    <row r="4" spans="1:10">
      <c r="A4" s="110" t="s">
        <v>102</v>
      </c>
      <c r="B4" s="110" t="s">
        <v>46</v>
      </c>
      <c r="C4" s="111"/>
      <c r="D4" s="111"/>
      <c r="E4" s="111"/>
      <c r="F4" s="111"/>
      <c r="G4" s="112"/>
      <c r="H4"/>
      <c r="I4"/>
      <c r="J4"/>
    </row>
    <row r="5" spans="1:10" ht="31.7" customHeight="1">
      <c r="A5" s="110" t="s">
        <v>65</v>
      </c>
      <c r="B5" s="119" t="s">
        <v>58</v>
      </c>
      <c r="C5" s="120" t="s">
        <v>49</v>
      </c>
      <c r="D5" s="120" t="s">
        <v>48</v>
      </c>
      <c r="E5" s="120" t="s">
        <v>52</v>
      </c>
      <c r="F5" s="114" t="s">
        <v>5050</v>
      </c>
      <c r="G5" s="121" t="s">
        <v>2</v>
      </c>
      <c r="H5"/>
      <c r="I5"/>
      <c r="J5"/>
    </row>
    <row r="6" spans="1:10">
      <c r="A6" s="113" t="s">
        <v>70</v>
      </c>
      <c r="B6" s="113">
        <v>1</v>
      </c>
      <c r="C6" s="114">
        <v>67</v>
      </c>
      <c r="D6" s="114">
        <v>53</v>
      </c>
      <c r="E6" s="114">
        <v>11</v>
      </c>
      <c r="F6" s="114">
        <v>1</v>
      </c>
      <c r="G6" s="115">
        <v>133</v>
      </c>
      <c r="H6"/>
      <c r="I6"/>
      <c r="J6"/>
    </row>
    <row r="7" spans="1:10">
      <c r="A7" s="116" t="s">
        <v>78</v>
      </c>
      <c r="B7" s="116"/>
      <c r="C7" s="128">
        <v>1</v>
      </c>
      <c r="D7" s="128"/>
      <c r="E7" s="128"/>
      <c r="F7" s="128"/>
      <c r="G7" s="129">
        <v>1</v>
      </c>
      <c r="H7"/>
      <c r="I7"/>
      <c r="J7"/>
    </row>
    <row r="8" spans="1:10">
      <c r="A8" s="116" t="s">
        <v>73</v>
      </c>
      <c r="B8" s="116"/>
      <c r="C8" s="128"/>
      <c r="D8" s="128">
        <v>3</v>
      </c>
      <c r="E8" s="128"/>
      <c r="F8" s="128"/>
      <c r="G8" s="129">
        <v>3</v>
      </c>
      <c r="H8"/>
      <c r="I8"/>
      <c r="J8"/>
    </row>
    <row r="9" spans="1:10">
      <c r="A9" s="116" t="s">
        <v>80</v>
      </c>
      <c r="B9" s="116"/>
      <c r="C9" s="128">
        <v>1</v>
      </c>
      <c r="D9" s="128"/>
      <c r="E9" s="128"/>
      <c r="F9" s="128"/>
      <c r="G9" s="129">
        <v>1</v>
      </c>
      <c r="H9"/>
      <c r="I9"/>
      <c r="J9"/>
    </row>
    <row r="10" spans="1:10">
      <c r="A10" s="116" t="s">
        <v>114</v>
      </c>
      <c r="B10" s="116">
        <v>18</v>
      </c>
      <c r="C10" s="128">
        <v>176</v>
      </c>
      <c r="D10" s="128">
        <v>280</v>
      </c>
      <c r="E10" s="128">
        <v>68</v>
      </c>
      <c r="F10" s="128">
        <v>1</v>
      </c>
      <c r="G10" s="129">
        <v>543</v>
      </c>
      <c r="H10"/>
      <c r="I10"/>
      <c r="J10"/>
    </row>
    <row r="11" spans="1:10">
      <c r="A11" s="116" t="s">
        <v>1509</v>
      </c>
      <c r="B11" s="116"/>
      <c r="C11" s="128">
        <v>1</v>
      </c>
      <c r="D11" s="128"/>
      <c r="E11" s="128"/>
      <c r="F11" s="128"/>
      <c r="G11" s="129">
        <v>1</v>
      </c>
      <c r="H11"/>
      <c r="I11"/>
      <c r="J11"/>
    </row>
    <row r="12" spans="1:10">
      <c r="A12" s="116" t="s">
        <v>2948</v>
      </c>
      <c r="B12" s="116"/>
      <c r="C12" s="128">
        <v>1</v>
      </c>
      <c r="D12" s="128"/>
      <c r="E12" s="128"/>
      <c r="F12" s="128"/>
      <c r="G12" s="129">
        <v>1</v>
      </c>
      <c r="H12"/>
      <c r="I12"/>
      <c r="J12"/>
    </row>
    <row r="13" spans="1:10">
      <c r="A13" s="116" t="s">
        <v>3212</v>
      </c>
      <c r="B13" s="116"/>
      <c r="C13" s="128">
        <v>1</v>
      </c>
      <c r="D13" s="128">
        <v>1</v>
      </c>
      <c r="E13" s="128"/>
      <c r="F13" s="128"/>
      <c r="G13" s="129">
        <v>2</v>
      </c>
      <c r="H13"/>
      <c r="I13"/>
      <c r="J13"/>
    </row>
    <row r="14" spans="1:10">
      <c r="A14" s="116" t="s">
        <v>3339</v>
      </c>
      <c r="B14" s="116"/>
      <c r="C14" s="128">
        <v>1</v>
      </c>
      <c r="D14" s="128"/>
      <c r="E14" s="128"/>
      <c r="F14" s="128"/>
      <c r="G14" s="129">
        <v>1</v>
      </c>
      <c r="H14"/>
      <c r="I14"/>
      <c r="J14"/>
    </row>
    <row r="15" spans="1:10">
      <c r="A15" s="117" t="s">
        <v>2</v>
      </c>
      <c r="B15" s="117">
        <v>19</v>
      </c>
      <c r="C15" s="130">
        <v>249</v>
      </c>
      <c r="D15" s="130">
        <v>337</v>
      </c>
      <c r="E15" s="130">
        <v>79</v>
      </c>
      <c r="F15" s="130">
        <v>2</v>
      </c>
      <c r="G15" s="109">
        <v>686</v>
      </c>
      <c r="H15"/>
      <c r="I15"/>
      <c r="J15"/>
    </row>
    <row r="16" spans="1:10">
      <c r="A16"/>
      <c r="B16"/>
      <c r="C16"/>
      <c r="D16"/>
      <c r="E16"/>
      <c r="F16"/>
      <c r="G16"/>
      <c r="H16"/>
      <c r="I16"/>
      <c r="J16"/>
    </row>
    <row r="17" spans="1:10">
      <c r="A17"/>
      <c r="B17"/>
      <c r="C17"/>
      <c r="D17"/>
      <c r="E17"/>
      <c r="F17"/>
      <c r="G17"/>
      <c r="H17"/>
      <c r="I17"/>
      <c r="J17"/>
    </row>
    <row r="18" spans="1:10">
      <c r="A18"/>
      <c r="B18"/>
      <c r="C18"/>
      <c r="D18"/>
      <c r="E18"/>
      <c r="F18"/>
      <c r="G18"/>
      <c r="H18"/>
      <c r="I18"/>
      <c r="J18"/>
    </row>
    <row r="19" spans="1:10" ht="22.35" customHeight="1">
      <c r="A19"/>
      <c r="B19"/>
      <c r="C19"/>
      <c r="D19"/>
      <c r="E19"/>
      <c r="F19"/>
      <c r="G19"/>
      <c r="H19"/>
      <c r="I19"/>
      <c r="J19"/>
    </row>
    <row r="20" spans="1:10">
      <c r="A20"/>
      <c r="B20"/>
      <c r="C20"/>
      <c r="D20"/>
      <c r="E20"/>
      <c r="F20"/>
      <c r="G20"/>
      <c r="H20"/>
      <c r="I20"/>
    </row>
    <row r="21" spans="1:10">
      <c r="A21" s="73"/>
      <c r="B21" s="73"/>
    </row>
    <row r="22" spans="1:10" ht="27" customHeight="1">
      <c r="A22" s="118" t="s">
        <v>103</v>
      </c>
      <c r="B22" s="109" t="s">
        <v>3404</v>
      </c>
    </row>
    <row r="24" spans="1:10">
      <c r="A24" s="110" t="s">
        <v>102</v>
      </c>
      <c r="B24" s="110" t="s">
        <v>46</v>
      </c>
      <c r="C24" s="111"/>
      <c r="D24" s="112"/>
      <c r="E24"/>
      <c r="F24"/>
      <c r="G24"/>
      <c r="H24"/>
    </row>
    <row r="25" spans="1:10">
      <c r="A25" s="110" t="s">
        <v>65</v>
      </c>
      <c r="B25" s="113" t="s">
        <v>48</v>
      </c>
      <c r="C25" s="114" t="s">
        <v>52</v>
      </c>
      <c r="D25" s="115" t="s">
        <v>2</v>
      </c>
      <c r="E25"/>
      <c r="F25"/>
      <c r="G25"/>
      <c r="H25"/>
    </row>
    <row r="26" spans="1:10">
      <c r="A26" s="113" t="s">
        <v>114</v>
      </c>
      <c r="B26" s="113">
        <v>18</v>
      </c>
      <c r="C26" s="114">
        <v>3</v>
      </c>
      <c r="D26" s="115">
        <v>21</v>
      </c>
      <c r="E26"/>
      <c r="F26"/>
      <c r="G26"/>
      <c r="H26"/>
    </row>
    <row r="27" spans="1:10">
      <c r="A27" s="116" t="s">
        <v>121</v>
      </c>
      <c r="B27" s="116">
        <v>2</v>
      </c>
      <c r="C27" s="128"/>
      <c r="D27" s="129">
        <v>2</v>
      </c>
      <c r="E27"/>
      <c r="F27"/>
      <c r="G27"/>
      <c r="H27"/>
    </row>
    <row r="28" spans="1:10" ht="25.7" customHeight="1">
      <c r="A28" s="117" t="s">
        <v>2</v>
      </c>
      <c r="B28" s="117">
        <v>20</v>
      </c>
      <c r="C28" s="130">
        <v>3</v>
      </c>
      <c r="D28" s="109">
        <v>23</v>
      </c>
      <c r="E28"/>
      <c r="F28"/>
      <c r="G28"/>
      <c r="H28"/>
    </row>
    <row r="29" spans="1:10">
      <c r="A29"/>
      <c r="B29"/>
      <c r="C29"/>
      <c r="D29"/>
      <c r="E29"/>
      <c r="F29"/>
      <c r="G29"/>
      <c r="H29"/>
    </row>
    <row r="30" spans="1:10">
      <c r="A30"/>
      <c r="B30"/>
      <c r="C30"/>
      <c r="D30"/>
      <c r="E30"/>
      <c r="F30"/>
      <c r="G30"/>
      <c r="H30"/>
    </row>
    <row r="31" spans="1:10">
      <c r="A31"/>
      <c r="B31"/>
      <c r="C31"/>
      <c r="D31"/>
      <c r="E31"/>
      <c r="F31"/>
      <c r="G31"/>
      <c r="H31"/>
    </row>
    <row r="32" spans="1:10">
      <c r="A32"/>
      <c r="B32"/>
      <c r="C32"/>
      <c r="D32"/>
      <c r="E32"/>
      <c r="F32"/>
      <c r="G32"/>
      <c r="H32"/>
    </row>
    <row r="33" spans="1:9">
      <c r="A33"/>
      <c r="B33"/>
      <c r="C33"/>
      <c r="D33"/>
      <c r="E33"/>
      <c r="F33"/>
      <c r="G33"/>
      <c r="H33"/>
    </row>
    <row r="34" spans="1:9">
      <c r="A34"/>
      <c r="B34"/>
      <c r="C34"/>
      <c r="D34"/>
      <c r="E34"/>
      <c r="F34"/>
      <c r="G34"/>
      <c r="H34"/>
    </row>
    <row r="35" spans="1:9">
      <c r="A35"/>
      <c r="B35"/>
      <c r="C35"/>
      <c r="D35"/>
      <c r="E35"/>
      <c r="F35"/>
      <c r="G35"/>
      <c r="H35"/>
    </row>
    <row r="36" spans="1:9">
      <c r="A36"/>
      <c r="B36"/>
      <c r="C36"/>
      <c r="D36"/>
      <c r="E36"/>
      <c r="F36"/>
      <c r="G36"/>
      <c r="H36"/>
    </row>
    <row r="37" spans="1:9">
      <c r="A37"/>
      <c r="B37"/>
      <c r="C37"/>
      <c r="D37"/>
      <c r="E37"/>
      <c r="F37"/>
      <c r="G37"/>
      <c r="H37"/>
    </row>
    <row r="38" spans="1:9" ht="25.7" customHeight="1">
      <c r="A38"/>
      <c r="B38"/>
      <c r="C38"/>
      <c r="D38"/>
      <c r="E38"/>
      <c r="F38"/>
      <c r="G38"/>
      <c r="H38"/>
      <c r="I38"/>
    </row>
    <row r="39" spans="1:9">
      <c r="A39"/>
      <c r="B39"/>
      <c r="C39"/>
      <c r="D39"/>
      <c r="E39"/>
      <c r="F39"/>
      <c r="G39"/>
      <c r="H39"/>
      <c r="I39"/>
    </row>
    <row r="40" spans="1:9" ht="27" customHeight="1">
      <c r="A40" s="118" t="s">
        <v>107</v>
      </c>
      <c r="B40" s="109" t="s">
        <v>3404</v>
      </c>
    </row>
    <row r="42" spans="1:9">
      <c r="A42" s="110" t="s">
        <v>102</v>
      </c>
      <c r="B42" s="110" t="s">
        <v>46</v>
      </c>
      <c r="C42" s="111"/>
      <c r="D42" s="111"/>
      <c r="E42" s="112"/>
      <c r="F42"/>
      <c r="G42"/>
      <c r="H42"/>
      <c r="I42"/>
    </row>
    <row r="43" spans="1:9">
      <c r="A43" s="110" t="s">
        <v>65</v>
      </c>
      <c r="B43" s="113" t="s">
        <v>58</v>
      </c>
      <c r="C43" s="114" t="s">
        <v>48</v>
      </c>
      <c r="D43" s="114" t="s">
        <v>52</v>
      </c>
      <c r="E43" s="115" t="s">
        <v>2</v>
      </c>
      <c r="F43"/>
      <c r="G43"/>
      <c r="H43"/>
      <c r="I43"/>
    </row>
    <row r="44" spans="1:9">
      <c r="A44" s="113" t="s">
        <v>70</v>
      </c>
      <c r="B44" s="113"/>
      <c r="C44" s="114"/>
      <c r="D44" s="114">
        <v>1</v>
      </c>
      <c r="E44" s="115">
        <v>1</v>
      </c>
      <c r="F44"/>
      <c r="G44"/>
      <c r="H44"/>
      <c r="I44"/>
    </row>
    <row r="45" spans="1:9">
      <c r="A45" s="116" t="s">
        <v>114</v>
      </c>
      <c r="B45" s="116">
        <v>1</v>
      </c>
      <c r="C45" s="128">
        <v>14</v>
      </c>
      <c r="D45" s="128">
        <v>4</v>
      </c>
      <c r="E45" s="129">
        <v>19</v>
      </c>
      <c r="F45"/>
      <c r="G45"/>
      <c r="H45"/>
      <c r="I45"/>
    </row>
    <row r="46" spans="1:9" ht="25.7" customHeight="1">
      <c r="A46" s="117" t="s">
        <v>2</v>
      </c>
      <c r="B46" s="117">
        <v>1</v>
      </c>
      <c r="C46" s="130">
        <v>14</v>
      </c>
      <c r="D46" s="130">
        <v>5</v>
      </c>
      <c r="E46" s="109">
        <v>20</v>
      </c>
      <c r="F46"/>
      <c r="G46"/>
      <c r="H46"/>
      <c r="I46"/>
    </row>
    <row r="47" spans="1:9">
      <c r="A47"/>
      <c r="B47"/>
      <c r="C47"/>
      <c r="D47"/>
      <c r="E47"/>
      <c r="F47"/>
      <c r="G47"/>
      <c r="H47"/>
      <c r="I47"/>
    </row>
    <row r="48" spans="1:9">
      <c r="A48"/>
      <c r="B48"/>
      <c r="C48"/>
      <c r="D48"/>
      <c r="E48"/>
      <c r="F48"/>
      <c r="G48"/>
      <c r="H48"/>
      <c r="I48"/>
    </row>
    <row r="49" spans="1:9">
      <c r="A49"/>
      <c r="B49"/>
      <c r="C49"/>
      <c r="D49"/>
      <c r="E49"/>
      <c r="F49"/>
      <c r="G49"/>
      <c r="H49"/>
      <c r="I49"/>
    </row>
    <row r="50" spans="1:9">
      <c r="A50"/>
      <c r="B50"/>
      <c r="C50"/>
      <c r="D50"/>
      <c r="E50"/>
      <c r="F50"/>
      <c r="G50"/>
      <c r="H50"/>
      <c r="I50"/>
    </row>
    <row r="51" spans="1:9">
      <c r="A51"/>
      <c r="B51"/>
      <c r="C51"/>
      <c r="D51"/>
      <c r="E51"/>
      <c r="F51"/>
      <c r="G51"/>
      <c r="H51"/>
      <c r="I51"/>
    </row>
    <row r="52" spans="1:9">
      <c r="A52"/>
      <c r="B52"/>
      <c r="C52"/>
      <c r="D52"/>
      <c r="E52"/>
      <c r="F52"/>
      <c r="G52"/>
      <c r="H52"/>
    </row>
    <row r="53" spans="1:9">
      <c r="A53"/>
      <c r="B53"/>
      <c r="C53"/>
      <c r="D53"/>
      <c r="E53"/>
      <c r="F53"/>
      <c r="G53"/>
      <c r="H53"/>
    </row>
    <row r="54" spans="1:9">
      <c r="A54"/>
      <c r="B54"/>
      <c r="C54"/>
      <c r="D54"/>
      <c r="E54"/>
      <c r="F54"/>
      <c r="G54"/>
      <c r="H54"/>
    </row>
    <row r="55" spans="1:9">
      <c r="A55"/>
      <c r="B55"/>
      <c r="C55"/>
      <c r="D55"/>
      <c r="E55"/>
      <c r="F55"/>
      <c r="G55"/>
      <c r="H55"/>
    </row>
    <row r="56" spans="1:9">
      <c r="A56"/>
      <c r="B56"/>
      <c r="C56"/>
      <c r="D56"/>
      <c r="E56"/>
      <c r="F56"/>
      <c r="G56"/>
      <c r="H56"/>
    </row>
    <row r="57" spans="1:9">
      <c r="A57"/>
      <c r="B57"/>
      <c r="C57"/>
      <c r="D57"/>
      <c r="E57"/>
      <c r="F57"/>
      <c r="G57"/>
      <c r="H57"/>
    </row>
    <row r="58" spans="1:9">
      <c r="A58"/>
      <c r="B58"/>
      <c r="C58"/>
      <c r="D58"/>
      <c r="E58"/>
      <c r="F58"/>
      <c r="G58"/>
      <c r="H58"/>
    </row>
    <row r="59" spans="1:9">
      <c r="A59"/>
      <c r="B59"/>
      <c r="C59"/>
      <c r="D59"/>
      <c r="E59"/>
      <c r="F59"/>
      <c r="G59"/>
      <c r="H59"/>
    </row>
    <row r="60" spans="1:9">
      <c r="A60"/>
      <c r="B60"/>
      <c r="C60"/>
      <c r="D60"/>
      <c r="E60"/>
      <c r="F60"/>
      <c r="G60"/>
      <c r="H60"/>
    </row>
    <row r="61" spans="1:9">
      <c r="A61"/>
      <c r="B61"/>
      <c r="C61"/>
      <c r="D61"/>
      <c r="E61"/>
      <c r="F61"/>
      <c r="G61"/>
      <c r="H61"/>
    </row>
    <row r="62" spans="1:9">
      <c r="A62"/>
      <c r="B62"/>
      <c r="C62"/>
      <c r="D62"/>
      <c r="E62"/>
      <c r="F62"/>
      <c r="G62"/>
      <c r="H62"/>
    </row>
    <row r="63" spans="1:9">
      <c r="A63"/>
      <c r="B63"/>
      <c r="C63"/>
      <c r="D63"/>
      <c r="E63"/>
      <c r="F63"/>
      <c r="G63"/>
      <c r="H63"/>
    </row>
    <row r="64" spans="1:9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  <row r="79" spans="1:8">
      <c r="A79"/>
      <c r="B79"/>
      <c r="C79"/>
      <c r="D79"/>
      <c r="E79"/>
      <c r="F79"/>
      <c r="G79"/>
      <c r="H79"/>
    </row>
    <row r="80" spans="1:8">
      <c r="A80"/>
      <c r="B80"/>
      <c r="C80"/>
      <c r="D80"/>
      <c r="E80"/>
      <c r="F80"/>
      <c r="G80"/>
      <c r="H80"/>
    </row>
    <row r="81" spans="1:8">
      <c r="A81"/>
      <c r="B81"/>
      <c r="C81"/>
      <c r="D81"/>
      <c r="E81"/>
      <c r="F81"/>
      <c r="G81"/>
      <c r="H81"/>
    </row>
    <row r="82" spans="1:8">
      <c r="A82"/>
      <c r="B82"/>
      <c r="C82"/>
      <c r="D82"/>
      <c r="E82"/>
      <c r="F82"/>
      <c r="G82"/>
      <c r="H82"/>
    </row>
    <row r="83" spans="1:8">
      <c r="A83"/>
      <c r="B83"/>
      <c r="C83"/>
      <c r="D83"/>
      <c r="E83"/>
      <c r="F83"/>
      <c r="G83"/>
      <c r="H83"/>
    </row>
    <row r="84" spans="1:8">
      <c r="A84"/>
      <c r="B84"/>
      <c r="C84"/>
      <c r="D84"/>
      <c r="E84"/>
      <c r="F84"/>
      <c r="G84"/>
      <c r="H84"/>
    </row>
    <row r="85" spans="1:8">
      <c r="A85"/>
      <c r="B85"/>
      <c r="C85"/>
      <c r="D85"/>
      <c r="E85"/>
      <c r="F85"/>
      <c r="G85"/>
      <c r="H85"/>
    </row>
  </sheetData>
  <pageMargins left="0.7" right="0.7" top="0.75" bottom="0.75" header="0.3" footer="0.3"/>
  <pageSetup paperSize="9" orientation="portrait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6F77-870C-4DD2-8BDE-A37727D5C25D}">
  <dimension ref="A1:D59"/>
  <sheetViews>
    <sheetView topLeftCell="A16" workbookViewId="0">
      <selection activeCell="D20" sqref="D20"/>
    </sheetView>
  </sheetViews>
  <sheetFormatPr defaultRowHeight="12.75"/>
  <cols>
    <col min="1" max="1" width="39.140625" bestFit="1" customWidth="1"/>
    <col min="2" max="3" width="29.140625" bestFit="1" customWidth="1"/>
    <col min="4" max="4" width="16.140625" bestFit="1" customWidth="1"/>
  </cols>
  <sheetData>
    <row r="1" spans="1:4">
      <c r="A1" s="107" t="s">
        <v>67</v>
      </c>
      <c r="B1" s="5" t="s">
        <v>2691</v>
      </c>
    </row>
    <row r="2" spans="1:4">
      <c r="A2" s="107" t="s">
        <v>64</v>
      </c>
      <c r="B2" s="5" t="s">
        <v>75</v>
      </c>
    </row>
    <row r="4" spans="1:4">
      <c r="A4" s="100" t="s">
        <v>102</v>
      </c>
      <c r="B4" s="100" t="s">
        <v>62</v>
      </c>
      <c r="C4" s="101"/>
      <c r="D4" s="102"/>
    </row>
    <row r="5" spans="1:4">
      <c r="A5" s="100" t="s">
        <v>65</v>
      </c>
      <c r="B5" s="103" t="s">
        <v>1</v>
      </c>
      <c r="C5" s="104" t="s">
        <v>5</v>
      </c>
      <c r="D5" s="41" t="s">
        <v>2</v>
      </c>
    </row>
    <row r="6" spans="1:4">
      <c r="A6" s="103" t="s">
        <v>70</v>
      </c>
      <c r="B6" s="103">
        <v>11</v>
      </c>
      <c r="C6" s="104">
        <v>20</v>
      </c>
      <c r="D6" s="41">
        <v>31</v>
      </c>
    </row>
    <row r="7" spans="1:4">
      <c r="A7" s="105" t="s">
        <v>78</v>
      </c>
      <c r="B7" s="105"/>
      <c r="C7">
        <v>1</v>
      </c>
      <c r="D7" s="126">
        <v>1</v>
      </c>
    </row>
    <row r="8" spans="1:4">
      <c r="A8" s="105" t="s">
        <v>80</v>
      </c>
      <c r="B8" s="105"/>
      <c r="C8">
        <v>1</v>
      </c>
      <c r="D8" s="126">
        <v>1</v>
      </c>
    </row>
    <row r="9" spans="1:4">
      <c r="A9" s="105" t="s">
        <v>114</v>
      </c>
      <c r="B9" s="105">
        <v>54</v>
      </c>
      <c r="C9">
        <v>75</v>
      </c>
      <c r="D9" s="126">
        <v>129</v>
      </c>
    </row>
    <row r="10" spans="1:4">
      <c r="A10" s="105" t="s">
        <v>1509</v>
      </c>
      <c r="B10" s="105">
        <v>1</v>
      </c>
      <c r="D10" s="126">
        <v>1</v>
      </c>
    </row>
    <row r="11" spans="1:4">
      <c r="A11" s="105" t="s">
        <v>2948</v>
      </c>
      <c r="B11" s="105">
        <v>1</v>
      </c>
      <c r="D11" s="126">
        <v>1</v>
      </c>
    </row>
    <row r="12" spans="1:4">
      <c r="A12" s="105" t="s">
        <v>3339</v>
      </c>
      <c r="B12" s="105">
        <v>1</v>
      </c>
      <c r="D12" s="126">
        <v>1</v>
      </c>
    </row>
    <row r="13" spans="1:4">
      <c r="A13" s="106" t="s">
        <v>2</v>
      </c>
      <c r="B13" s="106">
        <v>68</v>
      </c>
      <c r="C13" s="127">
        <v>97</v>
      </c>
      <c r="D13" s="5">
        <v>165</v>
      </c>
    </row>
    <row r="16" spans="1:4">
      <c r="A16" s="107" t="s">
        <v>67</v>
      </c>
      <c r="B16" s="5" t="s">
        <v>2691</v>
      </c>
    </row>
    <row r="17" spans="1:4">
      <c r="A17" s="107" t="s">
        <v>64</v>
      </c>
      <c r="B17" s="5" t="s">
        <v>101</v>
      </c>
    </row>
    <row r="19" spans="1:4">
      <c r="A19" s="100" t="s">
        <v>102</v>
      </c>
      <c r="B19" s="100" t="s">
        <v>62</v>
      </c>
      <c r="C19" s="102"/>
    </row>
    <row r="20" spans="1:4">
      <c r="A20" s="100" t="s">
        <v>65</v>
      </c>
      <c r="B20" s="103" t="s">
        <v>1</v>
      </c>
      <c r="C20" s="41" t="s">
        <v>2</v>
      </c>
    </row>
    <row r="21" spans="1:4">
      <c r="A21" s="103" t="s">
        <v>114</v>
      </c>
      <c r="B21" s="103">
        <v>1</v>
      </c>
      <c r="C21" s="41">
        <v>1</v>
      </c>
    </row>
    <row r="22" spans="1:4">
      <c r="A22" s="106" t="s">
        <v>2</v>
      </c>
      <c r="B22" s="106">
        <v>1</v>
      </c>
      <c r="C22" s="5">
        <v>1</v>
      </c>
    </row>
    <row r="24" spans="1:4">
      <c r="A24" s="107" t="s">
        <v>67</v>
      </c>
      <c r="B24" s="5" t="s">
        <v>2691</v>
      </c>
    </row>
    <row r="25" spans="1:4">
      <c r="A25" s="107" t="s">
        <v>64</v>
      </c>
      <c r="B25" s="5" t="s">
        <v>11</v>
      </c>
    </row>
    <row r="27" spans="1:4">
      <c r="A27" s="100" t="s">
        <v>102</v>
      </c>
      <c r="B27" s="100" t="s">
        <v>62</v>
      </c>
      <c r="C27" s="101"/>
      <c r="D27" s="102"/>
    </row>
    <row r="28" spans="1:4">
      <c r="A28" s="100" t="s">
        <v>65</v>
      </c>
      <c r="B28" s="103" t="s">
        <v>1</v>
      </c>
      <c r="C28" s="104" t="s">
        <v>5</v>
      </c>
      <c r="D28" s="41" t="s">
        <v>2</v>
      </c>
    </row>
    <row r="29" spans="1:4">
      <c r="A29" s="103" t="s">
        <v>70</v>
      </c>
      <c r="B29" s="103">
        <v>11</v>
      </c>
      <c r="C29" s="104">
        <v>19</v>
      </c>
      <c r="D29" s="41">
        <v>30</v>
      </c>
    </row>
    <row r="30" spans="1:4">
      <c r="A30" s="105" t="s">
        <v>114</v>
      </c>
      <c r="B30" s="105">
        <v>13</v>
      </c>
      <c r="C30">
        <v>7</v>
      </c>
      <c r="D30" s="126">
        <v>20</v>
      </c>
    </row>
    <row r="31" spans="1:4">
      <c r="A31" s="106" t="s">
        <v>2</v>
      </c>
      <c r="B31" s="106">
        <v>24</v>
      </c>
      <c r="C31" s="127">
        <v>26</v>
      </c>
      <c r="D31" s="5">
        <v>50</v>
      </c>
    </row>
    <row r="35" spans="1:4">
      <c r="A35" s="107" t="s">
        <v>67</v>
      </c>
      <c r="B35" s="5" t="s">
        <v>2691</v>
      </c>
    </row>
    <row r="36" spans="1:4">
      <c r="A36" s="107" t="s">
        <v>64</v>
      </c>
      <c r="B36" s="5" t="s">
        <v>100</v>
      </c>
    </row>
    <row r="38" spans="1:4">
      <c r="A38" s="100" t="s">
        <v>102</v>
      </c>
      <c r="B38" s="100" t="s">
        <v>62</v>
      </c>
      <c r="C38" s="101"/>
      <c r="D38" s="102"/>
    </row>
    <row r="39" spans="1:4">
      <c r="A39" s="100" t="s">
        <v>65</v>
      </c>
      <c r="B39" s="103" t="s">
        <v>1</v>
      </c>
      <c r="C39" s="104" t="s">
        <v>5</v>
      </c>
      <c r="D39" s="41" t="s">
        <v>2</v>
      </c>
    </row>
    <row r="40" spans="1:4">
      <c r="A40" s="103" t="s">
        <v>70</v>
      </c>
      <c r="B40" s="103">
        <v>4</v>
      </c>
      <c r="C40" s="104">
        <v>3</v>
      </c>
      <c r="D40" s="41">
        <v>7</v>
      </c>
    </row>
    <row r="41" spans="1:4">
      <c r="A41" s="105" t="s">
        <v>114</v>
      </c>
      <c r="B41" s="105">
        <v>14</v>
      </c>
      <c r="C41">
        <v>12</v>
      </c>
      <c r="D41" s="126">
        <v>26</v>
      </c>
    </row>
    <row r="42" spans="1:4">
      <c r="A42" s="106" t="s">
        <v>2</v>
      </c>
      <c r="B42" s="106">
        <v>18</v>
      </c>
      <c r="C42" s="127">
        <v>15</v>
      </c>
      <c r="D42" s="5">
        <v>33</v>
      </c>
    </row>
    <row r="44" spans="1:4">
      <c r="A44" s="107" t="s">
        <v>67</v>
      </c>
      <c r="B44" s="5" t="s">
        <v>2691</v>
      </c>
    </row>
    <row r="45" spans="1:4">
      <c r="A45" s="107" t="s">
        <v>64</v>
      </c>
      <c r="B45" s="5" t="s">
        <v>69</v>
      </c>
    </row>
    <row r="47" spans="1:4">
      <c r="A47" s="100" t="s">
        <v>102</v>
      </c>
      <c r="B47" s="100" t="s">
        <v>62</v>
      </c>
      <c r="C47" s="102"/>
    </row>
    <row r="48" spans="1:4">
      <c r="A48" s="100" t="s">
        <v>65</v>
      </c>
      <c r="B48" s="103" t="s">
        <v>5</v>
      </c>
      <c r="C48" s="41" t="s">
        <v>2</v>
      </c>
    </row>
    <row r="49" spans="1:3">
      <c r="A49" s="103" t="s">
        <v>3212</v>
      </c>
      <c r="B49" s="103">
        <v>1</v>
      </c>
      <c r="C49" s="41">
        <v>1</v>
      </c>
    </row>
    <row r="50" spans="1:3">
      <c r="A50" s="106" t="s">
        <v>2</v>
      </c>
      <c r="B50" s="106">
        <v>1</v>
      </c>
      <c r="C50" s="5">
        <v>1</v>
      </c>
    </row>
    <row r="53" spans="1:3">
      <c r="A53" s="107" t="s">
        <v>67</v>
      </c>
      <c r="B53" s="5" t="s">
        <v>2691</v>
      </c>
    </row>
    <row r="54" spans="1:3">
      <c r="A54" s="107" t="s">
        <v>64</v>
      </c>
      <c r="B54" s="5" t="s">
        <v>3404</v>
      </c>
    </row>
    <row r="56" spans="1:3">
      <c r="A56" s="100" t="s">
        <v>102</v>
      </c>
      <c r="B56" s="100" t="s">
        <v>62</v>
      </c>
      <c r="C56" s="102"/>
    </row>
    <row r="57" spans="1:3">
      <c r="A57" s="100" t="s">
        <v>65</v>
      </c>
      <c r="B57" s="103" t="s">
        <v>5</v>
      </c>
      <c r="C57" s="41" t="s">
        <v>2</v>
      </c>
    </row>
    <row r="58" spans="1:3">
      <c r="A58" s="103" t="s">
        <v>114</v>
      </c>
      <c r="B58" s="103">
        <v>1</v>
      </c>
      <c r="C58" s="41">
        <v>1</v>
      </c>
    </row>
    <row r="59" spans="1:3">
      <c r="A59" s="106" t="s">
        <v>2</v>
      </c>
      <c r="B59" s="106">
        <v>1</v>
      </c>
      <c r="C59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DB</vt:lpstr>
      <vt:lpstr>RiepOrganico</vt:lpstr>
      <vt:lpstr>Gio_Quot_settore</vt:lpstr>
      <vt:lpstr>Qual_sede</vt:lpstr>
      <vt:lpstr>Gio_sede</vt:lpstr>
      <vt:lpstr>xxxGio_Quot_settore</vt:lpstr>
      <vt:lpstr>xxxQualifica_sede</vt:lpstr>
      <vt:lpstr>xxxGio_sede</vt:lpstr>
      <vt:lpstr>Gio_sede!Print_Area</vt:lpstr>
      <vt:lpstr>Qual_sede!Print_Area</vt:lpstr>
    </vt:vector>
  </TitlesOfParts>
  <Company>IL SOLE 24 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 SOLE 24 ORE</dc:creator>
  <cp:lastModifiedBy>Bolzoni Roberto</cp:lastModifiedBy>
  <cp:lastPrinted>2021-01-07T10:16:15Z</cp:lastPrinted>
  <dcterms:created xsi:type="dcterms:W3CDTF">2000-06-23T15:56:00Z</dcterms:created>
  <dcterms:modified xsi:type="dcterms:W3CDTF">2026-02-16T14:52:57Z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