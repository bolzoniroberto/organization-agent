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4E04DDAF-6ED1-446B-881D-C440560FE0C4}" xr6:coauthVersionLast="47" xr6:coauthVersionMax="47" xr10:uidLastSave="{00000000-0000-0000-0000-000000000000}"/>
  <bookViews>
    <workbookView xWindow="-120" yWindow="-120" windowWidth="29040" windowHeight="15840" tabRatio="785" xr2:uid="{00000000-000D-0000-FFFF-FFFF00000000}"/>
  </bookViews>
  <sheets>
    <sheet name="Scheda Movimento" sheetId="3" r:id="rId1"/>
    <sheet name="Sicurezza" sheetId="14" state="hidden" r:id="rId2"/>
    <sheet name="Organizz" sheetId="12" state="hidden" r:id="rId3"/>
    <sheet name="Indicazioni per compilazione" sheetId="13" state="hidden" r:id="rId4"/>
    <sheet name="Elenchi" sheetId="5" state="hidden" r:id="rId5"/>
    <sheet name="Pivot elenchi" sheetId="8" state="hidden" r:id="rId6"/>
  </sheets>
  <definedNames>
    <definedName name="_xlnm._FilterDatabase" localSheetId="4" hidden="1">Elenchi!#REF!</definedName>
    <definedName name="_xlnm._FilterDatabase" localSheetId="5" hidden="1">'Pivot elenchi'!$O$4:$V$228</definedName>
    <definedName name="CONTRATTO">Elenchi!$A$36:$A$52</definedName>
    <definedName name="DESTINAZIONE_CDC">Elenchi!$L$5:$L$228</definedName>
    <definedName name="DESTINAZIONE_SOCIETA">Elenchi!$D$5:$D$21</definedName>
    <definedName name="DESTINAZIONE_VIA">Elenchi!$G$5:$G$29</definedName>
    <definedName name="EMAIL">Elenchi!$A$19:$A$20</definedName>
    <definedName name="MANSIONE">Elenchi!$A$84:$A$112</definedName>
    <definedName name="MOVIMENTO">Elenchi!$A$5:$A$15</definedName>
    <definedName name="ONBOARDING">Elenchi!$A$131:$A$133</definedName>
    <definedName name="PROVENIENZA_CDC">Elenchi!$AB$5:$AB$228</definedName>
    <definedName name="PROVENIENZA_SOCIETA">Elenchi!$T$5:$T$19</definedName>
    <definedName name="PROVENIENZA_VIA">Elenchi!$W$5:$W$27</definedName>
    <definedName name="QUALIFICA">Elenchi!$A$56:$A$69</definedName>
    <definedName name="SESSO">Elenchi!$A$29:$A$32</definedName>
    <definedName name="STATO">Elenchi!$A$73:$A$80</definedName>
    <definedName name="TELELAVORO">Elenchi!$A$24:$A$25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27" i="3"/>
  <c r="BF2" i="12" l="1"/>
  <c r="BN2" i="12"/>
  <c r="Q243" i="5"/>
  <c r="P243" i="5"/>
  <c r="O243" i="5"/>
  <c r="N243" i="5"/>
  <c r="M243" i="5"/>
  <c r="L243" i="5"/>
  <c r="Q242" i="5"/>
  <c r="P242" i="5"/>
  <c r="O242" i="5"/>
  <c r="N242" i="5"/>
  <c r="M242" i="5"/>
  <c r="L242" i="5"/>
  <c r="Q241" i="5"/>
  <c r="P241" i="5"/>
  <c r="O241" i="5"/>
  <c r="N241" i="5"/>
  <c r="M241" i="5"/>
  <c r="L241" i="5"/>
  <c r="Q240" i="5"/>
  <c r="P240" i="5"/>
  <c r="O240" i="5"/>
  <c r="N240" i="5"/>
  <c r="M240" i="5"/>
  <c r="L240" i="5"/>
  <c r="Q239" i="5"/>
  <c r="P239" i="5"/>
  <c r="O239" i="5"/>
  <c r="N239" i="5"/>
  <c r="M239" i="5"/>
  <c r="L239" i="5"/>
  <c r="Q238" i="5"/>
  <c r="P238" i="5"/>
  <c r="O238" i="5"/>
  <c r="N238" i="5"/>
  <c r="M238" i="5"/>
  <c r="L238" i="5"/>
  <c r="Q237" i="5"/>
  <c r="P237" i="5"/>
  <c r="O237" i="5"/>
  <c r="N237" i="5"/>
  <c r="M237" i="5"/>
  <c r="L237" i="5"/>
  <c r="Q236" i="5"/>
  <c r="P236" i="5"/>
  <c r="O236" i="5"/>
  <c r="N236" i="5"/>
  <c r="M236" i="5"/>
  <c r="L236" i="5"/>
  <c r="Q235" i="5"/>
  <c r="P235" i="5"/>
  <c r="O235" i="5"/>
  <c r="N235" i="5"/>
  <c r="M235" i="5"/>
  <c r="L235" i="5"/>
  <c r="Q234" i="5"/>
  <c r="P234" i="5"/>
  <c r="O234" i="5"/>
  <c r="N234" i="5"/>
  <c r="M234" i="5"/>
  <c r="L234" i="5"/>
  <c r="Q233" i="5"/>
  <c r="P233" i="5"/>
  <c r="O233" i="5"/>
  <c r="N233" i="5"/>
  <c r="M233" i="5"/>
  <c r="L233" i="5"/>
  <c r="Q232" i="5"/>
  <c r="P232" i="5"/>
  <c r="O232" i="5"/>
  <c r="N232" i="5"/>
  <c r="M232" i="5"/>
  <c r="L232" i="5"/>
  <c r="Q231" i="5"/>
  <c r="P231" i="5"/>
  <c r="O231" i="5"/>
  <c r="N231" i="5"/>
  <c r="M231" i="5"/>
  <c r="L231" i="5"/>
  <c r="Q230" i="5"/>
  <c r="P230" i="5"/>
  <c r="O230" i="5"/>
  <c r="N230" i="5"/>
  <c r="M230" i="5"/>
  <c r="L230" i="5"/>
  <c r="Q229" i="5"/>
  <c r="P229" i="5"/>
  <c r="O229" i="5"/>
  <c r="N229" i="5"/>
  <c r="M229" i="5"/>
  <c r="L229" i="5"/>
  <c r="Q228" i="5"/>
  <c r="P228" i="5"/>
  <c r="O228" i="5"/>
  <c r="N228" i="5"/>
  <c r="M228" i="5"/>
  <c r="L228" i="5"/>
  <c r="Q227" i="5"/>
  <c r="P227" i="5"/>
  <c r="O227" i="5"/>
  <c r="N227" i="5"/>
  <c r="M227" i="5"/>
  <c r="L227" i="5"/>
  <c r="Q226" i="5"/>
  <c r="P226" i="5"/>
  <c r="O226" i="5"/>
  <c r="N226" i="5"/>
  <c r="M226" i="5"/>
  <c r="L226" i="5"/>
  <c r="Q225" i="5"/>
  <c r="P225" i="5"/>
  <c r="O225" i="5"/>
  <c r="N225" i="5"/>
  <c r="M225" i="5"/>
  <c r="L225" i="5"/>
  <c r="Q224" i="5"/>
  <c r="P224" i="5"/>
  <c r="O224" i="5"/>
  <c r="N224" i="5"/>
  <c r="M224" i="5"/>
  <c r="L224" i="5"/>
  <c r="Q223" i="5"/>
  <c r="P223" i="5"/>
  <c r="O223" i="5"/>
  <c r="N223" i="5"/>
  <c r="M223" i="5"/>
  <c r="L223" i="5"/>
  <c r="Q222" i="5"/>
  <c r="P222" i="5"/>
  <c r="O222" i="5"/>
  <c r="N222" i="5"/>
  <c r="M222" i="5"/>
  <c r="L222" i="5"/>
  <c r="Q221" i="5"/>
  <c r="P221" i="5"/>
  <c r="O221" i="5"/>
  <c r="N221" i="5"/>
  <c r="M221" i="5"/>
  <c r="L221" i="5"/>
  <c r="Q220" i="5"/>
  <c r="P220" i="5"/>
  <c r="O220" i="5"/>
  <c r="N220" i="5"/>
  <c r="M220" i="5"/>
  <c r="L220" i="5"/>
  <c r="Q219" i="5"/>
  <c r="P219" i="5"/>
  <c r="O219" i="5"/>
  <c r="N219" i="5"/>
  <c r="M219" i="5"/>
  <c r="L219" i="5"/>
  <c r="Q218" i="5"/>
  <c r="P218" i="5"/>
  <c r="O218" i="5"/>
  <c r="N218" i="5"/>
  <c r="M218" i="5"/>
  <c r="L218" i="5"/>
  <c r="Q217" i="5"/>
  <c r="P217" i="5"/>
  <c r="O217" i="5"/>
  <c r="N217" i="5"/>
  <c r="M217" i="5"/>
  <c r="L217" i="5"/>
  <c r="Q216" i="5"/>
  <c r="P216" i="5"/>
  <c r="O216" i="5"/>
  <c r="N216" i="5"/>
  <c r="M216" i="5"/>
  <c r="L216" i="5"/>
  <c r="Q215" i="5"/>
  <c r="P215" i="5"/>
  <c r="O215" i="5"/>
  <c r="N215" i="5"/>
  <c r="M215" i="5"/>
  <c r="L215" i="5"/>
  <c r="Q214" i="5"/>
  <c r="P214" i="5"/>
  <c r="O214" i="5"/>
  <c r="N214" i="5"/>
  <c r="M214" i="5"/>
  <c r="L214" i="5"/>
  <c r="Q213" i="5"/>
  <c r="P213" i="5"/>
  <c r="O213" i="5"/>
  <c r="N213" i="5"/>
  <c r="M213" i="5"/>
  <c r="L213" i="5"/>
  <c r="Q212" i="5"/>
  <c r="P212" i="5"/>
  <c r="O212" i="5"/>
  <c r="N212" i="5"/>
  <c r="M212" i="5"/>
  <c r="L212" i="5"/>
  <c r="Q211" i="5"/>
  <c r="P211" i="5"/>
  <c r="O211" i="5"/>
  <c r="N211" i="5"/>
  <c r="M211" i="5"/>
  <c r="L211" i="5"/>
  <c r="Q210" i="5"/>
  <c r="P210" i="5"/>
  <c r="O210" i="5"/>
  <c r="N210" i="5"/>
  <c r="M210" i="5"/>
  <c r="L210" i="5"/>
  <c r="Q209" i="5"/>
  <c r="P209" i="5"/>
  <c r="O209" i="5"/>
  <c r="N209" i="5"/>
  <c r="M209" i="5"/>
  <c r="L209" i="5"/>
  <c r="Q208" i="5"/>
  <c r="P208" i="5"/>
  <c r="O208" i="5"/>
  <c r="N208" i="5"/>
  <c r="M208" i="5"/>
  <c r="L208" i="5"/>
  <c r="Q207" i="5"/>
  <c r="P207" i="5"/>
  <c r="O207" i="5"/>
  <c r="N207" i="5"/>
  <c r="M207" i="5"/>
  <c r="L207" i="5"/>
  <c r="Q206" i="5"/>
  <c r="P206" i="5"/>
  <c r="O206" i="5"/>
  <c r="N206" i="5"/>
  <c r="M206" i="5"/>
  <c r="L206" i="5"/>
  <c r="Q205" i="5"/>
  <c r="P205" i="5"/>
  <c r="O205" i="5"/>
  <c r="N205" i="5"/>
  <c r="M205" i="5"/>
  <c r="L205" i="5"/>
  <c r="Q204" i="5"/>
  <c r="P204" i="5"/>
  <c r="O204" i="5"/>
  <c r="N204" i="5"/>
  <c r="M204" i="5"/>
  <c r="L204" i="5"/>
  <c r="Q203" i="5"/>
  <c r="P203" i="5"/>
  <c r="O203" i="5"/>
  <c r="N203" i="5"/>
  <c r="M203" i="5"/>
  <c r="L203" i="5"/>
  <c r="Q202" i="5"/>
  <c r="P202" i="5"/>
  <c r="O202" i="5"/>
  <c r="N202" i="5"/>
  <c r="M202" i="5"/>
  <c r="L202" i="5"/>
  <c r="Q201" i="5"/>
  <c r="P201" i="5"/>
  <c r="O201" i="5"/>
  <c r="N201" i="5"/>
  <c r="M201" i="5"/>
  <c r="L201" i="5"/>
  <c r="Q200" i="5"/>
  <c r="P200" i="5"/>
  <c r="O200" i="5"/>
  <c r="N200" i="5"/>
  <c r="M200" i="5"/>
  <c r="L200" i="5"/>
  <c r="Q199" i="5"/>
  <c r="P199" i="5"/>
  <c r="O199" i="5"/>
  <c r="N199" i="5"/>
  <c r="M199" i="5"/>
  <c r="L199" i="5"/>
  <c r="Q198" i="5"/>
  <c r="P198" i="5"/>
  <c r="O198" i="5"/>
  <c r="N198" i="5"/>
  <c r="M198" i="5"/>
  <c r="L198" i="5"/>
  <c r="Q197" i="5"/>
  <c r="P197" i="5"/>
  <c r="O197" i="5"/>
  <c r="N197" i="5"/>
  <c r="M197" i="5"/>
  <c r="L197" i="5"/>
  <c r="Q196" i="5"/>
  <c r="P196" i="5"/>
  <c r="O196" i="5"/>
  <c r="N196" i="5"/>
  <c r="M196" i="5"/>
  <c r="L196" i="5"/>
  <c r="Q195" i="5"/>
  <c r="P195" i="5"/>
  <c r="O195" i="5"/>
  <c r="N195" i="5"/>
  <c r="M195" i="5"/>
  <c r="L195" i="5"/>
  <c r="Q194" i="5"/>
  <c r="P194" i="5"/>
  <c r="O194" i="5"/>
  <c r="N194" i="5"/>
  <c r="M194" i="5"/>
  <c r="L194" i="5"/>
  <c r="Q193" i="5"/>
  <c r="P193" i="5"/>
  <c r="O193" i="5"/>
  <c r="N193" i="5"/>
  <c r="M193" i="5"/>
  <c r="L193" i="5"/>
  <c r="Q192" i="5"/>
  <c r="P192" i="5"/>
  <c r="O192" i="5"/>
  <c r="N192" i="5"/>
  <c r="M192" i="5"/>
  <c r="L192" i="5"/>
  <c r="Q191" i="5"/>
  <c r="P191" i="5"/>
  <c r="O191" i="5"/>
  <c r="N191" i="5"/>
  <c r="M191" i="5"/>
  <c r="L191" i="5"/>
  <c r="Q190" i="5"/>
  <c r="P190" i="5"/>
  <c r="O190" i="5"/>
  <c r="N190" i="5"/>
  <c r="M190" i="5"/>
  <c r="L190" i="5"/>
  <c r="Q189" i="5"/>
  <c r="P189" i="5"/>
  <c r="O189" i="5"/>
  <c r="N189" i="5"/>
  <c r="M189" i="5"/>
  <c r="L189" i="5"/>
  <c r="Q188" i="5"/>
  <c r="P188" i="5"/>
  <c r="O188" i="5"/>
  <c r="N188" i="5"/>
  <c r="M188" i="5"/>
  <c r="L188" i="5"/>
  <c r="Q187" i="5"/>
  <c r="P187" i="5"/>
  <c r="O187" i="5"/>
  <c r="N187" i="5"/>
  <c r="M187" i="5"/>
  <c r="L187" i="5"/>
  <c r="Q186" i="5"/>
  <c r="P186" i="5"/>
  <c r="O186" i="5"/>
  <c r="N186" i="5"/>
  <c r="M186" i="5"/>
  <c r="L186" i="5"/>
  <c r="Q185" i="5"/>
  <c r="P185" i="5"/>
  <c r="O185" i="5"/>
  <c r="N185" i="5"/>
  <c r="M185" i="5"/>
  <c r="L185" i="5"/>
  <c r="Q184" i="5"/>
  <c r="P184" i="5"/>
  <c r="O184" i="5"/>
  <c r="N184" i="5"/>
  <c r="M184" i="5"/>
  <c r="L184" i="5"/>
  <c r="Q183" i="5"/>
  <c r="P183" i="5"/>
  <c r="O183" i="5"/>
  <c r="N183" i="5"/>
  <c r="M183" i="5"/>
  <c r="L183" i="5"/>
  <c r="Q182" i="5"/>
  <c r="P182" i="5"/>
  <c r="O182" i="5"/>
  <c r="N182" i="5"/>
  <c r="M182" i="5"/>
  <c r="L182" i="5"/>
  <c r="Q181" i="5"/>
  <c r="P181" i="5"/>
  <c r="O181" i="5"/>
  <c r="N181" i="5"/>
  <c r="M181" i="5"/>
  <c r="L181" i="5"/>
  <c r="Q180" i="5"/>
  <c r="P180" i="5"/>
  <c r="O180" i="5"/>
  <c r="N180" i="5"/>
  <c r="M180" i="5"/>
  <c r="L180" i="5"/>
  <c r="Q179" i="5"/>
  <c r="P179" i="5"/>
  <c r="O179" i="5"/>
  <c r="N179" i="5"/>
  <c r="M179" i="5"/>
  <c r="L179" i="5"/>
  <c r="Q178" i="5"/>
  <c r="P178" i="5"/>
  <c r="O178" i="5"/>
  <c r="N178" i="5"/>
  <c r="M178" i="5"/>
  <c r="L178" i="5"/>
  <c r="Q177" i="5"/>
  <c r="P177" i="5"/>
  <c r="O177" i="5"/>
  <c r="N177" i="5"/>
  <c r="M177" i="5"/>
  <c r="L177" i="5"/>
  <c r="Q176" i="5"/>
  <c r="P176" i="5"/>
  <c r="O176" i="5"/>
  <c r="N176" i="5"/>
  <c r="M176" i="5"/>
  <c r="L176" i="5"/>
  <c r="Q175" i="5"/>
  <c r="P175" i="5"/>
  <c r="O175" i="5"/>
  <c r="N175" i="5"/>
  <c r="M175" i="5"/>
  <c r="L175" i="5"/>
  <c r="Q174" i="5"/>
  <c r="P174" i="5"/>
  <c r="O174" i="5"/>
  <c r="N174" i="5"/>
  <c r="M174" i="5"/>
  <c r="L174" i="5"/>
  <c r="Q173" i="5"/>
  <c r="P173" i="5"/>
  <c r="O173" i="5"/>
  <c r="N173" i="5"/>
  <c r="M173" i="5"/>
  <c r="L173" i="5"/>
  <c r="Q172" i="5"/>
  <c r="P172" i="5"/>
  <c r="O172" i="5"/>
  <c r="N172" i="5"/>
  <c r="M172" i="5"/>
  <c r="L172" i="5"/>
  <c r="Q171" i="5"/>
  <c r="P171" i="5"/>
  <c r="O171" i="5"/>
  <c r="N171" i="5"/>
  <c r="M171" i="5"/>
  <c r="L171" i="5"/>
  <c r="Q170" i="5"/>
  <c r="P170" i="5"/>
  <c r="O170" i="5"/>
  <c r="N170" i="5"/>
  <c r="M170" i="5"/>
  <c r="L170" i="5"/>
  <c r="Q169" i="5"/>
  <c r="P169" i="5"/>
  <c r="O169" i="5"/>
  <c r="N169" i="5"/>
  <c r="M169" i="5"/>
  <c r="L169" i="5"/>
  <c r="Q168" i="5"/>
  <c r="P168" i="5"/>
  <c r="O168" i="5"/>
  <c r="N168" i="5"/>
  <c r="M168" i="5"/>
  <c r="L168" i="5"/>
  <c r="Q167" i="5"/>
  <c r="P167" i="5"/>
  <c r="O167" i="5"/>
  <c r="N167" i="5"/>
  <c r="M167" i="5"/>
  <c r="L167" i="5"/>
  <c r="Q166" i="5"/>
  <c r="P166" i="5"/>
  <c r="O166" i="5"/>
  <c r="N166" i="5"/>
  <c r="M166" i="5"/>
  <c r="L166" i="5"/>
  <c r="Q165" i="5"/>
  <c r="P165" i="5"/>
  <c r="O165" i="5"/>
  <c r="N165" i="5"/>
  <c r="M165" i="5"/>
  <c r="L165" i="5"/>
  <c r="Q164" i="5"/>
  <c r="P164" i="5"/>
  <c r="O164" i="5"/>
  <c r="N164" i="5"/>
  <c r="M164" i="5"/>
  <c r="L164" i="5"/>
  <c r="Q163" i="5"/>
  <c r="P163" i="5"/>
  <c r="O163" i="5"/>
  <c r="N163" i="5"/>
  <c r="M163" i="5"/>
  <c r="L163" i="5"/>
  <c r="Q162" i="5"/>
  <c r="P162" i="5"/>
  <c r="O162" i="5"/>
  <c r="N162" i="5"/>
  <c r="M162" i="5"/>
  <c r="L162" i="5"/>
  <c r="Q161" i="5"/>
  <c r="P161" i="5"/>
  <c r="O161" i="5"/>
  <c r="N161" i="5"/>
  <c r="M161" i="5"/>
  <c r="L161" i="5"/>
  <c r="Q160" i="5"/>
  <c r="P160" i="5"/>
  <c r="O160" i="5"/>
  <c r="N160" i="5"/>
  <c r="M160" i="5"/>
  <c r="L160" i="5"/>
  <c r="Q159" i="5"/>
  <c r="P159" i="5"/>
  <c r="O159" i="5"/>
  <c r="N159" i="5"/>
  <c r="M159" i="5"/>
  <c r="L159" i="5"/>
  <c r="Q158" i="5"/>
  <c r="P158" i="5"/>
  <c r="O158" i="5"/>
  <c r="N158" i="5"/>
  <c r="M158" i="5"/>
  <c r="L158" i="5"/>
  <c r="Q157" i="5"/>
  <c r="P157" i="5"/>
  <c r="O157" i="5"/>
  <c r="N157" i="5"/>
  <c r="M157" i="5"/>
  <c r="L157" i="5"/>
  <c r="Q156" i="5"/>
  <c r="P156" i="5"/>
  <c r="O156" i="5"/>
  <c r="N156" i="5"/>
  <c r="M156" i="5"/>
  <c r="L156" i="5"/>
  <c r="Q155" i="5"/>
  <c r="P155" i="5"/>
  <c r="O155" i="5"/>
  <c r="N155" i="5"/>
  <c r="M155" i="5"/>
  <c r="L155" i="5"/>
  <c r="Q154" i="5"/>
  <c r="P154" i="5"/>
  <c r="O154" i="5"/>
  <c r="N154" i="5"/>
  <c r="M154" i="5"/>
  <c r="L154" i="5"/>
  <c r="Q153" i="5"/>
  <c r="P153" i="5"/>
  <c r="O153" i="5"/>
  <c r="N153" i="5"/>
  <c r="M153" i="5"/>
  <c r="L153" i="5"/>
  <c r="Q152" i="5"/>
  <c r="P152" i="5"/>
  <c r="O152" i="5"/>
  <c r="N152" i="5"/>
  <c r="M152" i="5"/>
  <c r="L152" i="5"/>
  <c r="Q151" i="5"/>
  <c r="P151" i="5"/>
  <c r="O151" i="5"/>
  <c r="N151" i="5"/>
  <c r="M151" i="5"/>
  <c r="L151" i="5"/>
  <c r="Q150" i="5"/>
  <c r="P150" i="5"/>
  <c r="O150" i="5"/>
  <c r="N150" i="5"/>
  <c r="M150" i="5"/>
  <c r="L150" i="5"/>
  <c r="Q149" i="5"/>
  <c r="P149" i="5"/>
  <c r="O149" i="5"/>
  <c r="N149" i="5"/>
  <c r="M149" i="5"/>
  <c r="L149" i="5"/>
  <c r="Q148" i="5"/>
  <c r="P148" i="5"/>
  <c r="O148" i="5"/>
  <c r="N148" i="5"/>
  <c r="M148" i="5"/>
  <c r="L148" i="5"/>
  <c r="Q147" i="5"/>
  <c r="P147" i="5"/>
  <c r="O147" i="5"/>
  <c r="N147" i="5"/>
  <c r="M147" i="5"/>
  <c r="L147" i="5"/>
  <c r="Q146" i="5"/>
  <c r="P146" i="5"/>
  <c r="O146" i="5"/>
  <c r="N146" i="5"/>
  <c r="M146" i="5"/>
  <c r="L146" i="5"/>
  <c r="Q145" i="5"/>
  <c r="P145" i="5"/>
  <c r="O145" i="5"/>
  <c r="N145" i="5"/>
  <c r="M145" i="5"/>
  <c r="L145" i="5"/>
  <c r="Q144" i="5"/>
  <c r="P144" i="5"/>
  <c r="O144" i="5"/>
  <c r="N144" i="5"/>
  <c r="M144" i="5"/>
  <c r="L144" i="5"/>
  <c r="Q143" i="5"/>
  <c r="P143" i="5"/>
  <c r="O143" i="5"/>
  <c r="N143" i="5"/>
  <c r="M143" i="5"/>
  <c r="L143" i="5"/>
  <c r="Q142" i="5"/>
  <c r="P142" i="5"/>
  <c r="O142" i="5"/>
  <c r="N142" i="5"/>
  <c r="M142" i="5"/>
  <c r="L142" i="5"/>
  <c r="Q141" i="5"/>
  <c r="P141" i="5"/>
  <c r="O141" i="5"/>
  <c r="N141" i="5"/>
  <c r="M141" i="5"/>
  <c r="L141" i="5"/>
  <c r="Q140" i="5"/>
  <c r="P140" i="5"/>
  <c r="O140" i="5"/>
  <c r="N140" i="5"/>
  <c r="M140" i="5"/>
  <c r="L140" i="5"/>
  <c r="Q139" i="5"/>
  <c r="P139" i="5"/>
  <c r="O139" i="5"/>
  <c r="N139" i="5"/>
  <c r="M139" i="5"/>
  <c r="L139" i="5"/>
  <c r="Q138" i="5"/>
  <c r="P138" i="5"/>
  <c r="O138" i="5"/>
  <c r="N138" i="5"/>
  <c r="M138" i="5"/>
  <c r="L138" i="5"/>
  <c r="Q137" i="5"/>
  <c r="P137" i="5"/>
  <c r="O137" i="5"/>
  <c r="N137" i="5"/>
  <c r="M137" i="5"/>
  <c r="L137" i="5"/>
  <c r="Q136" i="5"/>
  <c r="P136" i="5"/>
  <c r="O136" i="5"/>
  <c r="N136" i="5"/>
  <c r="M136" i="5"/>
  <c r="L136" i="5"/>
  <c r="Q135" i="5"/>
  <c r="P135" i="5"/>
  <c r="O135" i="5"/>
  <c r="N135" i="5"/>
  <c r="M135" i="5"/>
  <c r="L135" i="5"/>
  <c r="Q134" i="5"/>
  <c r="P134" i="5"/>
  <c r="O134" i="5"/>
  <c r="N134" i="5"/>
  <c r="M134" i="5"/>
  <c r="L134" i="5"/>
  <c r="Q133" i="5"/>
  <c r="P133" i="5"/>
  <c r="O133" i="5"/>
  <c r="N133" i="5"/>
  <c r="M133" i="5"/>
  <c r="L133" i="5"/>
  <c r="Q132" i="5"/>
  <c r="P132" i="5"/>
  <c r="O132" i="5"/>
  <c r="N132" i="5"/>
  <c r="M132" i="5"/>
  <c r="L132" i="5"/>
  <c r="Q131" i="5"/>
  <c r="P131" i="5"/>
  <c r="O131" i="5"/>
  <c r="N131" i="5"/>
  <c r="M131" i="5"/>
  <c r="L131" i="5"/>
  <c r="Q130" i="5"/>
  <c r="P130" i="5"/>
  <c r="O130" i="5"/>
  <c r="N130" i="5"/>
  <c r="M130" i="5"/>
  <c r="L130" i="5"/>
  <c r="Q129" i="5"/>
  <c r="P129" i="5"/>
  <c r="O129" i="5"/>
  <c r="N129" i="5"/>
  <c r="M129" i="5"/>
  <c r="L129" i="5"/>
  <c r="Q128" i="5"/>
  <c r="P128" i="5"/>
  <c r="O128" i="5"/>
  <c r="N128" i="5"/>
  <c r="M128" i="5"/>
  <c r="L128" i="5"/>
  <c r="Q127" i="5"/>
  <c r="P127" i="5"/>
  <c r="O127" i="5"/>
  <c r="N127" i="5"/>
  <c r="M127" i="5"/>
  <c r="L127" i="5"/>
  <c r="Q126" i="5"/>
  <c r="P126" i="5"/>
  <c r="O126" i="5"/>
  <c r="N126" i="5"/>
  <c r="M126" i="5"/>
  <c r="L126" i="5"/>
  <c r="Q125" i="5"/>
  <c r="P125" i="5"/>
  <c r="O125" i="5"/>
  <c r="N125" i="5"/>
  <c r="M125" i="5"/>
  <c r="L125" i="5"/>
  <c r="Q124" i="5"/>
  <c r="P124" i="5"/>
  <c r="O124" i="5"/>
  <c r="N124" i="5"/>
  <c r="M124" i="5"/>
  <c r="L124" i="5"/>
  <c r="Q123" i="5"/>
  <c r="P123" i="5"/>
  <c r="O123" i="5"/>
  <c r="N123" i="5"/>
  <c r="M123" i="5"/>
  <c r="L123" i="5"/>
  <c r="Q122" i="5"/>
  <c r="P122" i="5"/>
  <c r="O122" i="5"/>
  <c r="N122" i="5"/>
  <c r="M122" i="5"/>
  <c r="L122" i="5"/>
  <c r="Q121" i="5"/>
  <c r="P121" i="5"/>
  <c r="O121" i="5"/>
  <c r="N121" i="5"/>
  <c r="M121" i="5"/>
  <c r="L121" i="5"/>
  <c r="Q120" i="5"/>
  <c r="P120" i="5"/>
  <c r="O120" i="5"/>
  <c r="N120" i="5"/>
  <c r="M120" i="5"/>
  <c r="L120" i="5"/>
  <c r="Q119" i="5"/>
  <c r="P119" i="5"/>
  <c r="O119" i="5"/>
  <c r="N119" i="5"/>
  <c r="M119" i="5"/>
  <c r="L119" i="5"/>
  <c r="Q118" i="5"/>
  <c r="P118" i="5"/>
  <c r="O118" i="5"/>
  <c r="N118" i="5"/>
  <c r="M118" i="5"/>
  <c r="L118" i="5"/>
  <c r="Q117" i="5"/>
  <c r="P117" i="5"/>
  <c r="O117" i="5"/>
  <c r="N117" i="5"/>
  <c r="M117" i="5"/>
  <c r="L117" i="5"/>
  <c r="Q116" i="5"/>
  <c r="P116" i="5"/>
  <c r="O116" i="5"/>
  <c r="N116" i="5"/>
  <c r="M116" i="5"/>
  <c r="L116" i="5"/>
  <c r="Q115" i="5"/>
  <c r="P115" i="5"/>
  <c r="O115" i="5"/>
  <c r="N115" i="5"/>
  <c r="M115" i="5"/>
  <c r="L115" i="5"/>
  <c r="Q114" i="5"/>
  <c r="P114" i="5"/>
  <c r="O114" i="5"/>
  <c r="N114" i="5"/>
  <c r="M114" i="5"/>
  <c r="L114" i="5"/>
  <c r="Q113" i="5"/>
  <c r="P113" i="5"/>
  <c r="O113" i="5"/>
  <c r="N113" i="5"/>
  <c r="M113" i="5"/>
  <c r="L113" i="5"/>
  <c r="Q112" i="5"/>
  <c r="P112" i="5"/>
  <c r="O112" i="5"/>
  <c r="N112" i="5"/>
  <c r="M112" i="5"/>
  <c r="L112" i="5"/>
  <c r="Q111" i="5"/>
  <c r="P111" i="5"/>
  <c r="O111" i="5"/>
  <c r="N111" i="5"/>
  <c r="M111" i="5"/>
  <c r="L111" i="5"/>
  <c r="Q110" i="5"/>
  <c r="P110" i="5"/>
  <c r="O110" i="5"/>
  <c r="N110" i="5"/>
  <c r="M110" i="5"/>
  <c r="L110" i="5"/>
  <c r="Q109" i="5"/>
  <c r="P109" i="5"/>
  <c r="O109" i="5"/>
  <c r="N109" i="5"/>
  <c r="M109" i="5"/>
  <c r="L109" i="5"/>
  <c r="Q108" i="5"/>
  <c r="P108" i="5"/>
  <c r="O108" i="5"/>
  <c r="N108" i="5"/>
  <c r="M108" i="5"/>
  <c r="L108" i="5"/>
  <c r="Q107" i="5"/>
  <c r="P107" i="5"/>
  <c r="O107" i="5"/>
  <c r="N107" i="5"/>
  <c r="M107" i="5"/>
  <c r="L107" i="5"/>
  <c r="Q106" i="5"/>
  <c r="P106" i="5"/>
  <c r="O106" i="5"/>
  <c r="N106" i="5"/>
  <c r="M106" i="5"/>
  <c r="L106" i="5"/>
  <c r="Q105" i="5"/>
  <c r="P105" i="5"/>
  <c r="O105" i="5"/>
  <c r="N105" i="5"/>
  <c r="M105" i="5"/>
  <c r="L105" i="5"/>
  <c r="Q104" i="5"/>
  <c r="P104" i="5"/>
  <c r="O104" i="5"/>
  <c r="N104" i="5"/>
  <c r="M104" i="5"/>
  <c r="L104" i="5"/>
  <c r="Q103" i="5"/>
  <c r="P103" i="5"/>
  <c r="O103" i="5"/>
  <c r="N103" i="5"/>
  <c r="M103" i="5"/>
  <c r="L103" i="5"/>
  <c r="Q102" i="5"/>
  <c r="P102" i="5"/>
  <c r="O102" i="5"/>
  <c r="N102" i="5"/>
  <c r="M102" i="5"/>
  <c r="L102" i="5"/>
  <c r="Q101" i="5"/>
  <c r="P101" i="5"/>
  <c r="O101" i="5"/>
  <c r="N101" i="5"/>
  <c r="M101" i="5"/>
  <c r="L101" i="5"/>
  <c r="Q100" i="5"/>
  <c r="P100" i="5"/>
  <c r="O100" i="5"/>
  <c r="N100" i="5"/>
  <c r="M100" i="5"/>
  <c r="L100" i="5"/>
  <c r="Q99" i="5"/>
  <c r="P99" i="5"/>
  <c r="O99" i="5"/>
  <c r="N99" i="5"/>
  <c r="M99" i="5"/>
  <c r="L99" i="5"/>
  <c r="Q98" i="5"/>
  <c r="P98" i="5"/>
  <c r="O98" i="5"/>
  <c r="N98" i="5"/>
  <c r="M98" i="5"/>
  <c r="L98" i="5"/>
  <c r="Q97" i="5"/>
  <c r="P97" i="5"/>
  <c r="O97" i="5"/>
  <c r="N97" i="5"/>
  <c r="M97" i="5"/>
  <c r="L97" i="5"/>
  <c r="Q96" i="5"/>
  <c r="P96" i="5"/>
  <c r="O96" i="5"/>
  <c r="N96" i="5"/>
  <c r="M96" i="5"/>
  <c r="L96" i="5"/>
  <c r="Q95" i="5"/>
  <c r="P95" i="5"/>
  <c r="O95" i="5"/>
  <c r="N95" i="5"/>
  <c r="M95" i="5"/>
  <c r="L95" i="5"/>
  <c r="Q94" i="5"/>
  <c r="P94" i="5"/>
  <c r="O94" i="5"/>
  <c r="N94" i="5"/>
  <c r="M94" i="5"/>
  <c r="L94" i="5"/>
  <c r="Q93" i="5"/>
  <c r="P93" i="5"/>
  <c r="O93" i="5"/>
  <c r="N93" i="5"/>
  <c r="M93" i="5"/>
  <c r="L93" i="5"/>
  <c r="Q92" i="5"/>
  <c r="P92" i="5"/>
  <c r="O92" i="5"/>
  <c r="N92" i="5"/>
  <c r="M92" i="5"/>
  <c r="L92" i="5"/>
  <c r="Q91" i="5"/>
  <c r="P91" i="5"/>
  <c r="O91" i="5"/>
  <c r="N91" i="5"/>
  <c r="M91" i="5"/>
  <c r="L91" i="5"/>
  <c r="Q90" i="5"/>
  <c r="P90" i="5"/>
  <c r="O90" i="5"/>
  <c r="N90" i="5"/>
  <c r="M90" i="5"/>
  <c r="L90" i="5"/>
  <c r="Q89" i="5"/>
  <c r="P89" i="5"/>
  <c r="O89" i="5"/>
  <c r="N89" i="5"/>
  <c r="M89" i="5"/>
  <c r="L89" i="5"/>
  <c r="Q88" i="5"/>
  <c r="P88" i="5"/>
  <c r="O88" i="5"/>
  <c r="N88" i="5"/>
  <c r="M88" i="5"/>
  <c r="L88" i="5"/>
  <c r="Q87" i="5"/>
  <c r="P87" i="5"/>
  <c r="O87" i="5"/>
  <c r="N87" i="5"/>
  <c r="M87" i="5"/>
  <c r="L87" i="5"/>
  <c r="Q86" i="5"/>
  <c r="P86" i="5"/>
  <c r="O86" i="5"/>
  <c r="N86" i="5"/>
  <c r="M86" i="5"/>
  <c r="L86" i="5"/>
  <c r="Q85" i="5"/>
  <c r="P85" i="5"/>
  <c r="O85" i="5"/>
  <c r="N85" i="5"/>
  <c r="M85" i="5"/>
  <c r="L85" i="5"/>
  <c r="Q84" i="5"/>
  <c r="P84" i="5"/>
  <c r="O84" i="5"/>
  <c r="N84" i="5"/>
  <c r="M84" i="5"/>
  <c r="L84" i="5"/>
  <c r="Q83" i="5"/>
  <c r="P83" i="5"/>
  <c r="O83" i="5"/>
  <c r="N83" i="5"/>
  <c r="M83" i="5"/>
  <c r="L83" i="5"/>
  <c r="Q82" i="5"/>
  <c r="P82" i="5"/>
  <c r="O82" i="5"/>
  <c r="N82" i="5"/>
  <c r="M82" i="5"/>
  <c r="L82" i="5"/>
  <c r="Q81" i="5"/>
  <c r="P81" i="5"/>
  <c r="O81" i="5"/>
  <c r="N81" i="5"/>
  <c r="M81" i="5"/>
  <c r="L81" i="5"/>
  <c r="Q80" i="5"/>
  <c r="P80" i="5"/>
  <c r="O80" i="5"/>
  <c r="N80" i="5"/>
  <c r="M80" i="5"/>
  <c r="L80" i="5"/>
  <c r="Q79" i="5"/>
  <c r="P79" i="5"/>
  <c r="O79" i="5"/>
  <c r="N79" i="5"/>
  <c r="M79" i="5"/>
  <c r="L79" i="5"/>
  <c r="Q78" i="5"/>
  <c r="P78" i="5"/>
  <c r="O78" i="5"/>
  <c r="N78" i="5"/>
  <c r="M78" i="5"/>
  <c r="L78" i="5"/>
  <c r="Q77" i="5"/>
  <c r="P77" i="5"/>
  <c r="O77" i="5"/>
  <c r="N77" i="5"/>
  <c r="M77" i="5"/>
  <c r="L77" i="5"/>
  <c r="Q76" i="5"/>
  <c r="P76" i="5"/>
  <c r="O76" i="5"/>
  <c r="N76" i="5"/>
  <c r="M76" i="5"/>
  <c r="L76" i="5"/>
  <c r="Q75" i="5"/>
  <c r="P75" i="5"/>
  <c r="O75" i="5"/>
  <c r="N75" i="5"/>
  <c r="M75" i="5"/>
  <c r="L75" i="5"/>
  <c r="Q74" i="5"/>
  <c r="P74" i="5"/>
  <c r="O74" i="5"/>
  <c r="N74" i="5"/>
  <c r="M74" i="5"/>
  <c r="L74" i="5"/>
  <c r="Q73" i="5"/>
  <c r="P73" i="5"/>
  <c r="O73" i="5"/>
  <c r="N73" i="5"/>
  <c r="M73" i="5"/>
  <c r="L73" i="5"/>
  <c r="Q72" i="5"/>
  <c r="P72" i="5"/>
  <c r="O72" i="5"/>
  <c r="N72" i="5"/>
  <c r="M72" i="5"/>
  <c r="L72" i="5"/>
  <c r="Q71" i="5"/>
  <c r="P71" i="5"/>
  <c r="O71" i="5"/>
  <c r="N71" i="5"/>
  <c r="M71" i="5"/>
  <c r="L71" i="5"/>
  <c r="Q70" i="5"/>
  <c r="P70" i="5"/>
  <c r="O70" i="5"/>
  <c r="N70" i="5"/>
  <c r="M70" i="5"/>
  <c r="L70" i="5"/>
  <c r="Q69" i="5"/>
  <c r="P69" i="5"/>
  <c r="O69" i="5"/>
  <c r="N69" i="5"/>
  <c r="M69" i="5"/>
  <c r="L69" i="5"/>
  <c r="Q68" i="5"/>
  <c r="P68" i="5"/>
  <c r="O68" i="5"/>
  <c r="N68" i="5"/>
  <c r="M68" i="5"/>
  <c r="L68" i="5"/>
  <c r="Q67" i="5"/>
  <c r="P67" i="5"/>
  <c r="O67" i="5"/>
  <c r="N67" i="5"/>
  <c r="M67" i="5"/>
  <c r="L67" i="5"/>
  <c r="Q66" i="5"/>
  <c r="P66" i="5"/>
  <c r="O66" i="5"/>
  <c r="N66" i="5"/>
  <c r="M66" i="5"/>
  <c r="L66" i="5"/>
  <c r="Q65" i="5"/>
  <c r="P65" i="5"/>
  <c r="O65" i="5"/>
  <c r="N65" i="5"/>
  <c r="M65" i="5"/>
  <c r="L65" i="5"/>
  <c r="Q64" i="5"/>
  <c r="P64" i="5"/>
  <c r="O64" i="5"/>
  <c r="N64" i="5"/>
  <c r="M64" i="5"/>
  <c r="L64" i="5"/>
  <c r="Q63" i="5"/>
  <c r="P63" i="5"/>
  <c r="O63" i="5"/>
  <c r="N63" i="5"/>
  <c r="M63" i="5"/>
  <c r="L63" i="5"/>
  <c r="Q62" i="5"/>
  <c r="P62" i="5"/>
  <c r="O62" i="5"/>
  <c r="N62" i="5"/>
  <c r="M62" i="5"/>
  <c r="L62" i="5"/>
  <c r="Q61" i="5"/>
  <c r="P61" i="5"/>
  <c r="O61" i="5"/>
  <c r="N61" i="5"/>
  <c r="M61" i="5"/>
  <c r="L61" i="5"/>
  <c r="Q60" i="5"/>
  <c r="P60" i="5"/>
  <c r="O60" i="5"/>
  <c r="N60" i="5"/>
  <c r="M60" i="5"/>
  <c r="L60" i="5"/>
  <c r="Q59" i="5"/>
  <c r="P59" i="5"/>
  <c r="O59" i="5"/>
  <c r="N59" i="5"/>
  <c r="M59" i="5"/>
  <c r="L59" i="5"/>
  <c r="Q58" i="5"/>
  <c r="P58" i="5"/>
  <c r="O58" i="5"/>
  <c r="N58" i="5"/>
  <c r="M58" i="5"/>
  <c r="L58" i="5"/>
  <c r="Q57" i="5"/>
  <c r="P57" i="5"/>
  <c r="O57" i="5"/>
  <c r="N57" i="5"/>
  <c r="M57" i="5"/>
  <c r="L57" i="5"/>
  <c r="Q56" i="5"/>
  <c r="P56" i="5"/>
  <c r="O56" i="5"/>
  <c r="N56" i="5"/>
  <c r="M56" i="5"/>
  <c r="L56" i="5"/>
  <c r="Q55" i="5"/>
  <c r="P55" i="5"/>
  <c r="O55" i="5"/>
  <c r="N55" i="5"/>
  <c r="M55" i="5"/>
  <c r="L55" i="5"/>
  <c r="Q54" i="5"/>
  <c r="P54" i="5"/>
  <c r="O54" i="5"/>
  <c r="N54" i="5"/>
  <c r="M54" i="5"/>
  <c r="L54" i="5"/>
  <c r="Q53" i="5"/>
  <c r="P53" i="5"/>
  <c r="O53" i="5"/>
  <c r="N53" i="5"/>
  <c r="M53" i="5"/>
  <c r="L53" i="5"/>
  <c r="Q52" i="5"/>
  <c r="P52" i="5"/>
  <c r="O52" i="5"/>
  <c r="N52" i="5"/>
  <c r="M52" i="5"/>
  <c r="L52" i="5"/>
  <c r="Q51" i="5"/>
  <c r="P51" i="5"/>
  <c r="O51" i="5"/>
  <c r="N51" i="5"/>
  <c r="M51" i="5"/>
  <c r="L51" i="5"/>
  <c r="Q50" i="5"/>
  <c r="P50" i="5"/>
  <c r="O50" i="5"/>
  <c r="N50" i="5"/>
  <c r="M50" i="5"/>
  <c r="L50" i="5"/>
  <c r="Q49" i="5"/>
  <c r="P49" i="5"/>
  <c r="O49" i="5"/>
  <c r="N49" i="5"/>
  <c r="M49" i="5"/>
  <c r="L49" i="5"/>
  <c r="Q48" i="5"/>
  <c r="P48" i="5"/>
  <c r="O48" i="5"/>
  <c r="N48" i="5"/>
  <c r="M48" i="5"/>
  <c r="L48" i="5"/>
  <c r="Q47" i="5"/>
  <c r="P47" i="5"/>
  <c r="O47" i="5"/>
  <c r="N47" i="5"/>
  <c r="M47" i="5"/>
  <c r="L47" i="5"/>
  <c r="Q46" i="5"/>
  <c r="P46" i="5"/>
  <c r="O46" i="5"/>
  <c r="N46" i="5"/>
  <c r="M46" i="5"/>
  <c r="L46" i="5"/>
  <c r="Q45" i="5"/>
  <c r="P45" i="5"/>
  <c r="O45" i="5"/>
  <c r="N45" i="5"/>
  <c r="M45" i="5"/>
  <c r="L45" i="5"/>
  <c r="Q44" i="5"/>
  <c r="P44" i="5"/>
  <c r="O44" i="5"/>
  <c r="N44" i="5"/>
  <c r="M44" i="5"/>
  <c r="L44" i="5"/>
  <c r="Q43" i="5"/>
  <c r="P43" i="5"/>
  <c r="O43" i="5"/>
  <c r="N43" i="5"/>
  <c r="M43" i="5"/>
  <c r="L43" i="5"/>
  <c r="Q42" i="5"/>
  <c r="P42" i="5"/>
  <c r="O42" i="5"/>
  <c r="N42" i="5"/>
  <c r="M42" i="5"/>
  <c r="L42" i="5"/>
  <c r="Q41" i="5"/>
  <c r="P41" i="5"/>
  <c r="O41" i="5"/>
  <c r="N41" i="5"/>
  <c r="M41" i="5"/>
  <c r="L41" i="5"/>
  <c r="Q40" i="5"/>
  <c r="P40" i="5"/>
  <c r="O40" i="5"/>
  <c r="N40" i="5"/>
  <c r="M40" i="5"/>
  <c r="L40" i="5"/>
  <c r="Q39" i="5"/>
  <c r="P39" i="5"/>
  <c r="O39" i="5"/>
  <c r="N39" i="5"/>
  <c r="M39" i="5"/>
  <c r="L39" i="5"/>
  <c r="Q38" i="5"/>
  <c r="P38" i="5"/>
  <c r="O38" i="5"/>
  <c r="N38" i="5"/>
  <c r="M38" i="5"/>
  <c r="L38" i="5"/>
  <c r="Q37" i="5"/>
  <c r="P37" i="5"/>
  <c r="O37" i="5"/>
  <c r="N37" i="5"/>
  <c r="M37" i="5"/>
  <c r="L37" i="5"/>
  <c r="Q36" i="5"/>
  <c r="P36" i="5"/>
  <c r="O36" i="5"/>
  <c r="N36" i="5"/>
  <c r="M36" i="5"/>
  <c r="L36" i="5"/>
  <c r="Q35" i="5"/>
  <c r="P35" i="5"/>
  <c r="O35" i="5"/>
  <c r="N35" i="5"/>
  <c r="M35" i="5"/>
  <c r="L35" i="5"/>
  <c r="Q34" i="5"/>
  <c r="P34" i="5"/>
  <c r="O34" i="5"/>
  <c r="N34" i="5"/>
  <c r="M34" i="5"/>
  <c r="L34" i="5"/>
  <c r="Q33" i="5"/>
  <c r="P33" i="5"/>
  <c r="O33" i="5"/>
  <c r="N33" i="5"/>
  <c r="M33" i="5"/>
  <c r="L33" i="5"/>
  <c r="Q32" i="5"/>
  <c r="P32" i="5"/>
  <c r="O32" i="5"/>
  <c r="N32" i="5"/>
  <c r="M32" i="5"/>
  <c r="L32" i="5"/>
  <c r="Q31" i="5"/>
  <c r="P31" i="5"/>
  <c r="O31" i="5"/>
  <c r="N31" i="5"/>
  <c r="M31" i="5"/>
  <c r="L31" i="5"/>
  <c r="Q30" i="5"/>
  <c r="P30" i="5"/>
  <c r="O30" i="5"/>
  <c r="N30" i="5"/>
  <c r="M30" i="5"/>
  <c r="L30" i="5"/>
  <c r="Q29" i="5"/>
  <c r="P29" i="5"/>
  <c r="O29" i="5"/>
  <c r="N29" i="5"/>
  <c r="M29" i="5"/>
  <c r="L29" i="5"/>
  <c r="Q28" i="5"/>
  <c r="P28" i="5"/>
  <c r="O28" i="5"/>
  <c r="N28" i="5"/>
  <c r="M28" i="5"/>
  <c r="L28" i="5"/>
  <c r="Q27" i="5"/>
  <c r="P27" i="5"/>
  <c r="O27" i="5"/>
  <c r="N27" i="5"/>
  <c r="M27" i="5"/>
  <c r="L27" i="5"/>
  <c r="Q26" i="5"/>
  <c r="P26" i="5"/>
  <c r="O26" i="5"/>
  <c r="N26" i="5"/>
  <c r="M26" i="5"/>
  <c r="L26" i="5"/>
  <c r="Q25" i="5"/>
  <c r="P25" i="5"/>
  <c r="O25" i="5"/>
  <c r="N25" i="5"/>
  <c r="M25" i="5"/>
  <c r="L25" i="5"/>
  <c r="Q24" i="5"/>
  <c r="P24" i="5"/>
  <c r="O24" i="5"/>
  <c r="N24" i="5"/>
  <c r="M24" i="5"/>
  <c r="L24" i="5"/>
  <c r="Q23" i="5"/>
  <c r="P23" i="5"/>
  <c r="O23" i="5"/>
  <c r="N23" i="5"/>
  <c r="M23" i="5"/>
  <c r="L23" i="5"/>
  <c r="Q22" i="5"/>
  <c r="P22" i="5"/>
  <c r="O22" i="5"/>
  <c r="N22" i="5"/>
  <c r="M22" i="5"/>
  <c r="L22" i="5"/>
  <c r="Q21" i="5"/>
  <c r="P21" i="5"/>
  <c r="O21" i="5"/>
  <c r="N21" i="5"/>
  <c r="M21" i="5"/>
  <c r="L21" i="5"/>
  <c r="Q20" i="5"/>
  <c r="P20" i="5"/>
  <c r="O20" i="5"/>
  <c r="N20" i="5"/>
  <c r="M20" i="5"/>
  <c r="L20" i="5"/>
  <c r="Q19" i="5"/>
  <c r="P19" i="5"/>
  <c r="O19" i="5"/>
  <c r="N19" i="5"/>
  <c r="M19" i="5"/>
  <c r="L19" i="5"/>
  <c r="Q18" i="5"/>
  <c r="P18" i="5"/>
  <c r="O18" i="5"/>
  <c r="N18" i="5"/>
  <c r="M18" i="5"/>
  <c r="L18" i="5"/>
  <c r="Q17" i="5"/>
  <c r="P17" i="5"/>
  <c r="O17" i="5"/>
  <c r="N17" i="5"/>
  <c r="M17" i="5"/>
  <c r="L17" i="5"/>
  <c r="Q16" i="5"/>
  <c r="P16" i="5"/>
  <c r="O16" i="5"/>
  <c r="N16" i="5"/>
  <c r="M16" i="5"/>
  <c r="L16" i="5"/>
  <c r="Q15" i="5"/>
  <c r="P15" i="5"/>
  <c r="O15" i="5"/>
  <c r="N15" i="5"/>
  <c r="M15" i="5"/>
  <c r="L15" i="5"/>
  <c r="Q14" i="5"/>
  <c r="P14" i="5"/>
  <c r="O14" i="5"/>
  <c r="N14" i="5"/>
  <c r="M14" i="5"/>
  <c r="L14" i="5"/>
  <c r="Q13" i="5"/>
  <c r="P13" i="5"/>
  <c r="O13" i="5"/>
  <c r="N13" i="5"/>
  <c r="M13" i="5"/>
  <c r="L13" i="5"/>
  <c r="Q12" i="5"/>
  <c r="P12" i="5"/>
  <c r="O12" i="5"/>
  <c r="N12" i="5"/>
  <c r="M12" i="5"/>
  <c r="L12" i="5"/>
  <c r="Q11" i="5"/>
  <c r="P11" i="5"/>
  <c r="O11" i="5"/>
  <c r="N11" i="5"/>
  <c r="M11" i="5"/>
  <c r="L11" i="5"/>
  <c r="A129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Q10" i="5" l="1"/>
  <c r="P10" i="5"/>
  <c r="O10" i="5"/>
  <c r="N10" i="5"/>
  <c r="M10" i="5"/>
  <c r="L10" i="5"/>
  <c r="Q9" i="5"/>
  <c r="P9" i="5"/>
  <c r="O9" i="5"/>
  <c r="N9" i="5"/>
  <c r="M9" i="5"/>
  <c r="L9" i="5"/>
  <c r="Q8" i="5"/>
  <c r="P8" i="5"/>
  <c r="O8" i="5"/>
  <c r="N8" i="5"/>
  <c r="M8" i="5"/>
  <c r="L8" i="5"/>
  <c r="Q7" i="5"/>
  <c r="P7" i="5"/>
  <c r="O7" i="5"/>
  <c r="N7" i="5"/>
  <c r="M7" i="5"/>
  <c r="L7" i="5"/>
  <c r="U19" i="5" l="1"/>
  <c r="T19" i="5"/>
  <c r="U18" i="5"/>
  <c r="T18" i="5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E9" i="5"/>
  <c r="D9" i="5"/>
  <c r="T8" i="5" l="1"/>
  <c r="U8" i="5"/>
  <c r="AG181" i="5"/>
  <c r="AF181" i="5"/>
  <c r="AE181" i="5"/>
  <c r="AD181" i="5"/>
  <c r="AC181" i="5"/>
  <c r="AB181" i="5"/>
  <c r="AR2" i="12" l="1"/>
  <c r="J24" i="5" l="1"/>
  <c r="I24" i="5"/>
  <c r="G24" i="5"/>
  <c r="J23" i="5"/>
  <c r="J22" i="5"/>
  <c r="J21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I23" i="5"/>
  <c r="I22" i="5"/>
  <c r="I21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G23" i="5"/>
  <c r="G22" i="5"/>
  <c r="G21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L6" i="5"/>
  <c r="AS2" i="12" l="1"/>
  <c r="S2" i="14"/>
  <c r="AG243" i="5" l="1"/>
  <c r="AF243" i="5"/>
  <c r="AE243" i="5"/>
  <c r="AD243" i="5"/>
  <c r="AC243" i="5"/>
  <c r="AB243" i="5"/>
  <c r="AG242" i="5"/>
  <c r="AF242" i="5"/>
  <c r="AE242" i="5"/>
  <c r="AD242" i="5"/>
  <c r="AC242" i="5"/>
  <c r="AB242" i="5"/>
  <c r="AG241" i="5"/>
  <c r="AF241" i="5"/>
  <c r="AE241" i="5"/>
  <c r="AD241" i="5"/>
  <c r="AC241" i="5"/>
  <c r="AB241" i="5"/>
  <c r="AG240" i="5"/>
  <c r="AF240" i="5"/>
  <c r="AE240" i="5"/>
  <c r="AD240" i="5"/>
  <c r="AC240" i="5"/>
  <c r="AB240" i="5"/>
  <c r="AG239" i="5"/>
  <c r="AF239" i="5"/>
  <c r="AE239" i="5"/>
  <c r="AD239" i="5"/>
  <c r="AC239" i="5"/>
  <c r="AB239" i="5"/>
  <c r="AG238" i="5"/>
  <c r="AF238" i="5"/>
  <c r="AE238" i="5"/>
  <c r="AD238" i="5"/>
  <c r="AC238" i="5"/>
  <c r="AB238" i="5"/>
  <c r="AG237" i="5"/>
  <c r="AF237" i="5"/>
  <c r="AE237" i="5"/>
  <c r="AD237" i="5"/>
  <c r="AC237" i="5"/>
  <c r="AB237" i="5"/>
  <c r="AG236" i="5"/>
  <c r="AF236" i="5"/>
  <c r="AE236" i="5"/>
  <c r="AD236" i="5"/>
  <c r="AC236" i="5"/>
  <c r="AB236" i="5"/>
  <c r="AG235" i="5"/>
  <c r="AF235" i="5"/>
  <c r="AE235" i="5"/>
  <c r="AD235" i="5"/>
  <c r="AC235" i="5"/>
  <c r="AB235" i="5"/>
  <c r="AG234" i="5"/>
  <c r="AF234" i="5"/>
  <c r="AE234" i="5"/>
  <c r="AD234" i="5"/>
  <c r="AC234" i="5"/>
  <c r="AB234" i="5"/>
  <c r="AG233" i="5"/>
  <c r="AF233" i="5"/>
  <c r="AE233" i="5"/>
  <c r="AD233" i="5"/>
  <c r="AC233" i="5"/>
  <c r="AB233" i="5"/>
  <c r="AG232" i="5"/>
  <c r="AF232" i="5"/>
  <c r="AE232" i="5"/>
  <c r="AD232" i="5"/>
  <c r="AC232" i="5"/>
  <c r="AB232" i="5"/>
  <c r="AG231" i="5"/>
  <c r="AF231" i="5"/>
  <c r="AE231" i="5"/>
  <c r="AD231" i="5"/>
  <c r="AC231" i="5"/>
  <c r="AB231" i="5"/>
  <c r="AG230" i="5"/>
  <c r="AF230" i="5"/>
  <c r="AE230" i="5"/>
  <c r="AD230" i="5"/>
  <c r="AC230" i="5"/>
  <c r="AB230" i="5"/>
  <c r="AG229" i="5"/>
  <c r="AF229" i="5"/>
  <c r="AE229" i="5"/>
  <c r="AD229" i="5"/>
  <c r="AC229" i="5"/>
  <c r="AB229" i="5"/>
  <c r="Z27" i="5" l="1"/>
  <c r="Y27" i="5"/>
  <c r="X27" i="5"/>
  <c r="W27" i="5"/>
  <c r="Z26" i="5"/>
  <c r="Y26" i="5"/>
  <c r="X26" i="5"/>
  <c r="W26" i="5"/>
  <c r="Z25" i="5"/>
  <c r="Y25" i="5"/>
  <c r="X25" i="5"/>
  <c r="W25" i="5"/>
  <c r="Z24" i="5"/>
  <c r="Y24" i="5"/>
  <c r="X24" i="5"/>
  <c r="W24" i="5"/>
  <c r="X23" i="5"/>
  <c r="W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U7" i="5"/>
  <c r="U6" i="5"/>
  <c r="T7" i="5"/>
  <c r="T6" i="5"/>
  <c r="Z23" i="5"/>
  <c r="Y23" i="5"/>
  <c r="Z22" i="5"/>
  <c r="Y22" i="5"/>
  <c r="Z21" i="5"/>
  <c r="Y21" i="5"/>
  <c r="Z20" i="5"/>
  <c r="Y20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Z19" i="5"/>
  <c r="Y19" i="5"/>
  <c r="Z18" i="5"/>
  <c r="Y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Y11" i="5"/>
  <c r="Z10" i="5"/>
  <c r="Y10" i="5"/>
  <c r="Z9" i="5"/>
  <c r="Y9" i="5"/>
  <c r="Z8" i="5"/>
  <c r="Y8" i="5"/>
  <c r="Z7" i="5"/>
  <c r="Y7" i="5"/>
  <c r="J6" i="5"/>
  <c r="I6" i="5"/>
  <c r="G6" i="5"/>
  <c r="E8" i="5"/>
  <c r="D8" i="5"/>
  <c r="E7" i="5"/>
  <c r="D7" i="5"/>
  <c r="E6" i="5"/>
  <c r="D6" i="5"/>
  <c r="M2" i="14" l="1"/>
  <c r="C32" i="3" l="1"/>
  <c r="K2" i="12" l="1"/>
  <c r="BG2" i="12" l="1"/>
  <c r="AE2" i="12" l="1"/>
  <c r="X2" i="12" s="1"/>
  <c r="V2" i="14" l="1"/>
  <c r="Z6" i="5" l="1"/>
  <c r="Y6" i="5"/>
  <c r="W6" i="5"/>
  <c r="L2" i="14" l="1"/>
  <c r="U2" i="14" l="1"/>
  <c r="O2" i="14"/>
  <c r="J2" i="14"/>
  <c r="I2" i="14"/>
  <c r="H2" i="14"/>
  <c r="G2" i="14"/>
  <c r="F2" i="14"/>
  <c r="E2" i="14"/>
  <c r="C2" i="14"/>
  <c r="B2" i="14"/>
  <c r="A2" i="14"/>
  <c r="W3" i="5" l="1"/>
  <c r="L3" i="5" l="1"/>
  <c r="AB3" i="5"/>
  <c r="AG228" i="5"/>
  <c r="AF228" i="5"/>
  <c r="AE228" i="5"/>
  <c r="AD228" i="5"/>
  <c r="AG227" i="5"/>
  <c r="AF227" i="5"/>
  <c r="AE227" i="5"/>
  <c r="AD227" i="5"/>
  <c r="AG226" i="5"/>
  <c r="AF226" i="5"/>
  <c r="AE226" i="5"/>
  <c r="AD226" i="5"/>
  <c r="AG225" i="5"/>
  <c r="AF225" i="5"/>
  <c r="AE225" i="5"/>
  <c r="AD225" i="5"/>
  <c r="AG224" i="5"/>
  <c r="AF224" i="5"/>
  <c r="AE224" i="5"/>
  <c r="AD224" i="5"/>
  <c r="AG223" i="5"/>
  <c r="AF223" i="5"/>
  <c r="AE223" i="5"/>
  <c r="AD223" i="5"/>
  <c r="AG222" i="5"/>
  <c r="AF222" i="5"/>
  <c r="AE222" i="5"/>
  <c r="AD222" i="5"/>
  <c r="AG221" i="5"/>
  <c r="AF221" i="5"/>
  <c r="AE221" i="5"/>
  <c r="AD221" i="5"/>
  <c r="AG220" i="5"/>
  <c r="AF220" i="5"/>
  <c r="AE220" i="5"/>
  <c r="AD220" i="5"/>
  <c r="AG219" i="5"/>
  <c r="AF219" i="5"/>
  <c r="AE219" i="5"/>
  <c r="AD219" i="5"/>
  <c r="AG218" i="5"/>
  <c r="AF218" i="5"/>
  <c r="AE218" i="5"/>
  <c r="AD218" i="5"/>
  <c r="AG217" i="5"/>
  <c r="AF217" i="5"/>
  <c r="AE217" i="5"/>
  <c r="AD217" i="5"/>
  <c r="AG216" i="5"/>
  <c r="AF216" i="5"/>
  <c r="AE216" i="5"/>
  <c r="AD216" i="5"/>
  <c r="AG215" i="5"/>
  <c r="AF215" i="5"/>
  <c r="AE215" i="5"/>
  <c r="AD215" i="5"/>
  <c r="AG214" i="5"/>
  <c r="AF214" i="5"/>
  <c r="AE214" i="5"/>
  <c r="AD214" i="5"/>
  <c r="AG213" i="5"/>
  <c r="AF213" i="5"/>
  <c r="AE213" i="5"/>
  <c r="AD213" i="5"/>
  <c r="AG212" i="5"/>
  <c r="AF212" i="5"/>
  <c r="AE212" i="5"/>
  <c r="AD212" i="5"/>
  <c r="AG211" i="5"/>
  <c r="AF211" i="5"/>
  <c r="AE211" i="5"/>
  <c r="AD211" i="5"/>
  <c r="AG210" i="5"/>
  <c r="AF210" i="5"/>
  <c r="AE210" i="5"/>
  <c r="AD210" i="5"/>
  <c r="AG209" i="5"/>
  <c r="AF209" i="5"/>
  <c r="AE209" i="5"/>
  <c r="AD209" i="5"/>
  <c r="AG208" i="5"/>
  <c r="AF208" i="5"/>
  <c r="AE208" i="5"/>
  <c r="AD208" i="5"/>
  <c r="AG207" i="5"/>
  <c r="AF207" i="5"/>
  <c r="AE207" i="5"/>
  <c r="AD207" i="5"/>
  <c r="AG206" i="5"/>
  <c r="AF206" i="5"/>
  <c r="AE206" i="5"/>
  <c r="AD206" i="5"/>
  <c r="AG205" i="5"/>
  <c r="AF205" i="5"/>
  <c r="AE205" i="5"/>
  <c r="AD205" i="5"/>
  <c r="AG204" i="5"/>
  <c r="AF204" i="5"/>
  <c r="AE204" i="5"/>
  <c r="AD204" i="5"/>
  <c r="AG203" i="5"/>
  <c r="AF203" i="5"/>
  <c r="AE203" i="5"/>
  <c r="AD203" i="5"/>
  <c r="AG202" i="5"/>
  <c r="AF202" i="5"/>
  <c r="AE202" i="5"/>
  <c r="AD202" i="5"/>
  <c r="AG201" i="5"/>
  <c r="AF201" i="5"/>
  <c r="AE201" i="5"/>
  <c r="AD201" i="5"/>
  <c r="AG200" i="5"/>
  <c r="AF200" i="5"/>
  <c r="AE200" i="5"/>
  <c r="AD200" i="5"/>
  <c r="AG199" i="5"/>
  <c r="AF199" i="5"/>
  <c r="AE199" i="5"/>
  <c r="AD199" i="5"/>
  <c r="AG198" i="5"/>
  <c r="AF198" i="5"/>
  <c r="AE198" i="5"/>
  <c r="AD198" i="5"/>
  <c r="AG197" i="5"/>
  <c r="AF197" i="5"/>
  <c r="AE197" i="5"/>
  <c r="AD197" i="5"/>
  <c r="AG196" i="5"/>
  <c r="AF196" i="5"/>
  <c r="AE196" i="5"/>
  <c r="AD196" i="5"/>
  <c r="AG195" i="5"/>
  <c r="AF195" i="5"/>
  <c r="AE195" i="5"/>
  <c r="AD195" i="5"/>
  <c r="AG194" i="5"/>
  <c r="AF194" i="5"/>
  <c r="AE194" i="5"/>
  <c r="AD194" i="5"/>
  <c r="AG193" i="5"/>
  <c r="AF193" i="5"/>
  <c r="AE193" i="5"/>
  <c r="AD193" i="5"/>
  <c r="AG192" i="5"/>
  <c r="AF192" i="5"/>
  <c r="AE192" i="5"/>
  <c r="AD192" i="5"/>
  <c r="AG191" i="5"/>
  <c r="AF191" i="5"/>
  <c r="AE191" i="5"/>
  <c r="AD191" i="5"/>
  <c r="AG190" i="5"/>
  <c r="AF190" i="5"/>
  <c r="AE190" i="5"/>
  <c r="AD190" i="5"/>
  <c r="AG189" i="5"/>
  <c r="AF189" i="5"/>
  <c r="AE189" i="5"/>
  <c r="AD189" i="5"/>
  <c r="AG188" i="5"/>
  <c r="AF188" i="5"/>
  <c r="AE188" i="5"/>
  <c r="AD188" i="5"/>
  <c r="AG187" i="5"/>
  <c r="AF187" i="5"/>
  <c r="AE187" i="5"/>
  <c r="AD187" i="5"/>
  <c r="AG186" i="5"/>
  <c r="AF186" i="5"/>
  <c r="AE186" i="5"/>
  <c r="AD186" i="5"/>
  <c r="AG185" i="5"/>
  <c r="AF185" i="5"/>
  <c r="AE185" i="5"/>
  <c r="AD185" i="5"/>
  <c r="AG184" i="5"/>
  <c r="AF184" i="5"/>
  <c r="AE184" i="5"/>
  <c r="AD184" i="5"/>
  <c r="AG183" i="5"/>
  <c r="AF183" i="5"/>
  <c r="AE183" i="5"/>
  <c r="AD183" i="5"/>
  <c r="AG182" i="5"/>
  <c r="AF182" i="5"/>
  <c r="AE182" i="5"/>
  <c r="AD182" i="5"/>
  <c r="AG180" i="5"/>
  <c r="AF180" i="5"/>
  <c r="AE180" i="5"/>
  <c r="AD180" i="5"/>
  <c r="AG179" i="5"/>
  <c r="AF179" i="5"/>
  <c r="AE179" i="5"/>
  <c r="AD179" i="5"/>
  <c r="AG178" i="5"/>
  <c r="AF178" i="5"/>
  <c r="AE178" i="5"/>
  <c r="AD178" i="5"/>
  <c r="AG177" i="5"/>
  <c r="AF177" i="5"/>
  <c r="AE177" i="5"/>
  <c r="AD177" i="5"/>
  <c r="AG176" i="5"/>
  <c r="AF176" i="5"/>
  <c r="AE176" i="5"/>
  <c r="AD176" i="5"/>
  <c r="AG175" i="5"/>
  <c r="AF175" i="5"/>
  <c r="AE175" i="5"/>
  <c r="AD175" i="5"/>
  <c r="AG174" i="5"/>
  <c r="AF174" i="5"/>
  <c r="AE174" i="5"/>
  <c r="AD174" i="5"/>
  <c r="AG173" i="5"/>
  <c r="AF173" i="5"/>
  <c r="AE173" i="5"/>
  <c r="AD173" i="5"/>
  <c r="AG172" i="5"/>
  <c r="AF172" i="5"/>
  <c r="AE172" i="5"/>
  <c r="AD172" i="5"/>
  <c r="AG171" i="5"/>
  <c r="AF171" i="5"/>
  <c r="AE171" i="5"/>
  <c r="AD171" i="5"/>
  <c r="AG170" i="5"/>
  <c r="AF170" i="5"/>
  <c r="AE170" i="5"/>
  <c r="AD170" i="5"/>
  <c r="AG169" i="5"/>
  <c r="AF169" i="5"/>
  <c r="AE169" i="5"/>
  <c r="AD169" i="5"/>
  <c r="AG168" i="5"/>
  <c r="AF168" i="5"/>
  <c r="AE168" i="5"/>
  <c r="AD168" i="5"/>
  <c r="AG167" i="5"/>
  <c r="AF167" i="5"/>
  <c r="AE167" i="5"/>
  <c r="AD167" i="5"/>
  <c r="AG166" i="5"/>
  <c r="AF166" i="5"/>
  <c r="AE166" i="5"/>
  <c r="AD166" i="5"/>
  <c r="AG165" i="5"/>
  <c r="AF165" i="5"/>
  <c r="AE165" i="5"/>
  <c r="AD165" i="5"/>
  <c r="AG164" i="5"/>
  <c r="AF164" i="5"/>
  <c r="AE164" i="5"/>
  <c r="AD164" i="5"/>
  <c r="AG163" i="5"/>
  <c r="AF163" i="5"/>
  <c r="AE163" i="5"/>
  <c r="AD163" i="5"/>
  <c r="AG162" i="5"/>
  <c r="AF162" i="5"/>
  <c r="AE162" i="5"/>
  <c r="AD162" i="5"/>
  <c r="AG161" i="5"/>
  <c r="AF161" i="5"/>
  <c r="AE161" i="5"/>
  <c r="AD161" i="5"/>
  <c r="AG160" i="5"/>
  <c r="AF160" i="5"/>
  <c r="AE160" i="5"/>
  <c r="AD160" i="5"/>
  <c r="AG159" i="5"/>
  <c r="AF159" i="5"/>
  <c r="AE159" i="5"/>
  <c r="AD159" i="5"/>
  <c r="AG158" i="5"/>
  <c r="AF158" i="5"/>
  <c r="AE158" i="5"/>
  <c r="AD158" i="5"/>
  <c r="AG157" i="5"/>
  <c r="AF157" i="5"/>
  <c r="AE157" i="5"/>
  <c r="AD157" i="5"/>
  <c r="AG156" i="5"/>
  <c r="AF156" i="5"/>
  <c r="AE156" i="5"/>
  <c r="AD156" i="5"/>
  <c r="AG155" i="5"/>
  <c r="AF155" i="5"/>
  <c r="AE155" i="5"/>
  <c r="AD155" i="5"/>
  <c r="AG154" i="5"/>
  <c r="AF154" i="5"/>
  <c r="AE154" i="5"/>
  <c r="AD154" i="5"/>
  <c r="AG153" i="5"/>
  <c r="AF153" i="5"/>
  <c r="AE153" i="5"/>
  <c r="AD153" i="5"/>
  <c r="AG152" i="5"/>
  <c r="AF152" i="5"/>
  <c r="AE152" i="5"/>
  <c r="AD152" i="5"/>
  <c r="AG151" i="5"/>
  <c r="AF151" i="5"/>
  <c r="AE151" i="5"/>
  <c r="AD151" i="5"/>
  <c r="AG150" i="5"/>
  <c r="AF150" i="5"/>
  <c r="AE150" i="5"/>
  <c r="AD150" i="5"/>
  <c r="AG149" i="5"/>
  <c r="AF149" i="5"/>
  <c r="AE149" i="5"/>
  <c r="AD149" i="5"/>
  <c r="AG148" i="5"/>
  <c r="AF148" i="5"/>
  <c r="AE148" i="5"/>
  <c r="AD148" i="5"/>
  <c r="AG147" i="5"/>
  <c r="AF147" i="5"/>
  <c r="AE147" i="5"/>
  <c r="AD147" i="5"/>
  <c r="AG146" i="5"/>
  <c r="AF146" i="5"/>
  <c r="AE146" i="5"/>
  <c r="AD146" i="5"/>
  <c r="AG145" i="5"/>
  <c r="AF145" i="5"/>
  <c r="AE145" i="5"/>
  <c r="AD145" i="5"/>
  <c r="AG144" i="5"/>
  <c r="AF144" i="5"/>
  <c r="AE144" i="5"/>
  <c r="AD144" i="5"/>
  <c r="AG143" i="5"/>
  <c r="AF143" i="5"/>
  <c r="AE143" i="5"/>
  <c r="AD143" i="5"/>
  <c r="AG142" i="5"/>
  <c r="AF142" i="5"/>
  <c r="AE142" i="5"/>
  <c r="AD142" i="5"/>
  <c r="AG141" i="5"/>
  <c r="AF141" i="5"/>
  <c r="AE141" i="5"/>
  <c r="AD141" i="5"/>
  <c r="AG140" i="5"/>
  <c r="AF140" i="5"/>
  <c r="AE140" i="5"/>
  <c r="AD140" i="5"/>
  <c r="AG139" i="5"/>
  <c r="AF139" i="5"/>
  <c r="AE139" i="5"/>
  <c r="AD139" i="5"/>
  <c r="AG138" i="5"/>
  <c r="AF138" i="5"/>
  <c r="AE138" i="5"/>
  <c r="AD138" i="5"/>
  <c r="AG137" i="5"/>
  <c r="AF137" i="5"/>
  <c r="AE137" i="5"/>
  <c r="AD137" i="5"/>
  <c r="AG136" i="5"/>
  <c r="AF136" i="5"/>
  <c r="AE136" i="5"/>
  <c r="AD136" i="5"/>
  <c r="AG135" i="5"/>
  <c r="AF135" i="5"/>
  <c r="AE135" i="5"/>
  <c r="AD135" i="5"/>
  <c r="AG134" i="5"/>
  <c r="AF134" i="5"/>
  <c r="AE134" i="5"/>
  <c r="AD134" i="5"/>
  <c r="AG133" i="5"/>
  <c r="AF133" i="5"/>
  <c r="AE133" i="5"/>
  <c r="AD133" i="5"/>
  <c r="AG132" i="5"/>
  <c r="AF132" i="5"/>
  <c r="AE132" i="5"/>
  <c r="AD132" i="5"/>
  <c r="AG131" i="5"/>
  <c r="AF131" i="5"/>
  <c r="AE131" i="5"/>
  <c r="AD131" i="5"/>
  <c r="AG130" i="5"/>
  <c r="AF130" i="5"/>
  <c r="AE130" i="5"/>
  <c r="AD130" i="5"/>
  <c r="AG129" i="5"/>
  <c r="AF129" i="5"/>
  <c r="AE129" i="5"/>
  <c r="AD129" i="5"/>
  <c r="AG128" i="5"/>
  <c r="AF128" i="5"/>
  <c r="AE128" i="5"/>
  <c r="AD128" i="5"/>
  <c r="AG127" i="5"/>
  <c r="AF127" i="5"/>
  <c r="AE127" i="5"/>
  <c r="AD127" i="5"/>
  <c r="AG126" i="5"/>
  <c r="AF126" i="5"/>
  <c r="AE126" i="5"/>
  <c r="AD126" i="5"/>
  <c r="AG125" i="5"/>
  <c r="AF125" i="5"/>
  <c r="AE125" i="5"/>
  <c r="AD125" i="5"/>
  <c r="AG124" i="5"/>
  <c r="AF124" i="5"/>
  <c r="AE124" i="5"/>
  <c r="AD124" i="5"/>
  <c r="AG123" i="5"/>
  <c r="AF123" i="5"/>
  <c r="AE123" i="5"/>
  <c r="AD123" i="5"/>
  <c r="AG122" i="5"/>
  <c r="AF122" i="5"/>
  <c r="AE122" i="5"/>
  <c r="AD122" i="5"/>
  <c r="AG121" i="5"/>
  <c r="AF121" i="5"/>
  <c r="AE121" i="5"/>
  <c r="AD121" i="5"/>
  <c r="AG120" i="5"/>
  <c r="AF120" i="5"/>
  <c r="AE120" i="5"/>
  <c r="AD120" i="5"/>
  <c r="AG119" i="5"/>
  <c r="AF119" i="5"/>
  <c r="AE119" i="5"/>
  <c r="AD119" i="5"/>
  <c r="AG118" i="5"/>
  <c r="AF118" i="5"/>
  <c r="AE118" i="5"/>
  <c r="AD118" i="5"/>
  <c r="AG117" i="5"/>
  <c r="AF117" i="5"/>
  <c r="AE117" i="5"/>
  <c r="AD117" i="5"/>
  <c r="AG116" i="5"/>
  <c r="AF116" i="5"/>
  <c r="AE116" i="5"/>
  <c r="AD116" i="5"/>
  <c r="AG115" i="5"/>
  <c r="AF115" i="5"/>
  <c r="AE115" i="5"/>
  <c r="AD115" i="5"/>
  <c r="AG114" i="5"/>
  <c r="AF114" i="5"/>
  <c r="AE114" i="5"/>
  <c r="AD114" i="5"/>
  <c r="AG113" i="5"/>
  <c r="AF113" i="5"/>
  <c r="AE113" i="5"/>
  <c r="AD113" i="5"/>
  <c r="AG112" i="5"/>
  <c r="AF112" i="5"/>
  <c r="AE112" i="5"/>
  <c r="AD112" i="5"/>
  <c r="AG111" i="5"/>
  <c r="AF111" i="5"/>
  <c r="AE111" i="5"/>
  <c r="AD111" i="5"/>
  <c r="AG110" i="5"/>
  <c r="AF110" i="5"/>
  <c r="AE110" i="5"/>
  <c r="AD110" i="5"/>
  <c r="AG109" i="5"/>
  <c r="AF109" i="5"/>
  <c r="AE109" i="5"/>
  <c r="AD109" i="5"/>
  <c r="AG108" i="5"/>
  <c r="AF108" i="5"/>
  <c r="AE108" i="5"/>
  <c r="AD108" i="5"/>
  <c r="AG107" i="5"/>
  <c r="AF107" i="5"/>
  <c r="AE107" i="5"/>
  <c r="AD107" i="5"/>
  <c r="AG106" i="5"/>
  <c r="AF106" i="5"/>
  <c r="AE106" i="5"/>
  <c r="AD106" i="5"/>
  <c r="AG105" i="5"/>
  <c r="AF105" i="5"/>
  <c r="AE105" i="5"/>
  <c r="AD105" i="5"/>
  <c r="AG104" i="5"/>
  <c r="AF104" i="5"/>
  <c r="AE104" i="5"/>
  <c r="AD104" i="5"/>
  <c r="AG103" i="5"/>
  <c r="AF103" i="5"/>
  <c r="AE103" i="5"/>
  <c r="AD103" i="5"/>
  <c r="AG102" i="5"/>
  <c r="AF102" i="5"/>
  <c r="AE102" i="5"/>
  <c r="AD102" i="5"/>
  <c r="AG101" i="5"/>
  <c r="AF101" i="5"/>
  <c r="AE101" i="5"/>
  <c r="AD101" i="5"/>
  <c r="AG100" i="5"/>
  <c r="AF100" i="5"/>
  <c r="AE100" i="5"/>
  <c r="AD100" i="5"/>
  <c r="AG99" i="5"/>
  <c r="AF99" i="5"/>
  <c r="AE99" i="5"/>
  <c r="AD99" i="5"/>
  <c r="AG98" i="5"/>
  <c r="AF98" i="5"/>
  <c r="AE98" i="5"/>
  <c r="AD98" i="5"/>
  <c r="AG97" i="5"/>
  <c r="AF97" i="5"/>
  <c r="AE97" i="5"/>
  <c r="AD97" i="5"/>
  <c r="AG96" i="5"/>
  <c r="AF96" i="5"/>
  <c r="AE96" i="5"/>
  <c r="AD96" i="5"/>
  <c r="AG95" i="5"/>
  <c r="AF95" i="5"/>
  <c r="AE95" i="5"/>
  <c r="AD95" i="5"/>
  <c r="AG94" i="5"/>
  <c r="AF94" i="5"/>
  <c r="AE94" i="5"/>
  <c r="AD94" i="5"/>
  <c r="AG93" i="5"/>
  <c r="AF93" i="5"/>
  <c r="AE93" i="5"/>
  <c r="AD93" i="5"/>
  <c r="AG92" i="5"/>
  <c r="AF92" i="5"/>
  <c r="AE92" i="5"/>
  <c r="AD92" i="5"/>
  <c r="AG91" i="5"/>
  <c r="AF91" i="5"/>
  <c r="AE91" i="5"/>
  <c r="AD91" i="5"/>
  <c r="AG90" i="5"/>
  <c r="AF90" i="5"/>
  <c r="AE90" i="5"/>
  <c r="AD90" i="5"/>
  <c r="AG89" i="5"/>
  <c r="AF89" i="5"/>
  <c r="AE89" i="5"/>
  <c r="AD89" i="5"/>
  <c r="AG88" i="5"/>
  <c r="AF88" i="5"/>
  <c r="AE88" i="5"/>
  <c r="AD88" i="5"/>
  <c r="AG87" i="5"/>
  <c r="AF87" i="5"/>
  <c r="AE87" i="5"/>
  <c r="AD87" i="5"/>
  <c r="AG86" i="5"/>
  <c r="AF86" i="5"/>
  <c r="AE86" i="5"/>
  <c r="AD86" i="5"/>
  <c r="AG85" i="5"/>
  <c r="AF85" i="5"/>
  <c r="AE85" i="5"/>
  <c r="AD85" i="5"/>
  <c r="AG84" i="5"/>
  <c r="AF84" i="5"/>
  <c r="AE84" i="5"/>
  <c r="AD84" i="5"/>
  <c r="AG83" i="5"/>
  <c r="AF83" i="5"/>
  <c r="AE83" i="5"/>
  <c r="AD83" i="5"/>
  <c r="AG82" i="5"/>
  <c r="AF82" i="5"/>
  <c r="AE82" i="5"/>
  <c r="AD82" i="5"/>
  <c r="AG81" i="5"/>
  <c r="AF81" i="5"/>
  <c r="AE81" i="5"/>
  <c r="AD81" i="5"/>
  <c r="AG80" i="5"/>
  <c r="AF80" i="5"/>
  <c r="AE80" i="5"/>
  <c r="AD80" i="5"/>
  <c r="AG79" i="5"/>
  <c r="AF79" i="5"/>
  <c r="AE79" i="5"/>
  <c r="AD79" i="5"/>
  <c r="AG78" i="5"/>
  <c r="AF78" i="5"/>
  <c r="AE78" i="5"/>
  <c r="AD78" i="5"/>
  <c r="AG77" i="5"/>
  <c r="AF77" i="5"/>
  <c r="AE77" i="5"/>
  <c r="AD77" i="5"/>
  <c r="AG76" i="5"/>
  <c r="AF76" i="5"/>
  <c r="AE76" i="5"/>
  <c r="AD76" i="5"/>
  <c r="AG75" i="5"/>
  <c r="AF75" i="5"/>
  <c r="AE75" i="5"/>
  <c r="AD75" i="5"/>
  <c r="AG74" i="5"/>
  <c r="AF74" i="5"/>
  <c r="AE74" i="5"/>
  <c r="AD74" i="5"/>
  <c r="AG73" i="5"/>
  <c r="AF73" i="5"/>
  <c r="AE73" i="5"/>
  <c r="AD73" i="5"/>
  <c r="AG72" i="5"/>
  <c r="AF72" i="5"/>
  <c r="AE72" i="5"/>
  <c r="AD72" i="5"/>
  <c r="AG71" i="5"/>
  <c r="AF71" i="5"/>
  <c r="AE71" i="5"/>
  <c r="AD71" i="5"/>
  <c r="AG70" i="5"/>
  <c r="AF70" i="5"/>
  <c r="AE70" i="5"/>
  <c r="AD70" i="5"/>
  <c r="AG69" i="5"/>
  <c r="AF69" i="5"/>
  <c r="AE69" i="5"/>
  <c r="AD69" i="5"/>
  <c r="AG68" i="5"/>
  <c r="AF68" i="5"/>
  <c r="AE68" i="5"/>
  <c r="AD68" i="5"/>
  <c r="AG67" i="5"/>
  <c r="AF67" i="5"/>
  <c r="AE67" i="5"/>
  <c r="AD67" i="5"/>
  <c r="AG66" i="5"/>
  <c r="AF66" i="5"/>
  <c r="AE66" i="5"/>
  <c r="AD66" i="5"/>
  <c r="AG65" i="5"/>
  <c r="AF65" i="5"/>
  <c r="AE65" i="5"/>
  <c r="AD65" i="5"/>
  <c r="AG64" i="5"/>
  <c r="AF64" i="5"/>
  <c r="AE64" i="5"/>
  <c r="AD64" i="5"/>
  <c r="AG63" i="5"/>
  <c r="AF63" i="5"/>
  <c r="AE63" i="5"/>
  <c r="AD63" i="5"/>
  <c r="AG62" i="5"/>
  <c r="AF62" i="5"/>
  <c r="AE62" i="5"/>
  <c r="AD62" i="5"/>
  <c r="AG61" i="5"/>
  <c r="AF61" i="5"/>
  <c r="AE61" i="5"/>
  <c r="AD61" i="5"/>
  <c r="AG60" i="5"/>
  <c r="AF60" i="5"/>
  <c r="AE60" i="5"/>
  <c r="AD60" i="5"/>
  <c r="AG59" i="5"/>
  <c r="AF59" i="5"/>
  <c r="AE59" i="5"/>
  <c r="AD59" i="5"/>
  <c r="AG58" i="5"/>
  <c r="AF58" i="5"/>
  <c r="AE58" i="5"/>
  <c r="AD58" i="5"/>
  <c r="AG57" i="5"/>
  <c r="AF57" i="5"/>
  <c r="AE57" i="5"/>
  <c r="AD57" i="5"/>
  <c r="AG56" i="5"/>
  <c r="AF56" i="5"/>
  <c r="AE56" i="5"/>
  <c r="AD56" i="5"/>
  <c r="AG55" i="5"/>
  <c r="AF55" i="5"/>
  <c r="AE55" i="5"/>
  <c r="AD55" i="5"/>
  <c r="AG54" i="5"/>
  <c r="AF54" i="5"/>
  <c r="AE54" i="5"/>
  <c r="AD54" i="5"/>
  <c r="AG53" i="5"/>
  <c r="AF53" i="5"/>
  <c r="AE53" i="5"/>
  <c r="AD53" i="5"/>
  <c r="AG52" i="5"/>
  <c r="AF52" i="5"/>
  <c r="AE52" i="5"/>
  <c r="AD52" i="5"/>
  <c r="AG51" i="5"/>
  <c r="AF51" i="5"/>
  <c r="AE51" i="5"/>
  <c r="AD51" i="5"/>
  <c r="AG50" i="5"/>
  <c r="AF50" i="5"/>
  <c r="AE50" i="5"/>
  <c r="AD50" i="5"/>
  <c r="AG49" i="5"/>
  <c r="AF49" i="5"/>
  <c r="AE49" i="5"/>
  <c r="AD49" i="5"/>
  <c r="AG48" i="5"/>
  <c r="AF48" i="5"/>
  <c r="AE48" i="5"/>
  <c r="AD48" i="5"/>
  <c r="AG47" i="5"/>
  <c r="AF47" i="5"/>
  <c r="AE47" i="5"/>
  <c r="AD47" i="5"/>
  <c r="AG46" i="5"/>
  <c r="AF46" i="5"/>
  <c r="AE46" i="5"/>
  <c r="AD46" i="5"/>
  <c r="AG45" i="5"/>
  <c r="AF45" i="5"/>
  <c r="AE45" i="5"/>
  <c r="AD45" i="5"/>
  <c r="AG44" i="5"/>
  <c r="AF44" i="5"/>
  <c r="AE44" i="5"/>
  <c r="AD44" i="5"/>
  <c r="AG43" i="5"/>
  <c r="AF43" i="5"/>
  <c r="AE43" i="5"/>
  <c r="AD43" i="5"/>
  <c r="AG42" i="5"/>
  <c r="AF42" i="5"/>
  <c r="AE42" i="5"/>
  <c r="AD42" i="5"/>
  <c r="AG41" i="5"/>
  <c r="AF41" i="5"/>
  <c r="AE41" i="5"/>
  <c r="AD41" i="5"/>
  <c r="AG40" i="5"/>
  <c r="AF40" i="5"/>
  <c r="AE40" i="5"/>
  <c r="AD40" i="5"/>
  <c r="AG39" i="5"/>
  <c r="AF39" i="5"/>
  <c r="AE39" i="5"/>
  <c r="AD39" i="5"/>
  <c r="AG38" i="5"/>
  <c r="AF38" i="5"/>
  <c r="AE38" i="5"/>
  <c r="AD38" i="5"/>
  <c r="AG37" i="5"/>
  <c r="AF37" i="5"/>
  <c r="AE37" i="5"/>
  <c r="AD37" i="5"/>
  <c r="AG36" i="5"/>
  <c r="AF36" i="5"/>
  <c r="AE36" i="5"/>
  <c r="AD36" i="5"/>
  <c r="AG35" i="5"/>
  <c r="AF35" i="5"/>
  <c r="AE35" i="5"/>
  <c r="AD35" i="5"/>
  <c r="AG34" i="5"/>
  <c r="AF34" i="5"/>
  <c r="AE34" i="5"/>
  <c r="AD34" i="5"/>
  <c r="AG33" i="5"/>
  <c r="AF33" i="5"/>
  <c r="AE33" i="5"/>
  <c r="AD33" i="5"/>
  <c r="AG32" i="5"/>
  <c r="AF32" i="5"/>
  <c r="AE32" i="5"/>
  <c r="AD32" i="5"/>
  <c r="AG31" i="5"/>
  <c r="AF31" i="5"/>
  <c r="AE31" i="5"/>
  <c r="AD31" i="5"/>
  <c r="AG30" i="5"/>
  <c r="AF30" i="5"/>
  <c r="AE30" i="5"/>
  <c r="AD30" i="5"/>
  <c r="AG29" i="5"/>
  <c r="AF29" i="5"/>
  <c r="AE29" i="5"/>
  <c r="AD29" i="5"/>
  <c r="AG28" i="5"/>
  <c r="AF28" i="5"/>
  <c r="AE28" i="5"/>
  <c r="AD28" i="5"/>
  <c r="AG27" i="5"/>
  <c r="AF27" i="5"/>
  <c r="AE27" i="5"/>
  <c r="AD27" i="5"/>
  <c r="AG26" i="5"/>
  <c r="AF26" i="5"/>
  <c r="AE26" i="5"/>
  <c r="AD26" i="5"/>
  <c r="AG25" i="5"/>
  <c r="AF25" i="5"/>
  <c r="AE25" i="5"/>
  <c r="AD25" i="5"/>
  <c r="AG24" i="5"/>
  <c r="AF24" i="5"/>
  <c r="AE24" i="5"/>
  <c r="AD24" i="5"/>
  <c r="AG23" i="5"/>
  <c r="AF23" i="5"/>
  <c r="AE23" i="5"/>
  <c r="AD23" i="5"/>
  <c r="AG22" i="5"/>
  <c r="AF22" i="5"/>
  <c r="AE22" i="5"/>
  <c r="AD22" i="5"/>
  <c r="AG21" i="5"/>
  <c r="AF21" i="5"/>
  <c r="AE21" i="5"/>
  <c r="AD21" i="5"/>
  <c r="AG20" i="5"/>
  <c r="AF20" i="5"/>
  <c r="AE20" i="5"/>
  <c r="AD20" i="5"/>
  <c r="AG19" i="5"/>
  <c r="AF19" i="5"/>
  <c r="AE19" i="5"/>
  <c r="AD19" i="5"/>
  <c r="AG18" i="5"/>
  <c r="AF18" i="5"/>
  <c r="AE18" i="5"/>
  <c r="AD18" i="5"/>
  <c r="AG17" i="5"/>
  <c r="AF17" i="5"/>
  <c r="AE17" i="5"/>
  <c r="AD17" i="5"/>
  <c r="AG16" i="5"/>
  <c r="AF16" i="5"/>
  <c r="AE16" i="5"/>
  <c r="AD16" i="5"/>
  <c r="AG15" i="5"/>
  <c r="AF15" i="5"/>
  <c r="AE15" i="5"/>
  <c r="AD15" i="5"/>
  <c r="AG14" i="5"/>
  <c r="AF14" i="5"/>
  <c r="AE14" i="5"/>
  <c r="AD14" i="5"/>
  <c r="AG13" i="5"/>
  <c r="AF13" i="5"/>
  <c r="AE13" i="5"/>
  <c r="AD13" i="5"/>
  <c r="AG12" i="5"/>
  <c r="AF12" i="5"/>
  <c r="AE12" i="5"/>
  <c r="AD12" i="5"/>
  <c r="AG11" i="5"/>
  <c r="AF11" i="5"/>
  <c r="AE11" i="5"/>
  <c r="AD11" i="5"/>
  <c r="AG10" i="5"/>
  <c r="AF10" i="5"/>
  <c r="AE10" i="5"/>
  <c r="AD10" i="5"/>
  <c r="AG9" i="5"/>
  <c r="AF9" i="5"/>
  <c r="AE9" i="5"/>
  <c r="AD9" i="5"/>
  <c r="AG8" i="5"/>
  <c r="AF8" i="5"/>
  <c r="AE8" i="5"/>
  <c r="AD8" i="5"/>
  <c r="AG7" i="5"/>
  <c r="AF7" i="5"/>
  <c r="AE7" i="5"/>
  <c r="AD7" i="5"/>
  <c r="Q6" i="5"/>
  <c r="AG6" i="5" s="1"/>
  <c r="P6" i="5"/>
  <c r="AF6" i="5" s="1"/>
  <c r="O6" i="5"/>
  <c r="AE6" i="5" s="1"/>
  <c r="N6" i="5"/>
  <c r="AD6" i="5" s="1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M6" i="5"/>
  <c r="AC6" i="5" s="1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8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0" i="5"/>
  <c r="AB179" i="5"/>
  <c r="AB178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E3" i="5" l="1"/>
  <c r="C36" i="3" s="1"/>
  <c r="AD3" i="5"/>
  <c r="AF3" i="5"/>
  <c r="AG3" i="5"/>
  <c r="C35" i="3" s="1"/>
  <c r="AC3" i="5"/>
  <c r="C37" i="3" s="1"/>
  <c r="M3" i="5"/>
  <c r="C18" i="3" s="1"/>
  <c r="O3" i="5"/>
  <c r="C17" i="3" s="1"/>
  <c r="N3" i="5"/>
  <c r="P3" i="5"/>
  <c r="Q3" i="5"/>
  <c r="C16" i="3" s="1"/>
  <c r="T3" i="5"/>
  <c r="B35" i="3" l="1"/>
  <c r="B36" i="3"/>
  <c r="AJ2" i="12"/>
  <c r="U3" i="5"/>
  <c r="B34" i="3" s="1"/>
  <c r="BC2" i="12"/>
  <c r="AU2" i="12"/>
  <c r="BT2" i="12"/>
  <c r="AP2" i="12"/>
  <c r="AO2" i="12"/>
  <c r="AN2" i="12"/>
  <c r="AL2" i="12"/>
  <c r="G2" i="12" s="1"/>
  <c r="AI2" i="12"/>
  <c r="A2" i="12" s="1"/>
  <c r="AH2" i="12"/>
  <c r="BL2" i="12" s="1"/>
  <c r="AG2" i="12"/>
  <c r="BM2" i="12" s="1"/>
  <c r="AF2" i="12"/>
  <c r="P2" i="14" l="1"/>
  <c r="AB2" i="12"/>
  <c r="BK2" i="12"/>
  <c r="BZ2" i="12" s="1"/>
  <c r="CB2" i="12" s="1"/>
  <c r="J2" i="12"/>
  <c r="Z5" i="5"/>
  <c r="Y5" i="5"/>
  <c r="W5" i="5"/>
  <c r="A82" i="5"/>
  <c r="A71" i="5"/>
  <c r="A54" i="5"/>
  <c r="A34" i="5"/>
  <c r="B34" i="5" s="1"/>
  <c r="B21" i="3" s="1"/>
  <c r="Q2" i="14" s="1"/>
  <c r="A27" i="5"/>
  <c r="B27" i="5" s="1"/>
  <c r="G3" i="5"/>
  <c r="D3" i="5"/>
  <c r="B82" i="5" l="1"/>
  <c r="B31" i="3" s="1"/>
  <c r="T2" i="14" s="1"/>
  <c r="B71" i="5"/>
  <c r="B28" i="3" s="1"/>
  <c r="K2" i="14" s="1"/>
  <c r="B54" i="5"/>
  <c r="B133" i="5" s="1"/>
  <c r="B22" i="3" l="1"/>
  <c r="R2" i="14" s="1"/>
  <c r="B129" i="5"/>
  <c r="C42" i="3" s="1"/>
  <c r="Z3" i="5"/>
  <c r="Y3" i="5"/>
  <c r="X3" i="5"/>
  <c r="C39" i="3" s="1"/>
  <c r="J3" i="5"/>
  <c r="B20" i="3" s="1"/>
  <c r="H3" i="5"/>
  <c r="C20" i="3" s="1"/>
  <c r="B3" i="3" s="1"/>
  <c r="I3" i="5"/>
  <c r="B39" i="3"/>
  <c r="AM2" i="12"/>
  <c r="B2" i="12" s="1"/>
  <c r="E3" i="5"/>
  <c r="B15" i="3" s="1"/>
  <c r="B9" i="3"/>
  <c r="D2" i="14" s="1"/>
  <c r="AK2" i="12"/>
  <c r="N2" i="14" l="1"/>
  <c r="A3" i="3"/>
  <c r="AW2" i="12"/>
  <c r="CF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inserire F per femmina o M per maschio
</t>
        </r>
      </text>
    </comment>
    <comment ref="R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inserire I,D,O,G,P
Impiegato
Dirigente
Operaio
Giornalista
Praticante
</t>
        </r>
      </text>
    </comment>
  </commentList>
</comments>
</file>

<file path=xl/sharedStrings.xml><?xml version="1.0" encoding="utf-8"?>
<sst xmlns="http://schemas.openxmlformats.org/spreadsheetml/2006/main" count="1323" uniqueCount="750">
  <si>
    <t>Decorrenza [data]</t>
  </si>
  <si>
    <t xml:space="preserve">Movimento </t>
  </si>
  <si>
    <t>INGRESSO</t>
  </si>
  <si>
    <t>Cognome</t>
  </si>
  <si>
    <t>Nome</t>
  </si>
  <si>
    <t>Codice Fiscale</t>
  </si>
  <si>
    <t>Società</t>
  </si>
  <si>
    <t>Area</t>
  </si>
  <si>
    <t>Contratto</t>
  </si>
  <si>
    <t>Sede</t>
  </si>
  <si>
    <t>Referente diretto</t>
  </si>
  <si>
    <t>Sotto Area</t>
  </si>
  <si>
    <t>D</t>
  </si>
  <si>
    <t>Job Title/Mansione</t>
  </si>
  <si>
    <t>PROROGA</t>
  </si>
  <si>
    <t>Stage</t>
  </si>
  <si>
    <t>Indirizzo</t>
  </si>
  <si>
    <t>USCITA</t>
  </si>
  <si>
    <t>Data scadenza</t>
  </si>
  <si>
    <t>In caso di uscita è previsto nuovo ingresso come</t>
  </si>
  <si>
    <t>Nuovo Referente diretto</t>
  </si>
  <si>
    <t>I</t>
  </si>
  <si>
    <t>DISTACCO</t>
  </si>
  <si>
    <t>A</t>
  </si>
  <si>
    <t>CAMBIO CONTRATTO</t>
  </si>
  <si>
    <t>TRASFERIMENTO</t>
  </si>
  <si>
    <t>Data di nascita</t>
  </si>
  <si>
    <t>Ingresso</t>
  </si>
  <si>
    <t>Distacco</t>
  </si>
  <si>
    <t>Proroga</t>
  </si>
  <si>
    <t>Uscita</t>
  </si>
  <si>
    <t>Trasfer.to</t>
  </si>
  <si>
    <t>Note</t>
  </si>
  <si>
    <t>Cambio 
Contratto</t>
  </si>
  <si>
    <t>Collaboratore</t>
  </si>
  <si>
    <t>Dipendente</t>
  </si>
  <si>
    <t>MOVIMENTI</t>
  </si>
  <si>
    <t>SOCIETA'</t>
  </si>
  <si>
    <t>CDAZIEND</t>
  </si>
  <si>
    <t>NOMESOC</t>
  </si>
  <si>
    <t>Codarea</t>
  </si>
  <si>
    <t>DescrArea</t>
  </si>
  <si>
    <t>CodSottoArea</t>
  </si>
  <si>
    <t>DescrSottoArea</t>
  </si>
  <si>
    <t>CDCCOSTO</t>
  </si>
  <si>
    <t>Desccdc</t>
  </si>
  <si>
    <t>CDSEDEXX</t>
  </si>
  <si>
    <t>CDPROLAV</t>
  </si>
  <si>
    <t>M</t>
  </si>
  <si>
    <t xml:space="preserve"> </t>
  </si>
  <si>
    <t>F</t>
  </si>
  <si>
    <t>G</t>
  </si>
  <si>
    <t>31</t>
  </si>
  <si>
    <t>O</t>
  </si>
  <si>
    <t>05</t>
  </si>
  <si>
    <t>10</t>
  </si>
  <si>
    <t>72</t>
  </si>
  <si>
    <t>80</t>
  </si>
  <si>
    <t>68</t>
  </si>
  <si>
    <t>99</t>
  </si>
  <si>
    <t>Corrisp. ESTERO</t>
  </si>
  <si>
    <t>EE</t>
  </si>
  <si>
    <t>P</t>
  </si>
  <si>
    <t>W</t>
  </si>
  <si>
    <t>S</t>
  </si>
  <si>
    <t>V</t>
  </si>
  <si>
    <t>66</t>
  </si>
  <si>
    <t>X</t>
  </si>
  <si>
    <t>Conteggio di CDDICEFI</t>
  </si>
  <si>
    <t>Totale</t>
  </si>
  <si>
    <t>COD SOCIETA'</t>
  </si>
  <si>
    <t>SottoArea</t>
  </si>
  <si>
    <t>cdc</t>
  </si>
  <si>
    <t>descrcdc</t>
  </si>
  <si>
    <t>STATO</t>
  </si>
  <si>
    <t>CONTRATTO</t>
  </si>
  <si>
    <t>QUALIFICA</t>
  </si>
  <si>
    <t>Cod.</t>
  </si>
  <si>
    <t>Voci movimento</t>
  </si>
  <si>
    <t>Comune di nascita</t>
  </si>
  <si>
    <t>Nazione di nascita</t>
  </si>
  <si>
    <t>Sesso</t>
  </si>
  <si>
    <t>Stato (Serv, Mat.; Asp; Usc)</t>
  </si>
  <si>
    <t>Maschile</t>
  </si>
  <si>
    <t>Servizio (in)</t>
  </si>
  <si>
    <t>Fine rapporto</t>
  </si>
  <si>
    <t>Maternità (in)</t>
  </si>
  <si>
    <t>Aspettativa (in)</t>
  </si>
  <si>
    <t>IMPIEGATO</t>
  </si>
  <si>
    <t>DIRIGENTE</t>
  </si>
  <si>
    <t>GIORNALISTA</t>
  </si>
  <si>
    <t>PRATICANTE</t>
  </si>
  <si>
    <t>Codice Sede</t>
  </si>
  <si>
    <t>Via</t>
  </si>
  <si>
    <t>Prov</t>
  </si>
  <si>
    <t>Legenda</t>
  </si>
  <si>
    <t>Ok da compilare</t>
  </si>
  <si>
    <t>Facoltativo</t>
  </si>
  <si>
    <t>Non necessario</t>
  </si>
  <si>
    <t>Centro di Costo</t>
  </si>
  <si>
    <t>COD</t>
  </si>
  <si>
    <t>Femminile</t>
  </si>
  <si>
    <t>Sede (Cod e Prov)</t>
  </si>
  <si>
    <t>SocietàOrg</t>
  </si>
  <si>
    <t>Unità Organizzativa</t>
  </si>
  <si>
    <t>Unità Organizzativa 2</t>
  </si>
  <si>
    <t>Testata GG</t>
  </si>
  <si>
    <t>Testata 2</t>
  </si>
  <si>
    <t>CdC</t>
  </si>
  <si>
    <t>CdC2</t>
  </si>
  <si>
    <t>Titolare</t>
  </si>
  <si>
    <t>DettaglioTitolare</t>
  </si>
  <si>
    <t>Titolare 2</t>
  </si>
  <si>
    <t>Cognome 2</t>
  </si>
  <si>
    <t>Note Txt</t>
  </si>
  <si>
    <t>Note Txt 2</t>
  </si>
  <si>
    <t>Sede 2</t>
  </si>
  <si>
    <t>Tipo Collaborazione</t>
  </si>
  <si>
    <t>Maternità</t>
  </si>
  <si>
    <t>Format</t>
  </si>
  <si>
    <t>Art GG</t>
  </si>
  <si>
    <t>Tipo GG</t>
  </si>
  <si>
    <t>Fte</t>
  </si>
  <si>
    <t>ID</t>
  </si>
  <si>
    <t>ReportsTo</t>
  </si>
  <si>
    <t>Foto</t>
  </si>
  <si>
    <t>Variazioni Posizione</t>
  </si>
  <si>
    <t>TxCodFiscale</t>
  </si>
  <si>
    <t>Descrizione Cdc</t>
  </si>
  <si>
    <t>Data-ass</t>
  </si>
  <si>
    <t>Data fine rapporto</t>
  </si>
  <si>
    <t>Qualifica</t>
  </si>
  <si>
    <t>Livello</t>
  </si>
  <si>
    <t>Testata giornalistica</t>
  </si>
  <si>
    <t>CAP</t>
  </si>
  <si>
    <t>Città</t>
  </si>
  <si>
    <t>Timb-fir</t>
  </si>
  <si>
    <t>Turno</t>
  </si>
  <si>
    <t>Data Nascita</t>
  </si>
  <si>
    <t>ETA'</t>
  </si>
  <si>
    <t>Job-title</t>
  </si>
  <si>
    <t>Liv-studio</t>
  </si>
  <si>
    <t>Assenza</t>
  </si>
  <si>
    <t>TD-Sost</t>
  </si>
  <si>
    <t>Part-time</t>
  </si>
  <si>
    <t>Numero</t>
  </si>
  <si>
    <t>Cognome_email</t>
  </si>
  <si>
    <t>Nome_email</t>
  </si>
  <si>
    <t>email</t>
  </si>
  <si>
    <t>INFO email</t>
  </si>
  <si>
    <t>Dipendente email</t>
  </si>
  <si>
    <t>Scelti</t>
  </si>
  <si>
    <t>Scelti2 Tutti</t>
  </si>
  <si>
    <t>Escluso da TNS</t>
  </si>
  <si>
    <t>Popolaz_TNS</t>
  </si>
  <si>
    <t>Deltacdc_TNS</t>
  </si>
  <si>
    <t>CDC_TNS</t>
  </si>
  <si>
    <t>CDC_NEW_TNS</t>
  </si>
  <si>
    <t>Tipo Approvatore TNS</t>
  </si>
  <si>
    <t>Note Appr NTS</t>
  </si>
  <si>
    <t>Titolare_TNS</t>
  </si>
  <si>
    <t>LIVELLO_TNS</t>
  </si>
  <si>
    <t>COD_TNS</t>
  </si>
  <si>
    <t>PADRE_TNS</t>
  </si>
  <si>
    <t>RUOLI_OltreV_TNS</t>
  </si>
  <si>
    <t>RUOLI</t>
  </si>
  <si>
    <t>Viaggiatore_TNS</t>
  </si>
  <si>
    <t>Segr_Redaz_TNS</t>
  </si>
  <si>
    <t>Approvatore_TNS</t>
  </si>
  <si>
    <t>Cassiere_TNS</t>
  </si>
  <si>
    <t>Visualizzatori_TNS</t>
  </si>
  <si>
    <t>Segretario_TNS</t>
  </si>
  <si>
    <t>Controllore_TNS</t>
  </si>
  <si>
    <t>Amministrazione_TNS</t>
  </si>
  <si>
    <t>SegreteriA_Red_Assta_TNS</t>
  </si>
  <si>
    <t>SegretariO_Assto_TNS</t>
  </si>
  <si>
    <t>Controllore_Assto_TNS</t>
  </si>
  <si>
    <t>Sede_TNS</t>
  </si>
  <si>
    <t>MANSIONE (sicurezza lavoro)</t>
  </si>
  <si>
    <t>ADDETTO AI SERV. E SUPPORTI REDAZIONALI</t>
  </si>
  <si>
    <t>GORNALISTA IN AREE SPECIALI</t>
  </si>
  <si>
    <t>ROTATIVISTA/FOTOFORMATORE</t>
  </si>
  <si>
    <t>TELELAVORATORE CON USO VDT</t>
  </si>
  <si>
    <t>TELELAVORATORE</t>
  </si>
  <si>
    <t>ADD_GEN</t>
  </si>
  <si>
    <t>ADD_RED</t>
  </si>
  <si>
    <t>ASS_RED</t>
  </si>
  <si>
    <t>GIOR</t>
  </si>
  <si>
    <t>GIOR_CON</t>
  </si>
  <si>
    <t>GIOR_CON_GR</t>
  </si>
  <si>
    <t>GIOR_INV</t>
  </si>
  <si>
    <t>IMP</t>
  </si>
  <si>
    <t>IMP_ADD_EV</t>
  </si>
  <si>
    <t>IMP_AUT</t>
  </si>
  <si>
    <t>IMP_TEC</t>
  </si>
  <si>
    <t>IMP_VDT</t>
  </si>
  <si>
    <t>MAN</t>
  </si>
  <si>
    <t>MAN_CAR</t>
  </si>
  <si>
    <t>ROT_FOT</t>
  </si>
  <si>
    <t>ROT_SPE</t>
  </si>
  <si>
    <t>SPE_INS_POL</t>
  </si>
  <si>
    <t>SPE_INS_POL_MAG</t>
  </si>
  <si>
    <t>TEC_BF</t>
  </si>
  <si>
    <t>TEC_EDP</t>
  </si>
  <si>
    <t>TEC_FON</t>
  </si>
  <si>
    <t>TEC_HF</t>
  </si>
  <si>
    <t>TELAV_VDT</t>
  </si>
  <si>
    <t>TELAV</t>
  </si>
  <si>
    <t>Contr. Somm.ne</t>
  </si>
  <si>
    <t>Co.Co.Co.</t>
  </si>
  <si>
    <t>Co.Co.Pro.</t>
  </si>
  <si>
    <t>Part. Iva</t>
  </si>
  <si>
    <t>Provincia di nascita</t>
  </si>
  <si>
    <t xml:space="preserve">Qualifica </t>
  </si>
  <si>
    <t>OPERAIO</t>
  </si>
  <si>
    <t>INGRESSO CON DISTACCO</t>
  </si>
  <si>
    <t>np</t>
  </si>
  <si>
    <t>Codsottoarea</t>
  </si>
  <si>
    <t>Sottoare</t>
  </si>
  <si>
    <t>CodArea</t>
  </si>
  <si>
    <t>(più elementi)</t>
  </si>
  <si>
    <t>PROVENIENZA</t>
  </si>
  <si>
    <r>
      <rPr>
        <i/>
        <u/>
        <sz val="11"/>
        <color theme="1"/>
        <rFont val="Calibri"/>
        <family val="2"/>
        <scheme val="minor"/>
      </rPr>
      <t>Provenienza</t>
    </r>
    <r>
      <rPr>
        <i/>
        <sz val="11"/>
        <color theme="1"/>
        <rFont val="Calibri"/>
        <family val="2"/>
        <scheme val="minor"/>
      </rPr>
      <t xml:space="preserve">
Società (distacco e trasfer.to)</t>
    </r>
  </si>
  <si>
    <t>Ingresso
+ Distacco</t>
  </si>
  <si>
    <t>01</t>
  </si>
  <si>
    <t>02</t>
  </si>
  <si>
    <t>03</t>
  </si>
  <si>
    <t>04</t>
  </si>
  <si>
    <t>06</t>
  </si>
  <si>
    <t>07</t>
  </si>
  <si>
    <t>08</t>
  </si>
  <si>
    <t>09</t>
  </si>
  <si>
    <t>11</t>
  </si>
  <si>
    <t>12</t>
  </si>
  <si>
    <t>Contratto a tempo determinato</t>
  </si>
  <si>
    <t>Contratto a tempo indeterminato</t>
  </si>
  <si>
    <t>Contratto a tempo parziale</t>
  </si>
  <si>
    <t>Contratto di Co.Co.Co. e Pro.</t>
  </si>
  <si>
    <t>Contratto di lavoro somministrato (ex interinale)</t>
  </si>
  <si>
    <t>Contratto di lavoro intermittente (a chiamata)</t>
  </si>
  <si>
    <t>Contratto di inserimento</t>
  </si>
  <si>
    <t>Lavoro stagionale</t>
  </si>
  <si>
    <t>Lavoro ripartito</t>
  </si>
  <si>
    <t>Contratto a Part. IVA</t>
  </si>
  <si>
    <t>Stage/tirocinio</t>
  </si>
  <si>
    <t xml:space="preserve">Contratto di apprendiistato </t>
  </si>
  <si>
    <t>Contratto di associazione in partecipazione</t>
  </si>
  <si>
    <t>Contratto (*)</t>
  </si>
  <si>
    <t>Mansione (Sicurezza Lavoro) (*)</t>
  </si>
  <si>
    <t>(*) Valore definitivo a cura unità Sicurezza e Ambiente</t>
  </si>
  <si>
    <t>Indirizzo sede</t>
  </si>
  <si>
    <t>Cod. e Prov (sede)</t>
  </si>
  <si>
    <t>Indicazioni per la  compilazione</t>
  </si>
  <si>
    <t xml:space="preserve">Legenda: </t>
  </si>
  <si>
    <t>xxx = Campi compilabili</t>
  </si>
  <si>
    <t xml:space="preserve">Descrizione movimento
</t>
  </si>
  <si>
    <t>Con 
Elenco</t>
  </si>
  <si>
    <t>▼</t>
  </si>
  <si>
    <t>Scheda movimenti PERSONALE</t>
  </si>
  <si>
    <t>E-mail prefisso "EXT."</t>
  </si>
  <si>
    <t>Si EXT.</t>
  </si>
  <si>
    <t>No</t>
  </si>
  <si>
    <t>E-mail prefisso "EXT"</t>
  </si>
  <si>
    <t>COGNOME</t>
  </si>
  <si>
    <t>NOME</t>
  </si>
  <si>
    <t>CODICE FISCALE</t>
  </si>
  <si>
    <t>SESSO</t>
  </si>
  <si>
    <t>DATA NASCITA</t>
  </si>
  <si>
    <t>COMUNE</t>
  </si>
  <si>
    <t>PROV</t>
  </si>
  <si>
    <t>NAZ</t>
  </si>
  <si>
    <t>DATA FINE RAPPORTO</t>
  </si>
  <si>
    <t>CITTA DELLA SEDE DI APPARTENENZA</t>
  </si>
  <si>
    <t>INDIRIZZO SEDE</t>
  </si>
  <si>
    <t>AREA</t>
  </si>
  <si>
    <t>CODICE MANSIONE</t>
  </si>
  <si>
    <t>DESCRIZIONE MANSIONE</t>
  </si>
  <si>
    <t>NOMINA SICUREZZA</t>
  </si>
  <si>
    <t>DATA ASSEGNAZIONE NOMINA SICUREZZA</t>
  </si>
  <si>
    <t>Citta</t>
  </si>
  <si>
    <t>Cod. e Città sede</t>
  </si>
  <si>
    <t>STBS</t>
  </si>
  <si>
    <t>STUDENTE BUSINESS SCHOOL</t>
  </si>
  <si>
    <t>Contratto (Sicurezza Lavoro*)</t>
  </si>
  <si>
    <t>Mansione (Sicurezza Lavoro*)</t>
  </si>
  <si>
    <t>(*) Preinserimento da HR con verifica e attribuzione definitivo a cura unità Sicurezza e Ambiente</t>
  </si>
  <si>
    <t>REFERENTE</t>
  </si>
  <si>
    <t>ADDETTO SERV. GEN. (Centr.no, Uff. Posta, Portineria)</t>
  </si>
  <si>
    <r>
      <t>ASS.TE DI REDAZIONE</t>
    </r>
    <r>
      <rPr>
        <sz val="11"/>
        <color indexed="62"/>
        <rFont val="Calibri"/>
        <family val="2"/>
      </rPr>
      <t xml:space="preserve"> (TUTTI)/ ASS.TE PROD. PROGR. RADIO</t>
    </r>
  </si>
  <si>
    <r>
      <t xml:space="preserve">GIORNALISTA CONDUTTORE </t>
    </r>
    <r>
      <rPr>
        <sz val="11"/>
        <color indexed="62"/>
        <rFont val="Calibri"/>
        <family val="2"/>
      </rPr>
      <t>(Radio 24)</t>
    </r>
  </si>
  <si>
    <r>
      <t xml:space="preserve">GIORNALISTA CONDUTTORE GR </t>
    </r>
    <r>
      <rPr>
        <sz val="11"/>
        <color indexed="62"/>
        <rFont val="Calibri"/>
        <family val="2"/>
      </rPr>
      <t>(Radio 24)</t>
    </r>
  </si>
  <si>
    <t>IMPIEGATO CON USO DI VDT CON MENO DI 20 ORE</t>
  </si>
  <si>
    <r>
      <t xml:space="preserve">IMPIEGATO ORGANIZZAZIONE EVENTI </t>
    </r>
    <r>
      <rPr>
        <sz val="11"/>
        <color indexed="62"/>
        <rFont val="Calibri"/>
        <family val="2"/>
      </rPr>
      <t>(24 ORE Cultura)</t>
    </r>
  </si>
  <si>
    <r>
      <t xml:space="preserve">IMPEPIEGATO VDT CON MANSIONE TECNICHE </t>
    </r>
    <r>
      <rPr>
        <sz val="11"/>
        <color indexed="62"/>
        <rFont val="Calibri"/>
        <family val="2"/>
      </rPr>
      <t>(Sic. e Logistica)</t>
    </r>
  </si>
  <si>
    <t>IMPIEGATO CON USO VDT</t>
  </si>
  <si>
    <r>
      <t xml:space="preserve">MANUTENTORE SENZA USO CARRELLI </t>
    </r>
    <r>
      <rPr>
        <sz val="11"/>
        <color indexed="62"/>
        <rFont val="Calibri"/>
        <family val="2"/>
      </rPr>
      <t>(Carsoli)</t>
    </r>
  </si>
  <si>
    <r>
      <t xml:space="preserve">MANUTENTORE CON USO DI CARRELLO </t>
    </r>
    <r>
      <rPr>
        <sz val="11"/>
        <color indexed="62"/>
        <rFont val="Calibri"/>
        <family val="2"/>
      </rPr>
      <t>(Milano)</t>
    </r>
  </si>
  <si>
    <r>
      <t xml:space="preserve">ROTATIVISTA/SPEDITORE </t>
    </r>
    <r>
      <rPr>
        <sz val="11"/>
        <color indexed="62"/>
        <rFont val="Calibri"/>
        <family val="2"/>
      </rPr>
      <t>(Carsoli)</t>
    </r>
  </si>
  <si>
    <r>
      <t xml:space="preserve">SPEDITORE, INSERITORE POLIGRAFICO </t>
    </r>
    <r>
      <rPr>
        <sz val="11"/>
        <color indexed="62"/>
        <rFont val="Calibri"/>
        <family val="2"/>
      </rPr>
      <t>(Milano)</t>
    </r>
  </si>
  <si>
    <r>
      <t xml:space="preserve">SPEDITORE, INSERITORE POLIGRAFICO, MAGAZZINIERE </t>
    </r>
    <r>
      <rPr>
        <sz val="11"/>
        <color indexed="62"/>
        <rFont val="Calibri"/>
        <family val="2"/>
      </rPr>
      <t>(Carsoli)</t>
    </r>
  </si>
  <si>
    <r>
      <t xml:space="preserve">TECNICO INTERNO BASSA FREQUENZA </t>
    </r>
    <r>
      <rPr>
        <sz val="11"/>
        <color indexed="62"/>
        <rFont val="Calibri"/>
        <family val="2"/>
      </rPr>
      <t>(Radio 24)</t>
    </r>
  </si>
  <si>
    <r>
      <t xml:space="preserve">TECNICO EDP </t>
    </r>
    <r>
      <rPr>
        <sz val="11"/>
        <color indexed="62"/>
        <rFont val="Calibri"/>
        <family val="2"/>
      </rPr>
      <t>(Radio 24)</t>
    </r>
  </si>
  <si>
    <r>
      <t xml:space="preserve">TECNICO REGIA/FONICO </t>
    </r>
    <r>
      <rPr>
        <sz val="11"/>
        <color indexed="62"/>
        <rFont val="Calibri"/>
        <family val="2"/>
      </rPr>
      <t>(Radio 24)</t>
    </r>
  </si>
  <si>
    <r>
      <t xml:space="preserve">TECNICO ESTERNO ALTA FREQUENZA </t>
    </r>
    <r>
      <rPr>
        <sz val="11"/>
        <color indexed="62"/>
        <rFont val="Calibri"/>
        <family val="2"/>
      </rPr>
      <t>(Radio 24)</t>
    </r>
  </si>
  <si>
    <t>RAL</t>
  </si>
  <si>
    <t>RuoliAFC</t>
  </si>
  <si>
    <t>RuoliHR</t>
  </si>
  <si>
    <t>AltriRuoli</t>
  </si>
  <si>
    <t>Formazione Salute e Sicurezza Lav.</t>
  </si>
  <si>
    <t>DATA Decorrenza</t>
  </si>
  <si>
    <t>PROROGA DISTACCO</t>
  </si>
  <si>
    <t>CDC</t>
  </si>
  <si>
    <t>Num</t>
  </si>
  <si>
    <t>Telelavoro</t>
  </si>
  <si>
    <t>NO</t>
  </si>
  <si>
    <t>SI</t>
  </si>
  <si>
    <t>TELELAVORO</t>
  </si>
  <si>
    <t>Altra Sede</t>
  </si>
  <si>
    <t>RCO+</t>
  </si>
  <si>
    <t>Collegate</t>
  </si>
  <si>
    <t>50</t>
  </si>
  <si>
    <t>TRASFORMAZIONE CONTRATTO</t>
  </si>
  <si>
    <t xml:space="preserve">011000      </t>
  </si>
  <si>
    <t xml:space="preserve">012000      </t>
  </si>
  <si>
    <t xml:space="preserve">013000      </t>
  </si>
  <si>
    <t xml:space="preserve">016100      </t>
  </si>
  <si>
    <t xml:space="preserve">016110      </t>
  </si>
  <si>
    <t xml:space="preserve">21000001    </t>
  </si>
  <si>
    <t xml:space="preserve">214000      </t>
  </si>
  <si>
    <t xml:space="preserve">215000      </t>
  </si>
  <si>
    <t xml:space="preserve">215100      </t>
  </si>
  <si>
    <t xml:space="preserve">215500      </t>
  </si>
  <si>
    <t xml:space="preserve">21550001    </t>
  </si>
  <si>
    <t xml:space="preserve">310000      </t>
  </si>
  <si>
    <t xml:space="preserve">311000      </t>
  </si>
  <si>
    <t xml:space="preserve">312000      </t>
  </si>
  <si>
    <t xml:space="preserve">412620      </t>
  </si>
  <si>
    <t xml:space="preserve">412700      </t>
  </si>
  <si>
    <t xml:space="preserve">413000      </t>
  </si>
  <si>
    <t xml:space="preserve">414000      </t>
  </si>
  <si>
    <t xml:space="preserve">41400001    </t>
  </si>
  <si>
    <t xml:space="preserve">415110      </t>
  </si>
  <si>
    <t xml:space="preserve">415120      </t>
  </si>
  <si>
    <t xml:space="preserve">415130      </t>
  </si>
  <si>
    <t xml:space="preserve">511100      </t>
  </si>
  <si>
    <t xml:space="preserve">511200      </t>
  </si>
  <si>
    <t xml:space="preserve">51120001    </t>
  </si>
  <si>
    <t xml:space="preserve">51130012    </t>
  </si>
  <si>
    <t xml:space="preserve">51130013    </t>
  </si>
  <si>
    <t xml:space="preserve">51130015    </t>
  </si>
  <si>
    <t xml:space="preserve">511305      </t>
  </si>
  <si>
    <t xml:space="preserve">51130501    </t>
  </si>
  <si>
    <t xml:space="preserve">51130502    </t>
  </si>
  <si>
    <t xml:space="preserve">511600      </t>
  </si>
  <si>
    <t xml:space="preserve">512000      </t>
  </si>
  <si>
    <t xml:space="preserve">512100      </t>
  </si>
  <si>
    <t xml:space="preserve">513000      </t>
  </si>
  <si>
    <t xml:space="preserve">51320010    </t>
  </si>
  <si>
    <t xml:space="preserve">51320020    </t>
  </si>
  <si>
    <t xml:space="preserve">513400      </t>
  </si>
  <si>
    <t xml:space="preserve">513500      </t>
  </si>
  <si>
    <t xml:space="preserve">514000      </t>
  </si>
  <si>
    <t xml:space="preserve">51400001    </t>
  </si>
  <si>
    <t xml:space="preserve">514100      </t>
  </si>
  <si>
    <t xml:space="preserve">514210      </t>
  </si>
  <si>
    <t xml:space="preserve">514220      </t>
  </si>
  <si>
    <t xml:space="preserve">514300      </t>
  </si>
  <si>
    <t xml:space="preserve">514400      </t>
  </si>
  <si>
    <t xml:space="preserve">514500      </t>
  </si>
  <si>
    <t xml:space="preserve">514600      </t>
  </si>
  <si>
    <t xml:space="preserve">514700      </t>
  </si>
  <si>
    <t xml:space="preserve">514800      </t>
  </si>
  <si>
    <t xml:space="preserve">515010      </t>
  </si>
  <si>
    <t xml:space="preserve">515020      </t>
  </si>
  <si>
    <t xml:space="preserve">515040      </t>
  </si>
  <si>
    <t xml:space="preserve">51511001    </t>
  </si>
  <si>
    <t xml:space="preserve">516000      </t>
  </si>
  <si>
    <t xml:space="preserve">518200      </t>
  </si>
  <si>
    <t xml:space="preserve">51820001    </t>
  </si>
  <si>
    <t xml:space="preserve">611310      </t>
  </si>
  <si>
    <t xml:space="preserve">61131010    </t>
  </si>
  <si>
    <t xml:space="preserve">611320      </t>
  </si>
  <si>
    <t xml:space="preserve">611330      </t>
  </si>
  <si>
    <t xml:space="preserve">612050      </t>
  </si>
  <si>
    <t xml:space="preserve">61207010    </t>
  </si>
  <si>
    <t xml:space="preserve">612100      </t>
  </si>
  <si>
    <t xml:space="preserve">612300      </t>
  </si>
  <si>
    <t xml:space="preserve">614000      </t>
  </si>
  <si>
    <t xml:space="preserve">61400010    </t>
  </si>
  <si>
    <t xml:space="preserve">61400020    </t>
  </si>
  <si>
    <t xml:space="preserve">61400030    </t>
  </si>
  <si>
    <t xml:space="preserve">615000      </t>
  </si>
  <si>
    <t xml:space="preserve">616000      </t>
  </si>
  <si>
    <t xml:space="preserve">61800010    </t>
  </si>
  <si>
    <t xml:space="preserve">815100      </t>
  </si>
  <si>
    <t xml:space="preserve">815115      </t>
  </si>
  <si>
    <t xml:space="preserve">815130      </t>
  </si>
  <si>
    <t xml:space="preserve">815200      </t>
  </si>
  <si>
    <t xml:space="preserve">815400      </t>
  </si>
  <si>
    <t xml:space="preserve">815410      </t>
  </si>
  <si>
    <t xml:space="preserve">815420      </t>
  </si>
  <si>
    <t xml:space="preserve">A16335      </t>
  </si>
  <si>
    <t xml:space="preserve">B10130      </t>
  </si>
  <si>
    <t xml:space="preserve">B10140      </t>
  </si>
  <si>
    <t xml:space="preserve">B13000      </t>
  </si>
  <si>
    <t xml:space="preserve">B14000      </t>
  </si>
  <si>
    <t xml:space="preserve">C11000      </t>
  </si>
  <si>
    <t xml:space="preserve">C11210      </t>
  </si>
  <si>
    <t xml:space="preserve">C12000      </t>
  </si>
  <si>
    <t xml:space="preserve">C13200      </t>
  </si>
  <si>
    <t xml:space="preserve">E11010      </t>
  </si>
  <si>
    <t xml:space="preserve">F15000      </t>
  </si>
  <si>
    <t xml:space="preserve">F16000      </t>
  </si>
  <si>
    <t xml:space="preserve">F1600010    </t>
  </si>
  <si>
    <t xml:space="preserve">G12410      </t>
  </si>
  <si>
    <t xml:space="preserve">G1241001    </t>
  </si>
  <si>
    <t xml:space="preserve">Q11000      </t>
  </si>
  <si>
    <t xml:space="preserve">Q12000      </t>
  </si>
  <si>
    <t xml:space="preserve">Q13000      </t>
  </si>
  <si>
    <t xml:space="preserve">Q1400001    </t>
  </si>
  <si>
    <t xml:space="preserve">Q15000      </t>
  </si>
  <si>
    <t xml:space="preserve">Q16000      </t>
  </si>
  <si>
    <t xml:space="preserve">Q17000      </t>
  </si>
  <si>
    <t xml:space="preserve">Q18000      </t>
  </si>
  <si>
    <t xml:space="preserve">R14300      </t>
  </si>
  <si>
    <t xml:space="preserve">W19050      </t>
  </si>
  <si>
    <t xml:space="preserve">W19510      </t>
  </si>
  <si>
    <t xml:space="preserve">W19520      </t>
  </si>
  <si>
    <t>DISTACCO - FINE</t>
  </si>
  <si>
    <t>AllegatiDip</t>
  </si>
  <si>
    <t>GruppoSind</t>
  </si>
  <si>
    <t>Controllo</t>
  </si>
  <si>
    <t>RespAreaCODFIS</t>
  </si>
  <si>
    <t>RespAreaCOGN</t>
  </si>
  <si>
    <t>RespAreaNOM</t>
  </si>
  <si>
    <t>RespSottoareaCODFIS</t>
  </si>
  <si>
    <t>RespSottoareaCOGN</t>
  </si>
  <si>
    <t>RespSottoareaNOM</t>
  </si>
  <si>
    <t>SBCAP</t>
  </si>
  <si>
    <t>Escluso SF</t>
  </si>
  <si>
    <t>Popolazione SF</t>
  </si>
  <si>
    <t>Cogn</t>
  </si>
  <si>
    <t>TxCodFisc</t>
  </si>
  <si>
    <t>Ricevente_Cognome</t>
  </si>
  <si>
    <t>Ricevente_Nome</t>
  </si>
  <si>
    <t>Ricevente_CodFis</t>
  </si>
  <si>
    <t>New posizione dopo</t>
  </si>
  <si>
    <t>Titolare_SGSL</t>
  </si>
  <si>
    <t>Ruolo_SGSL</t>
  </si>
  <si>
    <t>SGSL_SI</t>
  </si>
  <si>
    <t>NOME_UNITASGSL</t>
  </si>
  <si>
    <t>CODPADRE_SGSL</t>
  </si>
  <si>
    <t>ID_SGSL</t>
  </si>
  <si>
    <t>Codice Oneservice</t>
  </si>
  <si>
    <t>IMPIEGATO CON USO AUTO</t>
  </si>
  <si>
    <t>QUADRO</t>
  </si>
  <si>
    <t xml:space="preserve">IL SOLE 24 ORE S.P.A.                   </t>
  </si>
  <si>
    <t xml:space="preserve">24 ORE CULTURA S.R.L.                   </t>
  </si>
  <si>
    <t xml:space="preserve">IL SOLE 24 ORE EVENTI S.R.L.            </t>
  </si>
  <si>
    <t xml:space="preserve">IL SOLE 24 ORE SPA                      </t>
  </si>
  <si>
    <t xml:space="preserve">COLLABORATORI 24ORE CULTURA             </t>
  </si>
  <si>
    <t>19</t>
  </si>
  <si>
    <t>VIA TORTONA 56 - MILANO (MI)</t>
  </si>
  <si>
    <t xml:space="preserve">MILANO                 </t>
  </si>
  <si>
    <t>PIAZZA INDIPENDENZA 23 B/C - ROMA (RM)</t>
  </si>
  <si>
    <t xml:space="preserve">ROMA                   </t>
  </si>
  <si>
    <t>33</t>
  </si>
  <si>
    <t>VIA NIZZA 142 - ROMA (RM)</t>
  </si>
  <si>
    <t>34</t>
  </si>
  <si>
    <t>VIALE SARCA 223 - MILANO (MI)</t>
  </si>
  <si>
    <t>VIA DAVIDE BERTOLOTTI 7 - TORINO (TO)</t>
  </si>
  <si>
    <t xml:space="preserve">TORINO                 </t>
  </si>
  <si>
    <t>65</t>
  </si>
  <si>
    <t>VIA SOLTERI 38 - TRENTO (TN)</t>
  </si>
  <si>
    <t xml:space="preserve">TRENTO                 </t>
  </si>
  <si>
    <t>DOMICILIO COLLABORATORE  -  ()</t>
  </si>
  <si>
    <t xml:space="preserve">                       </t>
  </si>
  <si>
    <t>VIA DELLE LIBERTA' 12 - VENEZIA (VE)</t>
  </si>
  <si>
    <t xml:space="preserve">VENEZIA                </t>
  </si>
  <si>
    <t>VIA ALESSANDRO VOLTA 44 - PALERMO (PA)</t>
  </si>
  <si>
    <t xml:space="preserve">PALERMO                </t>
  </si>
  <si>
    <t>79</t>
  </si>
  <si>
    <t>PIAZZA DEI MARTIRI 58 - NAPOLI (NA)</t>
  </si>
  <si>
    <t xml:space="preserve">NAPOLI                 </t>
  </si>
  <si>
    <t>VIALE IV NOVEMBRE 6 - GENOVA (GE)</t>
  </si>
  <si>
    <t xml:space="preserve">GENOVA                 </t>
  </si>
  <si>
    <t>CORPORATE</t>
  </si>
  <si>
    <t>AFFARI LEGALI E SOCIETARI</t>
  </si>
  <si>
    <t>AMMINISTRAZIONE, FINANZA E CONTROLLO</t>
  </si>
  <si>
    <t>INVESTOR RELATIONS</t>
  </si>
  <si>
    <t xml:space="preserve">015000      </t>
  </si>
  <si>
    <t>DG SERVIZI PROFESSIONALI</t>
  </si>
  <si>
    <t>INTERNAL AUDITING</t>
  </si>
  <si>
    <t>FISCALITA'</t>
  </si>
  <si>
    <t>PIANIFICAZIONE E CONTROLLO</t>
  </si>
  <si>
    <t>AMMINISTRAZIONE E BILANCIO</t>
  </si>
  <si>
    <t>FINANZA, TESORERIA E RISK MANAGEMENT</t>
  </si>
  <si>
    <t xml:space="preserve">21520011    </t>
  </si>
  <si>
    <t xml:space="preserve">21520012    </t>
  </si>
  <si>
    <t xml:space="preserve">21520013    </t>
  </si>
  <si>
    <t>DIREZIONE CENTRALE PERSONALE E ORGANIZZA</t>
  </si>
  <si>
    <t>DIREZIONE PERSONALE</t>
  </si>
  <si>
    <t xml:space="preserve">31000010    </t>
  </si>
  <si>
    <t xml:space="preserve">31000020    </t>
  </si>
  <si>
    <t>DG PUBLISHING &amp; DIGITAL</t>
  </si>
  <si>
    <t>OPERATIONS DG P&amp;D</t>
  </si>
  <si>
    <t>OPERATIONS E CUSTOMER ENGAGEMENT</t>
  </si>
  <si>
    <t>ACQUISTI</t>
  </si>
  <si>
    <t>SERVIZI GENERALI SICUREZZA E AMBIENTE</t>
  </si>
  <si>
    <t xml:space="preserve">414100      </t>
  </si>
  <si>
    <t>SISTEMI INFORMATICI GESTIONALI</t>
  </si>
  <si>
    <t>INFRAST, IT NETWORK. E AREA TECN RADIO24</t>
  </si>
  <si>
    <t>HELP DESK 1 LIV</t>
  </si>
  <si>
    <t xml:space="preserve">415200      </t>
  </si>
  <si>
    <t>TECNOLOGIE DI PRODOTTO</t>
  </si>
  <si>
    <t xml:space="preserve">415230      </t>
  </si>
  <si>
    <t xml:space="preserve">415300      </t>
  </si>
  <si>
    <t xml:space="preserve">41530001    </t>
  </si>
  <si>
    <t xml:space="preserve">41530010    </t>
  </si>
  <si>
    <t xml:space="preserve">41530020    </t>
  </si>
  <si>
    <t>SISTEMI EDITORIALI</t>
  </si>
  <si>
    <t xml:space="preserve">51130014    </t>
  </si>
  <si>
    <t xml:space="preserve">51210010    </t>
  </si>
  <si>
    <t>REDAZIONI GIORNALISTICHE</t>
  </si>
  <si>
    <t>QUOTIDIANO</t>
  </si>
  <si>
    <t>PERSONALE GIORNALISTI, RADIO E CULTURA</t>
  </si>
  <si>
    <t>HOW TO SPEND IT</t>
  </si>
  <si>
    <t xml:space="preserve">610000      </t>
  </si>
  <si>
    <t>DG SYSTEM 24</t>
  </si>
  <si>
    <t>SYSTEM 24 - OPERATIONS</t>
  </si>
  <si>
    <t>MARKETING SYSTEM24</t>
  </si>
  <si>
    <t>DIGITAL ADVERTISING</t>
  </si>
  <si>
    <t xml:space="preserve">61207020    </t>
  </si>
  <si>
    <t>ADVERTISING STAMPA</t>
  </si>
  <si>
    <t xml:space="preserve">613950      </t>
  </si>
  <si>
    <t>DIREZIONE ADVERTISING CENTRI MEDIA</t>
  </si>
  <si>
    <t xml:space="preserve">61500010    </t>
  </si>
  <si>
    <t>AREA DIRITTO, TECNICI, PA E FONTI NO</t>
  </si>
  <si>
    <t>AREA FISCO LAVORO</t>
  </si>
  <si>
    <t xml:space="preserve">81511510    </t>
  </si>
  <si>
    <t>MARKETING SERVIZI PROFESSIONALI</t>
  </si>
  <si>
    <t xml:space="preserve">816000      </t>
  </si>
  <si>
    <t xml:space="preserve">81800010    </t>
  </si>
  <si>
    <t xml:space="preserve">B1000030    </t>
  </si>
  <si>
    <t>DIR.COM. SERVIZI PROFESSIONALI</t>
  </si>
  <si>
    <t>COMUNICAZIONE E RELAZIONI ESTERNE</t>
  </si>
  <si>
    <t xml:space="preserve">G12000      </t>
  </si>
  <si>
    <t xml:space="preserve">G1240010    </t>
  </si>
  <si>
    <t xml:space="preserve">G1240020    </t>
  </si>
  <si>
    <t xml:space="preserve">G1240030    </t>
  </si>
  <si>
    <t xml:space="preserve">L19050      </t>
  </si>
  <si>
    <t>24 ORE EVENTI SRL</t>
  </si>
  <si>
    <t>24 ORE EVENTI</t>
  </si>
  <si>
    <t xml:space="preserve">L19060      </t>
  </si>
  <si>
    <t>RADIO MARKETING E ADVERTISING</t>
  </si>
  <si>
    <t>AREA TECNOLOGIE</t>
  </si>
  <si>
    <t xml:space="preserve">Q14000      </t>
  </si>
  <si>
    <t>AREA PRODUZIONE</t>
  </si>
  <si>
    <t>RADIO 24</t>
  </si>
  <si>
    <t xml:space="preserve">Q19300      </t>
  </si>
  <si>
    <t>24 ORE CULTURA</t>
  </si>
  <si>
    <t xml:space="preserve">W1905010    </t>
  </si>
  <si>
    <t xml:space="preserve">W1910010    </t>
  </si>
  <si>
    <t xml:space="preserve">W1910020    </t>
  </si>
  <si>
    <t xml:space="preserve">W1953010    </t>
  </si>
  <si>
    <t xml:space="preserve">W1953020    </t>
  </si>
  <si>
    <t/>
  </si>
  <si>
    <t>011200</t>
  </si>
  <si>
    <t>DG INNOVAZIONE E SOSTENIBILITA'</t>
  </si>
  <si>
    <t>DG SERVIZI PROFESSIONALI E FORMAZIONE</t>
  </si>
  <si>
    <t>DG M&amp;B - DG PUBLISHING &amp; DIGITAL</t>
  </si>
  <si>
    <t>DG I&amp;S - DIR INFORMATION TECHNOLOGY</t>
  </si>
  <si>
    <t>DIR INFORMATION TECHNOLOGY</t>
  </si>
  <si>
    <t>ALTRE TESTATE</t>
  </si>
  <si>
    <t>DG M&amp;B - DG SYSTEM 24</t>
  </si>
  <si>
    <t xml:space="preserve">B1014010      </t>
  </si>
  <si>
    <t>E11000</t>
  </si>
  <si>
    <t>AREA FINANCIAL SERVICES</t>
  </si>
  <si>
    <t xml:space="preserve">F1500010      </t>
  </si>
  <si>
    <t>Business Development – Radiocor Plus</t>
  </si>
  <si>
    <t>DG M&amp;B - Business Development – Radiocor Plus</t>
  </si>
  <si>
    <t>G12600</t>
  </si>
  <si>
    <t>Analisi &amp; Reporting Operativo</t>
  </si>
  <si>
    <t>DG M&amp;B - DG RADIO 24</t>
  </si>
  <si>
    <t>PIANIFICAZIONE E CONTROLLO DI G</t>
  </si>
  <si>
    <t>BILANCIO</t>
  </si>
  <si>
    <t>CREDIT MANAGEMENT</t>
  </si>
  <si>
    <t>CONTABILITA' GENERALE</t>
  </si>
  <si>
    <t>CONTABILITA' FORNITORI</t>
  </si>
  <si>
    <t>CONTABILITA' CLIENTI</t>
  </si>
  <si>
    <t>FINANZA, TESORERIA E RISK MAN</t>
  </si>
  <si>
    <t>TESORERIA E RISK MANAGEMENT</t>
  </si>
  <si>
    <t>DIR. CENTR. PERSONALE E ORG.</t>
  </si>
  <si>
    <t>GEST.PERSONALE DIR.FUNZ.CENTR.</t>
  </si>
  <si>
    <t>ORGANIZZAZIONE</t>
  </si>
  <si>
    <t>GEST.PERSONALE DIR.IT E BUSINES</t>
  </si>
  <si>
    <t>NORME E AMMINISTR DEL PERSONALE</t>
  </si>
  <si>
    <t>COORDINAMENTO TECNICO PRODUTTIV</t>
  </si>
  <si>
    <t>PREP. EDITORIALE PROFESSIONALE</t>
  </si>
  <si>
    <t>SERVIZI GENERALI SICUREZZA E AM</t>
  </si>
  <si>
    <t>COORDINAMENTO OPERATIVO</t>
  </si>
  <si>
    <t>E-COMMERCE &amp; DIGITAL TRANSFORMA</t>
  </si>
  <si>
    <t>PROD. AREA PROF.LE E GEST.PIATT</t>
  </si>
  <si>
    <t>PRODOTTI PUBLISHING &amp; DIGITAL</t>
  </si>
  <si>
    <t>DATA PLATFORM</t>
  </si>
  <si>
    <t>CONTROLLO QUALITA'</t>
  </si>
  <si>
    <t>PROGR. PROD. E GEST. CARTA</t>
  </si>
  <si>
    <t>ASSISTENTI EDITORIALI</t>
  </si>
  <si>
    <t>GRAFICI DI REDAZIONE</t>
  </si>
  <si>
    <t>LAB24</t>
  </si>
  <si>
    <t>GRAFICI INFOGRAFICI</t>
  </si>
  <si>
    <t>SUPPORTI REDAZIONALI</t>
  </si>
  <si>
    <t>SEGRETERIE REDAZIONE MILANO</t>
  </si>
  <si>
    <t>SEGRETERIE REDAZIONE ROMA</t>
  </si>
  <si>
    <t>DATI BORSE E MERCATI</t>
  </si>
  <si>
    <t>MARKETING EDITORIALE</t>
  </si>
  <si>
    <t>DG PUBLISHING E DIGITAL</t>
  </si>
  <si>
    <t>SVILUPPO DIGITALE MKTG EDITORIA</t>
  </si>
  <si>
    <t>LOGISTICA</t>
  </si>
  <si>
    <t>DIFFUSIONE</t>
  </si>
  <si>
    <t>PIANIFICAZ. E CONTROLLO COMM.LE</t>
  </si>
  <si>
    <t>VENDITE ABBON. NUOVI E RINNOVI</t>
  </si>
  <si>
    <t>DIREZIONE QUOTIDIANO</t>
  </si>
  <si>
    <t>REDAZIONI ITALIA</t>
  </si>
  <si>
    <t>REDAZIONE E CORRISP BRUXELLES</t>
  </si>
  <si>
    <t>REDAZIONE E CORRISP FRANCOFORTE</t>
  </si>
  <si>
    <t>REDAZIONE MILANO</t>
  </si>
  <si>
    <t>NOVA 24</t>
  </si>
  <si>
    <t>SEGRETERIA RED. ALTRI PERIODICI</t>
  </si>
  <si>
    <t>REDAZIONE ROMA</t>
  </si>
  <si>
    <t>STRUTTURA MEDIA FACTORY ENEL</t>
  </si>
  <si>
    <t>RCO+ FINANZA E MERCATI MI</t>
  </si>
  <si>
    <t>RCO+ FINANZA E MERCATI RM</t>
  </si>
  <si>
    <t>SUPPORTI AGENZIA</t>
  </si>
  <si>
    <t>ON LINE REDAZIONE</t>
  </si>
  <si>
    <t>PIANIF. E IMPAGINAZ. QUOTIDIANO</t>
  </si>
  <si>
    <t>OPERATIONS EDITORIALE ADVERTISI</t>
  </si>
  <si>
    <t>PIANIF. E IMPAG. PERIOD E RADIO</t>
  </si>
  <si>
    <t>GESTIONE PROVVIGIONE AGENTI</t>
  </si>
  <si>
    <t>MARKETING SYSTEM 24</t>
  </si>
  <si>
    <t>SVILUPPO DIGITAL ADVERTISING</t>
  </si>
  <si>
    <t>DIGITAL MARKETING ADVERTISING</t>
  </si>
  <si>
    <t>VENDITE ADVT TIPOLOGIA DI SERV.</t>
  </si>
  <si>
    <t>OPERATIONS SYSTEM 24</t>
  </si>
  <si>
    <t>SALES PLANNING &amp; REPORTING</t>
  </si>
  <si>
    <t>SEGRETERIA COMMERCIALE</t>
  </si>
  <si>
    <t>SUPPORTI SEGRETARIALI</t>
  </si>
  <si>
    <t>PIANIFICAZIONE WEB</t>
  </si>
  <si>
    <t>PROGRAMMATIC</t>
  </si>
  <si>
    <t>EDITORI ESTERI</t>
  </si>
  <si>
    <t>REDAZIONE FISCO E LAVORO</t>
  </si>
  <si>
    <t>REDAZIONE FISCO</t>
  </si>
  <si>
    <t>REDAZIONE FISCO - TRENTO</t>
  </si>
  <si>
    <t>REDAZIONE LAVORO</t>
  </si>
  <si>
    <t>REDAZIONE DIRITTO E FONTI NORM.</t>
  </si>
  <si>
    <t>RCO+ NORME E P.A.</t>
  </si>
  <si>
    <t>DIGITAL MARKETING SERV. PROF.</t>
  </si>
  <si>
    <t>SOFTWARE GESTIONALI</t>
  </si>
  <si>
    <t>REDAZIONE PARTNER 24 ORE FISCO</t>
  </si>
  <si>
    <t>RCO+ ECONOMIA E SERVIZI</t>
  </si>
  <si>
    <t>VENDITE PROFESSIONISTI E PA LOC</t>
  </si>
  <si>
    <t>SUPPORTO COMMERCIALE E SALES AC</t>
  </si>
  <si>
    <t>SVILUPPO CANALI E INIZIATIVE SP</t>
  </si>
  <si>
    <t>BUSINESS DATA MANAGEMENT</t>
  </si>
  <si>
    <t>COMUNICAZIONE E REL. ESTERNE</t>
  </si>
  <si>
    <t>AMMINISTRAZIONE VENDITE</t>
  </si>
  <si>
    <t>GESTIONE ORDINI COMMERCIALI</t>
  </si>
  <si>
    <t>CUSTOMER CARE</t>
  </si>
  <si>
    <t>REDAZIONE ESPERTO RISPONDE</t>
  </si>
  <si>
    <t>MARKETING SVILUPPO DIGITALE</t>
  </si>
  <si>
    <t>E-COMMERCE</t>
  </si>
  <si>
    <t>REDAZIONE AREE TECNICHE E P.A.</t>
  </si>
  <si>
    <t>PIATTAFORME INFORMATIVE BUS.DEV</t>
  </si>
  <si>
    <t>SOLUZIONI RADIOCOR</t>
  </si>
  <si>
    <t>PRODOTTI PERSONALIZZATI</t>
  </si>
  <si>
    <t>ANALISI MKTG E REPORTING - PROF</t>
  </si>
  <si>
    <t>RADIO MARKETING &amp; ADVERTISING</t>
  </si>
  <si>
    <t>ALTA FREQUENZA</t>
  </si>
  <si>
    <t>BASSA FREQUENZA</t>
  </si>
  <si>
    <t>SERVIZI RADIOFONICI</t>
  </si>
  <si>
    <t>REDAZIONE GIORNALISTICA NEWS</t>
  </si>
  <si>
    <t>PRODUZIONE PROGRAMMI RADIO</t>
  </si>
  <si>
    <t>REDAZIONE GIORNALISTICA PROGRAM</t>
  </si>
  <si>
    <t>TECNICI DI REGIA</t>
  </si>
  <si>
    <t>BANDI E GARE D'APPALTO</t>
  </si>
  <si>
    <t>MUDEC E TICKETING</t>
  </si>
  <si>
    <t>BIGLIETTERIA</t>
  </si>
  <si>
    <t>OPERATIONS MOSTRE 24 ORE CULTUR</t>
  </si>
  <si>
    <t>OPERATIONS MUDEC 24 ORE CULTURA</t>
  </si>
  <si>
    <t>EDITORIA &amp; BOOKSHOP</t>
  </si>
  <si>
    <t>MOSTRE</t>
  </si>
  <si>
    <t>COMUNICAZIONE DI PRODOTTO</t>
  </si>
  <si>
    <t>COMMERCIALE MOSTRE</t>
  </si>
  <si>
    <t>PRIVACY E SICUREZZA DATI</t>
  </si>
  <si>
    <t>INFRASTRUTTURE E IT NETWORKING</t>
  </si>
  <si>
    <t>POLITICHE COMMERCIALI DIFF.LOG.</t>
  </si>
  <si>
    <t>LUNEDI'</t>
  </si>
  <si>
    <t>RCO+ FINANZA E MERCATI PD</t>
  </si>
  <si>
    <t>ANALISI E RICERCHE SYSTEM24</t>
  </si>
  <si>
    <t>VENDITE CENTRI MEDIA E AGENZIE</t>
  </si>
  <si>
    <t>AREA DIRITTO, TECNICI, PA E FONTI</t>
  </si>
  <si>
    <t>PRODUCT MANAGEMENT</t>
  </si>
  <si>
    <t>FINANCIAL SERVICES</t>
  </si>
  <si>
    <t>PRODOTTI SETTORE FINANZA</t>
  </si>
  <si>
    <t>MARKETING E COMUNICAZIONE</t>
  </si>
  <si>
    <t>SALES</t>
  </si>
  <si>
    <t>EVENTI RADIO24</t>
  </si>
  <si>
    <t>SUPPORTO TECNICO E HSE</t>
  </si>
  <si>
    <t>STUDI E ANALISI</t>
  </si>
  <si>
    <t>Onboarding</t>
  </si>
  <si>
    <t xml:space="preserve">Attivazione Onboarding </t>
  </si>
  <si>
    <t>Per questa qualifica NON è presito Onboarding su intranet</t>
  </si>
  <si>
    <t>Q</t>
  </si>
  <si>
    <t>SOLE STAGE</t>
  </si>
  <si>
    <t>ITALIA</t>
  </si>
  <si>
    <t>@24orecultura.com</t>
  </si>
  <si>
    <t>@radio24.it</t>
  </si>
  <si>
    <t>@ilsole24ore.com</t>
  </si>
  <si>
    <t>Aggiutno a mano</t>
  </si>
  <si>
    <t>DESTINAZIONE (da Pivot)</t>
  </si>
  <si>
    <t>PROVENIENZA  (da Pivot)</t>
  </si>
  <si>
    <t>DESTINAZIONE  (da Pivot)</t>
  </si>
  <si>
    <t>Suffissi email</t>
  </si>
  <si>
    <t>E-mail (proposta)</t>
  </si>
  <si>
    <t>E-mail suffisso (proposta)</t>
  </si>
  <si>
    <t>IncaricoSGSL</t>
  </si>
  <si>
    <t>ALTRI INCARICHI</t>
  </si>
  <si>
    <t>Note su Unità</t>
  </si>
  <si>
    <t>Processo</t>
  </si>
  <si>
    <t>Funzione</t>
  </si>
  <si>
    <t>CdcAmministrazione</t>
  </si>
  <si>
    <t>Responsabilediretto</t>
  </si>
  <si>
    <t>TOP?verificarli</t>
  </si>
  <si>
    <t>Richiedente SF</t>
  </si>
  <si>
    <t>NO_ORG1e2liv</t>
  </si>
  <si>
    <t>Free</t>
  </si>
  <si>
    <t>Titolare_Privacy</t>
  </si>
  <si>
    <t>Ruolo_Privacy</t>
  </si>
  <si>
    <t>Privacy_SI</t>
  </si>
  <si>
    <t>NOME_UNITAPrivacy</t>
  </si>
  <si>
    <t>ID_Privacy</t>
  </si>
  <si>
    <t>CODPADRE_Privacy</t>
  </si>
  <si>
    <t>Ruolo in SB/CAP</t>
  </si>
  <si>
    <t>Ruolo in GeCo</t>
  </si>
  <si>
    <t>Ruolo in procedure IT</t>
  </si>
  <si>
    <t>IACOVELLI</t>
  </si>
  <si>
    <t>ALESSANDRA</t>
  </si>
  <si>
    <t>CVLLSN80R49D643R</t>
  </si>
  <si>
    <t>FOGGIA</t>
  </si>
  <si>
    <t>Boromei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</si>
</sst>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[$-410]d\ mmmm\ yyyy;@"/>
    <numFmt numFmtId="165" formatCode="[$-410]d\-mmm\-yy;@"/>
    <numFmt numFmtId="166" formatCode="dd/mm/yy;@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3" tint="0.39997558519241921"/>
      <name val="Calibri"/>
      <family val="2"/>
      <scheme val="minor"/>
    </font>
    <font>
      <sz val="10"/>
      <color indexed="8"/>
      <name val="MS Sans Serif"/>
    </font>
    <font>
      <i/>
      <u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6" tint="-0.24997711111789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62"/>
      <name val="Calibri"/>
      <family val="2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70C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indexed="3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FD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CBB3E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FF"/>
        <bgColor indexed="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double">
        <color indexed="54"/>
      </top>
      <bottom style="thin">
        <color indexed="5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double">
        <color indexed="5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ouble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/>
      <bottom style="thin">
        <color indexed="54"/>
      </bottom>
      <diagonal/>
    </border>
    <border>
      <left style="thin">
        <color indexed="54"/>
      </left>
      <right style="thin">
        <color indexed="54"/>
      </right>
      <top/>
      <bottom/>
      <diagonal/>
    </border>
  </borders>
  <cellStyleXfs count="6">
    <xf numFmtId="0" fontId="0" fillId="0" borderId="0"/>
    <xf numFmtId="9" fontId="12" fillId="0" borderId="0" applyFont="0" applyFill="0" applyBorder="0" applyAlignment="0" applyProtection="0"/>
    <xf numFmtId="0" fontId="14" fillId="0" borderId="0"/>
    <xf numFmtId="0" fontId="9" fillId="0" borderId="0"/>
    <xf numFmtId="0" fontId="9" fillId="0" borderId="0"/>
    <xf numFmtId="44" fontId="12" fillId="0" borderId="0" applyFont="0" applyFill="0" applyBorder="0" applyAlignment="0" applyProtection="0"/>
  </cellStyleXfs>
  <cellXfs count="192">
    <xf numFmtId="0" fontId="0" fillId="0" borderId="0" xfId="0"/>
    <xf numFmtId="0" fontId="6" fillId="8" borderId="1" xfId="0" applyFont="1" applyFill="1" applyBorder="1" applyAlignment="1">
      <alignment horizontal="left" vertical="top" indent="1"/>
    </xf>
    <xf numFmtId="0" fontId="6" fillId="8" borderId="4" xfId="0" applyFont="1" applyFill="1" applyBorder="1" applyAlignment="1">
      <alignment horizontal="left" vertical="top" indent="1"/>
    </xf>
    <xf numFmtId="0" fontId="6" fillId="0" borderId="1" xfId="0" applyFont="1" applyBorder="1" applyAlignment="1">
      <alignment horizontal="left" vertical="top" indent="1"/>
    </xf>
    <xf numFmtId="0" fontId="7" fillId="0" borderId="3" xfId="0" applyFont="1" applyBorder="1" applyAlignment="1">
      <alignment horizontal="left" vertical="top" indent="1"/>
    </xf>
    <xf numFmtId="165" fontId="6" fillId="0" borderId="1" xfId="0" applyNumberFormat="1" applyFont="1" applyBorder="1" applyAlignment="1">
      <alignment horizontal="left" vertical="top" indent="1"/>
    </xf>
    <xf numFmtId="0" fontId="5" fillId="6" borderId="5" xfId="0" applyFont="1" applyFill="1" applyBorder="1" applyAlignment="1">
      <alignment horizontal="center" textRotation="90"/>
    </xf>
    <xf numFmtId="0" fontId="5" fillId="6" borderId="5" xfId="0" applyFont="1" applyFill="1" applyBorder="1" applyAlignment="1">
      <alignment horizontal="center" textRotation="90" wrapText="1"/>
    </xf>
    <xf numFmtId="0" fontId="0" fillId="0" borderId="0" xfId="0" applyAlignment="1">
      <alignment horizontal="left" vertical="top" indent="1"/>
    </xf>
    <xf numFmtId="164" fontId="0" fillId="6" borderId="1" xfId="0" applyNumberFormat="1" applyFill="1" applyBorder="1" applyAlignment="1">
      <alignment horizontal="left" vertical="top" indent="1"/>
    </xf>
    <xf numFmtId="0" fontId="8" fillId="0" borderId="0" xfId="0" applyFont="1" applyAlignment="1">
      <alignment horizontal="left" vertical="top" indent="15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/>
    </xf>
    <xf numFmtId="14" fontId="6" fillId="0" borderId="1" xfId="0" applyNumberFormat="1" applyFont="1" applyBorder="1" applyAlignment="1">
      <alignment horizontal="left" vertical="top" indent="1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6" fillId="0" borderId="4" xfId="0" applyFont="1" applyBorder="1" applyAlignment="1">
      <alignment horizontal="left" vertical="top" indent="1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14" fontId="7" fillId="0" borderId="1" xfId="0" applyNumberFormat="1" applyFont="1" applyBorder="1" applyAlignment="1">
      <alignment horizontal="left" vertical="top" indent="1"/>
    </xf>
    <xf numFmtId="14" fontId="7" fillId="0" borderId="4" xfId="0" applyNumberFormat="1" applyFont="1" applyBorder="1" applyAlignment="1">
      <alignment horizontal="left" vertical="top" indent="1"/>
    </xf>
    <xf numFmtId="14" fontId="6" fillId="0" borderId="3" xfId="0" applyNumberFormat="1" applyFont="1" applyBorder="1" applyAlignment="1">
      <alignment horizontal="left" vertical="top" indent="1"/>
    </xf>
    <xf numFmtId="0" fontId="2" fillId="8" borderId="1" xfId="0" applyFont="1" applyFill="1" applyBorder="1" applyAlignment="1">
      <alignment horizontal="left" vertical="top" indent="2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vertical="top" wrapText="1"/>
    </xf>
    <xf numFmtId="0" fontId="7" fillId="8" borderId="1" xfId="0" applyFont="1" applyFill="1" applyBorder="1" applyAlignment="1">
      <alignment horizontal="left" vertical="top" indent="2"/>
    </xf>
    <xf numFmtId="0" fontId="6" fillId="8" borderId="3" xfId="0" applyFont="1" applyFill="1" applyBorder="1" applyAlignment="1">
      <alignment horizontal="left" vertical="top" wrapText="1" indent="1"/>
    </xf>
    <xf numFmtId="0" fontId="6" fillId="8" borderId="1" xfId="0" applyFont="1" applyFill="1" applyBorder="1" applyAlignment="1">
      <alignment horizontal="left" vertical="top" wrapText="1" indent="1"/>
    </xf>
    <xf numFmtId="0" fontId="0" fillId="0" borderId="0" xfId="0" pivotButton="1"/>
    <xf numFmtId="0" fontId="0" fillId="0" borderId="0" xfId="0" applyAlignment="1">
      <alignment horizontal="left" inden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7" borderId="0" xfId="0" applyFont="1" applyFill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6" fillId="8" borderId="1" xfId="0" applyFont="1" applyFill="1" applyBorder="1" applyAlignment="1">
      <alignment horizontal="left" vertical="top" indent="2"/>
    </xf>
    <xf numFmtId="0" fontId="0" fillId="4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1" fillId="7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11" fillId="7" borderId="2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49" fontId="3" fillId="2" borderId="0" xfId="0" applyNumberFormat="1" applyFont="1" applyFill="1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7" fillId="8" borderId="4" xfId="0" applyFont="1" applyFill="1" applyBorder="1" applyAlignment="1">
      <alignment horizontal="left" vertical="top" indent="3"/>
    </xf>
    <xf numFmtId="0" fontId="13" fillId="0" borderId="0" xfId="0" applyFont="1" applyAlignment="1">
      <alignment vertical="top"/>
    </xf>
    <xf numFmtId="14" fontId="3" fillId="2" borderId="0" xfId="0" applyNumberFormat="1" applyFont="1" applyFill="1" applyAlignment="1">
      <alignment vertical="top"/>
    </xf>
    <xf numFmtId="0" fontId="6" fillId="10" borderId="12" xfId="0" applyFont="1" applyFill="1" applyBorder="1" applyAlignment="1">
      <alignment wrapText="1"/>
    </xf>
    <xf numFmtId="0" fontId="6" fillId="10" borderId="2" xfId="0" applyFont="1" applyFill="1" applyBorder="1"/>
    <xf numFmtId="0" fontId="0" fillId="0" borderId="0" xfId="0" quotePrefix="1" applyAlignment="1">
      <alignment horizontal="left" vertical="top" indent="1"/>
    </xf>
    <xf numFmtId="0" fontId="2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2" fillId="8" borderId="3" xfId="0" applyFont="1" applyFill="1" applyBorder="1" applyAlignment="1">
      <alignment horizontal="left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6" fillId="6" borderId="5" xfId="0" applyFont="1" applyFill="1" applyBorder="1" applyAlignment="1">
      <alignment horizontal="center" textRotation="90" wrapText="1"/>
    </xf>
    <xf numFmtId="0" fontId="6" fillId="0" borderId="2" xfId="0" quotePrefix="1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8" fillId="0" borderId="0" xfId="0" applyFont="1" applyAlignment="1">
      <alignment vertical="top"/>
    </xf>
    <xf numFmtId="165" fontId="6" fillId="11" borderId="1" xfId="0" applyNumberFormat="1" applyFont="1" applyFill="1" applyBorder="1" applyAlignment="1" applyProtection="1">
      <alignment horizontal="left" vertical="top" indent="1"/>
      <protection locked="0"/>
    </xf>
    <xf numFmtId="0" fontId="6" fillId="11" borderId="1" xfId="0" applyFont="1" applyFill="1" applyBorder="1" applyAlignment="1" applyProtection="1">
      <alignment horizontal="left" vertical="top" indent="1"/>
      <protection locked="0"/>
    </xf>
    <xf numFmtId="14" fontId="6" fillId="11" borderId="1" xfId="0" applyNumberFormat="1" applyFont="1" applyFill="1" applyBorder="1" applyAlignment="1" applyProtection="1">
      <alignment horizontal="left" vertical="top" indent="1"/>
      <protection locked="0"/>
    </xf>
    <xf numFmtId="49" fontId="6" fillId="11" borderId="1" xfId="0" applyNumberFormat="1" applyFont="1" applyFill="1" applyBorder="1" applyAlignment="1" applyProtection="1">
      <alignment horizontal="left" vertical="top" indent="1"/>
      <protection locked="0"/>
    </xf>
    <xf numFmtId="0" fontId="6" fillId="11" borderId="4" xfId="0" applyFont="1" applyFill="1" applyBorder="1" applyAlignment="1" applyProtection="1">
      <alignment horizontal="left" vertical="top" indent="1"/>
      <protection locked="0"/>
    </xf>
    <xf numFmtId="0" fontId="7" fillId="11" borderId="3" xfId="0" applyFont="1" applyFill="1" applyBorder="1" applyAlignment="1" applyProtection="1">
      <alignment horizontal="left"/>
      <protection locked="0"/>
    </xf>
    <xf numFmtId="49" fontId="7" fillId="11" borderId="1" xfId="0" applyNumberFormat="1" applyFont="1" applyFill="1" applyBorder="1" applyAlignment="1" applyProtection="1">
      <alignment horizontal="left" vertical="top" indent="1"/>
      <protection locked="0"/>
    </xf>
    <xf numFmtId="14" fontId="7" fillId="11" borderId="1" xfId="0" applyNumberFormat="1" applyFont="1" applyFill="1" applyBorder="1" applyAlignment="1" applyProtection="1">
      <alignment horizontal="left" vertical="top" indent="1"/>
      <protection locked="0"/>
    </xf>
    <xf numFmtId="14" fontId="6" fillId="11" borderId="3" xfId="0" applyNumberFormat="1" applyFont="1" applyFill="1" applyBorder="1" applyAlignment="1" applyProtection="1">
      <alignment horizontal="left" vertical="top" indent="1"/>
      <protection locked="0"/>
    </xf>
    <xf numFmtId="165" fontId="6" fillId="11" borderId="1" xfId="0" applyNumberFormat="1" applyFont="1" applyFill="1" applyBorder="1" applyAlignment="1" applyProtection="1">
      <alignment horizontal="left" vertical="top" indent="4"/>
      <protection locked="0"/>
    </xf>
    <xf numFmtId="0" fontId="5" fillId="12" borderId="5" xfId="0" applyFont="1" applyFill="1" applyBorder="1" applyAlignment="1">
      <alignment horizontal="center" textRotation="90"/>
    </xf>
    <xf numFmtId="0" fontId="5" fillId="12" borderId="5" xfId="0" applyFont="1" applyFill="1" applyBorder="1" applyAlignment="1">
      <alignment horizontal="center" textRotation="90" wrapText="1"/>
    </xf>
    <xf numFmtId="164" fontId="0" fillId="6" borderId="1" xfId="0" applyNumberFormat="1" applyFill="1" applyBorder="1" applyAlignment="1">
      <alignment horizontal="left" vertical="top" wrapText="1" indent="1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indent="1"/>
    </xf>
    <xf numFmtId="0" fontId="17" fillId="11" borderId="1" xfId="0" applyFont="1" applyFill="1" applyBorder="1" applyAlignment="1" applyProtection="1">
      <alignment horizontal="left" vertical="top" indent="1"/>
      <protection locked="0"/>
    </xf>
    <xf numFmtId="0" fontId="0" fillId="0" borderId="0" xfId="0" applyAlignment="1">
      <alignment horizontal="right" vertical="top" indent="1"/>
    </xf>
    <xf numFmtId="0" fontId="6" fillId="1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2" xfId="0" applyFill="1" applyBorder="1" applyAlignment="1">
      <alignment vertical="top" wrapText="1"/>
    </xf>
    <xf numFmtId="14" fontId="0" fillId="0" borderId="2" xfId="0" applyNumberFormat="1" applyBorder="1" applyAlignment="1">
      <alignment vertical="top"/>
    </xf>
    <xf numFmtId="0" fontId="6" fillId="8" borderId="1" xfId="0" applyFont="1" applyFill="1" applyBorder="1" applyAlignment="1">
      <alignment horizontal="left" vertical="top" indent="3"/>
    </xf>
    <xf numFmtId="0" fontId="3" fillId="2" borderId="2" xfId="0" applyFont="1" applyFill="1" applyBorder="1" applyAlignment="1">
      <alignment vertical="top"/>
    </xf>
    <xf numFmtId="0" fontId="0" fillId="3" borderId="0" xfId="0" applyFill="1" applyAlignment="1">
      <alignment vertical="top" wrapText="1"/>
    </xf>
    <xf numFmtId="0" fontId="6" fillId="10" borderId="12" xfId="0" applyFont="1" applyFill="1" applyBorder="1" applyAlignment="1">
      <alignment horizontal="left" vertical="top" wrapText="1" indent="1"/>
    </xf>
    <xf numFmtId="0" fontId="6" fillId="10" borderId="12" xfId="0" applyFont="1" applyFill="1" applyBorder="1" applyAlignment="1">
      <alignment horizontal="left" vertical="top" indent="1"/>
    </xf>
    <xf numFmtId="0" fontId="0" fillId="0" borderId="12" xfId="0" applyBorder="1" applyAlignment="1">
      <alignment horizontal="left" vertical="top" wrapText="1" indent="1"/>
    </xf>
    <xf numFmtId="14" fontId="6" fillId="11" borderId="3" xfId="0" applyNumberFormat="1" applyFont="1" applyFill="1" applyBorder="1" applyAlignment="1" applyProtection="1">
      <alignment horizontal="left" vertical="top" wrapText="1" indent="1"/>
      <protection locked="0"/>
    </xf>
    <xf numFmtId="0" fontId="6" fillId="0" borderId="1" xfId="0" applyFont="1" applyBorder="1" applyAlignment="1">
      <alignment horizontal="left" vertical="top" indent="3"/>
    </xf>
    <xf numFmtId="14" fontId="6" fillId="0" borderId="1" xfId="0" applyNumberFormat="1" applyFont="1" applyBorder="1" applyAlignment="1">
      <alignment horizontal="left" vertical="top" wrapText="1" indent="3"/>
    </xf>
    <xf numFmtId="14" fontId="6" fillId="0" borderId="1" xfId="0" applyNumberFormat="1" applyFont="1" applyBorder="1" applyAlignment="1">
      <alignment horizontal="left" vertical="top" indent="3"/>
    </xf>
    <xf numFmtId="14" fontId="7" fillId="0" borderId="1" xfId="0" applyNumberFormat="1" applyFont="1" applyBorder="1" applyAlignment="1">
      <alignment horizontal="left" vertical="top" wrapText="1" indent="1"/>
    </xf>
    <xf numFmtId="0" fontId="6" fillId="8" borderId="13" xfId="0" applyFont="1" applyFill="1" applyBorder="1" applyAlignment="1">
      <alignment horizontal="left" vertical="top" indent="1"/>
    </xf>
    <xf numFmtId="165" fontId="6" fillId="0" borderId="13" xfId="0" applyNumberFormat="1" applyFont="1" applyBorder="1" applyAlignment="1">
      <alignment horizontal="left" vertical="top" indent="1"/>
    </xf>
    <xf numFmtId="165" fontId="6" fillId="11" borderId="1" xfId="0" applyNumberFormat="1" applyFont="1" applyFill="1" applyBorder="1" applyAlignment="1" applyProtection="1">
      <alignment horizontal="left" vertical="top" wrapText="1" indent="1"/>
      <protection locked="0"/>
    </xf>
    <xf numFmtId="0" fontId="4" fillId="3" borderId="2" xfId="0" applyFont="1" applyFill="1" applyBorder="1" applyAlignment="1">
      <alignment vertical="top" wrapText="1"/>
    </xf>
    <xf numFmtId="0" fontId="0" fillId="24" borderId="0" xfId="0" applyFill="1"/>
    <xf numFmtId="0" fontId="0" fillId="0" borderId="0" xfId="0" applyAlignment="1">
      <alignment horizontal="right"/>
    </xf>
    <xf numFmtId="0" fontId="0" fillId="24" borderId="0" xfId="0" applyFill="1" applyAlignment="1">
      <alignment horizontal="right"/>
    </xf>
    <xf numFmtId="0" fontId="0" fillId="9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9" borderId="2" xfId="0" applyFill="1" applyBorder="1" applyAlignment="1">
      <alignment vertical="top"/>
    </xf>
    <xf numFmtId="165" fontId="0" fillId="9" borderId="2" xfId="0" applyNumberFormat="1" applyFill="1" applyBorder="1" applyAlignment="1">
      <alignment vertical="top"/>
    </xf>
    <xf numFmtId="14" fontId="0" fillId="9" borderId="2" xfId="0" applyNumberFormat="1" applyFill="1" applyBorder="1" applyAlignment="1">
      <alignment vertical="top"/>
    </xf>
    <xf numFmtId="0" fontId="0" fillId="0" borderId="14" xfId="0" applyBorder="1"/>
    <xf numFmtId="0" fontId="0" fillId="2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4" xfId="0" applyFont="1" applyBorder="1"/>
    <xf numFmtId="0" fontId="0" fillId="0" borderId="14" xfId="0" quotePrefix="1" applyBorder="1"/>
    <xf numFmtId="0" fontId="25" fillId="0" borderId="15" xfId="4" applyFont="1" applyBorder="1" applyAlignment="1">
      <alignment vertical="top"/>
    </xf>
    <xf numFmtId="0" fontId="0" fillId="24" borderId="0" xfId="0" applyFill="1" applyAlignment="1">
      <alignment horizontal="left" indent="1"/>
    </xf>
    <xf numFmtId="0" fontId="6" fillId="8" borderId="16" xfId="0" applyFont="1" applyFill="1" applyBorder="1" applyAlignment="1">
      <alignment horizontal="left" vertical="top" wrapText="1" indent="1"/>
    </xf>
    <xf numFmtId="14" fontId="6" fillId="0" borderId="16" xfId="0" applyNumberFormat="1" applyFont="1" applyBorder="1" applyAlignment="1">
      <alignment horizontal="left" vertical="top" indent="1"/>
    </xf>
    <xf numFmtId="14" fontId="6" fillId="11" borderId="16" xfId="0" applyNumberFormat="1" applyFont="1" applyFill="1" applyBorder="1" applyAlignment="1" applyProtection="1">
      <alignment horizontal="left" vertical="top" indent="1"/>
      <protection locked="0"/>
    </xf>
    <xf numFmtId="0" fontId="7" fillId="0" borderId="17" xfId="0" applyFont="1" applyBorder="1" applyAlignment="1">
      <alignment horizontal="left" vertical="top" indent="1"/>
    </xf>
    <xf numFmtId="0" fontId="26" fillId="0" borderId="1" xfId="0" applyFont="1" applyBorder="1" applyAlignment="1">
      <alignment horizontal="left" vertical="top" indent="1"/>
    </xf>
    <xf numFmtId="14" fontId="6" fillId="0" borderId="1" xfId="0" applyNumberFormat="1" applyFont="1" applyBorder="1" applyAlignment="1">
      <alignment horizontal="left" vertical="top" wrapText="1" indent="1"/>
    </xf>
    <xf numFmtId="0" fontId="6" fillId="11" borderId="1" xfId="0" applyFont="1" applyFill="1" applyBorder="1" applyAlignment="1" applyProtection="1">
      <alignment horizontal="left" vertical="top" wrapText="1" indent="1"/>
      <protection locked="0"/>
    </xf>
    <xf numFmtId="0" fontId="26" fillId="11" borderId="1" xfId="0" applyFont="1" applyFill="1" applyBorder="1" applyAlignment="1" applyProtection="1">
      <alignment horizontal="left" vertical="top" indent="1"/>
      <protection locked="0"/>
    </xf>
    <xf numFmtId="49" fontId="21" fillId="14" borderId="0" xfId="0" applyNumberFormat="1" applyFont="1" applyFill="1" applyAlignment="1">
      <alignment vertical="top"/>
    </xf>
    <xf numFmtId="49" fontId="21" fillId="28" borderId="0" xfId="0" applyNumberFormat="1" applyFont="1" applyFill="1" applyAlignment="1">
      <alignment vertical="top"/>
    </xf>
    <xf numFmtId="49" fontId="21" fillId="14" borderId="0" xfId="0" applyNumberFormat="1" applyFont="1" applyFill="1" applyAlignment="1">
      <alignment horizontal="left" vertical="top"/>
    </xf>
    <xf numFmtId="49" fontId="27" fillId="29" borderId="0" xfId="0" applyNumberFormat="1" applyFont="1" applyFill="1" applyAlignment="1">
      <alignment vertical="top"/>
    </xf>
    <xf numFmtId="0" fontId="28" fillId="14" borderId="0" xfId="0" applyFont="1" applyFill="1" applyAlignment="1">
      <alignment horizontal="left" vertical="top"/>
    </xf>
    <xf numFmtId="49" fontId="21" fillId="3" borderId="0" xfId="0" applyNumberFormat="1" applyFont="1" applyFill="1" applyAlignment="1">
      <alignment horizontal="center" vertical="top"/>
    </xf>
    <xf numFmtId="0" fontId="22" fillId="2" borderId="0" xfId="0" applyFont="1" applyFill="1" applyAlignment="1">
      <alignment horizontal="left" vertical="top"/>
    </xf>
    <xf numFmtId="0" fontId="21" fillId="14" borderId="0" xfId="0" applyFont="1" applyFill="1" applyAlignment="1">
      <alignment vertical="top"/>
    </xf>
    <xf numFmtId="0" fontId="28" fillId="14" borderId="0" xfId="0" applyFont="1" applyFill="1" applyAlignment="1">
      <alignment vertical="top"/>
    </xf>
    <xf numFmtId="9" fontId="21" fillId="2" borderId="0" xfId="1" applyFont="1" applyFill="1" applyBorder="1" applyAlignment="1">
      <alignment horizontal="center" vertical="top"/>
    </xf>
    <xf numFmtId="49" fontId="21" fillId="2" borderId="0" xfId="0" applyNumberFormat="1" applyFont="1" applyFill="1" applyAlignment="1">
      <alignment vertical="top"/>
    </xf>
    <xf numFmtId="49" fontId="22" fillId="2" borderId="0" xfId="0" applyNumberFormat="1" applyFont="1" applyFill="1" applyAlignment="1">
      <alignment vertical="top"/>
    </xf>
    <xf numFmtId="49" fontId="28" fillId="14" borderId="0" xfId="0" applyNumberFormat="1" applyFont="1" applyFill="1" applyAlignment="1">
      <alignment vertical="top"/>
    </xf>
    <xf numFmtId="49" fontId="28" fillId="14" borderId="0" xfId="0" applyNumberFormat="1" applyFont="1" applyFill="1" applyAlignment="1">
      <alignment horizontal="center" vertical="top"/>
    </xf>
    <xf numFmtId="0" fontId="21" fillId="15" borderId="0" xfId="0" applyFont="1" applyFill="1" applyAlignment="1">
      <alignment vertical="top"/>
    </xf>
    <xf numFmtId="49" fontId="21" fillId="16" borderId="0" xfId="0" applyNumberFormat="1" applyFont="1" applyFill="1" applyAlignment="1">
      <alignment vertical="top"/>
    </xf>
    <xf numFmtId="49" fontId="29" fillId="17" borderId="0" xfId="0" applyNumberFormat="1" applyFont="1" applyFill="1" applyAlignment="1">
      <alignment vertical="top"/>
    </xf>
    <xf numFmtId="49" fontId="21" fillId="0" borderId="0" xfId="0" applyNumberFormat="1" applyFont="1" applyAlignment="1">
      <alignment horizontal="left" vertical="top"/>
    </xf>
    <xf numFmtId="49" fontId="21" fillId="18" borderId="0" xfId="0" applyNumberFormat="1" applyFont="1" applyFill="1" applyAlignment="1">
      <alignment vertical="top"/>
    </xf>
    <xf numFmtId="49" fontId="21" fillId="18" borderId="0" xfId="0" applyNumberFormat="1" applyFont="1" applyFill="1" applyAlignment="1">
      <alignment horizontal="left" vertical="top"/>
    </xf>
    <xf numFmtId="0" fontId="21" fillId="18" borderId="0" xfId="0" applyFont="1" applyFill="1" applyAlignment="1">
      <alignment horizontal="left" vertical="top"/>
    </xf>
    <xf numFmtId="14" fontId="23" fillId="18" borderId="0" xfId="2" applyNumberFormat="1" applyFont="1" applyFill="1" applyAlignment="1">
      <alignment horizontal="center" vertical="top"/>
    </xf>
    <xf numFmtId="166" fontId="23" fillId="18" borderId="0" xfId="2" applyNumberFormat="1" applyFont="1" applyFill="1" applyAlignment="1">
      <alignment horizontal="center" vertical="top"/>
    </xf>
    <xf numFmtId="1" fontId="21" fillId="18" borderId="0" xfId="0" applyNumberFormat="1" applyFont="1" applyFill="1" applyAlignment="1">
      <alignment vertical="top"/>
    </xf>
    <xf numFmtId="44" fontId="21" fillId="18" borderId="0" xfId="5" applyFont="1" applyFill="1" applyAlignment="1">
      <alignment vertical="top"/>
    </xf>
    <xf numFmtId="166" fontId="23" fillId="18" borderId="0" xfId="2" applyNumberFormat="1" applyFont="1" applyFill="1" applyAlignment="1">
      <alignment vertical="top"/>
    </xf>
    <xf numFmtId="166" fontId="21" fillId="18" borderId="0" xfId="0" applyNumberFormat="1" applyFont="1" applyFill="1" applyAlignment="1">
      <alignment horizontal="center" vertical="top"/>
    </xf>
    <xf numFmtId="49" fontId="21" fillId="18" borderId="0" xfId="0" applyNumberFormat="1" applyFont="1" applyFill="1" applyAlignment="1">
      <alignment horizontal="center" vertical="top"/>
    </xf>
    <xf numFmtId="0" fontId="30" fillId="29" borderId="0" xfId="0" applyFont="1" applyFill="1" applyAlignment="1">
      <alignment vertical="top"/>
    </xf>
    <xf numFmtId="166" fontId="30" fillId="29" borderId="0" xfId="0" applyNumberFormat="1" applyFont="1" applyFill="1" applyAlignment="1">
      <alignment vertical="top"/>
    </xf>
    <xf numFmtId="0" fontId="24" fillId="19" borderId="0" xfId="0" applyFont="1" applyFill="1" applyAlignment="1">
      <alignment horizontal="center" vertical="top"/>
    </xf>
    <xf numFmtId="49" fontId="21" fillId="20" borderId="0" xfId="0" applyNumberFormat="1" applyFont="1" applyFill="1" applyAlignment="1">
      <alignment vertical="top"/>
    </xf>
    <xf numFmtId="0" fontId="23" fillId="21" borderId="0" xfId="2" applyFont="1" applyFill="1" applyAlignment="1">
      <alignment horizontal="center" vertical="top"/>
    </xf>
    <xf numFmtId="0" fontId="21" fillId="21" borderId="0" xfId="2" applyFont="1" applyFill="1" applyAlignment="1">
      <alignment horizontal="left" vertical="top"/>
    </xf>
    <xf numFmtId="0" fontId="24" fillId="21" borderId="0" xfId="2" applyFont="1" applyFill="1" applyAlignment="1">
      <alignment horizontal="center" vertical="top"/>
    </xf>
    <xf numFmtId="49" fontId="21" fillId="22" borderId="0" xfId="0" applyNumberFormat="1" applyFont="1" applyFill="1" applyAlignment="1">
      <alignment horizontal="left" vertical="top"/>
    </xf>
    <xf numFmtId="49" fontId="21" fillId="14" borderId="0" xfId="0" applyNumberFormat="1" applyFont="1" applyFill="1" applyAlignment="1">
      <alignment horizontal="center" vertical="top"/>
    </xf>
    <xf numFmtId="49" fontId="24" fillId="12" borderId="0" xfId="0" applyNumberFormat="1" applyFont="1" applyFill="1" applyAlignment="1">
      <alignment vertical="top"/>
    </xf>
    <xf numFmtId="0" fontId="23" fillId="25" borderId="0" xfId="3" applyFont="1" applyFill="1" applyAlignment="1">
      <alignment horizontal="center" vertical="top"/>
    </xf>
    <xf numFmtId="0" fontId="23" fillId="26" borderId="0" xfId="3" applyFont="1" applyFill="1" applyAlignment="1">
      <alignment horizontal="center" vertical="top"/>
    </xf>
    <xf numFmtId="0" fontId="21" fillId="30" borderId="0" xfId="3" applyFont="1" applyFill="1" applyAlignment="1">
      <alignment horizontal="center" vertical="top"/>
    </xf>
    <xf numFmtId="0" fontId="23" fillId="27" borderId="0" xfId="3" applyFont="1" applyFill="1" applyAlignment="1">
      <alignment horizontal="center" vertical="top"/>
    </xf>
    <xf numFmtId="0" fontId="24" fillId="27" borderId="0" xfId="3" applyFont="1" applyFill="1" applyAlignment="1">
      <alignment horizontal="center" vertical="top"/>
    </xf>
    <xf numFmtId="49" fontId="24" fillId="18" borderId="0" xfId="0" applyNumberFormat="1" applyFont="1" applyFill="1" applyAlignment="1">
      <alignment vertical="top"/>
    </xf>
    <xf numFmtId="0" fontId="23" fillId="27" borderId="0" xfId="3" applyFont="1" applyFill="1" applyAlignment="1">
      <alignment vertical="top"/>
    </xf>
    <xf numFmtId="0" fontId="22" fillId="3" borderId="0" xfId="0" applyFont="1" applyFill="1" applyAlignment="1">
      <alignment vertical="top"/>
    </xf>
    <xf numFmtId="0" fontId="22" fillId="23" borderId="0" xfId="0" applyFont="1" applyFill="1" applyAlignment="1">
      <alignment vertical="top"/>
    </xf>
    <xf numFmtId="0" fontId="21" fillId="23" borderId="0" xfId="0" applyFont="1" applyFill="1" applyAlignment="1">
      <alignment horizontal="center" vertical="top"/>
    </xf>
    <xf numFmtId="0" fontId="21" fillId="23" borderId="0" xfId="0" applyFont="1" applyFill="1" applyAlignment="1">
      <alignment vertical="top"/>
    </xf>
    <xf numFmtId="0" fontId="22" fillId="2" borderId="0" xfId="0" applyFont="1" applyFill="1" applyAlignment="1">
      <alignment vertical="top"/>
    </xf>
    <xf numFmtId="0" fontId="21" fillId="2" borderId="0" xfId="0" applyFont="1" applyFill="1" applyAlignment="1">
      <alignment horizontal="center" vertical="top"/>
    </xf>
    <xf numFmtId="0" fontId="21" fillId="2" borderId="0" xfId="0" applyFont="1" applyFill="1" applyAlignment="1">
      <alignment vertical="top"/>
    </xf>
    <xf numFmtId="0" fontId="21" fillId="31" borderId="0" xfId="0" applyFont="1" applyFill="1" applyAlignment="1">
      <alignment vertical="top"/>
    </xf>
    <xf numFmtId="0" fontId="21" fillId="32" borderId="0" xfId="0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31" fillId="0" borderId="0" xfId="0" applyFont="1"/>
  </cellXfs>
  <cellStyles count="6">
    <cellStyle name="Normale" xfId="0" builtinId="0"/>
    <cellStyle name="Normale_DB_1" xfId="4" xr:uid="{3FC52608-6C22-43A8-ADBD-0C994787894E}"/>
    <cellStyle name="Normale_DB_ORG (2)" xfId="3" xr:uid="{00000000-0005-0000-0000-000001000000}"/>
    <cellStyle name="Normale_Foglio1" xfId="2" xr:uid="{00000000-0005-0000-0000-000002000000}"/>
    <cellStyle name="Percentuale" xfId="1" builtinId="5"/>
    <cellStyle name="Valuta" xfId="5" builtinId="4"/>
  </cellStyles>
  <dxfs count="0"/>
  <tableStyles count="0" defaultTableStyle="TableStyleMedium2" defaultPivotStyle="PivotStyleMedium9"/>
  <colors>
    <mruColors>
      <color rgb="FFF2FFD5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1133475</xdr:colOff>
      <xdr:row>1</xdr:row>
      <xdr:rowOff>104775</xdr:rowOff>
    </xdr:to>
    <xdr:pic>
      <xdr:nvPicPr>
        <xdr:cNvPr id="2" name="Picture 1" descr="LOGO GRUPP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34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>
    <pageSetUpPr fitToPage="1"/>
  </sheetPr>
  <dimension ref="A1:D47"/>
  <sheetViews>
    <sheetView showGridLines="0" tabSelected="1" zoomScale="85" zoomScaleNormal="85"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J15" sqref="J15"/>
    </sheetView>
  </sheetViews>
  <sheetFormatPr defaultRowHeight="15" x14ac:dyDescent="0.25"/>
  <cols>
    <col min="1" max="1" width="40.7109375" style="8" customWidth="1"/>
    <col min="2" max="2" width="11.85546875" style="8" customWidth="1"/>
    <col min="3" max="3" width="45.85546875" style="8" customWidth="1"/>
    <col min="4" max="4" width="5.5703125" style="11" customWidth="1"/>
    <col min="33" max="33" width="10.85546875" bestFit="1" customWidth="1"/>
  </cols>
  <sheetData>
    <row r="1" spans="1:4" ht="21" x14ac:dyDescent="0.25">
      <c r="A1" s="10" t="s">
        <v>258</v>
      </c>
    </row>
    <row r="2" spans="1:4" x14ac:dyDescent="0.25">
      <c r="C2" s="11"/>
    </row>
    <row r="3" spans="1:4" x14ac:dyDescent="0.25">
      <c r="A3" s="92" t="str">
        <f>IF(B3="","","Oggetto e-mail: ")</f>
        <v xml:space="preserve">Oggetto e-mail: </v>
      </c>
      <c r="B3" s="8" t="str">
        <f>IF(C6="","",CONCATENATE("Comunic. ",C6,": ",C7," ",C8," - ",C22," - ",C20," - ",TEXT(C5,"gg.mm.aa")))</f>
        <v>Comunic. INGRESSO: IACOVELLI ALESSANDRA - DIRIGENTE - MILANO                  - 16.03.26</v>
      </c>
      <c r="C3" s="11"/>
    </row>
    <row r="4" spans="1:4" ht="30" x14ac:dyDescent="0.25">
      <c r="A4" s="9" t="s">
        <v>78</v>
      </c>
      <c r="B4" s="9" t="s">
        <v>77</v>
      </c>
      <c r="C4" s="88" t="s">
        <v>255</v>
      </c>
      <c r="D4" s="7" t="s">
        <v>256</v>
      </c>
    </row>
    <row r="5" spans="1:4" x14ac:dyDescent="0.25">
      <c r="A5" s="1" t="s">
        <v>0</v>
      </c>
      <c r="B5" s="5"/>
      <c r="C5" s="76">
        <v>46097</v>
      </c>
      <c r="D5" s="52"/>
    </row>
    <row r="6" spans="1:4" x14ac:dyDescent="0.25">
      <c r="A6" s="1" t="s">
        <v>1</v>
      </c>
      <c r="B6" s="5"/>
      <c r="C6" s="77" t="s">
        <v>2</v>
      </c>
      <c r="D6" s="91" t="s">
        <v>257</v>
      </c>
    </row>
    <row r="7" spans="1:4" x14ac:dyDescent="0.25">
      <c r="A7" s="1" t="s">
        <v>3</v>
      </c>
      <c r="B7" s="3"/>
      <c r="C7" s="134" t="s">
        <v>745</v>
      </c>
      <c r="D7" s="52"/>
    </row>
    <row r="8" spans="1:4" x14ac:dyDescent="0.25">
      <c r="A8" s="1" t="s">
        <v>4</v>
      </c>
      <c r="B8" s="3"/>
      <c r="C8" s="77" t="s">
        <v>746</v>
      </c>
      <c r="D8" s="52"/>
    </row>
    <row r="9" spans="1:4" x14ac:dyDescent="0.25">
      <c r="A9" s="1" t="s">
        <v>81</v>
      </c>
      <c r="B9" s="3" t="str">
        <f>Elenchi!B27</f>
        <v>F</v>
      </c>
      <c r="C9" s="77" t="s">
        <v>101</v>
      </c>
      <c r="D9" s="91" t="s">
        <v>257</v>
      </c>
    </row>
    <row r="10" spans="1:4" x14ac:dyDescent="0.25">
      <c r="A10" s="1" t="s">
        <v>5</v>
      </c>
      <c r="B10" s="3"/>
      <c r="C10" s="77" t="s">
        <v>747</v>
      </c>
      <c r="D10" s="52"/>
    </row>
    <row r="11" spans="1:4" x14ac:dyDescent="0.25">
      <c r="A11" s="1" t="s">
        <v>26</v>
      </c>
      <c r="B11" s="13"/>
      <c r="C11" s="76">
        <v>29503</v>
      </c>
      <c r="D11" s="52"/>
    </row>
    <row r="12" spans="1:4" x14ac:dyDescent="0.25">
      <c r="A12" s="43" t="s">
        <v>79</v>
      </c>
      <c r="B12" s="13"/>
      <c r="C12" s="78" t="s">
        <v>748</v>
      </c>
      <c r="D12" s="52"/>
    </row>
    <row r="13" spans="1:4" x14ac:dyDescent="0.25">
      <c r="A13" s="43" t="s">
        <v>212</v>
      </c>
      <c r="B13" s="13"/>
      <c r="C13" s="78" t="s">
        <v>748</v>
      </c>
      <c r="D13" s="52"/>
    </row>
    <row r="14" spans="1:4" x14ac:dyDescent="0.25">
      <c r="A14" s="43" t="s">
        <v>80</v>
      </c>
      <c r="B14" s="13"/>
      <c r="C14" s="78" t="s">
        <v>714</v>
      </c>
      <c r="D14" s="52"/>
    </row>
    <row r="15" spans="1:4" x14ac:dyDescent="0.25">
      <c r="A15" s="1" t="s">
        <v>6</v>
      </c>
      <c r="B15" s="3">
        <f>IF(C15="","",Elenchi!E3)</f>
        <v>15</v>
      </c>
      <c r="C15" s="77" t="s">
        <v>456</v>
      </c>
      <c r="D15" s="91" t="s">
        <v>257</v>
      </c>
    </row>
    <row r="16" spans="1:4" x14ac:dyDescent="0.25">
      <c r="A16" s="1" t="s">
        <v>7</v>
      </c>
      <c r="B16" s="3"/>
      <c r="C16" s="104" t="str">
        <f>IF(B18="","",Elenchi!Q3)</f>
        <v>DG I&amp;S - DIR INFORMATION TECHNOLOGY</v>
      </c>
      <c r="D16" s="52" t="s">
        <v>49</v>
      </c>
    </row>
    <row r="17" spans="1:4" ht="20.100000000000001" customHeight="1" x14ac:dyDescent="0.25">
      <c r="A17" s="1" t="s">
        <v>11</v>
      </c>
      <c r="B17" s="3"/>
      <c r="C17" s="105" t="str">
        <f>IF(B18="","",Elenchi!O3)</f>
        <v>DIR INFORMATION TECHNOLOGY</v>
      </c>
      <c r="D17" s="52" t="s">
        <v>49</v>
      </c>
    </row>
    <row r="18" spans="1:4" x14ac:dyDescent="0.25">
      <c r="A18" s="1" t="s">
        <v>99</v>
      </c>
      <c r="B18" s="79" t="s">
        <v>516</v>
      </c>
      <c r="C18" s="106" t="str">
        <f>IF(B18="","",Elenchi!M3)</f>
        <v>DIR INFORMATION TECHNOLOGY</v>
      </c>
      <c r="D18" s="91" t="s">
        <v>257</v>
      </c>
    </row>
    <row r="19" spans="1:4" x14ac:dyDescent="0.25">
      <c r="A19" s="1" t="s">
        <v>250</v>
      </c>
      <c r="B19" s="13"/>
      <c r="C19" s="78" t="s">
        <v>469</v>
      </c>
      <c r="D19" s="91" t="s">
        <v>257</v>
      </c>
    </row>
    <row r="20" spans="1:4" x14ac:dyDescent="0.25">
      <c r="A20" s="97" t="s">
        <v>280</v>
      </c>
      <c r="B20" s="3" t="str">
        <f>IF(C19="","",Elenchi!J3)</f>
        <v>34</v>
      </c>
      <c r="C20" s="13" t="str">
        <f>IF(C19="","",Elenchi!H3)</f>
        <v xml:space="preserve">MILANO                 </v>
      </c>
      <c r="D20" s="52"/>
    </row>
    <row r="21" spans="1:4" x14ac:dyDescent="0.25">
      <c r="A21" s="1" t="s">
        <v>283</v>
      </c>
      <c r="B21" s="3" t="str">
        <f>IF(C21="","",Elenchi!B34)</f>
        <v>02</v>
      </c>
      <c r="C21" s="77" t="s">
        <v>235</v>
      </c>
      <c r="D21" s="91" t="s">
        <v>257</v>
      </c>
    </row>
    <row r="22" spans="1:4" x14ac:dyDescent="0.25">
      <c r="A22" s="1" t="s">
        <v>213</v>
      </c>
      <c r="B22" s="3" t="str">
        <f>IF(C22="","",Elenchi!B54)</f>
        <v>D</v>
      </c>
      <c r="C22" s="77" t="s">
        <v>89</v>
      </c>
      <c r="D22" s="91" t="s">
        <v>257</v>
      </c>
    </row>
    <row r="23" spans="1:4" x14ac:dyDescent="0.25">
      <c r="A23" s="1" t="s">
        <v>453</v>
      </c>
      <c r="B23" s="3">
        <f>IF(C23="","",C23)</f>
        <v>3176</v>
      </c>
      <c r="C23" s="77">
        <v>3176</v>
      </c>
      <c r="D23" s="52"/>
    </row>
    <row r="24" spans="1:4" x14ac:dyDescent="0.25">
      <c r="A24" s="1" t="s">
        <v>313</v>
      </c>
      <c r="B24" s="3"/>
      <c r="C24" s="77" t="s">
        <v>314</v>
      </c>
      <c r="D24" s="91" t="s">
        <v>257</v>
      </c>
    </row>
    <row r="25" spans="1:4" x14ac:dyDescent="0.25">
      <c r="A25" s="1" t="s">
        <v>262</v>
      </c>
      <c r="B25" s="3"/>
      <c r="C25" s="77" t="s">
        <v>261</v>
      </c>
      <c r="D25" s="91" t="s">
        <v>257</v>
      </c>
    </row>
    <row r="26" spans="1:4" x14ac:dyDescent="0.25">
      <c r="A26" s="1" t="s">
        <v>724</v>
      </c>
      <c r="B26" s="3"/>
      <c r="C26" s="78" t="s">
        <v>717</v>
      </c>
      <c r="D26" s="91" t="s">
        <v>257</v>
      </c>
    </row>
    <row r="27" spans="1:4" x14ac:dyDescent="0.25">
      <c r="A27" s="1" t="s">
        <v>723</v>
      </c>
      <c r="B27" s="3"/>
      <c r="C27" s="135" t="str">
        <f>IF(C7="","",CONCATENATE(_xlfn.TEXTBEFORE(CONCATENATE(LOWER(REPLACE(C8,1,,""))," ")," "),".",LOWER(REPLACE(C7,1,,"")),C26))</f>
        <v>alessandra.iacovelli@ilsole24ore.com</v>
      </c>
      <c r="D27" s="52"/>
    </row>
    <row r="28" spans="1:4" x14ac:dyDescent="0.25">
      <c r="A28" s="1" t="s">
        <v>82</v>
      </c>
      <c r="B28" s="5" t="str">
        <f>IF(C28="","",Elenchi!B71)</f>
        <v>S</v>
      </c>
      <c r="C28" s="76" t="s">
        <v>84</v>
      </c>
      <c r="D28" s="91" t="s">
        <v>257</v>
      </c>
    </row>
    <row r="29" spans="1:4" x14ac:dyDescent="0.25">
      <c r="A29" s="1" t="s">
        <v>18</v>
      </c>
      <c r="B29" s="5"/>
      <c r="C29" s="76"/>
      <c r="D29" s="52"/>
    </row>
    <row r="30" spans="1:4" x14ac:dyDescent="0.25">
      <c r="A30" s="1" t="s">
        <v>13</v>
      </c>
      <c r="B30" s="5"/>
      <c r="C30" s="110"/>
      <c r="D30" s="52"/>
    </row>
    <row r="31" spans="1:4" x14ac:dyDescent="0.25">
      <c r="A31" s="1" t="s">
        <v>284</v>
      </c>
      <c r="B31" s="5" t="str">
        <f>IF(C31="","",Elenchi!B82)</f>
        <v>IMP_VDT</v>
      </c>
      <c r="C31" s="76" t="s">
        <v>294</v>
      </c>
      <c r="D31" s="91" t="s">
        <v>257</v>
      </c>
    </row>
    <row r="32" spans="1:4" x14ac:dyDescent="0.25">
      <c r="A32" s="108" t="s">
        <v>308</v>
      </c>
      <c r="B32" s="109"/>
      <c r="C32" s="109" t="str">
        <f>IF(C6="INGRESSO",IF(C21="","",IF(C21="Contratto a Part. IVA","NO","SI")),"")</f>
        <v>SI</v>
      </c>
      <c r="D32" s="52"/>
    </row>
    <row r="33" spans="1:4" ht="15.75" thickBot="1" x14ac:dyDescent="0.3">
      <c r="A33" s="2" t="s">
        <v>10</v>
      </c>
      <c r="B33" s="16"/>
      <c r="C33" s="80" t="s">
        <v>749</v>
      </c>
      <c r="D33" s="16"/>
    </row>
    <row r="34" spans="1:4" ht="30.75" thickTop="1" x14ac:dyDescent="0.25">
      <c r="A34" s="67" t="s">
        <v>222</v>
      </c>
      <c r="B34" s="66" t="str">
        <f>IF(C34="","",Elenchi!U3)</f>
        <v/>
      </c>
      <c r="C34" s="81"/>
      <c r="D34" s="91" t="s">
        <v>257</v>
      </c>
    </row>
    <row r="35" spans="1:4" x14ac:dyDescent="0.25">
      <c r="A35" s="28" t="s">
        <v>7</v>
      </c>
      <c r="B35" s="90" t="str">
        <f>IF(C35="","",Elenchi!AF3)</f>
        <v/>
      </c>
      <c r="C35" s="107" t="str">
        <f>IF(B37="","",Elenchi!AG3)</f>
        <v/>
      </c>
      <c r="D35" s="65"/>
    </row>
    <row r="36" spans="1:4" x14ac:dyDescent="0.25">
      <c r="A36" s="28" t="s">
        <v>11</v>
      </c>
      <c r="B36" s="90" t="str">
        <f>IF(C36="","",Elenchi!AD3)</f>
        <v/>
      </c>
      <c r="C36" s="107" t="str">
        <f>IF(B37="","",Elenchi!AE3)</f>
        <v/>
      </c>
      <c r="D36" s="65"/>
    </row>
    <row r="37" spans="1:4" x14ac:dyDescent="0.25">
      <c r="A37" s="28" t="s">
        <v>99</v>
      </c>
      <c r="B37" s="82"/>
      <c r="C37" s="107" t="str">
        <f>IF(B37="","",Elenchi!AC3)</f>
        <v/>
      </c>
      <c r="D37" s="91" t="s">
        <v>257</v>
      </c>
    </row>
    <row r="38" spans="1:4" x14ac:dyDescent="0.25">
      <c r="A38" s="24" t="s">
        <v>250</v>
      </c>
      <c r="B38" s="21"/>
      <c r="C38" s="83"/>
      <c r="D38" s="91" t="s">
        <v>257</v>
      </c>
    </row>
    <row r="39" spans="1:4" ht="15.75" thickBot="1" x14ac:dyDescent="0.3">
      <c r="A39" s="59" t="s">
        <v>280</v>
      </c>
      <c r="B39" s="22" t="str">
        <f>IF(C38="","",Elenchi!Z3)</f>
        <v/>
      </c>
      <c r="C39" s="21" t="str">
        <f>IF(C38="","",Elenchi!X3)</f>
        <v/>
      </c>
      <c r="D39" s="89"/>
    </row>
    <row r="40" spans="1:4" ht="30.75" thickTop="1" x14ac:dyDescent="0.25">
      <c r="A40" s="29" t="s">
        <v>19</v>
      </c>
      <c r="B40" s="23"/>
      <c r="C40" s="84"/>
      <c r="D40" s="4"/>
    </row>
    <row r="41" spans="1:4" x14ac:dyDescent="0.25">
      <c r="A41" s="128" t="s">
        <v>20</v>
      </c>
      <c r="B41" s="129"/>
      <c r="C41" s="130"/>
      <c r="D41" s="131"/>
    </row>
    <row r="42" spans="1:4" ht="31.5" customHeight="1" thickBot="1" x14ac:dyDescent="0.3">
      <c r="A42" s="30" t="s">
        <v>710</v>
      </c>
      <c r="B42" s="77"/>
      <c r="C42" s="133" t="str">
        <f>IF(B42="","",Elenchi!B129)</f>
        <v/>
      </c>
      <c r="D42" s="3"/>
    </row>
    <row r="43" spans="1:4" ht="41.25" customHeight="1" thickTop="1" x14ac:dyDescent="0.25">
      <c r="A43" s="29" t="s">
        <v>32</v>
      </c>
      <c r="B43" s="23"/>
      <c r="C43" s="103"/>
      <c r="D43" s="4"/>
    </row>
    <row r="44" spans="1:4" x14ac:dyDescent="0.25">
      <c r="A44" s="64" t="s">
        <v>285</v>
      </c>
    </row>
    <row r="46" spans="1:4" x14ac:dyDescent="0.25">
      <c r="A46" s="32" t="s">
        <v>253</v>
      </c>
    </row>
    <row r="47" spans="1:4" x14ac:dyDescent="0.25">
      <c r="A47" s="85" t="s">
        <v>254</v>
      </c>
    </row>
  </sheetData>
  <dataConsolidate/>
  <dataValidations count="15">
    <dataValidation type="list" allowBlank="1" showInputMessage="1" showErrorMessage="1" sqref="C6" xr:uid="{00000000-0002-0000-0000-000000000000}">
      <formula1>MOVIMENTO</formula1>
    </dataValidation>
    <dataValidation type="list" allowBlank="1" showInputMessage="1" showErrorMessage="1" sqref="C15" xr:uid="{00000000-0002-0000-0000-000001000000}">
      <formula1>DESTINAZIONE_SOCIETA</formula1>
    </dataValidation>
    <dataValidation type="list" allowBlank="1" showInputMessage="1" showErrorMessage="1" sqref="C19" xr:uid="{00000000-0002-0000-0000-000002000000}">
      <formula1>DESTINAZIONE_VIA</formula1>
    </dataValidation>
    <dataValidation type="list" allowBlank="1" showInputMessage="1" showErrorMessage="1" sqref="C9" xr:uid="{00000000-0002-0000-0000-000003000000}">
      <formula1>SESSO</formula1>
    </dataValidation>
    <dataValidation type="list" allowBlank="1" showInputMessage="1" showErrorMessage="1" sqref="C31" xr:uid="{00000000-0002-0000-0000-000004000000}">
      <formula1>MANSIONE</formula1>
    </dataValidation>
    <dataValidation type="list" allowBlank="1" showInputMessage="1" showErrorMessage="1" sqref="C22" xr:uid="{00000000-0002-0000-0000-000005000000}">
      <formula1>QUALIFICA</formula1>
    </dataValidation>
    <dataValidation type="list" allowBlank="1" showInputMessage="1" showErrorMessage="1" sqref="C28" xr:uid="{00000000-0002-0000-0000-000006000000}">
      <formula1>STATO</formula1>
    </dataValidation>
    <dataValidation type="list" allowBlank="1" showInputMessage="1" showErrorMessage="1" sqref="B18" xr:uid="{00000000-0002-0000-0000-000007000000}">
      <formula1>DESTINAZIONE_CDC</formula1>
    </dataValidation>
    <dataValidation type="list" allowBlank="1" showInputMessage="1" showErrorMessage="1" sqref="B37" xr:uid="{00000000-0002-0000-0000-000008000000}">
      <formula1>PROVENIENZA_CDC</formula1>
    </dataValidation>
    <dataValidation type="list" allowBlank="1" showInputMessage="1" showErrorMessage="1" sqref="C34" xr:uid="{00000000-0002-0000-0000-000009000000}">
      <formula1>PROVENIENZA_SOCIETA</formula1>
    </dataValidation>
    <dataValidation type="list" allowBlank="1" showInputMessage="1" showErrorMessage="1" sqref="C21" xr:uid="{00000000-0002-0000-0000-00000A000000}">
      <formula1>CONTRATTO</formula1>
    </dataValidation>
    <dataValidation type="list" allowBlank="1" showInputMessage="1" showErrorMessage="1" sqref="C38" xr:uid="{00000000-0002-0000-0000-00000B000000}">
      <formula1>PROVENIENZA_VIA</formula1>
    </dataValidation>
    <dataValidation type="list" allowBlank="1" showInputMessage="1" showErrorMessage="1" sqref="C25" xr:uid="{00000000-0002-0000-0000-00000C000000}">
      <formula1>EMAIL</formula1>
    </dataValidation>
    <dataValidation type="list" allowBlank="1" showInputMessage="1" showErrorMessage="1" sqref="C24" xr:uid="{00000000-0002-0000-0000-00000D000000}">
      <formula1>TELELAVORO</formula1>
    </dataValidation>
    <dataValidation type="list" showInputMessage="1" showErrorMessage="1" sqref="B42" xr:uid="{F1E58A1F-D464-4910-9D05-53E4C24890FF}">
      <formula1>ONBOARDING</formula1>
    </dataValidation>
  </dataValidations>
  <printOptions horizontalCentered="1"/>
  <pageMargins left="0.39370078740157483" right="0.39370078740157483" top="0.74803149606299213" bottom="0.74803149606299213" header="0.31496062992125984" footer="0.31496062992125984"/>
  <pageSetup paperSize="9" scale="72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D9D54E4F-9AAA-41AA-9C3A-2B7235AC9448}">
          <x14:formula1>
            <xm:f>Elenchi!$D$29:$D$34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topLeftCell="M1" zoomScale="70" zoomScaleNormal="70" workbookViewId="0">
      <selection activeCell="S2" sqref="S2"/>
    </sheetView>
  </sheetViews>
  <sheetFormatPr defaultColWidth="9.140625" defaultRowHeight="15" x14ac:dyDescent="0.25"/>
  <cols>
    <col min="1" max="1" width="19.28515625" style="34" customWidth="1"/>
    <col min="2" max="2" width="17.140625" style="34" customWidth="1"/>
    <col min="3" max="3" width="18.5703125" style="34" customWidth="1"/>
    <col min="4" max="4" width="15.85546875" style="34" customWidth="1"/>
    <col min="5" max="5" width="12" style="34" bestFit="1" customWidth="1"/>
    <col min="6" max="8" width="10.7109375" style="34" bestFit="1" customWidth="1"/>
    <col min="9" max="9" width="12" style="34" customWidth="1"/>
    <col min="10" max="10" width="12.85546875" style="34" customWidth="1"/>
    <col min="11" max="11" width="16.140625" style="34" customWidth="1"/>
    <col min="12" max="12" width="41" style="34" customWidth="1"/>
    <col min="13" max="13" width="15.28515625" style="34" customWidth="1"/>
    <col min="14" max="14" width="18.140625" style="34" customWidth="1"/>
    <col min="15" max="15" width="10.7109375" style="34" bestFit="1" customWidth="1"/>
    <col min="16" max="16" width="9.140625" style="34"/>
    <col min="17" max="17" width="23.5703125" style="34" customWidth="1"/>
    <col min="18" max="19" width="9.140625" style="34"/>
    <col min="20" max="20" width="12.7109375" style="34" customWidth="1"/>
    <col min="21" max="21" width="27.5703125" style="34" customWidth="1"/>
    <col min="22" max="22" width="19.7109375" style="34" customWidth="1"/>
    <col min="23" max="23" width="12.28515625" style="34" customWidth="1"/>
    <col min="24" max="24" width="18.85546875" style="34" customWidth="1"/>
    <col min="25" max="16384" width="9.140625" style="34"/>
  </cols>
  <sheetData>
    <row r="1" spans="1:36" ht="60" x14ac:dyDescent="0.25">
      <c r="A1" s="95" t="s">
        <v>263</v>
      </c>
      <c r="B1" s="95" t="s">
        <v>264</v>
      </c>
      <c r="C1" s="95" t="s">
        <v>265</v>
      </c>
      <c r="D1" s="95" t="s">
        <v>266</v>
      </c>
      <c r="E1" s="95" t="s">
        <v>267</v>
      </c>
      <c r="F1" s="95" t="s">
        <v>268</v>
      </c>
      <c r="G1" s="95" t="s">
        <v>269</v>
      </c>
      <c r="H1" s="95" t="s">
        <v>270</v>
      </c>
      <c r="I1" s="95" t="s">
        <v>309</v>
      </c>
      <c r="J1" s="95" t="s">
        <v>271</v>
      </c>
      <c r="K1" s="95" t="s">
        <v>74</v>
      </c>
      <c r="L1" s="95" t="s">
        <v>37</v>
      </c>
      <c r="M1" s="111" t="s">
        <v>311</v>
      </c>
      <c r="N1" s="95" t="s">
        <v>272</v>
      </c>
      <c r="O1" s="95" t="s">
        <v>273</v>
      </c>
      <c r="P1" s="95" t="s">
        <v>274</v>
      </c>
      <c r="Q1" s="95" t="s">
        <v>75</v>
      </c>
      <c r="R1" s="95" t="s">
        <v>76</v>
      </c>
      <c r="S1" s="95" t="s">
        <v>316</v>
      </c>
      <c r="T1" s="95" t="s">
        <v>275</v>
      </c>
      <c r="U1" s="95" t="s">
        <v>276</v>
      </c>
      <c r="V1" s="99" t="s">
        <v>286</v>
      </c>
      <c r="W1" s="93" t="s">
        <v>277</v>
      </c>
      <c r="X1" s="93" t="s">
        <v>278</v>
      </c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36" x14ac:dyDescent="0.25">
      <c r="A2" s="40" t="str">
        <f>IF('Scheda Movimento'!C7="","",'Scheda Movimento'!C7)</f>
        <v>IACOVELLI</v>
      </c>
      <c r="B2" s="40" t="str">
        <f>IF('Scheda Movimento'!C8="","",'Scheda Movimento'!C8)</f>
        <v>ALESSANDRA</v>
      </c>
      <c r="C2" s="40" t="str">
        <f>IF('Scheda Movimento'!C10="","",'Scheda Movimento'!C10)</f>
        <v>CVLLSN80R49D643R</v>
      </c>
      <c r="D2" s="40" t="str">
        <f>IF('Scheda Movimento'!C9="","",'Scheda Movimento'!B9)</f>
        <v>F</v>
      </c>
      <c r="E2" s="96">
        <f>IF('Scheda Movimento'!C11="","",'Scheda Movimento'!C11)</f>
        <v>29503</v>
      </c>
      <c r="F2" s="96" t="str">
        <f>IF('Scheda Movimento'!C12="","",'Scheda Movimento'!C12)</f>
        <v>FOGGIA</v>
      </c>
      <c r="G2" s="96" t="str">
        <f>IF('Scheda Movimento'!C13="","",'Scheda Movimento'!C13)</f>
        <v>FOGGIA</v>
      </c>
      <c r="H2" s="96" t="str">
        <f>IF('Scheda Movimento'!C14="","",'Scheda Movimento'!C14)</f>
        <v>ITALIA</v>
      </c>
      <c r="I2" s="96">
        <f>IF('Scheda Movimento'!C5="","",'Scheda Movimento'!C5)</f>
        <v>46097</v>
      </c>
      <c r="J2" s="96" t="str">
        <f>IF('Scheda Movimento'!C29="","",'Scheda Movimento'!C29)</f>
        <v/>
      </c>
      <c r="K2" s="40" t="str">
        <f>IF('Scheda Movimento'!C28="","",'Scheda Movimento'!B28)</f>
        <v>S</v>
      </c>
      <c r="L2" s="96" t="str">
        <f>IF('Scheda Movimento'!C15="","",IF(LEFT('Scheda Movimento'!C15,5)="Stage",SUBSTITUTE('Scheda Movimento'!C15,"Stage ",,1),IF(LEFT('Scheda Movimento'!C15,5)="Colla",SUBSTITUTE('Scheda Movimento'!C15,"Collaboratori - ",,1),IF(LEFT('Scheda Movimento'!C15,5)="Colla",SUBSTITUTE('Scheda Movimento'!C15,"Collaboratori ",,1),IF(LEFT('Scheda Movimento'!C15,5)="Inter",SUBSTITUTE('Scheda Movimento'!C15,"Interinali ",,1),'Scheda Movimento'!C15)))))</f>
        <v xml:space="preserve">IL SOLE 24 ORE S.P.A.                   </v>
      </c>
      <c r="M2" s="96" t="str">
        <f>IF('Scheda Movimento'!B18="","",'Scheda Movimento'!B18)</f>
        <v xml:space="preserve">415300      </v>
      </c>
      <c r="N2" s="96" t="str">
        <f>IF('Scheda Movimento'!C20="","",'Scheda Movimento'!C20)</f>
        <v xml:space="preserve">MILANO                 </v>
      </c>
      <c r="O2" s="96" t="str">
        <f>IF('Scheda Movimento'!C19="","",'Scheda Movimento'!C19)</f>
        <v>VIALE SARCA 223 - MILANO (MI)</v>
      </c>
      <c r="P2" s="40" t="str">
        <f>IF('Scheda Movimento'!C16="","",'Scheda Movimento'!C16)</f>
        <v>DG I&amp;S - DIR INFORMATION TECHNOLOGY</v>
      </c>
      <c r="Q2" s="40" t="str">
        <f>IF('Scheda Movimento'!C21="","",'Scheda Movimento'!B21)</f>
        <v>02</v>
      </c>
      <c r="R2" s="40" t="str">
        <f>IF('Scheda Movimento'!B22="","",IF(OR('Scheda Movimento'!B22="I",'Scheda Movimento'!B22="D",'Scheda Movimento'!B22="G",'Scheda Movimento'!B22="O",'Scheda Movimento'!B22="P",),'Scheda Movimento'!B22,""))</f>
        <v>D</v>
      </c>
      <c r="S2" s="40" t="str">
        <f>IF('Scheda Movimento'!C24="","",'Scheda Movimento'!C24)</f>
        <v>NO</v>
      </c>
      <c r="T2" s="40" t="str">
        <f>IF('Scheda Movimento'!B31="","",'Scheda Movimento'!B31)</f>
        <v>IMP_VDT</v>
      </c>
      <c r="U2" s="40" t="str">
        <f>IF('Scheda Movimento'!C31="","",'Scheda Movimento'!C31)</f>
        <v>IMPIEGATO CON USO VDT</v>
      </c>
      <c r="V2" s="96" t="str">
        <f>IF('Scheda Movimento'!C33="","",'Scheda Movimento'!C33)</f>
        <v>Boromei Paola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2"/>
  <sheetViews>
    <sheetView showGridLines="0" zoomScale="85" zoomScaleNormal="85" workbookViewId="0"/>
  </sheetViews>
  <sheetFormatPr defaultColWidth="9.140625" defaultRowHeight="15" x14ac:dyDescent="0.25"/>
  <cols>
    <col min="1" max="10" width="9.140625" style="34"/>
    <col min="11" max="11" width="10.85546875" style="34" bestFit="1" customWidth="1"/>
    <col min="12" max="43" width="9.140625" style="34"/>
    <col min="44" max="44" width="15.85546875" style="34" customWidth="1"/>
    <col min="45" max="63" width="9.140625" style="34"/>
    <col min="64" max="64" width="17.7109375" style="34" customWidth="1"/>
    <col min="65" max="16384" width="9.140625" style="34"/>
  </cols>
  <sheetData>
    <row r="1" spans="1:135" s="191" customFormat="1" ht="32.25" customHeight="1" x14ac:dyDescent="0.2">
      <c r="A1" s="136" t="s">
        <v>103</v>
      </c>
      <c r="B1" s="137" t="s">
        <v>104</v>
      </c>
      <c r="C1" s="138" t="s">
        <v>105</v>
      </c>
      <c r="D1" s="136" t="s">
        <v>106</v>
      </c>
      <c r="E1" s="136" t="s">
        <v>107</v>
      </c>
      <c r="F1" s="139" t="s">
        <v>725</v>
      </c>
      <c r="G1" s="140" t="s">
        <v>108</v>
      </c>
      <c r="H1" s="141" t="s">
        <v>109</v>
      </c>
      <c r="I1" s="142" t="s">
        <v>726</v>
      </c>
      <c r="J1" s="143" t="s">
        <v>110</v>
      </c>
      <c r="K1" s="136" t="s">
        <v>111</v>
      </c>
      <c r="L1" s="144" t="s">
        <v>112</v>
      </c>
      <c r="M1" s="144" t="s">
        <v>113</v>
      </c>
      <c r="N1" s="144" t="s">
        <v>114</v>
      </c>
      <c r="O1" s="144" t="s">
        <v>115</v>
      </c>
      <c r="P1" s="139" t="s">
        <v>727</v>
      </c>
      <c r="Q1" s="144" t="s">
        <v>9</v>
      </c>
      <c r="R1" s="136" t="s">
        <v>116</v>
      </c>
      <c r="S1" s="144" t="s">
        <v>117</v>
      </c>
      <c r="T1" s="144" t="s">
        <v>118</v>
      </c>
      <c r="U1" s="145" t="s">
        <v>728</v>
      </c>
      <c r="V1" s="146" t="s">
        <v>119</v>
      </c>
      <c r="W1" s="145" t="s">
        <v>729</v>
      </c>
      <c r="X1" s="147" t="s">
        <v>429</v>
      </c>
      <c r="Y1" s="148" t="s">
        <v>120</v>
      </c>
      <c r="Z1" s="148" t="s">
        <v>121</v>
      </c>
      <c r="AA1" s="149" t="s">
        <v>122</v>
      </c>
      <c r="AB1" s="150" t="s">
        <v>123</v>
      </c>
      <c r="AC1" s="151" t="s">
        <v>124</v>
      </c>
      <c r="AD1" s="152" t="s">
        <v>125</v>
      </c>
      <c r="AE1" s="153" t="s">
        <v>126</v>
      </c>
      <c r="AF1" s="154" t="s">
        <v>127</v>
      </c>
      <c r="AG1" s="154" t="s">
        <v>3</v>
      </c>
      <c r="AH1" s="154" t="s">
        <v>4</v>
      </c>
      <c r="AI1" s="154" t="s">
        <v>6</v>
      </c>
      <c r="AJ1" s="154" t="s">
        <v>7</v>
      </c>
      <c r="AK1" s="155" t="s">
        <v>71</v>
      </c>
      <c r="AL1" s="156" t="s">
        <v>730</v>
      </c>
      <c r="AM1" s="154" t="s">
        <v>128</v>
      </c>
      <c r="AN1" s="157" t="s">
        <v>129</v>
      </c>
      <c r="AO1" s="158" t="s">
        <v>130</v>
      </c>
      <c r="AP1" s="154" t="s">
        <v>81</v>
      </c>
      <c r="AQ1" s="154" t="s">
        <v>8</v>
      </c>
      <c r="AR1" s="154" t="s">
        <v>131</v>
      </c>
      <c r="AS1" s="154" t="s">
        <v>132</v>
      </c>
      <c r="AT1" s="154" t="s">
        <v>133</v>
      </c>
      <c r="AU1" s="154" t="s">
        <v>16</v>
      </c>
      <c r="AV1" s="159" t="s">
        <v>134</v>
      </c>
      <c r="AW1" s="154" t="s">
        <v>135</v>
      </c>
      <c r="AX1" s="154" t="s">
        <v>136</v>
      </c>
      <c r="AY1" s="154" t="s">
        <v>137</v>
      </c>
      <c r="AZ1" s="160" t="s">
        <v>304</v>
      </c>
      <c r="BA1" s="161" t="s">
        <v>138</v>
      </c>
      <c r="BB1" s="162" t="s">
        <v>139</v>
      </c>
      <c r="BC1" s="154" t="s">
        <v>140</v>
      </c>
      <c r="BD1" s="154" t="s">
        <v>141</v>
      </c>
      <c r="BE1" s="163" t="s">
        <v>142</v>
      </c>
      <c r="BF1" s="164" t="s">
        <v>731</v>
      </c>
      <c r="BG1" s="154" t="s">
        <v>143</v>
      </c>
      <c r="BH1" s="154" t="s">
        <v>144</v>
      </c>
      <c r="BI1" s="165" t="s">
        <v>148</v>
      </c>
      <c r="BJ1" s="166" t="s">
        <v>145</v>
      </c>
      <c r="BK1" s="167" t="s">
        <v>146</v>
      </c>
      <c r="BL1" s="167" t="s">
        <v>147</v>
      </c>
      <c r="BM1" s="168" t="s">
        <v>148</v>
      </c>
      <c r="BN1" s="169" t="s">
        <v>149</v>
      </c>
      <c r="BO1" s="170" t="s">
        <v>150</v>
      </c>
      <c r="BP1" s="168" t="s">
        <v>732</v>
      </c>
      <c r="BQ1" s="168" t="s">
        <v>151</v>
      </c>
      <c r="BR1" s="168" t="s">
        <v>152</v>
      </c>
      <c r="BS1" s="171" t="s">
        <v>153</v>
      </c>
      <c r="BT1" s="136" t="s">
        <v>154</v>
      </c>
      <c r="BU1" s="136" t="s">
        <v>155</v>
      </c>
      <c r="BV1" s="136" t="s">
        <v>156</v>
      </c>
      <c r="BW1" s="138" t="s">
        <v>157</v>
      </c>
      <c r="BX1" s="143" t="s">
        <v>158</v>
      </c>
      <c r="BY1" s="136" t="s">
        <v>159</v>
      </c>
      <c r="BZ1" s="138" t="s">
        <v>160</v>
      </c>
      <c r="CA1" s="136" t="s">
        <v>161</v>
      </c>
      <c r="CB1" s="136" t="s">
        <v>162</v>
      </c>
      <c r="CC1" s="136" t="s">
        <v>163</v>
      </c>
      <c r="CD1" s="136" t="s">
        <v>164</v>
      </c>
      <c r="CE1" s="136" t="s">
        <v>165</v>
      </c>
      <c r="CF1" s="172" t="s">
        <v>166</v>
      </c>
      <c r="CG1" s="136" t="s">
        <v>167</v>
      </c>
      <c r="CH1" s="136" t="s">
        <v>168</v>
      </c>
      <c r="CI1" s="136" t="s">
        <v>169</v>
      </c>
      <c r="CJ1" s="136" t="s">
        <v>170</v>
      </c>
      <c r="CK1" s="136" t="s">
        <v>171</v>
      </c>
      <c r="CL1" s="136" t="s">
        <v>172</v>
      </c>
      <c r="CM1" s="136" t="s">
        <v>173</v>
      </c>
      <c r="CN1" s="136" t="s">
        <v>174</v>
      </c>
      <c r="CO1" s="136" t="s">
        <v>175</v>
      </c>
      <c r="CP1" s="136" t="s">
        <v>176</v>
      </c>
      <c r="CQ1" s="136" t="s">
        <v>305</v>
      </c>
      <c r="CR1" s="136" t="s">
        <v>306</v>
      </c>
      <c r="CS1" s="136" t="s">
        <v>307</v>
      </c>
      <c r="CT1" s="136" t="s">
        <v>177</v>
      </c>
      <c r="CU1" s="146" t="s">
        <v>430</v>
      </c>
      <c r="CV1" s="173" t="s">
        <v>431</v>
      </c>
      <c r="CW1" s="174" t="s">
        <v>432</v>
      </c>
      <c r="CX1" s="174" t="s">
        <v>433</v>
      </c>
      <c r="CY1" s="174" t="s">
        <v>434</v>
      </c>
      <c r="CZ1" s="175" t="s">
        <v>435</v>
      </c>
      <c r="DA1" s="175" t="s">
        <v>436</v>
      </c>
      <c r="DB1" s="175" t="s">
        <v>437</v>
      </c>
      <c r="DC1" s="176" t="s">
        <v>438</v>
      </c>
      <c r="DD1" s="177" t="s">
        <v>439</v>
      </c>
      <c r="DE1" s="178" t="s">
        <v>440</v>
      </c>
      <c r="DF1" s="179" t="s">
        <v>441</v>
      </c>
      <c r="DG1" s="179" t="s">
        <v>4</v>
      </c>
      <c r="DH1" s="179" t="s">
        <v>442</v>
      </c>
      <c r="DI1" s="177" t="s">
        <v>733</v>
      </c>
      <c r="DJ1" s="180" t="s">
        <v>443</v>
      </c>
      <c r="DK1" s="180" t="s">
        <v>444</v>
      </c>
      <c r="DL1" s="180" t="s">
        <v>445</v>
      </c>
      <c r="DM1" s="177" t="s">
        <v>32</v>
      </c>
      <c r="DN1" s="143" t="s">
        <v>734</v>
      </c>
      <c r="DO1" s="181" t="s">
        <v>446</v>
      </c>
      <c r="DP1" s="143" t="s">
        <v>735</v>
      </c>
      <c r="DQ1" s="182" t="s">
        <v>447</v>
      </c>
      <c r="DR1" s="183" t="s">
        <v>448</v>
      </c>
      <c r="DS1" s="183" t="s">
        <v>449</v>
      </c>
      <c r="DT1" s="184" t="s">
        <v>450</v>
      </c>
      <c r="DU1" s="182" t="s">
        <v>452</v>
      </c>
      <c r="DV1" s="184" t="s">
        <v>451</v>
      </c>
      <c r="DW1" s="185" t="s">
        <v>736</v>
      </c>
      <c r="DX1" s="186" t="s">
        <v>737</v>
      </c>
      <c r="DY1" s="186" t="s">
        <v>738</v>
      </c>
      <c r="DZ1" s="187" t="s">
        <v>739</v>
      </c>
      <c r="EA1" s="185" t="s">
        <v>740</v>
      </c>
      <c r="EB1" s="187" t="s">
        <v>741</v>
      </c>
      <c r="EC1" s="188" t="s">
        <v>742</v>
      </c>
      <c r="ED1" s="189" t="s">
        <v>743</v>
      </c>
      <c r="EE1" s="190" t="s">
        <v>744</v>
      </c>
    </row>
    <row r="2" spans="1:135" ht="23.25" customHeight="1" x14ac:dyDescent="0.25">
      <c r="A2" s="115" t="str">
        <f>AI2</f>
        <v xml:space="preserve">IL SOLE 24 ORE S.P.A.                   </v>
      </c>
      <c r="B2" s="115" t="str">
        <f>AM2</f>
        <v>DIR INFORMATION TECHNOLOGY</v>
      </c>
      <c r="C2" s="116"/>
      <c r="D2" s="117"/>
      <c r="E2" s="40"/>
      <c r="F2" s="117"/>
      <c r="G2" s="115" t="str">
        <f>AL2</f>
        <v xml:space="preserve">415300      </v>
      </c>
      <c r="H2" s="117"/>
      <c r="I2" s="117"/>
      <c r="J2" s="118" t="str">
        <f>IF(AG2="","",CONCATENATE(LEFT(AG2,1),LOWER(REPLACE(AG2,1,1,""))," ",LEFT(AH2,1),". "))</f>
        <v xml:space="preserve">Iacovelli A. </v>
      </c>
      <c r="K2" s="115" t="str">
        <f>IF(OR('Scheda Movimento'!C34&lt;&gt;"",'Scheda Movimento'!B37&lt;&gt;"",'Scheda Movimento'!C40&lt;&gt;"",'Scheda Movimento'!B42&lt;&gt;"",'Scheda Movimento'!C43&lt;&gt;""),CONCATENATE('Scheda Movimento'!C34," - ",'Scheda Movimento'!B37," - ",'Scheda Movimento'!C40," - ",'Scheda Movimento'!B42," - ",'Scheda Movimento'!C43," - ",),"")</f>
        <v/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 t="str">
        <f>IF(AE2="","",AE2)</f>
        <v>INGRESSO</v>
      </c>
      <c r="Y2" s="40"/>
      <c r="Z2" s="40"/>
      <c r="AA2" s="40"/>
      <c r="AB2" s="118" t="str">
        <f>IF(AF2="","",CONCATENATE(AF2,"_ID"))</f>
        <v>CVLLSN80R49D643R_ID</v>
      </c>
      <c r="AC2" s="40"/>
      <c r="AD2" s="40"/>
      <c r="AE2" s="118" t="str">
        <f>IF('Scheda Movimento'!C6="","",'Scheda Movimento'!C6)</f>
        <v>INGRESSO</v>
      </c>
      <c r="AF2" s="118" t="str">
        <f>IF('Scheda Movimento'!C10="","",'Scheda Movimento'!C10)</f>
        <v>CVLLSN80R49D643R</v>
      </c>
      <c r="AG2" s="118" t="str">
        <f>IF('Scheda Movimento'!C7="","",'Scheda Movimento'!C7)</f>
        <v>IACOVELLI</v>
      </c>
      <c r="AH2" s="118" t="str">
        <f>IF('Scheda Movimento'!C8="","",'Scheda Movimento'!C8)</f>
        <v>ALESSANDRA</v>
      </c>
      <c r="AI2" s="118" t="str">
        <f>IF('Scheda Movimento'!C15="","",'Scheda Movimento'!C15)</f>
        <v xml:space="preserve">IL SOLE 24 ORE S.P.A.                   </v>
      </c>
      <c r="AJ2" s="118" t="str">
        <f>IF('Scheda Movimento'!C16="","",'Scheda Movimento'!C16)</f>
        <v>DG I&amp;S - DIR INFORMATION TECHNOLOGY</v>
      </c>
      <c r="AK2" s="118" t="str">
        <f>IF('Scheda Movimento'!C17="","",'Scheda Movimento'!C17)</f>
        <v>DIR INFORMATION TECHNOLOGY</v>
      </c>
      <c r="AL2" s="118" t="str">
        <f>IF('Scheda Movimento'!B18="","",'Scheda Movimento'!B18)</f>
        <v xml:space="preserve">415300      </v>
      </c>
      <c r="AM2" s="115" t="str">
        <f>IF('Scheda Movimento'!C18="","",'Scheda Movimento'!C18)</f>
        <v>DIR INFORMATION TECHNOLOGY</v>
      </c>
      <c r="AN2" s="119">
        <f>IF('Scheda Movimento'!C5="","",'Scheda Movimento'!C5)</f>
        <v>46097</v>
      </c>
      <c r="AO2" s="119" t="str">
        <f>IF('Scheda Movimento'!C29="","",'Scheda Movimento'!C29)</f>
        <v/>
      </c>
      <c r="AP2" s="118" t="str">
        <f>IF('Scheda Movimento'!C9="","",'Scheda Movimento'!C9)</f>
        <v>Femminile</v>
      </c>
      <c r="AQ2" s="118"/>
      <c r="AR2" s="118" t="str">
        <f>IF('Scheda Movimento'!C22="","",IF('Scheda Movimento'!C22="Co.Co.Co.","Lav.Prog.",IF('Scheda Movimento'!C22="Co.Co.Pro.","Lav.Prog.",IF('Scheda Movimento'!C22="Contr","C.Somm.",'Scheda Movimento'!C22))))</f>
        <v>DIRIGENTE</v>
      </c>
      <c r="AS2" s="118" t="str">
        <f>IF('Scheda Movimento'!C22="Co.Co.Co.","COCOCO",IF('Scheda Movimento'!C22="Co.Co.Pro.","COLAPRO",""))</f>
        <v/>
      </c>
      <c r="AT2" s="40"/>
      <c r="AU2" s="120" t="str">
        <f>IF('Scheda Movimento'!C19="","",'Scheda Movimento'!C19)</f>
        <v>VIALE SARCA 223 - MILANO (MI)</v>
      </c>
      <c r="AV2" s="40"/>
      <c r="AW2" s="120" t="str">
        <f>IF('Scheda Movimento'!C20="","",'Scheda Movimento'!C20)</f>
        <v xml:space="preserve">MILANO                 </v>
      </c>
      <c r="AX2" s="40"/>
      <c r="AY2" s="40"/>
      <c r="AZ2" s="40"/>
      <c r="BA2" s="40"/>
      <c r="BB2" s="40"/>
      <c r="BC2" s="119" t="str">
        <f>IF('Scheda Movimento'!C30="","",'Scheda Movimento'!C30)</f>
        <v/>
      </c>
      <c r="BD2" s="40"/>
      <c r="BE2" s="40"/>
      <c r="BF2" s="40" t="str">
        <f>'Scheda Movimento'!C33</f>
        <v>Boromei Paola</v>
      </c>
      <c r="BG2" s="119" t="str">
        <f>IF('Scheda Movimento'!C21="","",IF('Scheda Movimento'!C21="Contratto a tempo determinato","T.det",""))</f>
        <v/>
      </c>
      <c r="BH2" s="40"/>
      <c r="BI2" s="40"/>
      <c r="BJ2" s="40"/>
      <c r="BK2" s="118" t="str">
        <f>AG2</f>
        <v>IACOVELLI</v>
      </c>
      <c r="BL2" s="118" t="str">
        <f>AH2</f>
        <v>ALESSANDRA</v>
      </c>
      <c r="BM2" s="40" t="e">
        <f>IF(AG2="","",CONCATENATE(LEFT(AG2,1),LOWER(REPLACE(AG2,1,1,""))," ",_xlfn.TEXTBEFORE(LOWER(REPLACE(AH2,1,,""))," ")))</f>
        <v>#N/A</v>
      </c>
      <c r="BN2" s="40" t="str">
        <f>'Scheda Movimento'!C27</f>
        <v>alessandra.iacovelli@ilsole24ore.com</v>
      </c>
      <c r="BO2" s="40"/>
      <c r="BP2" s="40"/>
      <c r="BQ2" s="40"/>
      <c r="BR2" s="40"/>
      <c r="BS2" s="40"/>
      <c r="BT2" s="40" t="str">
        <f>IF(BS2&lt;&gt;"","",IF(OR(TRIM(AR2)="Dirigente",TRIM(AR2)="Quadro",TRIM(AR2)="Impiegato",TRIM(AR2)="Operaio",TRIM(AR2)="Giornalista"),"SI",""))</f>
        <v>SI</v>
      </c>
      <c r="BU2" s="40"/>
      <c r="BV2" s="40"/>
      <c r="BW2" s="40"/>
      <c r="BX2" s="40"/>
      <c r="BY2" s="40"/>
      <c r="BZ2" s="118" t="str">
        <f>IF(BT2="","",CONCATENATE(TRIM(BK2)," ",TRIM(BL2)))</f>
        <v>IACOVELLI ALESSANDRA</v>
      </c>
      <c r="CA2" s="40"/>
      <c r="CB2" s="118" t="str">
        <f>IF(BZ2="","",AF2)</f>
        <v>CVLLSN80R49D643R</v>
      </c>
      <c r="CC2" s="40"/>
      <c r="CD2" s="40"/>
      <c r="CE2" s="40"/>
      <c r="CF2" s="118" t="str">
        <f>IF(CB2="","",IF(OR(AR2="GIORNALISTA",AR2="PRATICANTE"),"VG",IF(OR(AR2="IMPIEGATO",AR2="DIRIGENTE",AR2="OPERAIO"),"V","")))</f>
        <v>V</v>
      </c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2"/>
  <sheetViews>
    <sheetView showGridLines="0" zoomScale="85" zoomScaleNormal="85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10" sqref="B10:C10"/>
    </sheetView>
  </sheetViews>
  <sheetFormatPr defaultRowHeight="15" x14ac:dyDescent="0.25"/>
  <cols>
    <col min="1" max="1" width="31.140625" style="8" customWidth="1"/>
    <col min="2" max="2" width="4.85546875" style="11" customWidth="1"/>
    <col min="3" max="3" width="5" style="11" customWidth="1"/>
    <col min="4" max="12" width="4.85546875" style="11" customWidth="1"/>
    <col min="13" max="13" width="31.140625" style="8" customWidth="1"/>
    <col min="42" max="42" width="10.85546875" bestFit="1" customWidth="1"/>
  </cols>
  <sheetData>
    <row r="1" spans="1:13" ht="21" x14ac:dyDescent="0.25">
      <c r="A1" s="75" t="s">
        <v>252</v>
      </c>
      <c r="M1" s="75"/>
    </row>
    <row r="2" spans="1:13" x14ac:dyDescent="0.25">
      <c r="B2" s="68" t="s">
        <v>35</v>
      </c>
      <c r="C2" s="69"/>
      <c r="D2" s="69"/>
      <c r="E2" s="69"/>
      <c r="F2" s="69"/>
      <c r="G2" s="69"/>
      <c r="H2" s="70"/>
      <c r="I2" s="68" t="s">
        <v>34</v>
      </c>
      <c r="J2" s="69"/>
      <c r="K2" s="69"/>
      <c r="L2" s="70"/>
    </row>
    <row r="3" spans="1:13" ht="54.75" customHeight="1" x14ac:dyDescent="0.25">
      <c r="A3" s="9" t="s">
        <v>78</v>
      </c>
      <c r="B3" s="6" t="s">
        <v>27</v>
      </c>
      <c r="C3" s="71" t="s">
        <v>223</v>
      </c>
      <c r="D3" s="6" t="s">
        <v>31</v>
      </c>
      <c r="E3" s="6" t="s">
        <v>28</v>
      </c>
      <c r="F3" s="6" t="s">
        <v>29</v>
      </c>
      <c r="G3" s="7" t="s">
        <v>33</v>
      </c>
      <c r="H3" s="6" t="s">
        <v>30</v>
      </c>
      <c r="I3" s="86" t="s">
        <v>27</v>
      </c>
      <c r="J3" s="86" t="s">
        <v>29</v>
      </c>
      <c r="K3" s="87" t="s">
        <v>33</v>
      </c>
      <c r="L3" s="86" t="s">
        <v>30</v>
      </c>
      <c r="M3" s="9" t="s">
        <v>78</v>
      </c>
    </row>
    <row r="4" spans="1:13" x14ac:dyDescent="0.25">
      <c r="A4" s="1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" t="s">
        <v>0</v>
      </c>
    </row>
    <row r="5" spans="1:13" x14ac:dyDescent="0.25">
      <c r="A5" s="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" t="s">
        <v>1</v>
      </c>
    </row>
    <row r="6" spans="1:13" x14ac:dyDescent="0.25">
      <c r="A6" s="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" t="s">
        <v>3</v>
      </c>
    </row>
    <row r="7" spans="1:13" x14ac:dyDescent="0.25">
      <c r="A7" s="1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" t="s">
        <v>4</v>
      </c>
    </row>
    <row r="8" spans="1:13" x14ac:dyDescent="0.25">
      <c r="A8" s="1" t="s">
        <v>81</v>
      </c>
      <c r="B8" s="12"/>
      <c r="C8" s="12"/>
      <c r="D8" s="14"/>
      <c r="E8" s="14"/>
      <c r="F8" s="14"/>
      <c r="G8" s="14"/>
      <c r="H8" s="14"/>
      <c r="I8" s="12"/>
      <c r="J8" s="12"/>
      <c r="K8" s="12"/>
      <c r="L8" s="12"/>
      <c r="M8" s="1" t="s">
        <v>81</v>
      </c>
    </row>
    <row r="9" spans="1:13" x14ac:dyDescent="0.25">
      <c r="A9" s="1" t="s">
        <v>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" t="s">
        <v>5</v>
      </c>
    </row>
    <row r="10" spans="1:13" x14ac:dyDescent="0.25">
      <c r="A10" s="1" t="s">
        <v>26</v>
      </c>
      <c r="B10" s="12"/>
      <c r="C10" s="12"/>
      <c r="D10" s="14"/>
      <c r="E10" s="14"/>
      <c r="F10" s="14"/>
      <c r="G10" s="14"/>
      <c r="H10" s="14"/>
      <c r="I10" s="12"/>
      <c r="J10" s="14"/>
      <c r="K10" s="14"/>
      <c r="L10" s="14"/>
      <c r="M10" s="1" t="s">
        <v>26</v>
      </c>
    </row>
    <row r="11" spans="1:13" x14ac:dyDescent="0.25">
      <c r="A11" s="43" t="s">
        <v>79</v>
      </c>
      <c r="B11" s="12"/>
      <c r="C11" s="12"/>
      <c r="D11" s="14"/>
      <c r="E11" s="14"/>
      <c r="F11" s="14"/>
      <c r="G11" s="14"/>
      <c r="H11" s="14"/>
      <c r="I11" s="12"/>
      <c r="J11" s="14"/>
      <c r="K11" s="14"/>
      <c r="L11" s="14"/>
      <c r="M11" s="43" t="s">
        <v>79</v>
      </c>
    </row>
    <row r="12" spans="1:13" x14ac:dyDescent="0.25">
      <c r="A12" s="43" t="s">
        <v>212</v>
      </c>
      <c r="B12" s="15"/>
      <c r="C12" s="15"/>
      <c r="D12" s="14"/>
      <c r="E12" s="14"/>
      <c r="F12" s="14"/>
      <c r="G12" s="14"/>
      <c r="H12" s="14"/>
      <c r="I12" s="15"/>
      <c r="J12" s="14"/>
      <c r="K12" s="14"/>
      <c r="L12" s="14"/>
      <c r="M12" s="43" t="s">
        <v>212</v>
      </c>
    </row>
    <row r="13" spans="1:13" x14ac:dyDescent="0.25">
      <c r="A13" s="43" t="s">
        <v>80</v>
      </c>
      <c r="B13" s="15"/>
      <c r="C13" s="15"/>
      <c r="D13" s="14"/>
      <c r="E13" s="14"/>
      <c r="F13" s="14"/>
      <c r="G13" s="14"/>
      <c r="H13" s="14"/>
      <c r="I13" s="15"/>
      <c r="J13" s="14"/>
      <c r="K13" s="14"/>
      <c r="L13" s="14"/>
      <c r="M13" s="43" t="s">
        <v>80</v>
      </c>
    </row>
    <row r="14" spans="1:13" x14ac:dyDescent="0.25">
      <c r="A14" s="1" t="s">
        <v>6</v>
      </c>
      <c r="B14" s="12"/>
      <c r="C14" s="12"/>
      <c r="D14" s="12"/>
      <c r="E14" s="12"/>
      <c r="F14" s="15"/>
      <c r="G14" s="15"/>
      <c r="H14" s="15"/>
      <c r="I14" s="12"/>
      <c r="J14" s="15"/>
      <c r="K14" s="15"/>
      <c r="L14" s="15"/>
      <c r="M14" s="1" t="s">
        <v>6</v>
      </c>
    </row>
    <row r="15" spans="1:13" x14ac:dyDescent="0.25">
      <c r="A15" s="1" t="s">
        <v>7</v>
      </c>
      <c r="B15" s="12"/>
      <c r="C15" s="12"/>
      <c r="D15" s="12"/>
      <c r="E15" s="12"/>
      <c r="F15" s="15"/>
      <c r="G15" s="15"/>
      <c r="H15" s="15"/>
      <c r="I15" s="12"/>
      <c r="J15" s="15"/>
      <c r="K15" s="15"/>
      <c r="L15" s="15"/>
      <c r="M15" s="1" t="s">
        <v>7</v>
      </c>
    </row>
    <row r="16" spans="1:13" x14ac:dyDescent="0.25">
      <c r="A16" s="1" t="s">
        <v>11</v>
      </c>
      <c r="B16" s="12"/>
      <c r="C16" s="12"/>
      <c r="D16" s="12"/>
      <c r="E16" s="12"/>
      <c r="F16" s="15"/>
      <c r="G16" s="15"/>
      <c r="H16" s="15"/>
      <c r="I16" s="12"/>
      <c r="J16" s="15"/>
      <c r="K16" s="15"/>
      <c r="L16" s="15"/>
      <c r="M16" s="1" t="s">
        <v>11</v>
      </c>
    </row>
    <row r="17" spans="1:13" x14ac:dyDescent="0.25">
      <c r="A17" s="1" t="s">
        <v>99</v>
      </c>
      <c r="B17" s="12"/>
      <c r="C17" s="12"/>
      <c r="D17" s="12"/>
      <c r="E17" s="12"/>
      <c r="F17" s="15"/>
      <c r="G17" s="15"/>
      <c r="H17" s="15"/>
      <c r="I17" s="12"/>
      <c r="J17" s="15"/>
      <c r="K17" s="15"/>
      <c r="L17" s="15"/>
      <c r="M17" s="1" t="s">
        <v>99</v>
      </c>
    </row>
    <row r="18" spans="1:13" x14ac:dyDescent="0.25">
      <c r="A18" s="1" t="s">
        <v>250</v>
      </c>
      <c r="B18" s="12"/>
      <c r="C18" s="12"/>
      <c r="D18" s="12"/>
      <c r="E18" s="12"/>
      <c r="F18" s="15"/>
      <c r="G18" s="15"/>
      <c r="H18" s="12"/>
      <c r="I18" s="12"/>
      <c r="J18" s="15"/>
      <c r="K18" s="15"/>
      <c r="L18" s="12"/>
      <c r="M18" s="1" t="s">
        <v>250</v>
      </c>
    </row>
    <row r="19" spans="1:13" x14ac:dyDescent="0.25">
      <c r="A19" s="43" t="s">
        <v>251</v>
      </c>
      <c r="B19" s="12"/>
      <c r="C19" s="12"/>
      <c r="D19" s="12"/>
      <c r="E19" s="12"/>
      <c r="F19" s="15"/>
      <c r="G19" s="15"/>
      <c r="H19" s="12"/>
      <c r="I19" s="12"/>
      <c r="J19" s="15"/>
      <c r="K19" s="15"/>
      <c r="L19" s="12"/>
      <c r="M19" s="43" t="s">
        <v>251</v>
      </c>
    </row>
    <row r="20" spans="1:13" x14ac:dyDescent="0.25">
      <c r="A20" s="1" t="s">
        <v>247</v>
      </c>
      <c r="B20" s="12"/>
      <c r="C20" s="12"/>
      <c r="D20" s="14"/>
      <c r="E20" s="14"/>
      <c r="F20" s="12"/>
      <c r="G20" s="12"/>
      <c r="H20" s="14"/>
      <c r="I20" s="12"/>
      <c r="J20" s="12"/>
      <c r="K20" s="12"/>
      <c r="L20" s="14"/>
      <c r="M20" s="1" t="s">
        <v>247</v>
      </c>
    </row>
    <row r="21" spans="1:13" x14ac:dyDescent="0.25">
      <c r="A21" s="1" t="s">
        <v>213</v>
      </c>
      <c r="B21" s="12"/>
      <c r="C21" s="12"/>
      <c r="D21" s="15"/>
      <c r="E21" s="15"/>
      <c r="F21" s="14"/>
      <c r="G21" s="14"/>
      <c r="H21" s="12"/>
      <c r="I21" s="14"/>
      <c r="J21" s="14"/>
      <c r="K21" s="14"/>
      <c r="L21" s="14"/>
      <c r="M21" s="1" t="s">
        <v>213</v>
      </c>
    </row>
    <row r="22" spans="1:13" x14ac:dyDescent="0.25">
      <c r="A22" s="1" t="s">
        <v>82</v>
      </c>
      <c r="B22" s="12"/>
      <c r="C22" s="12"/>
      <c r="D22" s="44"/>
      <c r="E22" s="44"/>
      <c r="F22" s="44"/>
      <c r="G22" s="44"/>
      <c r="H22" s="12"/>
      <c r="I22" s="12"/>
      <c r="J22" s="14"/>
      <c r="K22" s="14"/>
      <c r="L22" s="12"/>
      <c r="M22" s="1" t="s">
        <v>82</v>
      </c>
    </row>
    <row r="23" spans="1:13" x14ac:dyDescent="0.25">
      <c r="A23" s="1" t="s">
        <v>18</v>
      </c>
      <c r="B23" s="12"/>
      <c r="C23" s="12"/>
      <c r="D23" s="14"/>
      <c r="E23" s="12"/>
      <c r="F23" s="12"/>
      <c r="G23" s="12"/>
      <c r="H23" s="14"/>
      <c r="I23" s="12"/>
      <c r="J23" s="12"/>
      <c r="K23" s="12"/>
      <c r="L23" s="14"/>
      <c r="M23" s="1" t="s">
        <v>18</v>
      </c>
    </row>
    <row r="24" spans="1:13" x14ac:dyDescent="0.25">
      <c r="A24" s="1" t="s">
        <v>13</v>
      </c>
      <c r="B24" s="12"/>
      <c r="C24" s="12"/>
      <c r="D24" s="14"/>
      <c r="E24" s="14"/>
      <c r="F24" s="14"/>
      <c r="G24" s="14"/>
      <c r="H24" s="14"/>
      <c r="I24" s="45"/>
      <c r="J24" s="45"/>
      <c r="K24" s="45"/>
      <c r="L24" s="45"/>
      <c r="M24" s="1" t="s">
        <v>13</v>
      </c>
    </row>
    <row r="25" spans="1:13" x14ac:dyDescent="0.25">
      <c r="A25" s="1" t="s">
        <v>248</v>
      </c>
      <c r="B25" s="12"/>
      <c r="C25" s="12"/>
      <c r="D25" s="14"/>
      <c r="E25" s="14"/>
      <c r="F25" s="14"/>
      <c r="G25" s="14"/>
      <c r="H25" s="14"/>
      <c r="I25" s="46"/>
      <c r="J25" s="45"/>
      <c r="K25" s="45"/>
      <c r="L25" s="45"/>
      <c r="M25" s="1" t="s">
        <v>248</v>
      </c>
    </row>
    <row r="26" spans="1:13" ht="15.75" thickBot="1" x14ac:dyDescent="0.3">
      <c r="A26" s="2" t="s">
        <v>10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2" t="s">
        <v>10</v>
      </c>
    </row>
    <row r="27" spans="1:13" ht="30.75" thickTop="1" x14ac:dyDescent="0.25">
      <c r="A27" s="67" t="s">
        <v>222</v>
      </c>
      <c r="B27" s="19"/>
      <c r="C27" s="20"/>
      <c r="D27" s="20"/>
      <c r="E27" s="20"/>
      <c r="F27" s="19"/>
      <c r="G27" s="19"/>
      <c r="H27" s="19"/>
      <c r="I27" s="19"/>
      <c r="J27" s="19"/>
      <c r="K27" s="19"/>
      <c r="L27" s="19"/>
      <c r="M27" s="67" t="s">
        <v>222</v>
      </c>
    </row>
    <row r="28" spans="1:13" x14ac:dyDescent="0.25">
      <c r="A28" s="28" t="s">
        <v>7</v>
      </c>
      <c r="B28" s="14"/>
      <c r="C28" s="12"/>
      <c r="D28" s="12"/>
      <c r="E28" s="12"/>
      <c r="F28" s="14"/>
      <c r="G28" s="14"/>
      <c r="H28" s="14"/>
      <c r="I28" s="14"/>
      <c r="J28" s="14"/>
      <c r="K28" s="14"/>
      <c r="L28" s="14"/>
      <c r="M28" s="28" t="s">
        <v>7</v>
      </c>
    </row>
    <row r="29" spans="1:13" x14ac:dyDescent="0.25">
      <c r="A29" s="28" t="s">
        <v>11</v>
      </c>
      <c r="B29" s="14"/>
      <c r="C29" s="12"/>
      <c r="D29" s="12"/>
      <c r="E29" s="12"/>
      <c r="F29" s="14"/>
      <c r="G29" s="14"/>
      <c r="H29" s="14"/>
      <c r="I29" s="14"/>
      <c r="J29" s="14"/>
      <c r="K29" s="14"/>
      <c r="L29" s="14"/>
      <c r="M29" s="28" t="s">
        <v>11</v>
      </c>
    </row>
    <row r="30" spans="1:13" x14ac:dyDescent="0.25">
      <c r="A30" s="28" t="s">
        <v>99</v>
      </c>
      <c r="B30" s="14"/>
      <c r="C30" s="12"/>
      <c r="D30" s="12"/>
      <c r="E30" s="12"/>
      <c r="F30" s="14"/>
      <c r="G30" s="14"/>
      <c r="H30" s="14"/>
      <c r="I30" s="14"/>
      <c r="J30" s="14"/>
      <c r="K30" s="14"/>
      <c r="L30" s="14"/>
      <c r="M30" s="28" t="s">
        <v>99</v>
      </c>
    </row>
    <row r="31" spans="1:13" x14ac:dyDescent="0.25">
      <c r="A31" s="24" t="s">
        <v>102</v>
      </c>
      <c r="B31" s="14"/>
      <c r="C31" s="12"/>
      <c r="D31" s="12"/>
      <c r="E31" s="12"/>
      <c r="F31" s="14"/>
      <c r="G31" s="14"/>
      <c r="H31" s="14"/>
      <c r="I31" s="14"/>
      <c r="J31" s="14"/>
      <c r="K31" s="14"/>
      <c r="L31" s="14"/>
      <c r="M31" s="24" t="s">
        <v>102</v>
      </c>
    </row>
    <row r="32" spans="1:13" ht="15.75" thickBot="1" x14ac:dyDescent="0.3">
      <c r="A32" s="59" t="s">
        <v>16</v>
      </c>
      <c r="B32" s="18"/>
      <c r="C32" s="17"/>
      <c r="D32" s="17"/>
      <c r="E32" s="17"/>
      <c r="F32" s="18"/>
      <c r="G32" s="18"/>
      <c r="H32" s="18"/>
      <c r="I32" s="18"/>
      <c r="J32" s="18"/>
      <c r="K32" s="18"/>
      <c r="L32" s="18"/>
      <c r="M32" s="59" t="s">
        <v>16</v>
      </c>
    </row>
    <row r="33" spans="1:13" ht="30.75" thickTop="1" x14ac:dyDescent="0.25">
      <c r="A33" s="29" t="s">
        <v>19</v>
      </c>
      <c r="B33" s="19"/>
      <c r="C33" s="19"/>
      <c r="D33" s="19"/>
      <c r="E33" s="19"/>
      <c r="F33" s="19"/>
      <c r="G33" s="19"/>
      <c r="H33" s="20"/>
      <c r="I33" s="19"/>
      <c r="J33" s="19"/>
      <c r="K33" s="19"/>
      <c r="L33" s="20"/>
      <c r="M33" s="29" t="s">
        <v>19</v>
      </c>
    </row>
    <row r="34" spans="1:13" ht="15.75" thickBot="1" x14ac:dyDescent="0.3">
      <c r="A34" s="30" t="s">
        <v>20</v>
      </c>
      <c r="B34" s="14"/>
      <c r="C34" s="14"/>
      <c r="D34" s="14"/>
      <c r="E34" s="14"/>
      <c r="F34" s="14"/>
      <c r="G34" s="18"/>
      <c r="H34" s="12"/>
      <c r="I34" s="18"/>
      <c r="J34" s="18"/>
      <c r="K34" s="18"/>
      <c r="L34" s="17"/>
      <c r="M34" s="30" t="s">
        <v>20</v>
      </c>
    </row>
    <row r="35" spans="1:13" ht="52.5" customHeight="1" thickTop="1" x14ac:dyDescent="0.25">
      <c r="A35" s="29" t="s">
        <v>32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9" t="s">
        <v>32</v>
      </c>
    </row>
    <row r="37" spans="1:13" x14ac:dyDescent="0.25">
      <c r="A37" s="64" t="s">
        <v>249</v>
      </c>
      <c r="B37" s="32" t="s">
        <v>95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64"/>
    </row>
    <row r="38" spans="1:13" x14ac:dyDescent="0.25">
      <c r="B38" s="32"/>
      <c r="C38" s="12"/>
      <c r="D38" s="32" t="s">
        <v>96</v>
      </c>
      <c r="F38" s="32"/>
      <c r="G38" s="32"/>
      <c r="H38" s="32"/>
      <c r="I38" s="32"/>
      <c r="J38" s="32"/>
      <c r="K38" s="32"/>
      <c r="L38" s="32"/>
    </row>
    <row r="39" spans="1:13" x14ac:dyDescent="0.25">
      <c r="B39" s="32"/>
      <c r="C39" s="46"/>
      <c r="D39" s="32" t="s">
        <v>97</v>
      </c>
      <c r="F39" s="32"/>
      <c r="G39" s="32"/>
      <c r="H39" s="32"/>
      <c r="I39" s="32"/>
      <c r="J39" s="32"/>
      <c r="K39" s="32"/>
      <c r="L39" s="32"/>
    </row>
    <row r="40" spans="1:13" x14ac:dyDescent="0.25">
      <c r="B40" s="32"/>
      <c r="C40" s="14"/>
      <c r="D40" s="32" t="s">
        <v>98</v>
      </c>
      <c r="F40" s="32"/>
      <c r="G40" s="32"/>
      <c r="H40" s="32"/>
      <c r="I40" s="32"/>
      <c r="J40" s="32"/>
      <c r="K40" s="32"/>
      <c r="L40" s="32"/>
    </row>
    <row r="41" spans="1:13" x14ac:dyDescent="0.25">
      <c r="I41" s="32"/>
      <c r="J41" s="32"/>
      <c r="K41" s="32"/>
      <c r="L41" s="32"/>
    </row>
    <row r="42" spans="1:13" x14ac:dyDescent="0.25">
      <c r="I42" s="32"/>
      <c r="J42" s="32"/>
      <c r="K42" s="32"/>
      <c r="L42" s="32"/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8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3"/>
  <dimension ref="A1:AG243"/>
  <sheetViews>
    <sheetView showGridLines="0" zoomScale="70" zoomScaleNormal="70" workbookViewId="0">
      <pane ySplit="4" topLeftCell="A5" activePane="bottomLeft" state="frozen"/>
      <selection activeCell="Q1" sqref="Q1"/>
      <selection pane="bottomLeft" activeCell="D28" sqref="D28:D34"/>
    </sheetView>
  </sheetViews>
  <sheetFormatPr defaultColWidth="9.140625" defaultRowHeight="15" x14ac:dyDescent="0.25"/>
  <cols>
    <col min="1" max="1" width="60.7109375" style="34" customWidth="1"/>
    <col min="2" max="2" width="32.5703125" style="56" customWidth="1"/>
    <col min="3" max="3" width="9.140625" style="34"/>
    <col min="4" max="4" width="55.42578125" style="35" customWidth="1"/>
    <col min="5" max="5" width="14" style="36" customWidth="1"/>
    <col min="6" max="6" width="9.140625" style="34"/>
    <col min="7" max="8" width="18.28515625" style="34" customWidth="1"/>
    <col min="9" max="9" width="19" style="34" customWidth="1"/>
    <col min="10" max="10" width="12" style="34" customWidth="1"/>
    <col min="11" max="11" width="8.85546875"/>
    <col min="12" max="12" width="12" style="34" customWidth="1"/>
    <col min="13" max="13" width="49.140625" style="34" customWidth="1"/>
    <col min="14" max="14" width="12" style="34" customWidth="1"/>
    <col min="15" max="15" width="49.140625" style="34" customWidth="1"/>
    <col min="16" max="16" width="12" style="34" customWidth="1"/>
    <col min="17" max="17" width="49.140625" style="34" customWidth="1"/>
    <col min="18" max="19" width="9.140625" style="34"/>
    <col min="20" max="20" width="35.5703125" style="35" customWidth="1"/>
    <col min="21" max="21" width="14" style="36" customWidth="1"/>
    <col min="22" max="22" width="9.140625" style="34"/>
    <col min="23" max="24" width="18.28515625" style="34" customWidth="1"/>
    <col min="25" max="25" width="9.140625" style="34"/>
    <col min="26" max="26" width="12" style="34" customWidth="1"/>
    <col min="27" max="27" width="9.140625" style="34"/>
    <col min="28" max="28" width="12" style="34" customWidth="1"/>
    <col min="29" max="29" width="49.140625" style="34" customWidth="1"/>
    <col min="30" max="30" width="12" style="34" customWidth="1"/>
    <col min="31" max="31" width="49.140625" style="34" customWidth="1"/>
    <col min="32" max="32" width="12" style="34" customWidth="1"/>
    <col min="33" max="33" width="49.140625" style="34" customWidth="1"/>
    <col min="34" max="16384" width="9.140625" style="34"/>
  </cols>
  <sheetData>
    <row r="1" spans="1:33" ht="21" x14ac:dyDescent="0.25">
      <c r="D1" s="60" t="s">
        <v>721</v>
      </c>
      <c r="L1" s="60" t="s">
        <v>719</v>
      </c>
      <c r="R1" s="34" t="s">
        <v>718</v>
      </c>
      <c r="T1" s="60" t="s">
        <v>720</v>
      </c>
      <c r="AB1" s="60" t="s">
        <v>221</v>
      </c>
    </row>
    <row r="3" spans="1:33" x14ac:dyDescent="0.25">
      <c r="D3" s="53" t="str">
        <f>'Scheda Movimento'!C15</f>
        <v xml:space="preserve">IL SOLE 24 ORE S.P.A.                   </v>
      </c>
      <c r="E3" s="54">
        <f>VLOOKUP(D3,D5:E21,2,FALSE)</f>
        <v>15</v>
      </c>
      <c r="G3" s="53" t="str">
        <f>'Scheda Movimento'!C19</f>
        <v>VIALE SARCA 223 - MILANO (MI)</v>
      </c>
      <c r="H3" s="53" t="str">
        <f>VLOOKUP(G3,G5:J29,2,FALSE)</f>
        <v xml:space="preserve">MILANO                 </v>
      </c>
      <c r="I3" s="53" t="str">
        <f>VLOOKUP(G3,G5:J29,3,FALSE)</f>
        <v xml:space="preserve">MILANO                 </v>
      </c>
      <c r="J3" s="53" t="str">
        <f>VLOOKUP(G3,G5:J29,4,FALSE)</f>
        <v>34</v>
      </c>
      <c r="L3" s="55" t="str">
        <f>'Scheda Movimento'!B18</f>
        <v xml:space="preserve">415300      </v>
      </c>
      <c r="M3" s="53" t="str">
        <f>VLOOKUP(L3,L6:M228,2,FALSE)</f>
        <v>DIR INFORMATION TECHNOLOGY</v>
      </c>
      <c r="N3" s="53" t="str">
        <f>VLOOKUP(L3,L6:N228,3,FALSE)</f>
        <v/>
      </c>
      <c r="O3" s="53" t="str">
        <f>VLOOKUP(L3,L6:O228,4,FALSE)</f>
        <v>DIR INFORMATION TECHNOLOGY</v>
      </c>
      <c r="P3" s="53" t="str">
        <f>VLOOKUP(L3,L6:P228,5,FALSE)</f>
        <v/>
      </c>
      <c r="Q3" s="53" t="str">
        <f>VLOOKUP(L3,L6:Q228,6,FALSE)</f>
        <v>DG I&amp;S - DIR INFORMATION TECHNOLOGY</v>
      </c>
      <c r="T3" s="53">
        <f>'Scheda Movimento'!C34</f>
        <v>0</v>
      </c>
      <c r="U3" s="54" t="e">
        <f>VLOOKUP(T3,T5:U19,2,FALSE)</f>
        <v>#N/A</v>
      </c>
      <c r="W3" s="61">
        <f>'Scheda Movimento'!C38</f>
        <v>0</v>
      </c>
      <c r="X3" s="53" t="e">
        <f>VLOOKUP(W3,W5:Z27,2,FALSE)</f>
        <v>#N/A</v>
      </c>
      <c r="Y3" s="53" t="e">
        <f>VLOOKUP(W3,W5:Z27,3,FALSE)</f>
        <v>#N/A</v>
      </c>
      <c r="Z3" s="53" t="e">
        <f>VLOOKUP(W3,W5:Z27,4,FALSE)</f>
        <v>#N/A</v>
      </c>
      <c r="AB3" s="55">
        <f>'Scheda Movimento'!B37</f>
        <v>0</v>
      </c>
      <c r="AC3" s="53" t="e">
        <f>VLOOKUP(AB3,AB6:AC228,2,FALSE)</f>
        <v>#N/A</v>
      </c>
      <c r="AD3" s="53" t="e">
        <f>VLOOKUP(AB3,AB6:AD228,3,FALSE)</f>
        <v>#N/A</v>
      </c>
      <c r="AE3" s="53" t="e">
        <f>VLOOKUP(AB3,AB6:AE228,4,FALSE)</f>
        <v>#N/A</v>
      </c>
      <c r="AF3" s="53" t="e">
        <f>VLOOKUP(AB3,AB6:AF228,5,FALSE)</f>
        <v>#N/A</v>
      </c>
      <c r="AG3" s="53" t="e">
        <f>VLOOKUP(AB3,AB6:AG228,6,FALSE)</f>
        <v>#N/A</v>
      </c>
    </row>
    <row r="4" spans="1:33" s="33" customFormat="1" ht="30" x14ac:dyDescent="0.25">
      <c r="A4" s="37" t="s">
        <v>36</v>
      </c>
      <c r="B4" s="57"/>
      <c r="D4" s="39" t="s">
        <v>37</v>
      </c>
      <c r="E4" s="38" t="s">
        <v>70</v>
      </c>
      <c r="G4" s="39" t="s">
        <v>93</v>
      </c>
      <c r="H4" s="47" t="s">
        <v>279</v>
      </c>
      <c r="I4" s="39" t="s">
        <v>94</v>
      </c>
      <c r="J4" s="38" t="s">
        <v>92</v>
      </c>
      <c r="L4" s="38" t="s">
        <v>72</v>
      </c>
      <c r="M4" s="39" t="s">
        <v>73</v>
      </c>
      <c r="N4" s="38" t="s">
        <v>217</v>
      </c>
      <c r="O4" s="39" t="s">
        <v>218</v>
      </c>
      <c r="P4" s="38" t="s">
        <v>219</v>
      </c>
      <c r="Q4" s="39" t="s">
        <v>7</v>
      </c>
      <c r="T4" s="39" t="s">
        <v>37</v>
      </c>
      <c r="U4" s="38" t="s">
        <v>70</v>
      </c>
      <c r="W4" s="39" t="s">
        <v>93</v>
      </c>
      <c r="X4" s="47" t="s">
        <v>279</v>
      </c>
      <c r="Y4" s="39" t="s">
        <v>94</v>
      </c>
      <c r="Z4" s="38" t="s">
        <v>92</v>
      </c>
      <c r="AB4" s="38" t="s">
        <v>72</v>
      </c>
      <c r="AC4" s="39" t="s">
        <v>73</v>
      </c>
      <c r="AD4" s="38" t="s">
        <v>217</v>
      </c>
      <c r="AE4" s="39" t="s">
        <v>218</v>
      </c>
      <c r="AF4" s="38" t="s">
        <v>219</v>
      </c>
      <c r="AG4" s="39" t="s">
        <v>7</v>
      </c>
    </row>
    <row r="5" spans="1:33" x14ac:dyDescent="0.25">
      <c r="A5" s="27"/>
      <c r="D5" s="42"/>
      <c r="E5" s="41"/>
      <c r="G5" s="40"/>
      <c r="H5" s="40"/>
      <c r="I5" s="40"/>
      <c r="J5" s="40"/>
      <c r="L5" s="73"/>
      <c r="M5" s="74"/>
      <c r="N5" s="73"/>
      <c r="O5" s="74"/>
      <c r="P5" s="73"/>
      <c r="Q5" s="74"/>
      <c r="T5" s="42"/>
      <c r="U5" s="41"/>
      <c r="W5" s="42" t="str">
        <f t="shared" ref="W5" si="0">IF(G5="","",G5)</f>
        <v/>
      </c>
      <c r="X5" s="40"/>
      <c r="Y5" s="42" t="str">
        <f t="shared" ref="Y5" si="1">IF(I5="","",I5)</f>
        <v/>
      </c>
      <c r="Z5" s="42" t="str">
        <f t="shared" ref="Z5" si="2">IF(J5="","",J5)</f>
        <v/>
      </c>
      <c r="AB5" s="73"/>
      <c r="AC5" s="74"/>
      <c r="AD5" s="73"/>
      <c r="AE5" s="74"/>
      <c r="AF5" s="73"/>
      <c r="AG5" s="74"/>
    </row>
    <row r="6" spans="1:33" x14ac:dyDescent="0.25">
      <c r="A6" s="26" t="s">
        <v>24</v>
      </c>
      <c r="D6" s="42" t="str">
        <f>IF('Pivot elenchi'!D3="","",'Pivot elenchi'!D3)</f>
        <v xml:space="preserve">IL SOLE 24 ORE S.P.A.                   </v>
      </c>
      <c r="E6" s="41">
        <f>IF('Pivot elenchi'!C3="","",'Pivot elenchi'!C3)</f>
        <v>15</v>
      </c>
      <c r="G6" s="42" t="str">
        <f>IF('Pivot elenchi'!I3="","",'Pivot elenchi'!I3)</f>
        <v>VIA TORTONA 56 - MILANO (MI)</v>
      </c>
      <c r="H6" s="49" t="s">
        <v>463</v>
      </c>
      <c r="I6" s="42" t="str">
        <f>IF('Pivot elenchi'!J3="","",'Pivot elenchi'!J3)</f>
        <v xml:space="preserve">MILANO                 </v>
      </c>
      <c r="J6" s="41" t="str">
        <f>IF('Pivot elenchi'!H3="","",'Pivot elenchi'!H3)</f>
        <v>19</v>
      </c>
      <c r="L6" s="42" t="str">
        <f>IF(AND('Pivot elenchi'!P5="",'Pivot elenchi'!P6=""),"",IF('Pivot elenchi'!P5="",'Pivot elenchi'!P4="",'Pivot elenchi'!P5))</f>
        <v xml:space="preserve">011000      </v>
      </c>
      <c r="M6" s="42" t="str">
        <f>IF(AND('Pivot elenchi'!Q5="",'Pivot elenchi'!Q6=""),"",IF('Pivot elenchi'!Q5="",'Pivot elenchi'!Q4="",'Pivot elenchi'!Q5))</f>
        <v>CORPORATE</v>
      </c>
      <c r="N6" s="42" t="str">
        <f>IF(AND('Pivot elenchi'!R5="",'Pivot elenchi'!R6=""),"",IF('Pivot elenchi'!R5="",'Pivot elenchi'!R4="",'Pivot elenchi'!R5))</f>
        <v/>
      </c>
      <c r="O6" s="42" t="str">
        <f>IF(AND('Pivot elenchi'!S5="",'Pivot elenchi'!S6=""),"",IF('Pivot elenchi'!S5="",'Pivot elenchi'!S4="",'Pivot elenchi'!S5))</f>
        <v>CORPORATE</v>
      </c>
      <c r="P6" s="42" t="str">
        <f>IF(AND('Pivot elenchi'!T5="",'Pivot elenchi'!T6=""),"",IF('Pivot elenchi'!T5="",'Pivot elenchi'!T4="",'Pivot elenchi'!T5))</f>
        <v/>
      </c>
      <c r="Q6" s="42" t="str">
        <f>IF(AND('Pivot elenchi'!U5="",'Pivot elenchi'!U6=""),"",IF('Pivot elenchi'!U5="",'Pivot elenchi'!U4="",'Pivot elenchi'!U5))</f>
        <v>CORPORATE</v>
      </c>
      <c r="R6" t="s">
        <v>717</v>
      </c>
      <c r="S6" s="42"/>
      <c r="T6" s="42" t="str">
        <f>IF('Pivot elenchi'!D3="","",'Pivot elenchi'!D3)</f>
        <v xml:space="preserve">IL SOLE 24 ORE S.P.A.                   </v>
      </c>
      <c r="U6" s="42">
        <f>IF('Pivot elenchi'!C3="","",'Pivot elenchi'!C3)</f>
        <v>15</v>
      </c>
      <c r="W6" s="42" t="str">
        <f t="shared" ref="W6:X6" si="3">IF(G6="","",G6)</f>
        <v>VIA TORTONA 56 - MILANO (MI)</v>
      </c>
      <c r="X6" s="42" t="str">
        <f t="shared" si="3"/>
        <v xml:space="preserve">MILANO                 </v>
      </c>
      <c r="Y6" s="42" t="str">
        <f t="shared" ref="Y6" si="4">IF(I6="","",I6)</f>
        <v xml:space="preserve">MILANO                 </v>
      </c>
      <c r="Z6" s="42" t="str">
        <f t="shared" ref="Z6" si="5">IF(J6="","",J6)</f>
        <v>19</v>
      </c>
      <c r="AB6" s="42" t="str">
        <f t="shared" ref="AB6:AG6" si="6">L6</f>
        <v xml:space="preserve">011000      </v>
      </c>
      <c r="AC6" s="42" t="str">
        <f t="shared" si="6"/>
        <v>CORPORATE</v>
      </c>
      <c r="AD6" s="42" t="str">
        <f t="shared" si="6"/>
        <v/>
      </c>
      <c r="AE6" s="42" t="str">
        <f t="shared" si="6"/>
        <v>CORPORATE</v>
      </c>
      <c r="AF6" s="42" t="str">
        <f t="shared" si="6"/>
        <v/>
      </c>
      <c r="AG6" s="42" t="str">
        <f t="shared" si="6"/>
        <v>CORPORATE</v>
      </c>
    </row>
    <row r="7" spans="1:33" x14ac:dyDescent="0.25">
      <c r="A7" s="25" t="s">
        <v>22</v>
      </c>
      <c r="D7" s="42" t="str">
        <f>IF('Pivot elenchi'!D4="","",'Pivot elenchi'!D4)</f>
        <v xml:space="preserve">24 ORE CULTURA S.R.L.                   </v>
      </c>
      <c r="E7" s="41">
        <f>IF('Pivot elenchi'!C4="","",'Pivot elenchi'!C4)</f>
        <v>28</v>
      </c>
      <c r="G7" s="42" t="str">
        <f>IF('Pivot elenchi'!I4="","",'Pivot elenchi'!I4)</f>
        <v>PIAZZA INDIPENDENZA 23 B/C - ROMA (RM)</v>
      </c>
      <c r="H7" s="49" t="s">
        <v>465</v>
      </c>
      <c r="I7" s="42" t="str">
        <f>IF('Pivot elenchi'!J4="","",'Pivot elenchi'!J4)</f>
        <v xml:space="preserve">ROMA                   </v>
      </c>
      <c r="J7" s="41" t="str">
        <f>IF('Pivot elenchi'!H4="","",'Pivot elenchi'!H4)</f>
        <v>31</v>
      </c>
      <c r="L7" s="42" t="str">
        <f>IF(AND('Pivot elenchi'!P6="",'Pivot elenchi'!P7=""),"",IF('Pivot elenchi'!P6="",'Pivot elenchi'!P5="",'Pivot elenchi'!P6))</f>
        <v>011200</v>
      </c>
      <c r="M7" s="42" t="str">
        <f>IF(AND('Pivot elenchi'!Q6="",'Pivot elenchi'!Q7=""),"",IF('Pivot elenchi'!Q6="",'Pivot elenchi'!Q5="",'Pivot elenchi'!Q6))</f>
        <v>DG INNOVAZIONE E SOSTENIBILITA'</v>
      </c>
      <c r="N7" s="42" t="str">
        <f>IF(AND('Pivot elenchi'!R6="",'Pivot elenchi'!R7=""),"",IF('Pivot elenchi'!R6="",'Pivot elenchi'!R5="",'Pivot elenchi'!R6))</f>
        <v/>
      </c>
      <c r="O7" s="42" t="str">
        <f>IF(AND('Pivot elenchi'!S6="",'Pivot elenchi'!S7=""),"",IF('Pivot elenchi'!S6="",'Pivot elenchi'!S5="",'Pivot elenchi'!S6))</f>
        <v>DG INNOVAZIONE E SOSTENIBILITA'</v>
      </c>
      <c r="P7" s="42" t="str">
        <f>IF(AND('Pivot elenchi'!T6="",'Pivot elenchi'!T7=""),"",IF('Pivot elenchi'!T6="",'Pivot elenchi'!T5="",'Pivot elenchi'!T6))</f>
        <v/>
      </c>
      <c r="Q7" s="42" t="str">
        <f>IF(AND('Pivot elenchi'!U6="",'Pivot elenchi'!U7=""),"",IF('Pivot elenchi'!U6="",'Pivot elenchi'!U5="",'Pivot elenchi'!U6))</f>
        <v>DG INNOVAZIONE E SOSTENIBILITA'</v>
      </c>
      <c r="R7" t="s">
        <v>717</v>
      </c>
      <c r="T7" s="42" t="str">
        <f>IF('Pivot elenchi'!D4="","",'Pivot elenchi'!D4)</f>
        <v xml:space="preserve">24 ORE CULTURA S.R.L.                   </v>
      </c>
      <c r="U7" s="42">
        <f>IF('Pivot elenchi'!C4="","",'Pivot elenchi'!C4)</f>
        <v>28</v>
      </c>
      <c r="W7" s="42" t="str">
        <f t="shared" ref="W7:W23" si="7">IF(G7="","",G7)</f>
        <v>PIAZZA INDIPENDENZA 23 B/C - ROMA (RM)</v>
      </c>
      <c r="X7" s="42" t="str">
        <f t="shared" ref="X7:X23" si="8">IF(H7="","",H7)</f>
        <v xml:space="preserve">ROMA                   </v>
      </c>
      <c r="Y7" s="42" t="str">
        <f t="shared" ref="Y7:Y23" si="9">IF(I7="","",I7)</f>
        <v xml:space="preserve">ROMA                   </v>
      </c>
      <c r="Z7" s="42" t="str">
        <f t="shared" ref="Z7:Z23" si="10">IF(J7="","",J7)</f>
        <v>31</v>
      </c>
      <c r="AB7" s="42" t="str">
        <f t="shared" ref="AB7:AE70" si="11">L7</f>
        <v>011200</v>
      </c>
      <c r="AC7" s="42" t="str">
        <f t="shared" si="11"/>
        <v>DG INNOVAZIONE E SOSTENIBILITA'</v>
      </c>
      <c r="AD7" s="42" t="str">
        <f t="shared" si="11"/>
        <v/>
      </c>
      <c r="AE7" s="42" t="str">
        <f t="shared" si="11"/>
        <v>DG INNOVAZIONE E SOSTENIBILITA'</v>
      </c>
      <c r="AF7" s="42" t="str">
        <f t="shared" ref="AF7:AG70" si="12">P7</f>
        <v/>
      </c>
      <c r="AG7" s="42" t="str">
        <f t="shared" si="12"/>
        <v>DG INNOVAZIONE E SOSTENIBILITA'</v>
      </c>
    </row>
    <row r="8" spans="1:33" x14ac:dyDescent="0.25">
      <c r="A8" s="25" t="s">
        <v>428</v>
      </c>
      <c r="D8" s="42" t="str">
        <f>IF('Pivot elenchi'!D5="","",'Pivot elenchi'!D5)</f>
        <v xml:space="preserve">IL SOLE 24 ORE EVENTI S.R.L.            </v>
      </c>
      <c r="E8" s="41">
        <f>IF('Pivot elenchi'!C5="","",'Pivot elenchi'!C5)</f>
        <v>35</v>
      </c>
      <c r="G8" s="42" t="str">
        <f>IF('Pivot elenchi'!I5="","",'Pivot elenchi'!I5)</f>
        <v>VIA NIZZA 142 - ROMA (RM)</v>
      </c>
      <c r="H8" s="49" t="s">
        <v>465</v>
      </c>
      <c r="I8" s="42" t="str">
        <f>IF('Pivot elenchi'!J5="","",'Pivot elenchi'!J5)</f>
        <v xml:space="preserve">ROMA                   </v>
      </c>
      <c r="J8" s="41" t="str">
        <f>IF('Pivot elenchi'!H5="","",'Pivot elenchi'!H5)</f>
        <v>33</v>
      </c>
      <c r="L8" s="42" t="str">
        <f>IF(AND('Pivot elenchi'!P7="",'Pivot elenchi'!P8=""),"",IF('Pivot elenchi'!P7="",'Pivot elenchi'!P6="",'Pivot elenchi'!P7))</f>
        <v xml:space="preserve">012000      </v>
      </c>
      <c r="M8" s="42" t="str">
        <f>IF(AND('Pivot elenchi'!Q7="",'Pivot elenchi'!Q8=""),"",IF('Pivot elenchi'!Q7="",'Pivot elenchi'!Q6="",'Pivot elenchi'!Q7))</f>
        <v>AFFARI LEGALI E SOCIETARI</v>
      </c>
      <c r="N8" s="42" t="str">
        <f>IF(AND('Pivot elenchi'!R7="",'Pivot elenchi'!R8=""),"",IF('Pivot elenchi'!R7="",'Pivot elenchi'!R6="",'Pivot elenchi'!R7))</f>
        <v/>
      </c>
      <c r="O8" s="42" t="str">
        <f>IF(AND('Pivot elenchi'!S7="",'Pivot elenchi'!S8=""),"",IF('Pivot elenchi'!S7="",'Pivot elenchi'!S6="",'Pivot elenchi'!S7))</f>
        <v>AFFARI LEGALI E SOCIETARI</v>
      </c>
      <c r="P8" s="42" t="str">
        <f>IF(AND('Pivot elenchi'!T7="",'Pivot elenchi'!T8=""),"",IF('Pivot elenchi'!T7="",'Pivot elenchi'!T6="",'Pivot elenchi'!T7))</f>
        <v/>
      </c>
      <c r="Q8" s="42" t="str">
        <f>IF(AND('Pivot elenchi'!U7="",'Pivot elenchi'!U8=""),"",IF('Pivot elenchi'!U7="",'Pivot elenchi'!U6="",'Pivot elenchi'!U7))</f>
        <v>AFFARI LEGALI E SOCIETARI</v>
      </c>
      <c r="R8" t="s">
        <v>717</v>
      </c>
      <c r="T8" s="42" t="str">
        <f>IF('Pivot elenchi'!D5="","",'Pivot elenchi'!D5)</f>
        <v xml:space="preserve">IL SOLE 24 ORE EVENTI S.R.L.            </v>
      </c>
      <c r="U8" s="42">
        <f>IF('Pivot elenchi'!C5="","",'Pivot elenchi'!C5)</f>
        <v>35</v>
      </c>
      <c r="W8" s="42" t="str">
        <f t="shared" si="7"/>
        <v>VIA NIZZA 142 - ROMA (RM)</v>
      </c>
      <c r="X8" s="42" t="str">
        <f t="shared" si="8"/>
        <v xml:space="preserve">ROMA                   </v>
      </c>
      <c r="Y8" s="42" t="str">
        <f t="shared" si="9"/>
        <v xml:space="preserve">ROMA                   </v>
      </c>
      <c r="Z8" s="42" t="str">
        <f t="shared" si="10"/>
        <v>33</v>
      </c>
      <c r="AB8" s="42" t="str">
        <f t="shared" si="11"/>
        <v xml:space="preserve">012000      </v>
      </c>
      <c r="AC8" s="42" t="str">
        <f t="shared" si="11"/>
        <v>AFFARI LEGALI E SOCIETARI</v>
      </c>
      <c r="AD8" s="42" t="str">
        <f t="shared" si="11"/>
        <v/>
      </c>
      <c r="AE8" s="42" t="str">
        <f t="shared" si="11"/>
        <v>AFFARI LEGALI E SOCIETARI</v>
      </c>
      <c r="AF8" s="42" t="str">
        <f t="shared" si="12"/>
        <v/>
      </c>
      <c r="AG8" s="42" t="str">
        <f t="shared" si="12"/>
        <v>AFFARI LEGALI E SOCIETARI</v>
      </c>
    </row>
    <row r="9" spans="1:33" x14ac:dyDescent="0.25">
      <c r="A9" s="25" t="s">
        <v>2</v>
      </c>
      <c r="D9" s="42" t="str">
        <f>IF('Pivot elenchi'!D6="","",'Pivot elenchi'!D6)</f>
        <v xml:space="preserve">IL SOLE 24 ORE SPA                      </v>
      </c>
      <c r="E9" s="41">
        <f>IF('Pivot elenchi'!C6="","",'Pivot elenchi'!C6)</f>
        <v>2015</v>
      </c>
      <c r="G9" s="42" t="str">
        <f>IF('Pivot elenchi'!I6="","",'Pivot elenchi'!I6)</f>
        <v>VIALE SARCA 223 - MILANO (MI)</v>
      </c>
      <c r="H9" s="49" t="s">
        <v>463</v>
      </c>
      <c r="I9" s="42" t="str">
        <f>IF('Pivot elenchi'!J6="","",'Pivot elenchi'!J6)</f>
        <v xml:space="preserve">MILANO                 </v>
      </c>
      <c r="J9" s="41" t="str">
        <f>IF('Pivot elenchi'!H6="","",'Pivot elenchi'!H6)</f>
        <v>34</v>
      </c>
      <c r="L9" s="42" t="str">
        <f>IF(AND('Pivot elenchi'!P8="",'Pivot elenchi'!P9=""),"",IF('Pivot elenchi'!P8="",'Pivot elenchi'!P7="",'Pivot elenchi'!P8))</f>
        <v xml:space="preserve">013000      </v>
      </c>
      <c r="M9" s="42" t="str">
        <f>IF(AND('Pivot elenchi'!Q8="",'Pivot elenchi'!Q9=""),"",IF('Pivot elenchi'!Q8="",'Pivot elenchi'!Q7="",'Pivot elenchi'!Q8))</f>
        <v>INVESTOR RELATIONS</v>
      </c>
      <c r="N9" s="42" t="str">
        <f>IF(AND('Pivot elenchi'!R8="",'Pivot elenchi'!R9=""),"",IF('Pivot elenchi'!R8="",'Pivot elenchi'!R7="",'Pivot elenchi'!R8))</f>
        <v/>
      </c>
      <c r="O9" s="42" t="str">
        <f>IF(AND('Pivot elenchi'!S8="",'Pivot elenchi'!S9=""),"",IF('Pivot elenchi'!S8="",'Pivot elenchi'!S7="",'Pivot elenchi'!S8))</f>
        <v>INVESTOR RELATIONS</v>
      </c>
      <c r="P9" s="42" t="str">
        <f>IF(AND('Pivot elenchi'!T8="",'Pivot elenchi'!T9=""),"",IF('Pivot elenchi'!T8="",'Pivot elenchi'!T7="",'Pivot elenchi'!T8))</f>
        <v/>
      </c>
      <c r="Q9" s="42" t="str">
        <f>IF(AND('Pivot elenchi'!U8="",'Pivot elenchi'!U9=""),"",IF('Pivot elenchi'!U8="",'Pivot elenchi'!U7="",'Pivot elenchi'!U8))</f>
        <v>AMMINISTRAZIONE, FINANZA E CONTROLLO</v>
      </c>
      <c r="R9" t="s">
        <v>717</v>
      </c>
      <c r="T9" s="42" t="str">
        <f>IF('Pivot elenchi'!D6="","",'Pivot elenchi'!D6)</f>
        <v xml:space="preserve">IL SOLE 24 ORE SPA                      </v>
      </c>
      <c r="U9" s="42">
        <f>IF('Pivot elenchi'!C6="","",'Pivot elenchi'!C6)</f>
        <v>2015</v>
      </c>
      <c r="W9" s="42" t="str">
        <f t="shared" si="7"/>
        <v>VIALE SARCA 223 - MILANO (MI)</v>
      </c>
      <c r="X9" s="42" t="str">
        <f t="shared" si="8"/>
        <v xml:space="preserve">MILANO                 </v>
      </c>
      <c r="Y9" s="42" t="str">
        <f t="shared" si="9"/>
        <v xml:space="preserve">MILANO                 </v>
      </c>
      <c r="Z9" s="42" t="str">
        <f t="shared" si="10"/>
        <v>34</v>
      </c>
      <c r="AB9" s="42" t="str">
        <f t="shared" si="11"/>
        <v xml:space="preserve">013000      </v>
      </c>
      <c r="AC9" s="42" t="str">
        <f t="shared" si="11"/>
        <v>INVESTOR RELATIONS</v>
      </c>
      <c r="AD9" s="42" t="str">
        <f t="shared" si="11"/>
        <v/>
      </c>
      <c r="AE9" s="42" t="str">
        <f t="shared" si="11"/>
        <v>INVESTOR RELATIONS</v>
      </c>
      <c r="AF9" s="42" t="str">
        <f t="shared" si="12"/>
        <v/>
      </c>
      <c r="AG9" s="42" t="str">
        <f t="shared" si="12"/>
        <v>AMMINISTRAZIONE, FINANZA E CONTROLLO</v>
      </c>
    </row>
    <row r="10" spans="1:33" x14ac:dyDescent="0.25">
      <c r="A10" s="25" t="s">
        <v>215</v>
      </c>
      <c r="D10" s="42" t="str">
        <f>IF('Pivot elenchi'!D7="","",'Pivot elenchi'!D7)</f>
        <v xml:space="preserve">COLLABORATORI 24ORE CULTURA             </v>
      </c>
      <c r="E10" s="41">
        <f>IF('Pivot elenchi'!C7="","",'Pivot elenchi'!C7)</f>
        <v>2028</v>
      </c>
      <c r="G10" s="42" t="str">
        <f>IF('Pivot elenchi'!I7="","",'Pivot elenchi'!I7)</f>
        <v>VIA DAVIDE BERTOLOTTI 7 - TORINO (TO)</v>
      </c>
      <c r="H10" s="49" t="s">
        <v>471</v>
      </c>
      <c r="I10" s="42" t="str">
        <f>IF('Pivot elenchi'!J7="","",'Pivot elenchi'!J7)</f>
        <v xml:space="preserve">TORINO                 </v>
      </c>
      <c r="J10" s="41" t="str">
        <f>IF('Pivot elenchi'!H7="","",'Pivot elenchi'!H7)</f>
        <v>50</v>
      </c>
      <c r="L10" s="42" t="str">
        <f>IF(AND('Pivot elenchi'!P9="",'Pivot elenchi'!P10=""),"",IF('Pivot elenchi'!P9="",'Pivot elenchi'!P8="",'Pivot elenchi'!P9))</f>
        <v xml:space="preserve">015000      </v>
      </c>
      <c r="M10" s="42" t="str">
        <f>IF(AND('Pivot elenchi'!Q9="",'Pivot elenchi'!Q10=""),"",IF('Pivot elenchi'!Q9="",'Pivot elenchi'!Q8="",'Pivot elenchi'!Q9))</f>
        <v>DG SERVIZI PROFESSIONALI</v>
      </c>
      <c r="N10" s="42" t="str">
        <f>IF(AND('Pivot elenchi'!R9="",'Pivot elenchi'!R10=""),"",IF('Pivot elenchi'!R9="",'Pivot elenchi'!R8="",'Pivot elenchi'!R9))</f>
        <v/>
      </c>
      <c r="O10" s="42" t="str">
        <f>IF(AND('Pivot elenchi'!S9="",'Pivot elenchi'!S10=""),"",IF('Pivot elenchi'!S9="",'Pivot elenchi'!S8="",'Pivot elenchi'!S9))</f>
        <v>DG SERVIZI PROFESSIONALI E FORMAZIONE</v>
      </c>
      <c r="P10" s="42" t="str">
        <f>IF(AND('Pivot elenchi'!T9="",'Pivot elenchi'!T10=""),"",IF('Pivot elenchi'!T9="",'Pivot elenchi'!T8="",'Pivot elenchi'!T9))</f>
        <v/>
      </c>
      <c r="Q10" s="42" t="str">
        <f>IF(AND('Pivot elenchi'!U9="",'Pivot elenchi'!U10=""),"",IF('Pivot elenchi'!U9="",'Pivot elenchi'!U8="",'Pivot elenchi'!U9))</f>
        <v>DG SERVIZI PROFESSIONALI E FORMAZIONE</v>
      </c>
      <c r="R10" t="s">
        <v>717</v>
      </c>
      <c r="T10" s="42" t="str">
        <f>IF('Pivot elenchi'!D7="","",'Pivot elenchi'!D7)</f>
        <v xml:space="preserve">COLLABORATORI 24ORE CULTURA             </v>
      </c>
      <c r="U10" s="42">
        <f>IF('Pivot elenchi'!C7="","",'Pivot elenchi'!C7)</f>
        <v>2028</v>
      </c>
      <c r="W10" s="42" t="str">
        <f t="shared" si="7"/>
        <v>VIA DAVIDE BERTOLOTTI 7 - TORINO (TO)</v>
      </c>
      <c r="X10" s="42" t="str">
        <f t="shared" si="8"/>
        <v xml:space="preserve">TORINO                 </v>
      </c>
      <c r="Y10" s="42" t="str">
        <f t="shared" si="9"/>
        <v xml:space="preserve">TORINO                 </v>
      </c>
      <c r="Z10" s="42" t="str">
        <f t="shared" si="10"/>
        <v>50</v>
      </c>
      <c r="AB10" s="42" t="str">
        <f t="shared" si="11"/>
        <v xml:space="preserve">015000      </v>
      </c>
      <c r="AC10" s="42" t="str">
        <f t="shared" si="11"/>
        <v>DG SERVIZI PROFESSIONALI</v>
      </c>
      <c r="AD10" s="42" t="str">
        <f t="shared" si="11"/>
        <v/>
      </c>
      <c r="AE10" s="42" t="str">
        <f t="shared" si="11"/>
        <v>DG SERVIZI PROFESSIONALI E FORMAZIONE</v>
      </c>
      <c r="AF10" s="42" t="str">
        <f t="shared" si="12"/>
        <v/>
      </c>
      <c r="AG10" s="42" t="str">
        <f t="shared" si="12"/>
        <v>DG SERVIZI PROFESSIONALI E FORMAZIONE</v>
      </c>
    </row>
    <row r="11" spans="1:33" x14ac:dyDescent="0.25">
      <c r="A11" s="25" t="s">
        <v>14</v>
      </c>
      <c r="D11" s="42" t="str">
        <f>IF('Pivot elenchi'!D8="","",'Pivot elenchi'!D8)</f>
        <v xml:space="preserve">IL SOLE 24 ORE SPA                      </v>
      </c>
      <c r="E11" s="41">
        <f>IF('Pivot elenchi'!C8="","",'Pivot elenchi'!C8)</f>
        <v>4015</v>
      </c>
      <c r="G11" s="42" t="str">
        <f>IF('Pivot elenchi'!I8="","",'Pivot elenchi'!I8)</f>
        <v>VIA SOLTERI 38 - TRENTO (TN)</v>
      </c>
      <c r="H11" s="49" t="s">
        <v>474</v>
      </c>
      <c r="I11" s="42" t="str">
        <f>IF('Pivot elenchi'!J8="","",'Pivot elenchi'!J8)</f>
        <v xml:space="preserve">TRENTO                 </v>
      </c>
      <c r="J11" s="41" t="str">
        <f>IF('Pivot elenchi'!H8="","",'Pivot elenchi'!H8)</f>
        <v>65</v>
      </c>
      <c r="L11" s="42" t="str">
        <f>IF(AND('Pivot elenchi'!P10="",'Pivot elenchi'!P11=""),"",IF('Pivot elenchi'!P10="",'Pivot elenchi'!P9="",'Pivot elenchi'!P10))</f>
        <v xml:space="preserve">016100      </v>
      </c>
      <c r="M11" s="42" t="str">
        <f>IF(AND('Pivot elenchi'!Q10="",'Pivot elenchi'!Q11=""),"",IF('Pivot elenchi'!Q10="",'Pivot elenchi'!Q9="",'Pivot elenchi'!Q10))</f>
        <v>INTERNAL AUDITING</v>
      </c>
      <c r="N11" s="42" t="str">
        <f>IF(AND('Pivot elenchi'!R10="",'Pivot elenchi'!R11=""),"",IF('Pivot elenchi'!R10="",'Pivot elenchi'!R9="",'Pivot elenchi'!R10))</f>
        <v/>
      </c>
      <c r="O11" s="42" t="str">
        <f>IF(AND('Pivot elenchi'!S10="",'Pivot elenchi'!S11=""),"",IF('Pivot elenchi'!S10="",'Pivot elenchi'!S9="",'Pivot elenchi'!S10))</f>
        <v>INTERNAL AUDITING</v>
      </c>
      <c r="P11" s="42" t="str">
        <f>IF(AND('Pivot elenchi'!T10="",'Pivot elenchi'!T11=""),"",IF('Pivot elenchi'!T10="",'Pivot elenchi'!T9="",'Pivot elenchi'!T10))</f>
        <v/>
      </c>
      <c r="Q11" s="42" t="str">
        <f>IF(AND('Pivot elenchi'!U10="",'Pivot elenchi'!U11=""),"",IF('Pivot elenchi'!U10="",'Pivot elenchi'!U9="",'Pivot elenchi'!U10))</f>
        <v>CORPORATE</v>
      </c>
      <c r="R11" t="s">
        <v>717</v>
      </c>
      <c r="T11" s="42" t="str">
        <f>IF('Pivot elenchi'!D8="","",'Pivot elenchi'!D8)</f>
        <v xml:space="preserve">IL SOLE 24 ORE SPA                      </v>
      </c>
      <c r="U11" s="42">
        <f>IF('Pivot elenchi'!C8="","",'Pivot elenchi'!C8)</f>
        <v>4015</v>
      </c>
      <c r="W11" s="42" t="str">
        <f t="shared" si="7"/>
        <v>VIA SOLTERI 38 - TRENTO (TN)</v>
      </c>
      <c r="X11" s="42" t="str">
        <f t="shared" si="8"/>
        <v xml:space="preserve">TRENTO                 </v>
      </c>
      <c r="Y11" s="42" t="str">
        <f t="shared" si="9"/>
        <v xml:space="preserve">TRENTO                 </v>
      </c>
      <c r="Z11" s="42" t="str">
        <f t="shared" si="10"/>
        <v>65</v>
      </c>
      <c r="AB11" s="42" t="str">
        <f t="shared" si="11"/>
        <v xml:space="preserve">016100      </v>
      </c>
      <c r="AC11" s="42" t="str">
        <f t="shared" si="11"/>
        <v>INTERNAL AUDITING</v>
      </c>
      <c r="AD11" s="42" t="str">
        <f t="shared" si="11"/>
        <v/>
      </c>
      <c r="AE11" s="42" t="str">
        <f t="shared" si="11"/>
        <v>INTERNAL AUDITING</v>
      </c>
      <c r="AF11" s="42" t="str">
        <f t="shared" si="12"/>
        <v/>
      </c>
      <c r="AG11" s="42" t="str">
        <f t="shared" si="12"/>
        <v>CORPORATE</v>
      </c>
    </row>
    <row r="12" spans="1:33" x14ac:dyDescent="0.25">
      <c r="A12" s="25" t="s">
        <v>310</v>
      </c>
      <c r="D12" s="42" t="str">
        <f>IF('Pivot elenchi'!D9="","",'Pivot elenchi'!D9)</f>
        <v>SOLE STAGE</v>
      </c>
      <c r="E12" s="41">
        <f>IF('Pivot elenchi'!C9="","",'Pivot elenchi'!C9)</f>
        <v>1010</v>
      </c>
      <c r="G12" s="42" t="str">
        <f>IF('Pivot elenchi'!I9="","",'Pivot elenchi'!I9)</f>
        <v>DOMICILIO COLLABORATORE  -  ()</v>
      </c>
      <c r="H12" s="49" t="s">
        <v>476</v>
      </c>
      <c r="I12" s="42" t="str">
        <f>IF('Pivot elenchi'!J9="","",'Pivot elenchi'!J9)</f>
        <v xml:space="preserve">                       </v>
      </c>
      <c r="J12" s="41" t="str">
        <f>IF('Pivot elenchi'!H9="","",'Pivot elenchi'!H9)</f>
        <v>66</v>
      </c>
      <c r="L12" s="42" t="str">
        <f>IF(AND('Pivot elenchi'!P11="",'Pivot elenchi'!P12=""),"",IF('Pivot elenchi'!P11="",'Pivot elenchi'!P10="",'Pivot elenchi'!P11))</f>
        <v xml:space="preserve">016110      </v>
      </c>
      <c r="M12" s="42" t="str">
        <f>IF(AND('Pivot elenchi'!Q11="",'Pivot elenchi'!Q12=""),"",IF('Pivot elenchi'!Q11="",'Pivot elenchi'!Q10="",'Pivot elenchi'!Q11))</f>
        <v>PRIVACY E SICUREZZA DATI</v>
      </c>
      <c r="N12" s="42" t="str">
        <f>IF(AND('Pivot elenchi'!R11="",'Pivot elenchi'!R12=""),"",IF('Pivot elenchi'!R11="",'Pivot elenchi'!R10="",'Pivot elenchi'!R11))</f>
        <v/>
      </c>
      <c r="O12" s="42" t="str">
        <f>IF(AND('Pivot elenchi'!S11="",'Pivot elenchi'!S12=""),"",IF('Pivot elenchi'!S11="",'Pivot elenchi'!S10="",'Pivot elenchi'!S11))</f>
        <v>AFFARI LEGALI E SOCIETARI</v>
      </c>
      <c r="P12" s="42" t="str">
        <f>IF(AND('Pivot elenchi'!T11="",'Pivot elenchi'!T12=""),"",IF('Pivot elenchi'!T11="",'Pivot elenchi'!T10="",'Pivot elenchi'!T11))</f>
        <v/>
      </c>
      <c r="Q12" s="42" t="str">
        <f>IF(AND('Pivot elenchi'!U11="",'Pivot elenchi'!U12=""),"",IF('Pivot elenchi'!U11="",'Pivot elenchi'!U10="",'Pivot elenchi'!U11))</f>
        <v>AFFARI LEGALI E SOCIETARI</v>
      </c>
      <c r="R12" t="s">
        <v>717</v>
      </c>
      <c r="T12" s="42" t="str">
        <f>IF('Pivot elenchi'!D9="","",'Pivot elenchi'!D9)</f>
        <v>SOLE STAGE</v>
      </c>
      <c r="U12" s="42">
        <f>IF('Pivot elenchi'!C9="","",'Pivot elenchi'!C9)</f>
        <v>1010</v>
      </c>
      <c r="W12" s="42" t="str">
        <f t="shared" si="7"/>
        <v>DOMICILIO COLLABORATORE  -  ()</v>
      </c>
      <c r="X12" s="42" t="str">
        <f t="shared" si="8"/>
        <v xml:space="preserve">                       </v>
      </c>
      <c r="Y12" s="42" t="str">
        <f t="shared" si="9"/>
        <v xml:space="preserve">                       </v>
      </c>
      <c r="Z12" s="42" t="str">
        <f t="shared" si="10"/>
        <v>66</v>
      </c>
      <c r="AB12" s="42" t="str">
        <f t="shared" si="11"/>
        <v xml:space="preserve">016110      </v>
      </c>
      <c r="AC12" s="42" t="str">
        <f t="shared" si="11"/>
        <v>PRIVACY E SICUREZZA DATI</v>
      </c>
      <c r="AD12" s="42" t="str">
        <f t="shared" si="11"/>
        <v/>
      </c>
      <c r="AE12" s="42" t="str">
        <f t="shared" si="11"/>
        <v>AFFARI LEGALI E SOCIETARI</v>
      </c>
      <c r="AF12" s="42" t="str">
        <f t="shared" si="12"/>
        <v/>
      </c>
      <c r="AG12" s="42" t="str">
        <f t="shared" si="12"/>
        <v>AFFARI LEGALI E SOCIETARI</v>
      </c>
    </row>
    <row r="13" spans="1:33" x14ac:dyDescent="0.25">
      <c r="A13" s="25" t="s">
        <v>25</v>
      </c>
      <c r="D13" s="42" t="str">
        <f>IF('Pivot elenchi'!D10="","",'Pivot elenchi'!D10)</f>
        <v/>
      </c>
      <c r="E13" s="41" t="str">
        <f>IF('Pivot elenchi'!C10="","",'Pivot elenchi'!C10)</f>
        <v/>
      </c>
      <c r="G13" s="42" t="str">
        <f>IF('Pivot elenchi'!I10="","",'Pivot elenchi'!I10)</f>
        <v>VIA DELLE LIBERTA' 12 - VENEZIA (VE)</v>
      </c>
      <c r="H13" s="49" t="s">
        <v>478</v>
      </c>
      <c r="I13" s="42" t="str">
        <f>IF('Pivot elenchi'!J10="","",'Pivot elenchi'!J10)</f>
        <v xml:space="preserve">VENEZIA                </v>
      </c>
      <c r="J13" s="41" t="str">
        <f>IF('Pivot elenchi'!H10="","",'Pivot elenchi'!H10)</f>
        <v>68</v>
      </c>
      <c r="L13" s="42">
        <f>IF(AND('Pivot elenchi'!P12="",'Pivot elenchi'!P13=""),"",IF('Pivot elenchi'!P12="",'Pivot elenchi'!P11="",'Pivot elenchi'!P12))</f>
        <v>210000</v>
      </c>
      <c r="M13" s="42" t="str">
        <f>IF(AND('Pivot elenchi'!Q12="",'Pivot elenchi'!Q13=""),"",IF('Pivot elenchi'!Q12="",'Pivot elenchi'!Q11="",'Pivot elenchi'!Q12))</f>
        <v>AMMINISTRAZIONE, FINANZA E CONTROLLO</v>
      </c>
      <c r="N13" s="42" t="str">
        <f>IF(AND('Pivot elenchi'!R12="",'Pivot elenchi'!R13=""),"",IF('Pivot elenchi'!R12="",'Pivot elenchi'!R11="",'Pivot elenchi'!R12))</f>
        <v/>
      </c>
      <c r="O13" s="42" t="str">
        <f>IF(AND('Pivot elenchi'!S12="",'Pivot elenchi'!S13=""),"",IF('Pivot elenchi'!S12="",'Pivot elenchi'!S11="",'Pivot elenchi'!S12))</f>
        <v>AMMINISTRAZIONE, FINANZA E CONTROLLO</v>
      </c>
      <c r="P13" s="42" t="str">
        <f>IF(AND('Pivot elenchi'!T12="",'Pivot elenchi'!T13=""),"",IF('Pivot elenchi'!T12="",'Pivot elenchi'!T11="",'Pivot elenchi'!T12))</f>
        <v/>
      </c>
      <c r="Q13" s="42" t="str">
        <f>IF(AND('Pivot elenchi'!U12="",'Pivot elenchi'!U13=""),"",IF('Pivot elenchi'!U12="",'Pivot elenchi'!U11="",'Pivot elenchi'!U12))</f>
        <v>AMMINISTRAZIONE, FINANZA E CONTROLLO</v>
      </c>
      <c r="R13" t="s">
        <v>717</v>
      </c>
      <c r="T13" s="42" t="str">
        <f>IF('Pivot elenchi'!D10="","",'Pivot elenchi'!D10)</f>
        <v/>
      </c>
      <c r="U13" s="42" t="str">
        <f>IF('Pivot elenchi'!C10="","",'Pivot elenchi'!C10)</f>
        <v/>
      </c>
      <c r="W13" s="42" t="str">
        <f t="shared" si="7"/>
        <v>VIA DELLE LIBERTA' 12 - VENEZIA (VE)</v>
      </c>
      <c r="X13" s="42" t="str">
        <f t="shared" si="8"/>
        <v xml:space="preserve">VENEZIA                </v>
      </c>
      <c r="Y13" s="42" t="str">
        <f t="shared" si="9"/>
        <v xml:space="preserve">VENEZIA                </v>
      </c>
      <c r="Z13" s="42" t="str">
        <f t="shared" si="10"/>
        <v>68</v>
      </c>
      <c r="AB13" s="42">
        <f t="shared" si="11"/>
        <v>210000</v>
      </c>
      <c r="AC13" s="42" t="str">
        <f t="shared" si="11"/>
        <v>AMMINISTRAZIONE, FINANZA E CONTROLLO</v>
      </c>
      <c r="AD13" s="42" t="str">
        <f t="shared" si="11"/>
        <v/>
      </c>
      <c r="AE13" s="42" t="str">
        <f t="shared" si="11"/>
        <v>AMMINISTRAZIONE, FINANZA E CONTROLLO</v>
      </c>
      <c r="AF13" s="42" t="str">
        <f t="shared" si="12"/>
        <v/>
      </c>
      <c r="AG13" s="42" t="str">
        <f t="shared" si="12"/>
        <v>AMMINISTRAZIONE, FINANZA E CONTROLLO</v>
      </c>
    </row>
    <row r="14" spans="1:33" x14ac:dyDescent="0.25">
      <c r="A14" s="25" t="s">
        <v>321</v>
      </c>
      <c r="D14" s="42" t="str">
        <f>IF('Pivot elenchi'!D11="","",'Pivot elenchi'!D11)</f>
        <v/>
      </c>
      <c r="E14" s="41" t="str">
        <f>IF('Pivot elenchi'!C11="","",'Pivot elenchi'!C11)</f>
        <v/>
      </c>
      <c r="G14" s="42" t="str">
        <f>IF('Pivot elenchi'!I11="","",'Pivot elenchi'!I11)</f>
        <v>VIA ALESSANDRO VOLTA 44 - PALERMO (PA)</v>
      </c>
      <c r="H14" s="49" t="s">
        <v>480</v>
      </c>
      <c r="I14" s="42" t="str">
        <f>IF('Pivot elenchi'!J11="","",'Pivot elenchi'!J11)</f>
        <v xml:space="preserve">PALERMO                </v>
      </c>
      <c r="J14" s="41" t="str">
        <f>IF('Pivot elenchi'!H11="","",'Pivot elenchi'!H11)</f>
        <v>72</v>
      </c>
      <c r="L14" s="42" t="str">
        <f>IF(AND('Pivot elenchi'!P13="",'Pivot elenchi'!P14=""),"",IF('Pivot elenchi'!P13="",'Pivot elenchi'!P12="",'Pivot elenchi'!P13))</f>
        <v xml:space="preserve">21000001    </v>
      </c>
      <c r="M14" s="42" t="str">
        <f>IF(AND('Pivot elenchi'!Q13="",'Pivot elenchi'!Q14=""),"",IF('Pivot elenchi'!Q13="",'Pivot elenchi'!Q12="",'Pivot elenchi'!Q13))</f>
        <v>FISCALITA'</v>
      </c>
      <c r="N14" s="42" t="str">
        <f>IF(AND('Pivot elenchi'!R13="",'Pivot elenchi'!R14=""),"",IF('Pivot elenchi'!R13="",'Pivot elenchi'!R12="",'Pivot elenchi'!R13))</f>
        <v/>
      </c>
      <c r="O14" s="42" t="str">
        <f>IF(AND('Pivot elenchi'!S13="",'Pivot elenchi'!S14=""),"",IF('Pivot elenchi'!S13="",'Pivot elenchi'!S12="",'Pivot elenchi'!S13))</f>
        <v>FISCALITA'</v>
      </c>
      <c r="P14" s="42" t="str">
        <f>IF(AND('Pivot elenchi'!T13="",'Pivot elenchi'!T14=""),"",IF('Pivot elenchi'!T13="",'Pivot elenchi'!T12="",'Pivot elenchi'!T13))</f>
        <v/>
      </c>
      <c r="Q14" s="42" t="str">
        <f>IF(AND('Pivot elenchi'!U13="",'Pivot elenchi'!U14=""),"",IF('Pivot elenchi'!U13="",'Pivot elenchi'!U12="",'Pivot elenchi'!U13))</f>
        <v>AMMINISTRAZIONE, FINANZA E CONTROLLO</v>
      </c>
      <c r="R14" t="s">
        <v>717</v>
      </c>
      <c r="T14" s="42" t="str">
        <f>IF('Pivot elenchi'!D11="","",'Pivot elenchi'!D11)</f>
        <v/>
      </c>
      <c r="U14" s="42" t="str">
        <f>IF('Pivot elenchi'!C11="","",'Pivot elenchi'!C11)</f>
        <v/>
      </c>
      <c r="W14" s="42" t="str">
        <f t="shared" si="7"/>
        <v>VIA ALESSANDRO VOLTA 44 - PALERMO (PA)</v>
      </c>
      <c r="X14" s="42" t="str">
        <f t="shared" si="8"/>
        <v xml:space="preserve">PALERMO                </v>
      </c>
      <c r="Y14" s="42" t="str">
        <f t="shared" si="9"/>
        <v xml:space="preserve">PALERMO                </v>
      </c>
      <c r="Z14" s="42" t="str">
        <f t="shared" si="10"/>
        <v>72</v>
      </c>
      <c r="AB14" s="42" t="str">
        <f t="shared" si="11"/>
        <v xml:space="preserve">21000001    </v>
      </c>
      <c r="AC14" s="42" t="str">
        <f t="shared" si="11"/>
        <v>FISCALITA'</v>
      </c>
      <c r="AD14" s="42" t="str">
        <f t="shared" si="11"/>
        <v/>
      </c>
      <c r="AE14" s="42" t="str">
        <f t="shared" si="11"/>
        <v>FISCALITA'</v>
      </c>
      <c r="AF14" s="42" t="str">
        <f t="shared" si="12"/>
        <v/>
      </c>
      <c r="AG14" s="42" t="str">
        <f t="shared" si="12"/>
        <v>AMMINISTRAZIONE, FINANZA E CONTROLLO</v>
      </c>
    </row>
    <row r="15" spans="1:33" x14ac:dyDescent="0.25">
      <c r="A15" s="25" t="s">
        <v>17</v>
      </c>
      <c r="D15" s="42" t="str">
        <f>IF('Pivot elenchi'!D12="","",'Pivot elenchi'!D12)</f>
        <v/>
      </c>
      <c r="E15" s="41" t="str">
        <f>IF('Pivot elenchi'!C12="","",'Pivot elenchi'!C12)</f>
        <v/>
      </c>
      <c r="G15" s="42" t="str">
        <f>IF('Pivot elenchi'!I12="","",'Pivot elenchi'!I12)</f>
        <v>PIAZZA DEI MARTIRI 58 - NAPOLI (NA)</v>
      </c>
      <c r="H15" s="49" t="s">
        <v>483</v>
      </c>
      <c r="I15" s="42" t="str">
        <f>IF('Pivot elenchi'!J12="","",'Pivot elenchi'!J12)</f>
        <v xml:space="preserve">NAPOLI                 </v>
      </c>
      <c r="J15" s="41" t="str">
        <f>IF('Pivot elenchi'!H12="","",'Pivot elenchi'!H12)</f>
        <v>79</v>
      </c>
      <c r="L15" s="42" t="str">
        <f>IF(AND('Pivot elenchi'!P14="",'Pivot elenchi'!P15=""),"",IF('Pivot elenchi'!P14="",'Pivot elenchi'!P13="",'Pivot elenchi'!P14))</f>
        <v xml:space="preserve">214000      </v>
      </c>
      <c r="M15" s="42" t="str">
        <f>IF(AND('Pivot elenchi'!Q14="",'Pivot elenchi'!Q15=""),"",IF('Pivot elenchi'!Q14="",'Pivot elenchi'!Q13="",'Pivot elenchi'!Q14))</f>
        <v>PIANIFICAZIONE E CONTROLLO DI G</v>
      </c>
      <c r="N15" s="42" t="str">
        <f>IF(AND('Pivot elenchi'!R14="",'Pivot elenchi'!R15=""),"",IF('Pivot elenchi'!R14="",'Pivot elenchi'!R13="",'Pivot elenchi'!R14))</f>
        <v/>
      </c>
      <c r="O15" s="42" t="str">
        <f>IF(AND('Pivot elenchi'!S14="",'Pivot elenchi'!S15=""),"",IF('Pivot elenchi'!S14="",'Pivot elenchi'!S13="",'Pivot elenchi'!S14))</f>
        <v>PIANIFICAZIONE E CONTROLLO</v>
      </c>
      <c r="P15" s="42" t="str">
        <f>IF(AND('Pivot elenchi'!T14="",'Pivot elenchi'!T15=""),"",IF('Pivot elenchi'!T14="",'Pivot elenchi'!T13="",'Pivot elenchi'!T14))</f>
        <v/>
      </c>
      <c r="Q15" s="42" t="str">
        <f>IF(AND('Pivot elenchi'!U14="",'Pivot elenchi'!U15=""),"",IF('Pivot elenchi'!U14="",'Pivot elenchi'!U13="",'Pivot elenchi'!U14))</f>
        <v>AMMINISTRAZIONE, FINANZA E CONTROLLO</v>
      </c>
      <c r="R15" t="s">
        <v>717</v>
      </c>
      <c r="T15" s="42" t="str">
        <f>IF('Pivot elenchi'!D12="","",'Pivot elenchi'!D12)</f>
        <v/>
      </c>
      <c r="U15" s="42" t="str">
        <f>IF('Pivot elenchi'!C12="","",'Pivot elenchi'!C12)</f>
        <v/>
      </c>
      <c r="W15" s="42" t="str">
        <f t="shared" si="7"/>
        <v>PIAZZA DEI MARTIRI 58 - NAPOLI (NA)</v>
      </c>
      <c r="X15" s="42" t="str">
        <f t="shared" si="8"/>
        <v xml:space="preserve">NAPOLI                 </v>
      </c>
      <c r="Y15" s="42" t="str">
        <f t="shared" si="9"/>
        <v xml:space="preserve">NAPOLI                 </v>
      </c>
      <c r="Z15" s="42" t="str">
        <f t="shared" si="10"/>
        <v>79</v>
      </c>
      <c r="AB15" s="42" t="str">
        <f t="shared" si="11"/>
        <v xml:space="preserve">214000      </v>
      </c>
      <c r="AC15" s="42" t="str">
        <f t="shared" si="11"/>
        <v>PIANIFICAZIONE E CONTROLLO DI G</v>
      </c>
      <c r="AD15" s="42" t="str">
        <f t="shared" si="11"/>
        <v/>
      </c>
      <c r="AE15" s="42" t="str">
        <f t="shared" si="11"/>
        <v>PIANIFICAZIONE E CONTROLLO</v>
      </c>
      <c r="AF15" s="42" t="str">
        <f t="shared" si="12"/>
        <v/>
      </c>
      <c r="AG15" s="42" t="str">
        <f t="shared" si="12"/>
        <v>AMMINISTRAZIONE, FINANZA E CONTROLLO</v>
      </c>
    </row>
    <row r="16" spans="1:33" x14ac:dyDescent="0.25">
      <c r="D16" s="42" t="str">
        <f>IF('Pivot elenchi'!D13="","",'Pivot elenchi'!D13)</f>
        <v/>
      </c>
      <c r="E16" s="41" t="str">
        <f>IF('Pivot elenchi'!C13="","",'Pivot elenchi'!C13)</f>
        <v/>
      </c>
      <c r="G16" s="42" t="str">
        <f>IF('Pivot elenchi'!I13="","",'Pivot elenchi'!I13)</f>
        <v>VIALE IV NOVEMBRE 6 - GENOVA (GE)</v>
      </c>
      <c r="H16" s="49" t="s">
        <v>485</v>
      </c>
      <c r="I16" s="42" t="str">
        <f>IF('Pivot elenchi'!J13="","",'Pivot elenchi'!J13)</f>
        <v xml:space="preserve">GENOVA                 </v>
      </c>
      <c r="J16" s="41" t="str">
        <f>IF('Pivot elenchi'!H13="","",'Pivot elenchi'!H13)</f>
        <v>80</v>
      </c>
      <c r="L16" s="42" t="str">
        <f>IF(AND('Pivot elenchi'!P15="",'Pivot elenchi'!P16=""),"",IF('Pivot elenchi'!P15="",'Pivot elenchi'!P14="",'Pivot elenchi'!P15))</f>
        <v xml:space="preserve">215000      </v>
      </c>
      <c r="M16" s="42" t="str">
        <f>IF(AND('Pivot elenchi'!Q15="",'Pivot elenchi'!Q16=""),"",IF('Pivot elenchi'!Q15="",'Pivot elenchi'!Q14="",'Pivot elenchi'!Q15))</f>
        <v>BILANCIO</v>
      </c>
      <c r="N16" s="42" t="str">
        <f>IF(AND('Pivot elenchi'!R15="",'Pivot elenchi'!R16=""),"",IF('Pivot elenchi'!R15="",'Pivot elenchi'!R14="",'Pivot elenchi'!R15))</f>
        <v/>
      </c>
      <c r="O16" s="42" t="str">
        <f>IF(AND('Pivot elenchi'!S15="",'Pivot elenchi'!S16=""),"",IF('Pivot elenchi'!S15="",'Pivot elenchi'!S14="",'Pivot elenchi'!S15))</f>
        <v>AMMINISTRAZIONE E BILANCIO</v>
      </c>
      <c r="P16" s="42" t="str">
        <f>IF(AND('Pivot elenchi'!T15="",'Pivot elenchi'!T16=""),"",IF('Pivot elenchi'!T15="",'Pivot elenchi'!T14="",'Pivot elenchi'!T15))</f>
        <v/>
      </c>
      <c r="Q16" s="42" t="str">
        <f>IF(AND('Pivot elenchi'!U15="",'Pivot elenchi'!U16=""),"",IF('Pivot elenchi'!U15="",'Pivot elenchi'!U14="",'Pivot elenchi'!U15))</f>
        <v>AMMINISTRAZIONE, FINANZA E CONTROLLO</v>
      </c>
      <c r="R16" t="s">
        <v>717</v>
      </c>
      <c r="T16" s="42" t="str">
        <f>IF('Pivot elenchi'!D13="","",'Pivot elenchi'!D13)</f>
        <v/>
      </c>
      <c r="U16" s="42" t="str">
        <f>IF('Pivot elenchi'!C13="","",'Pivot elenchi'!C13)</f>
        <v/>
      </c>
      <c r="W16" s="42" t="str">
        <f t="shared" si="7"/>
        <v>VIALE IV NOVEMBRE 6 - GENOVA (GE)</v>
      </c>
      <c r="X16" s="42" t="str">
        <f t="shared" si="8"/>
        <v xml:space="preserve">GENOVA                 </v>
      </c>
      <c r="Y16" s="42" t="str">
        <f t="shared" si="9"/>
        <v xml:space="preserve">GENOVA                 </v>
      </c>
      <c r="Z16" s="42" t="str">
        <f t="shared" si="10"/>
        <v>80</v>
      </c>
      <c r="AB16" s="42" t="str">
        <f t="shared" si="11"/>
        <v xml:space="preserve">215000      </v>
      </c>
      <c r="AC16" s="42" t="str">
        <f t="shared" si="11"/>
        <v>BILANCIO</v>
      </c>
      <c r="AD16" s="42" t="str">
        <f t="shared" si="11"/>
        <v/>
      </c>
      <c r="AE16" s="42" t="str">
        <f t="shared" si="11"/>
        <v>AMMINISTRAZIONE E BILANCIO</v>
      </c>
      <c r="AF16" s="42" t="str">
        <f t="shared" si="12"/>
        <v/>
      </c>
      <c r="AG16" s="42" t="str">
        <f t="shared" si="12"/>
        <v>AMMINISTRAZIONE, FINANZA E CONTROLLO</v>
      </c>
    </row>
    <row r="17" spans="1:33" x14ac:dyDescent="0.25">
      <c r="D17" s="42" t="str">
        <f>IF('Pivot elenchi'!D14="","",'Pivot elenchi'!D14)</f>
        <v/>
      </c>
      <c r="E17" s="41" t="str">
        <f>IF('Pivot elenchi'!C14="","",'Pivot elenchi'!C14)</f>
        <v/>
      </c>
      <c r="G17" s="42" t="str">
        <f>IF('Pivot elenchi'!I14="","",'Pivot elenchi'!I14)</f>
        <v>Corrisp. ESTERO</v>
      </c>
      <c r="H17" s="49" t="s">
        <v>61</v>
      </c>
      <c r="I17" s="42" t="str">
        <f>IF('Pivot elenchi'!J14="","",'Pivot elenchi'!J14)</f>
        <v>EE</v>
      </c>
      <c r="J17" s="41" t="str">
        <f>IF('Pivot elenchi'!H14="","",'Pivot elenchi'!H14)</f>
        <v>99</v>
      </c>
      <c r="L17" s="42" t="str">
        <f>IF(AND('Pivot elenchi'!P16="",'Pivot elenchi'!P17=""),"",IF('Pivot elenchi'!P16="",'Pivot elenchi'!P15="",'Pivot elenchi'!P16))</f>
        <v xml:space="preserve">215100      </v>
      </c>
      <c r="M17" s="42" t="str">
        <f>IF(AND('Pivot elenchi'!Q16="",'Pivot elenchi'!Q17=""),"",IF('Pivot elenchi'!Q16="",'Pivot elenchi'!Q15="",'Pivot elenchi'!Q16))</f>
        <v>CREDIT MANAGEMENT</v>
      </c>
      <c r="N17" s="42" t="str">
        <f>IF(AND('Pivot elenchi'!R16="",'Pivot elenchi'!R17=""),"",IF('Pivot elenchi'!R16="",'Pivot elenchi'!R15="",'Pivot elenchi'!R16))</f>
        <v/>
      </c>
      <c r="O17" s="42" t="str">
        <f>IF(AND('Pivot elenchi'!S16="",'Pivot elenchi'!S17=""),"",IF('Pivot elenchi'!S16="",'Pivot elenchi'!S15="",'Pivot elenchi'!S16))</f>
        <v>FINANZA, TESORERIA E RISK MANAGEMENT</v>
      </c>
      <c r="P17" s="42" t="str">
        <f>IF(AND('Pivot elenchi'!T16="",'Pivot elenchi'!T17=""),"",IF('Pivot elenchi'!T16="",'Pivot elenchi'!T15="",'Pivot elenchi'!T16))</f>
        <v/>
      </c>
      <c r="Q17" s="42" t="str">
        <f>IF(AND('Pivot elenchi'!U16="",'Pivot elenchi'!U17=""),"",IF('Pivot elenchi'!U16="",'Pivot elenchi'!U15="",'Pivot elenchi'!U16))</f>
        <v>AMMINISTRAZIONE, FINANZA E CONTROLLO</v>
      </c>
      <c r="R17" t="s">
        <v>717</v>
      </c>
      <c r="T17" s="42" t="str">
        <f>IF('Pivot elenchi'!D14="","",'Pivot elenchi'!D14)</f>
        <v/>
      </c>
      <c r="U17" s="42" t="str">
        <f>IF('Pivot elenchi'!C14="","",'Pivot elenchi'!C14)</f>
        <v/>
      </c>
      <c r="W17" s="42" t="str">
        <f t="shared" si="7"/>
        <v>Corrisp. ESTERO</v>
      </c>
      <c r="X17" s="42" t="str">
        <f t="shared" si="8"/>
        <v>EE</v>
      </c>
      <c r="Y17" s="42" t="str">
        <f t="shared" si="9"/>
        <v>EE</v>
      </c>
      <c r="Z17" s="42" t="str">
        <f t="shared" si="10"/>
        <v>99</v>
      </c>
      <c r="AB17" s="42" t="str">
        <f t="shared" si="11"/>
        <v xml:space="preserve">215100      </v>
      </c>
      <c r="AC17" s="42" t="str">
        <f t="shared" si="11"/>
        <v>CREDIT MANAGEMENT</v>
      </c>
      <c r="AD17" s="42" t="str">
        <f t="shared" si="11"/>
        <v/>
      </c>
      <c r="AE17" s="42" t="str">
        <f t="shared" si="11"/>
        <v>FINANZA, TESORERIA E RISK MANAGEMENT</v>
      </c>
      <c r="AF17" s="42" t="str">
        <f t="shared" si="12"/>
        <v/>
      </c>
      <c r="AG17" s="42" t="str">
        <f t="shared" si="12"/>
        <v>AMMINISTRAZIONE, FINANZA E CONTROLLO</v>
      </c>
    </row>
    <row r="18" spans="1:33" x14ac:dyDescent="0.25">
      <c r="A18" s="47" t="s">
        <v>259</v>
      </c>
      <c r="D18" s="42" t="str">
        <f>IF('Pivot elenchi'!D15="","",'Pivot elenchi'!D15)</f>
        <v/>
      </c>
      <c r="E18" s="41" t="str">
        <f>IF('Pivot elenchi'!C15="","",'Pivot elenchi'!C15)</f>
        <v/>
      </c>
      <c r="G18" s="42" t="str">
        <f>IF('Pivot elenchi'!I15="","",'Pivot elenchi'!I15)</f>
        <v/>
      </c>
      <c r="H18" s="49" t="s">
        <v>566</v>
      </c>
      <c r="I18" s="42" t="str">
        <f>IF('Pivot elenchi'!J15="","",'Pivot elenchi'!J15)</f>
        <v/>
      </c>
      <c r="J18" s="41" t="str">
        <f>IF('Pivot elenchi'!H15="","",'Pivot elenchi'!H15)</f>
        <v/>
      </c>
      <c r="L18" s="42" t="str">
        <f>IF(AND('Pivot elenchi'!P17="",'Pivot elenchi'!P18=""),"",IF('Pivot elenchi'!P17="",'Pivot elenchi'!P16="",'Pivot elenchi'!P17))</f>
        <v xml:space="preserve">21520011    </v>
      </c>
      <c r="M18" s="42" t="str">
        <f>IF(AND('Pivot elenchi'!Q17="",'Pivot elenchi'!Q18=""),"",IF('Pivot elenchi'!Q17="",'Pivot elenchi'!Q16="",'Pivot elenchi'!Q17))</f>
        <v>CONTABILITA' GENERALE</v>
      </c>
      <c r="N18" s="42" t="str">
        <f>IF(AND('Pivot elenchi'!R17="",'Pivot elenchi'!R18=""),"",IF('Pivot elenchi'!R17="",'Pivot elenchi'!R16="",'Pivot elenchi'!R17))</f>
        <v/>
      </c>
      <c r="O18" s="42" t="str">
        <f>IF(AND('Pivot elenchi'!S17="",'Pivot elenchi'!S18=""),"",IF('Pivot elenchi'!S17="",'Pivot elenchi'!S16="",'Pivot elenchi'!S17))</f>
        <v>AMMINISTRAZIONE E BILANCIO</v>
      </c>
      <c r="P18" s="42" t="str">
        <f>IF(AND('Pivot elenchi'!T17="",'Pivot elenchi'!T18=""),"",IF('Pivot elenchi'!T17="",'Pivot elenchi'!T16="",'Pivot elenchi'!T17))</f>
        <v/>
      </c>
      <c r="Q18" s="42" t="str">
        <f>IF(AND('Pivot elenchi'!U17="",'Pivot elenchi'!U18=""),"",IF('Pivot elenchi'!U17="",'Pivot elenchi'!U16="",'Pivot elenchi'!U17))</f>
        <v>AMMINISTRAZIONE, FINANZA E CONTROLLO</v>
      </c>
      <c r="R18" t="s">
        <v>717</v>
      </c>
      <c r="T18" s="42" t="str">
        <f>IF('Pivot elenchi'!D15="","",'Pivot elenchi'!D15)</f>
        <v/>
      </c>
      <c r="U18" s="42" t="str">
        <f>IF('Pivot elenchi'!C15="","",'Pivot elenchi'!C15)</f>
        <v/>
      </c>
      <c r="W18" s="42" t="str">
        <f t="shared" si="7"/>
        <v/>
      </c>
      <c r="X18" s="42" t="str">
        <f t="shared" si="8"/>
        <v/>
      </c>
      <c r="Y18" s="42" t="str">
        <f t="shared" si="9"/>
        <v/>
      </c>
      <c r="Z18" s="42" t="str">
        <f t="shared" si="10"/>
        <v/>
      </c>
      <c r="AB18" s="42" t="str">
        <f t="shared" si="11"/>
        <v xml:space="preserve">21520011    </v>
      </c>
      <c r="AC18" s="42" t="str">
        <f t="shared" si="11"/>
        <v>CONTABILITA' GENERALE</v>
      </c>
      <c r="AD18" s="42" t="str">
        <f t="shared" si="11"/>
        <v/>
      </c>
      <c r="AE18" s="42" t="str">
        <f t="shared" si="11"/>
        <v>AMMINISTRAZIONE E BILANCIO</v>
      </c>
      <c r="AF18" s="42" t="str">
        <f t="shared" si="12"/>
        <v/>
      </c>
      <c r="AG18" s="42" t="str">
        <f t="shared" si="12"/>
        <v>AMMINISTRAZIONE, FINANZA E CONTROLLO</v>
      </c>
    </row>
    <row r="19" spans="1:33" x14ac:dyDescent="0.25">
      <c r="A19" s="25" t="s">
        <v>260</v>
      </c>
      <c r="D19" s="42" t="str">
        <f>IF('Pivot elenchi'!D16="","",'Pivot elenchi'!D16)</f>
        <v/>
      </c>
      <c r="E19" s="41" t="str">
        <f>IF('Pivot elenchi'!C16="","",'Pivot elenchi'!C16)</f>
        <v/>
      </c>
      <c r="G19" s="42" t="str">
        <f>IF('Pivot elenchi'!I16="","",'Pivot elenchi'!I16)</f>
        <v/>
      </c>
      <c r="H19" s="49" t="s">
        <v>566</v>
      </c>
      <c r="I19" s="42" t="str">
        <f>IF('Pivot elenchi'!J16="","",'Pivot elenchi'!J16)</f>
        <v/>
      </c>
      <c r="J19" s="41" t="str">
        <f>IF('Pivot elenchi'!H16="","",'Pivot elenchi'!H16)</f>
        <v/>
      </c>
      <c r="L19" s="42" t="str">
        <f>IF(AND('Pivot elenchi'!P18="",'Pivot elenchi'!P19=""),"",IF('Pivot elenchi'!P18="",'Pivot elenchi'!P17="",'Pivot elenchi'!P18))</f>
        <v xml:space="preserve">21520012    </v>
      </c>
      <c r="M19" s="42" t="str">
        <f>IF(AND('Pivot elenchi'!Q18="",'Pivot elenchi'!Q19=""),"",IF('Pivot elenchi'!Q18="",'Pivot elenchi'!Q17="",'Pivot elenchi'!Q18))</f>
        <v>CONTABILITA' FORNITORI</v>
      </c>
      <c r="N19" s="42" t="str">
        <f>IF(AND('Pivot elenchi'!R18="",'Pivot elenchi'!R19=""),"",IF('Pivot elenchi'!R18="",'Pivot elenchi'!R17="",'Pivot elenchi'!R18))</f>
        <v/>
      </c>
      <c r="O19" s="42" t="str">
        <f>IF(AND('Pivot elenchi'!S18="",'Pivot elenchi'!S19=""),"",IF('Pivot elenchi'!S18="",'Pivot elenchi'!S17="",'Pivot elenchi'!S18))</f>
        <v>AMMINISTRAZIONE E BILANCIO</v>
      </c>
      <c r="P19" s="42" t="str">
        <f>IF(AND('Pivot elenchi'!T18="",'Pivot elenchi'!T19=""),"",IF('Pivot elenchi'!T18="",'Pivot elenchi'!T17="",'Pivot elenchi'!T18))</f>
        <v/>
      </c>
      <c r="Q19" s="42" t="str">
        <f>IF(AND('Pivot elenchi'!U18="",'Pivot elenchi'!U19=""),"",IF('Pivot elenchi'!U18="",'Pivot elenchi'!U17="",'Pivot elenchi'!U18))</f>
        <v>AMMINISTRAZIONE, FINANZA E CONTROLLO</v>
      </c>
      <c r="R19" t="s">
        <v>717</v>
      </c>
      <c r="T19" s="42" t="str">
        <f>IF('Pivot elenchi'!D16="","",'Pivot elenchi'!D16)</f>
        <v/>
      </c>
      <c r="U19" s="42" t="str">
        <f>IF('Pivot elenchi'!C16="","",'Pivot elenchi'!C16)</f>
        <v/>
      </c>
      <c r="W19" s="42" t="str">
        <f t="shared" si="7"/>
        <v/>
      </c>
      <c r="X19" s="42" t="str">
        <f t="shared" si="8"/>
        <v/>
      </c>
      <c r="Y19" s="42" t="str">
        <f t="shared" si="9"/>
        <v/>
      </c>
      <c r="Z19" s="42" t="str">
        <f t="shared" si="10"/>
        <v/>
      </c>
      <c r="AB19" s="42" t="str">
        <f t="shared" si="11"/>
        <v xml:space="preserve">21520012    </v>
      </c>
      <c r="AC19" s="42" t="str">
        <f t="shared" si="11"/>
        <v>CONTABILITA' FORNITORI</v>
      </c>
      <c r="AD19" s="42" t="str">
        <f t="shared" si="11"/>
        <v/>
      </c>
      <c r="AE19" s="42" t="str">
        <f t="shared" si="11"/>
        <v>AMMINISTRAZIONE E BILANCIO</v>
      </c>
      <c r="AF19" s="42" t="str">
        <f t="shared" si="12"/>
        <v/>
      </c>
      <c r="AG19" s="42" t="str">
        <f t="shared" si="12"/>
        <v>AMMINISTRAZIONE, FINANZA E CONTROLLO</v>
      </c>
    </row>
    <row r="20" spans="1:33" x14ac:dyDescent="0.25">
      <c r="A20" s="25" t="s">
        <v>314</v>
      </c>
      <c r="D20" s="42" t="str">
        <f>IF('Pivot elenchi'!D17="","",'Pivot elenchi'!D17)</f>
        <v/>
      </c>
      <c r="E20" s="41" t="str">
        <f>IF('Pivot elenchi'!C17="","",'Pivot elenchi'!C17)</f>
        <v/>
      </c>
      <c r="G20" s="40" t="s">
        <v>317</v>
      </c>
      <c r="H20" s="40"/>
      <c r="I20" s="40"/>
      <c r="J20" s="40" t="s">
        <v>216</v>
      </c>
      <c r="L20" s="42" t="str">
        <f>IF(AND('Pivot elenchi'!P19="",'Pivot elenchi'!P20=""),"",IF('Pivot elenchi'!P19="",'Pivot elenchi'!P18="",'Pivot elenchi'!P19))</f>
        <v xml:space="preserve">21520013    </v>
      </c>
      <c r="M20" s="42" t="str">
        <f>IF(AND('Pivot elenchi'!Q19="",'Pivot elenchi'!Q20=""),"",IF('Pivot elenchi'!Q19="",'Pivot elenchi'!Q18="",'Pivot elenchi'!Q19))</f>
        <v>CONTABILITA' CLIENTI</v>
      </c>
      <c r="N20" s="42" t="str">
        <f>IF(AND('Pivot elenchi'!R19="",'Pivot elenchi'!R20=""),"",IF('Pivot elenchi'!R19="",'Pivot elenchi'!R18="",'Pivot elenchi'!R19))</f>
        <v/>
      </c>
      <c r="O20" s="42" t="str">
        <f>IF(AND('Pivot elenchi'!S19="",'Pivot elenchi'!S20=""),"",IF('Pivot elenchi'!S19="",'Pivot elenchi'!S18="",'Pivot elenchi'!S19))</f>
        <v>AMMINISTRAZIONE E BILANCIO</v>
      </c>
      <c r="P20" s="42" t="str">
        <f>IF(AND('Pivot elenchi'!T19="",'Pivot elenchi'!T20=""),"",IF('Pivot elenchi'!T19="",'Pivot elenchi'!T18="",'Pivot elenchi'!T19))</f>
        <v/>
      </c>
      <c r="Q20" s="42" t="str">
        <f>IF(AND('Pivot elenchi'!U19="",'Pivot elenchi'!U20=""),"",IF('Pivot elenchi'!U19="",'Pivot elenchi'!U18="",'Pivot elenchi'!U19))</f>
        <v>AMMINISTRAZIONE, FINANZA E CONTROLLO</v>
      </c>
      <c r="R20" t="s">
        <v>717</v>
      </c>
      <c r="W20" s="42" t="str">
        <f t="shared" si="7"/>
        <v>Altra Sede</v>
      </c>
      <c r="X20" s="42" t="str">
        <f t="shared" si="8"/>
        <v/>
      </c>
      <c r="Y20" s="42" t="str">
        <f t="shared" si="9"/>
        <v/>
      </c>
      <c r="Z20" s="42" t="str">
        <f t="shared" si="10"/>
        <v>np</v>
      </c>
      <c r="AB20" s="42" t="str">
        <f t="shared" si="11"/>
        <v xml:space="preserve">21520013    </v>
      </c>
      <c r="AC20" s="42" t="str">
        <f t="shared" si="11"/>
        <v>CONTABILITA' CLIENTI</v>
      </c>
      <c r="AD20" s="42" t="str">
        <f t="shared" si="11"/>
        <v/>
      </c>
      <c r="AE20" s="42" t="str">
        <f t="shared" si="11"/>
        <v>AMMINISTRAZIONE E BILANCIO</v>
      </c>
      <c r="AF20" s="42" t="str">
        <f t="shared" si="12"/>
        <v/>
      </c>
      <c r="AG20" s="42" t="str">
        <f t="shared" si="12"/>
        <v>AMMINISTRAZIONE, FINANZA E CONTROLLO</v>
      </c>
    </row>
    <row r="21" spans="1:33" x14ac:dyDescent="0.25">
      <c r="D21" s="42" t="str">
        <f>IF('Pivot elenchi'!D18="","",'Pivot elenchi'!D18)</f>
        <v/>
      </c>
      <c r="E21" s="41" t="str">
        <f>IF('Pivot elenchi'!C18="","",'Pivot elenchi'!C18)</f>
        <v/>
      </c>
      <c r="G21" s="42" t="str">
        <f>IF('Pivot elenchi'!I18="","",'Pivot elenchi'!I18)</f>
        <v/>
      </c>
      <c r="H21" s="49" t="s">
        <v>566</v>
      </c>
      <c r="I21" s="42" t="str">
        <f>IF('Pivot elenchi'!J18="","",'Pivot elenchi'!J18)</f>
        <v/>
      </c>
      <c r="J21" s="41" t="str">
        <f>IF('Pivot elenchi'!H18="","",'Pivot elenchi'!H18)</f>
        <v/>
      </c>
      <c r="L21" s="42" t="str">
        <f>IF(AND('Pivot elenchi'!P20="",'Pivot elenchi'!P21=""),"",IF('Pivot elenchi'!P20="",'Pivot elenchi'!P19="",'Pivot elenchi'!P20))</f>
        <v xml:space="preserve">215500      </v>
      </c>
      <c r="M21" s="42" t="str">
        <f>IF(AND('Pivot elenchi'!Q20="",'Pivot elenchi'!Q21=""),"",IF('Pivot elenchi'!Q20="",'Pivot elenchi'!Q19="",'Pivot elenchi'!Q20))</f>
        <v>FINANZA, TESORERIA E RISK MAN</v>
      </c>
      <c r="N21" s="42" t="str">
        <f>IF(AND('Pivot elenchi'!R20="",'Pivot elenchi'!R21=""),"",IF('Pivot elenchi'!R20="",'Pivot elenchi'!R19="",'Pivot elenchi'!R20))</f>
        <v/>
      </c>
      <c r="O21" s="42" t="str">
        <f>IF(AND('Pivot elenchi'!S20="",'Pivot elenchi'!S21=""),"",IF('Pivot elenchi'!S20="",'Pivot elenchi'!S19="",'Pivot elenchi'!S20))</f>
        <v>FINANZA, TESORERIA E RISK MANAGEMENT</v>
      </c>
      <c r="P21" s="42" t="str">
        <f>IF(AND('Pivot elenchi'!T20="",'Pivot elenchi'!T21=""),"",IF('Pivot elenchi'!T20="",'Pivot elenchi'!T19="",'Pivot elenchi'!T20))</f>
        <v/>
      </c>
      <c r="Q21" s="42" t="str">
        <f>IF(AND('Pivot elenchi'!U20="",'Pivot elenchi'!U21=""),"",IF('Pivot elenchi'!U20="",'Pivot elenchi'!U19="",'Pivot elenchi'!U20))</f>
        <v>AMMINISTRAZIONE, FINANZA E CONTROLLO</v>
      </c>
      <c r="R21" t="s">
        <v>717</v>
      </c>
      <c r="W21" s="42" t="str">
        <f t="shared" si="7"/>
        <v/>
      </c>
      <c r="X21" s="42" t="str">
        <f t="shared" si="8"/>
        <v/>
      </c>
      <c r="Y21" s="42" t="str">
        <f t="shared" si="9"/>
        <v/>
      </c>
      <c r="Z21" s="42" t="str">
        <f t="shared" si="10"/>
        <v/>
      </c>
      <c r="AB21" s="42" t="str">
        <f t="shared" si="11"/>
        <v xml:space="preserve">215500      </v>
      </c>
      <c r="AC21" s="42" t="str">
        <f t="shared" si="11"/>
        <v>FINANZA, TESORERIA E RISK MAN</v>
      </c>
      <c r="AD21" s="42" t="str">
        <f t="shared" si="11"/>
        <v/>
      </c>
      <c r="AE21" s="42" t="str">
        <f t="shared" si="11"/>
        <v>FINANZA, TESORERIA E RISK MANAGEMENT</v>
      </c>
      <c r="AF21" s="42" t="str">
        <f t="shared" si="12"/>
        <v/>
      </c>
      <c r="AG21" s="42" t="str">
        <f t="shared" si="12"/>
        <v>AMMINISTRAZIONE, FINANZA E CONTROLLO</v>
      </c>
    </row>
    <row r="22" spans="1:33" x14ac:dyDescent="0.25">
      <c r="G22" s="42" t="str">
        <f>IF('Pivot elenchi'!I19="","",'Pivot elenchi'!I19)</f>
        <v/>
      </c>
      <c r="H22" s="49" t="s">
        <v>566</v>
      </c>
      <c r="I22" s="42" t="str">
        <f>IF('Pivot elenchi'!J19="","",'Pivot elenchi'!J19)</f>
        <v/>
      </c>
      <c r="J22" s="41" t="str">
        <f>IF('Pivot elenchi'!H19="","",'Pivot elenchi'!H19)</f>
        <v/>
      </c>
      <c r="L22" s="42" t="str">
        <f>IF(AND('Pivot elenchi'!P21="",'Pivot elenchi'!P22=""),"",IF('Pivot elenchi'!P21="",'Pivot elenchi'!P20="",'Pivot elenchi'!P21))</f>
        <v xml:space="preserve">21550001    </v>
      </c>
      <c r="M22" s="42" t="str">
        <f>IF(AND('Pivot elenchi'!Q21="",'Pivot elenchi'!Q22=""),"",IF('Pivot elenchi'!Q21="",'Pivot elenchi'!Q20="",'Pivot elenchi'!Q21))</f>
        <v>TESORERIA E RISK MANAGEMENT</v>
      </c>
      <c r="N22" s="42" t="str">
        <f>IF(AND('Pivot elenchi'!R21="",'Pivot elenchi'!R22=""),"",IF('Pivot elenchi'!R21="",'Pivot elenchi'!R20="",'Pivot elenchi'!R21))</f>
        <v/>
      </c>
      <c r="O22" s="42" t="str">
        <f>IF(AND('Pivot elenchi'!S21="",'Pivot elenchi'!S22=""),"",IF('Pivot elenchi'!S21="",'Pivot elenchi'!S20="",'Pivot elenchi'!S21))</f>
        <v>FINANZA, TESORERIA E RISK MANAGEMENT</v>
      </c>
      <c r="P22" s="42" t="str">
        <f>IF(AND('Pivot elenchi'!T21="",'Pivot elenchi'!T22=""),"",IF('Pivot elenchi'!T21="",'Pivot elenchi'!T20="",'Pivot elenchi'!T21))</f>
        <v/>
      </c>
      <c r="Q22" s="42" t="str">
        <f>IF(AND('Pivot elenchi'!U21="",'Pivot elenchi'!U22=""),"",IF('Pivot elenchi'!U21="",'Pivot elenchi'!U20="",'Pivot elenchi'!U21))</f>
        <v>AMMINISTRAZIONE, FINANZA E CONTROLLO</v>
      </c>
      <c r="R22" t="s">
        <v>717</v>
      </c>
      <c r="W22" s="42" t="str">
        <f t="shared" si="7"/>
        <v/>
      </c>
      <c r="X22" s="42" t="str">
        <f t="shared" si="8"/>
        <v/>
      </c>
      <c r="Y22" s="42" t="str">
        <f t="shared" si="9"/>
        <v/>
      </c>
      <c r="Z22" s="42" t="str">
        <f t="shared" si="10"/>
        <v/>
      </c>
      <c r="AB22" s="42" t="str">
        <f t="shared" si="11"/>
        <v xml:space="preserve">21550001    </v>
      </c>
      <c r="AC22" s="42" t="str">
        <f t="shared" si="11"/>
        <v>TESORERIA E RISK MANAGEMENT</v>
      </c>
      <c r="AD22" s="42" t="str">
        <f t="shared" si="11"/>
        <v/>
      </c>
      <c r="AE22" s="42" t="str">
        <f t="shared" si="11"/>
        <v>FINANZA, TESORERIA E RISK MANAGEMENT</v>
      </c>
      <c r="AF22" s="42" t="str">
        <f t="shared" si="12"/>
        <v/>
      </c>
      <c r="AG22" s="42" t="str">
        <f t="shared" si="12"/>
        <v>AMMINISTRAZIONE, FINANZA E CONTROLLO</v>
      </c>
    </row>
    <row r="23" spans="1:33" x14ac:dyDescent="0.25">
      <c r="A23" s="47" t="s">
        <v>313</v>
      </c>
      <c r="G23" s="42" t="str">
        <f>IF('Pivot elenchi'!I20="","",'Pivot elenchi'!I20)</f>
        <v/>
      </c>
      <c r="H23" s="49" t="s">
        <v>566</v>
      </c>
      <c r="I23" s="42" t="str">
        <f>IF('Pivot elenchi'!J20="","",'Pivot elenchi'!J20)</f>
        <v/>
      </c>
      <c r="J23" s="41" t="str">
        <f>IF('Pivot elenchi'!H20="","",'Pivot elenchi'!H20)</f>
        <v/>
      </c>
      <c r="L23" s="42" t="str">
        <f>IF(AND('Pivot elenchi'!P22="",'Pivot elenchi'!P23=""),"",IF('Pivot elenchi'!P22="",'Pivot elenchi'!P21="",'Pivot elenchi'!P22))</f>
        <v xml:space="preserve">310000      </v>
      </c>
      <c r="M23" s="42" t="str">
        <f>IF(AND('Pivot elenchi'!Q22="",'Pivot elenchi'!Q23=""),"",IF('Pivot elenchi'!Q22="",'Pivot elenchi'!Q21="",'Pivot elenchi'!Q22))</f>
        <v>DIR. CENTR. PERSONALE E ORG.</v>
      </c>
      <c r="N23" s="42" t="str">
        <f>IF(AND('Pivot elenchi'!R22="",'Pivot elenchi'!R23=""),"",IF('Pivot elenchi'!R22="",'Pivot elenchi'!R21="",'Pivot elenchi'!R22))</f>
        <v/>
      </c>
      <c r="O23" s="42" t="str">
        <f>IF(AND('Pivot elenchi'!S22="",'Pivot elenchi'!S23=""),"",IF('Pivot elenchi'!S22="",'Pivot elenchi'!S21="",'Pivot elenchi'!S22))</f>
        <v>DIREZIONE PERSONALE</v>
      </c>
      <c r="P23" s="42" t="str">
        <f>IF(AND('Pivot elenchi'!T22="",'Pivot elenchi'!T23=""),"",IF('Pivot elenchi'!T22="",'Pivot elenchi'!T21="",'Pivot elenchi'!T22))</f>
        <v/>
      </c>
      <c r="Q23" s="42" t="str">
        <f>IF(AND('Pivot elenchi'!U22="",'Pivot elenchi'!U23=""),"",IF('Pivot elenchi'!U22="",'Pivot elenchi'!U21="",'Pivot elenchi'!U22))</f>
        <v>DIREZIONE CENTRALE PERSONALE E ORGANIZZA</v>
      </c>
      <c r="R23" t="s">
        <v>717</v>
      </c>
      <c r="W23" s="42" t="str">
        <f t="shared" si="7"/>
        <v/>
      </c>
      <c r="X23" s="42" t="str">
        <f t="shared" si="8"/>
        <v/>
      </c>
      <c r="Y23" s="42" t="str">
        <f t="shared" si="9"/>
        <v/>
      </c>
      <c r="Z23" s="42" t="str">
        <f t="shared" si="10"/>
        <v/>
      </c>
      <c r="AB23" s="42" t="str">
        <f t="shared" si="11"/>
        <v xml:space="preserve">310000      </v>
      </c>
      <c r="AC23" s="42" t="str">
        <f t="shared" si="11"/>
        <v>DIR. CENTR. PERSONALE E ORG.</v>
      </c>
      <c r="AD23" s="42" t="str">
        <f t="shared" si="11"/>
        <v/>
      </c>
      <c r="AE23" s="42" t="str">
        <f t="shared" si="11"/>
        <v>DIREZIONE PERSONALE</v>
      </c>
      <c r="AF23" s="42" t="str">
        <f t="shared" si="12"/>
        <v/>
      </c>
      <c r="AG23" s="42" t="str">
        <f t="shared" si="12"/>
        <v>DIREZIONE CENTRALE PERSONALE E ORGANIZZA</v>
      </c>
    </row>
    <row r="24" spans="1:33" x14ac:dyDescent="0.25">
      <c r="A24" s="25" t="s">
        <v>314</v>
      </c>
      <c r="G24" s="42" t="str">
        <f>IF('Pivot elenchi'!I21="","",'Pivot elenchi'!I21)</f>
        <v/>
      </c>
      <c r="H24" s="49"/>
      <c r="I24" s="42" t="str">
        <f>IF('Pivot elenchi'!J21="","",'Pivot elenchi'!J21)</f>
        <v/>
      </c>
      <c r="J24" s="41" t="str">
        <f>IF('Pivot elenchi'!H21="","",'Pivot elenchi'!H21)</f>
        <v/>
      </c>
      <c r="L24" s="42" t="str">
        <f>IF(AND('Pivot elenchi'!P23="",'Pivot elenchi'!P24=""),"",IF('Pivot elenchi'!P23="",'Pivot elenchi'!P22="",'Pivot elenchi'!P23))</f>
        <v xml:space="preserve">31000010    </v>
      </c>
      <c r="M24" s="42" t="str">
        <f>IF(AND('Pivot elenchi'!Q23="",'Pivot elenchi'!Q24=""),"",IF('Pivot elenchi'!Q23="",'Pivot elenchi'!Q22="",'Pivot elenchi'!Q23))</f>
        <v>GEST.PERSONALE DIR.FUNZ.CENTR.</v>
      </c>
      <c r="N24" s="42" t="str">
        <f>IF(AND('Pivot elenchi'!R23="",'Pivot elenchi'!R24=""),"",IF('Pivot elenchi'!R23="",'Pivot elenchi'!R22="",'Pivot elenchi'!R23))</f>
        <v/>
      </c>
      <c r="O24" s="42" t="str">
        <f>IF(AND('Pivot elenchi'!S23="",'Pivot elenchi'!S24=""),"",IF('Pivot elenchi'!S23="",'Pivot elenchi'!S22="",'Pivot elenchi'!S23))</f>
        <v>DIREZIONE PERSONALE</v>
      </c>
      <c r="P24" s="42" t="str">
        <f>IF(AND('Pivot elenchi'!T23="",'Pivot elenchi'!T24=""),"",IF('Pivot elenchi'!T23="",'Pivot elenchi'!T22="",'Pivot elenchi'!T23))</f>
        <v/>
      </c>
      <c r="Q24" s="42" t="str">
        <f>IF(AND('Pivot elenchi'!U23="",'Pivot elenchi'!U24=""),"",IF('Pivot elenchi'!U23="",'Pivot elenchi'!U22="",'Pivot elenchi'!U23))</f>
        <v>DIREZIONE CENTRALE PERSONALE E ORGANIZZA</v>
      </c>
      <c r="R24" t="s">
        <v>717</v>
      </c>
      <c r="W24" s="42" t="str">
        <f t="shared" ref="W24:Z27" si="13">IF(G26="","",G26)</f>
        <v/>
      </c>
      <c r="X24" s="42" t="str">
        <f t="shared" si="13"/>
        <v/>
      </c>
      <c r="Y24" s="42" t="str">
        <f t="shared" si="13"/>
        <v/>
      </c>
      <c r="Z24" s="42" t="str">
        <f t="shared" si="13"/>
        <v/>
      </c>
      <c r="AB24" s="42" t="str">
        <f t="shared" si="11"/>
        <v xml:space="preserve">31000010    </v>
      </c>
      <c r="AC24" s="42" t="str">
        <f t="shared" si="11"/>
        <v>GEST.PERSONALE DIR.FUNZ.CENTR.</v>
      </c>
      <c r="AD24" s="42" t="str">
        <f t="shared" si="11"/>
        <v/>
      </c>
      <c r="AE24" s="42" t="str">
        <f t="shared" si="11"/>
        <v>DIREZIONE PERSONALE</v>
      </c>
      <c r="AF24" s="42" t="str">
        <f t="shared" si="12"/>
        <v/>
      </c>
      <c r="AG24" s="42" t="str">
        <f t="shared" si="12"/>
        <v>DIREZIONE CENTRALE PERSONALE E ORGANIZZA</v>
      </c>
    </row>
    <row r="25" spans="1:33" x14ac:dyDescent="0.25">
      <c r="A25" s="25" t="s">
        <v>315</v>
      </c>
      <c r="G25" s="42"/>
      <c r="H25" s="49"/>
      <c r="I25" s="42"/>
      <c r="J25" s="41"/>
      <c r="L25" s="42" t="str">
        <f>IF(AND('Pivot elenchi'!P24="",'Pivot elenchi'!P25=""),"",IF('Pivot elenchi'!P24="",'Pivot elenchi'!P23="",'Pivot elenchi'!P24))</f>
        <v xml:space="preserve">31000020    </v>
      </c>
      <c r="M25" s="42" t="str">
        <f>IF(AND('Pivot elenchi'!Q24="",'Pivot elenchi'!Q25=""),"",IF('Pivot elenchi'!Q24="",'Pivot elenchi'!Q23="",'Pivot elenchi'!Q24))</f>
        <v>ORGANIZZAZIONE</v>
      </c>
      <c r="N25" s="42" t="str">
        <f>IF(AND('Pivot elenchi'!R24="",'Pivot elenchi'!R25=""),"",IF('Pivot elenchi'!R24="",'Pivot elenchi'!R23="",'Pivot elenchi'!R24))</f>
        <v/>
      </c>
      <c r="O25" s="42" t="str">
        <f>IF(AND('Pivot elenchi'!S24="",'Pivot elenchi'!S25=""),"",IF('Pivot elenchi'!S24="",'Pivot elenchi'!S23="",'Pivot elenchi'!S24))</f>
        <v>DIREZIONE PERSONALE</v>
      </c>
      <c r="P25" s="42" t="str">
        <f>IF(AND('Pivot elenchi'!T24="",'Pivot elenchi'!T25=""),"",IF('Pivot elenchi'!T24="",'Pivot elenchi'!T23="",'Pivot elenchi'!T24))</f>
        <v/>
      </c>
      <c r="Q25" s="42" t="str">
        <f>IF(AND('Pivot elenchi'!U24="",'Pivot elenchi'!U25=""),"",IF('Pivot elenchi'!U24="",'Pivot elenchi'!U23="",'Pivot elenchi'!U24))</f>
        <v>DIREZIONE CENTRALE PERSONALE E ORGANIZZA</v>
      </c>
      <c r="R25" t="s">
        <v>717</v>
      </c>
      <c r="W25" s="42" t="str">
        <f t="shared" si="13"/>
        <v/>
      </c>
      <c r="X25" s="42" t="str">
        <f t="shared" si="13"/>
        <v/>
      </c>
      <c r="Y25" s="42" t="str">
        <f t="shared" si="13"/>
        <v/>
      </c>
      <c r="Z25" s="42" t="str">
        <f t="shared" si="13"/>
        <v/>
      </c>
      <c r="AB25" s="42" t="str">
        <f t="shared" si="11"/>
        <v xml:space="preserve">31000020    </v>
      </c>
      <c r="AC25" s="42" t="str">
        <f t="shared" si="11"/>
        <v>ORGANIZZAZIONE</v>
      </c>
      <c r="AD25" s="42" t="str">
        <f t="shared" si="11"/>
        <v/>
      </c>
      <c r="AE25" s="42" t="str">
        <f t="shared" si="11"/>
        <v>DIREZIONE PERSONALE</v>
      </c>
      <c r="AF25" s="42" t="str">
        <f t="shared" si="12"/>
        <v/>
      </c>
      <c r="AG25" s="42" t="str">
        <f t="shared" si="12"/>
        <v>DIREZIONE CENTRALE PERSONALE E ORGANIZZA</v>
      </c>
    </row>
    <row r="26" spans="1:33" x14ac:dyDescent="0.25">
      <c r="G26" s="40"/>
      <c r="H26" s="49"/>
      <c r="I26" s="40"/>
      <c r="J26" s="40"/>
      <c r="L26" s="42" t="str">
        <f>IF(AND('Pivot elenchi'!P25="",'Pivot elenchi'!P26=""),"",IF('Pivot elenchi'!P25="",'Pivot elenchi'!P24="",'Pivot elenchi'!P25))</f>
        <v xml:space="preserve">311000      </v>
      </c>
      <c r="M26" s="42" t="str">
        <f>IF(AND('Pivot elenchi'!Q25="",'Pivot elenchi'!Q26=""),"",IF('Pivot elenchi'!Q25="",'Pivot elenchi'!Q24="",'Pivot elenchi'!Q25))</f>
        <v>GEST.PERSONALE DIR.IT E BUSINES</v>
      </c>
      <c r="N26" s="42" t="str">
        <f>IF(AND('Pivot elenchi'!R25="",'Pivot elenchi'!R26=""),"",IF('Pivot elenchi'!R25="",'Pivot elenchi'!R24="",'Pivot elenchi'!R25))</f>
        <v/>
      </c>
      <c r="O26" s="42" t="str">
        <f>IF(AND('Pivot elenchi'!S25="",'Pivot elenchi'!S26=""),"",IF('Pivot elenchi'!S25="",'Pivot elenchi'!S24="",'Pivot elenchi'!S25))</f>
        <v>DIREZIONE PERSONALE</v>
      </c>
      <c r="P26" s="42" t="str">
        <f>IF(AND('Pivot elenchi'!T25="",'Pivot elenchi'!T26=""),"",IF('Pivot elenchi'!T25="",'Pivot elenchi'!T24="",'Pivot elenchi'!T25))</f>
        <v/>
      </c>
      <c r="Q26" s="42" t="str">
        <f>IF(AND('Pivot elenchi'!U25="",'Pivot elenchi'!U26=""),"",IF('Pivot elenchi'!U25="",'Pivot elenchi'!U24="",'Pivot elenchi'!U25))</f>
        <v>DIREZIONE CENTRALE PERSONALE E ORGANIZZA</v>
      </c>
      <c r="R26" t="s">
        <v>717</v>
      </c>
      <c r="W26" s="42" t="str">
        <f t="shared" si="13"/>
        <v/>
      </c>
      <c r="X26" s="42" t="str">
        <f t="shared" si="13"/>
        <v/>
      </c>
      <c r="Y26" s="42" t="str">
        <f t="shared" si="13"/>
        <v/>
      </c>
      <c r="Z26" s="42" t="str">
        <f t="shared" si="13"/>
        <v/>
      </c>
      <c r="AB26" s="42" t="str">
        <f t="shared" si="11"/>
        <v xml:space="preserve">311000      </v>
      </c>
      <c r="AC26" s="42" t="str">
        <f t="shared" si="11"/>
        <v>GEST.PERSONALE DIR.IT E BUSINES</v>
      </c>
      <c r="AD26" s="42" t="str">
        <f t="shared" si="11"/>
        <v/>
      </c>
      <c r="AE26" s="42" t="str">
        <f t="shared" si="11"/>
        <v>DIREZIONE PERSONALE</v>
      </c>
      <c r="AF26" s="42" t="str">
        <f t="shared" si="12"/>
        <v/>
      </c>
      <c r="AG26" s="42" t="str">
        <f t="shared" si="12"/>
        <v>DIREZIONE CENTRALE PERSONALE E ORGANIZZA</v>
      </c>
    </row>
    <row r="27" spans="1:33" x14ac:dyDescent="0.25">
      <c r="A27" s="53" t="str">
        <f>IF('Scheda Movimento'!C9="","",'Scheda Movimento'!C9)</f>
        <v>Femminile</v>
      </c>
      <c r="B27" s="54" t="str">
        <f>IF(A27="","",VLOOKUP(A27,A29:B32,2,FALSE))</f>
        <v>F</v>
      </c>
      <c r="G27" s="40"/>
      <c r="H27" s="49"/>
      <c r="I27" s="40"/>
      <c r="J27" s="117"/>
      <c r="L27" s="42" t="str">
        <f>IF(AND('Pivot elenchi'!P26="",'Pivot elenchi'!P27=""),"",IF('Pivot elenchi'!P26="",'Pivot elenchi'!P25="",'Pivot elenchi'!P26))</f>
        <v xml:space="preserve">312000      </v>
      </c>
      <c r="M27" s="42" t="str">
        <f>IF(AND('Pivot elenchi'!Q26="",'Pivot elenchi'!Q27=""),"",IF('Pivot elenchi'!Q26="",'Pivot elenchi'!Q25="",'Pivot elenchi'!Q26))</f>
        <v>NORME E AMMINISTR DEL PERSONALE</v>
      </c>
      <c r="N27" s="42" t="str">
        <f>IF(AND('Pivot elenchi'!R26="",'Pivot elenchi'!R27=""),"",IF('Pivot elenchi'!R26="",'Pivot elenchi'!R25="",'Pivot elenchi'!R26))</f>
        <v/>
      </c>
      <c r="O27" s="42" t="str">
        <f>IF(AND('Pivot elenchi'!S26="",'Pivot elenchi'!S27=""),"",IF('Pivot elenchi'!S26="",'Pivot elenchi'!S25="",'Pivot elenchi'!S26))</f>
        <v>DIREZIONE PERSONALE</v>
      </c>
      <c r="P27" s="42" t="str">
        <f>IF(AND('Pivot elenchi'!T26="",'Pivot elenchi'!T27=""),"",IF('Pivot elenchi'!T26="",'Pivot elenchi'!T25="",'Pivot elenchi'!T26))</f>
        <v/>
      </c>
      <c r="Q27" s="42" t="str">
        <f>IF(AND('Pivot elenchi'!U26="",'Pivot elenchi'!U27=""),"",IF('Pivot elenchi'!U26="",'Pivot elenchi'!U25="",'Pivot elenchi'!U26))</f>
        <v>DIREZIONE CENTRALE PERSONALE E ORGANIZZA</v>
      </c>
      <c r="R27" t="s">
        <v>717</v>
      </c>
      <c r="W27" s="42" t="str">
        <f t="shared" si="13"/>
        <v/>
      </c>
      <c r="X27" s="42" t="str">
        <f t="shared" si="13"/>
        <v/>
      </c>
      <c r="Y27" s="42" t="str">
        <f t="shared" si="13"/>
        <v/>
      </c>
      <c r="Z27" s="42" t="str">
        <f t="shared" si="13"/>
        <v/>
      </c>
      <c r="AB27" s="42" t="str">
        <f t="shared" si="11"/>
        <v xml:space="preserve">312000      </v>
      </c>
      <c r="AC27" s="42" t="str">
        <f t="shared" si="11"/>
        <v>NORME E AMMINISTR DEL PERSONALE</v>
      </c>
      <c r="AD27" s="42" t="str">
        <f t="shared" si="11"/>
        <v/>
      </c>
      <c r="AE27" s="42" t="str">
        <f t="shared" si="11"/>
        <v>DIREZIONE PERSONALE</v>
      </c>
      <c r="AF27" s="42" t="str">
        <f t="shared" si="12"/>
        <v/>
      </c>
      <c r="AG27" s="42" t="str">
        <f t="shared" si="12"/>
        <v>DIREZIONE CENTRALE PERSONALE E ORGANIZZA</v>
      </c>
    </row>
    <row r="28" spans="1:33" x14ac:dyDescent="0.25">
      <c r="A28" s="47" t="s">
        <v>81</v>
      </c>
      <c r="B28" s="51" t="s">
        <v>100</v>
      </c>
      <c r="D28" s="37" t="s">
        <v>722</v>
      </c>
      <c r="E28"/>
      <c r="G28" s="40"/>
      <c r="H28" s="40"/>
      <c r="I28" s="40"/>
      <c r="J28" s="40"/>
      <c r="L28" s="42" t="str">
        <f>IF(AND('Pivot elenchi'!P27="",'Pivot elenchi'!P28=""),"",IF('Pivot elenchi'!P27="",'Pivot elenchi'!P26="",'Pivot elenchi'!P27))</f>
        <v xml:space="preserve">412620      </v>
      </c>
      <c r="M28" s="42" t="str">
        <f>IF(AND('Pivot elenchi'!Q27="",'Pivot elenchi'!Q28=""),"",IF('Pivot elenchi'!Q27="",'Pivot elenchi'!Q26="",'Pivot elenchi'!Q27))</f>
        <v>COORDINAMENTO TECNICO PRODUTTIV</v>
      </c>
      <c r="N28" s="42" t="str">
        <f>IF(AND('Pivot elenchi'!R27="",'Pivot elenchi'!R28=""),"",IF('Pivot elenchi'!R27="",'Pivot elenchi'!R26="",'Pivot elenchi'!R27))</f>
        <v/>
      </c>
      <c r="O28" s="42" t="str">
        <f>IF(AND('Pivot elenchi'!S27="",'Pivot elenchi'!S28=""),"",IF('Pivot elenchi'!S27="",'Pivot elenchi'!S26="",'Pivot elenchi'!S27))</f>
        <v>OPERATIONS DG P&amp;D</v>
      </c>
      <c r="P28" s="42" t="str">
        <f>IF(AND('Pivot elenchi'!T27="",'Pivot elenchi'!T28=""),"",IF('Pivot elenchi'!T27="",'Pivot elenchi'!T26="",'Pivot elenchi'!T27))</f>
        <v/>
      </c>
      <c r="Q28" s="42" t="str">
        <f>IF(AND('Pivot elenchi'!U27="",'Pivot elenchi'!U28=""),"",IF('Pivot elenchi'!U27="",'Pivot elenchi'!U26="",'Pivot elenchi'!U27))</f>
        <v>DG M&amp;B - DG PUBLISHING &amp; DIGITAL</v>
      </c>
      <c r="R28" t="s">
        <v>717</v>
      </c>
      <c r="AB28" s="42" t="str">
        <f t="shared" si="11"/>
        <v xml:space="preserve">412620      </v>
      </c>
      <c r="AC28" s="42" t="str">
        <f t="shared" si="11"/>
        <v>COORDINAMENTO TECNICO PRODUTTIV</v>
      </c>
      <c r="AD28" s="42" t="str">
        <f t="shared" si="11"/>
        <v/>
      </c>
      <c r="AE28" s="42" t="str">
        <f t="shared" si="11"/>
        <v>OPERATIONS DG P&amp;D</v>
      </c>
      <c r="AF28" s="42" t="str">
        <f t="shared" si="12"/>
        <v/>
      </c>
      <c r="AG28" s="42" t="str">
        <f t="shared" si="12"/>
        <v>DG M&amp;B - DG PUBLISHING &amp; DIGITAL</v>
      </c>
    </row>
    <row r="29" spans="1:33" x14ac:dyDescent="0.25">
      <c r="A29" s="49"/>
      <c r="B29" s="48"/>
      <c r="D29" s="27"/>
      <c r="E29"/>
      <c r="G29" s="40"/>
      <c r="H29" s="40"/>
      <c r="I29" s="40"/>
      <c r="J29" s="40"/>
      <c r="L29" s="42" t="str">
        <f>IF(AND('Pivot elenchi'!P28="",'Pivot elenchi'!P29=""),"",IF('Pivot elenchi'!P28="",'Pivot elenchi'!P27="",'Pivot elenchi'!P28))</f>
        <v xml:space="preserve">412700      </v>
      </c>
      <c r="M29" s="42" t="str">
        <f>IF(AND('Pivot elenchi'!Q28="",'Pivot elenchi'!Q29=""),"",IF('Pivot elenchi'!Q28="",'Pivot elenchi'!Q27="",'Pivot elenchi'!Q28))</f>
        <v>PREP. EDITORIALE PROFESSIONALE</v>
      </c>
      <c r="N29" s="42" t="str">
        <f>IF(AND('Pivot elenchi'!R28="",'Pivot elenchi'!R29=""),"",IF('Pivot elenchi'!R28="",'Pivot elenchi'!R27="",'Pivot elenchi'!R28))</f>
        <v/>
      </c>
      <c r="O29" s="42" t="str">
        <f>IF(AND('Pivot elenchi'!S28="",'Pivot elenchi'!S29=""),"",IF('Pivot elenchi'!S28="",'Pivot elenchi'!S27="",'Pivot elenchi'!S28))</f>
        <v>OPERATIONS E CUSTOMER ENGAGEMENT</v>
      </c>
      <c r="P29" s="42" t="str">
        <f>IF(AND('Pivot elenchi'!T28="",'Pivot elenchi'!T29=""),"",IF('Pivot elenchi'!T28="",'Pivot elenchi'!T27="",'Pivot elenchi'!T28))</f>
        <v/>
      </c>
      <c r="Q29" s="42" t="str">
        <f>IF(AND('Pivot elenchi'!U28="",'Pivot elenchi'!U29=""),"",IF('Pivot elenchi'!U28="",'Pivot elenchi'!U27="",'Pivot elenchi'!U28))</f>
        <v>DG SERVIZI PROFESSIONALI E FORMAZIONE</v>
      </c>
      <c r="R29" t="s">
        <v>717</v>
      </c>
      <c r="AB29" s="42" t="str">
        <f t="shared" si="11"/>
        <v xml:space="preserve">412700      </v>
      </c>
      <c r="AC29" s="42" t="str">
        <f t="shared" si="11"/>
        <v>PREP. EDITORIALE PROFESSIONALE</v>
      </c>
      <c r="AD29" s="42" t="str">
        <f t="shared" si="11"/>
        <v/>
      </c>
      <c r="AE29" s="42" t="str">
        <f t="shared" si="11"/>
        <v>OPERATIONS E CUSTOMER ENGAGEMENT</v>
      </c>
      <c r="AF29" s="42" t="str">
        <f t="shared" si="12"/>
        <v/>
      </c>
      <c r="AG29" s="42" t="str">
        <f t="shared" si="12"/>
        <v>DG SERVIZI PROFESSIONALI E FORMAZIONE</v>
      </c>
    </row>
    <row r="30" spans="1:33" x14ac:dyDescent="0.25">
      <c r="A30" s="49" t="s">
        <v>83</v>
      </c>
      <c r="B30" s="48" t="s">
        <v>48</v>
      </c>
      <c r="D30" s="25" t="s">
        <v>717</v>
      </c>
      <c r="E30"/>
      <c r="L30" s="42" t="str">
        <f>IF(AND('Pivot elenchi'!P29="",'Pivot elenchi'!P30=""),"",IF('Pivot elenchi'!P29="",'Pivot elenchi'!P28="",'Pivot elenchi'!P29))</f>
        <v xml:space="preserve">413000      </v>
      </c>
      <c r="M30" s="42" t="str">
        <f>IF(AND('Pivot elenchi'!Q29="",'Pivot elenchi'!Q30=""),"",IF('Pivot elenchi'!Q29="",'Pivot elenchi'!Q28="",'Pivot elenchi'!Q29))</f>
        <v>ACQUISTI</v>
      </c>
      <c r="N30" s="42" t="str">
        <f>IF(AND('Pivot elenchi'!R29="",'Pivot elenchi'!R30=""),"",IF('Pivot elenchi'!R29="",'Pivot elenchi'!R28="",'Pivot elenchi'!R29))</f>
        <v/>
      </c>
      <c r="O30" s="42" t="str">
        <f>IF(AND('Pivot elenchi'!S29="",'Pivot elenchi'!S30=""),"",IF('Pivot elenchi'!S29="",'Pivot elenchi'!S28="",'Pivot elenchi'!S29))</f>
        <v>ACQUISTI</v>
      </c>
      <c r="P30" s="42" t="str">
        <f>IF(AND('Pivot elenchi'!T29="",'Pivot elenchi'!T30=""),"",IF('Pivot elenchi'!T29="",'Pivot elenchi'!T28="",'Pivot elenchi'!T29))</f>
        <v/>
      </c>
      <c r="Q30" s="42" t="str">
        <f>IF(AND('Pivot elenchi'!U29="",'Pivot elenchi'!U30=""),"",IF('Pivot elenchi'!U29="",'Pivot elenchi'!U28="",'Pivot elenchi'!U29))</f>
        <v>DIREZIONE CENTRALE PERSONALE E ORGANIZZA</v>
      </c>
      <c r="R30" t="s">
        <v>717</v>
      </c>
      <c r="AB30" s="42" t="str">
        <f t="shared" si="11"/>
        <v xml:space="preserve">413000      </v>
      </c>
      <c r="AC30" s="42" t="str">
        <f t="shared" si="11"/>
        <v>ACQUISTI</v>
      </c>
      <c r="AD30" s="42" t="str">
        <f t="shared" si="11"/>
        <v/>
      </c>
      <c r="AE30" s="42" t="str">
        <f t="shared" si="11"/>
        <v>ACQUISTI</v>
      </c>
      <c r="AF30" s="42" t="str">
        <f t="shared" si="12"/>
        <v/>
      </c>
      <c r="AG30" s="42" t="str">
        <f t="shared" si="12"/>
        <v>DIREZIONE CENTRALE PERSONALE E ORGANIZZA</v>
      </c>
    </row>
    <row r="31" spans="1:33" x14ac:dyDescent="0.25">
      <c r="A31" s="49" t="s">
        <v>101</v>
      </c>
      <c r="B31" s="48" t="s">
        <v>50</v>
      </c>
      <c r="D31" s="25" t="s">
        <v>715</v>
      </c>
      <c r="L31" s="42" t="str">
        <f>IF(AND('Pivot elenchi'!P30="",'Pivot elenchi'!P31=""),"",IF('Pivot elenchi'!P30="",'Pivot elenchi'!P29="",'Pivot elenchi'!P30))</f>
        <v xml:space="preserve">414000      </v>
      </c>
      <c r="M31" s="42" t="str">
        <f>IF(AND('Pivot elenchi'!Q30="",'Pivot elenchi'!Q31=""),"",IF('Pivot elenchi'!Q30="",'Pivot elenchi'!Q29="",'Pivot elenchi'!Q30))</f>
        <v>SERVIZI GENERALI SICUREZZA E AM</v>
      </c>
      <c r="N31" s="42" t="str">
        <f>IF(AND('Pivot elenchi'!R30="",'Pivot elenchi'!R31=""),"",IF('Pivot elenchi'!R30="",'Pivot elenchi'!R29="",'Pivot elenchi'!R30))</f>
        <v/>
      </c>
      <c r="O31" s="42" t="str">
        <f>IF(AND('Pivot elenchi'!S30="",'Pivot elenchi'!S31=""),"",IF('Pivot elenchi'!S30="",'Pivot elenchi'!S29="",'Pivot elenchi'!S30))</f>
        <v>SERVIZI GENERALI SICUREZZA E AMBIENTE</v>
      </c>
      <c r="P31" s="42" t="str">
        <f>IF(AND('Pivot elenchi'!T30="",'Pivot elenchi'!T31=""),"",IF('Pivot elenchi'!T30="",'Pivot elenchi'!T29="",'Pivot elenchi'!T30))</f>
        <v/>
      </c>
      <c r="Q31" s="42" t="str">
        <f>IF(AND('Pivot elenchi'!U30="",'Pivot elenchi'!U31=""),"",IF('Pivot elenchi'!U30="",'Pivot elenchi'!U29="",'Pivot elenchi'!U30))</f>
        <v>DIREZIONE CENTRALE PERSONALE E ORGANIZZA</v>
      </c>
      <c r="R31" t="s">
        <v>717</v>
      </c>
      <c r="AB31" s="42" t="str">
        <f t="shared" si="11"/>
        <v xml:space="preserve">414000      </v>
      </c>
      <c r="AC31" s="42" t="str">
        <f t="shared" si="11"/>
        <v>SERVIZI GENERALI SICUREZZA E AM</v>
      </c>
      <c r="AD31" s="42" t="str">
        <f t="shared" si="11"/>
        <v/>
      </c>
      <c r="AE31" s="42" t="str">
        <f t="shared" si="11"/>
        <v>SERVIZI GENERALI SICUREZZA E AMBIENTE</v>
      </c>
      <c r="AF31" s="42" t="str">
        <f t="shared" si="12"/>
        <v/>
      </c>
      <c r="AG31" s="42" t="str">
        <f t="shared" si="12"/>
        <v>DIREZIONE CENTRALE PERSONALE E ORGANIZZA</v>
      </c>
    </row>
    <row r="32" spans="1:33" x14ac:dyDescent="0.25">
      <c r="A32" s="49"/>
      <c r="B32" s="48"/>
      <c r="D32" s="25" t="s">
        <v>716</v>
      </c>
      <c r="L32" s="42" t="str">
        <f>IF(AND('Pivot elenchi'!P31="",'Pivot elenchi'!P32=""),"",IF('Pivot elenchi'!P31="",'Pivot elenchi'!P30="",'Pivot elenchi'!P31))</f>
        <v xml:space="preserve">41400001    </v>
      </c>
      <c r="M32" s="42" t="str">
        <f>IF(AND('Pivot elenchi'!Q31="",'Pivot elenchi'!Q32=""),"",IF('Pivot elenchi'!Q31="",'Pivot elenchi'!Q30="",'Pivot elenchi'!Q31))</f>
        <v>SUPPORTO TECNICO E HSE</v>
      </c>
      <c r="N32" s="42" t="str">
        <f>IF(AND('Pivot elenchi'!R31="",'Pivot elenchi'!R32=""),"",IF('Pivot elenchi'!R31="",'Pivot elenchi'!R30="",'Pivot elenchi'!R31))</f>
        <v/>
      </c>
      <c r="O32" s="42" t="str">
        <f>IF(AND('Pivot elenchi'!S31="",'Pivot elenchi'!S32=""),"",IF('Pivot elenchi'!S31="",'Pivot elenchi'!S30="",'Pivot elenchi'!S31))</f>
        <v>SERVIZI GENERALI SICUREZZA E AMBIENTE</v>
      </c>
      <c r="P32" s="42" t="str">
        <f>IF(AND('Pivot elenchi'!T31="",'Pivot elenchi'!T32=""),"",IF('Pivot elenchi'!T31="",'Pivot elenchi'!T30="",'Pivot elenchi'!T31))</f>
        <v/>
      </c>
      <c r="Q32" s="42" t="str">
        <f>IF(AND('Pivot elenchi'!U31="",'Pivot elenchi'!U32=""),"",IF('Pivot elenchi'!U31="",'Pivot elenchi'!U30="",'Pivot elenchi'!U31))</f>
        <v>DIREZIONE CENTRALE PERSONALE E ORGANIZZA</v>
      </c>
      <c r="R32" t="s">
        <v>717</v>
      </c>
      <c r="AB32" s="42" t="str">
        <f t="shared" si="11"/>
        <v xml:space="preserve">41400001    </v>
      </c>
      <c r="AC32" s="42" t="str">
        <f t="shared" si="11"/>
        <v>SUPPORTO TECNICO E HSE</v>
      </c>
      <c r="AD32" s="42" t="str">
        <f t="shared" si="11"/>
        <v/>
      </c>
      <c r="AE32" s="42" t="str">
        <f t="shared" si="11"/>
        <v>SERVIZI GENERALI SICUREZZA E AMBIENTE</v>
      </c>
      <c r="AF32" s="42" t="str">
        <f t="shared" si="12"/>
        <v/>
      </c>
      <c r="AG32" s="42" t="str">
        <f t="shared" si="12"/>
        <v>DIREZIONE CENTRALE PERSONALE E ORGANIZZA</v>
      </c>
    </row>
    <row r="33" spans="1:33" x14ac:dyDescent="0.25">
      <c r="A33" s="50"/>
      <c r="B33" s="58"/>
      <c r="D33" s="25"/>
      <c r="L33" s="42" t="str">
        <f>IF(AND('Pivot elenchi'!P32="",'Pivot elenchi'!P33=""),"",IF('Pivot elenchi'!P32="",'Pivot elenchi'!P31="",'Pivot elenchi'!P32))</f>
        <v xml:space="preserve">414100      </v>
      </c>
      <c r="M33" s="42" t="str">
        <f>IF(AND('Pivot elenchi'!Q32="",'Pivot elenchi'!Q33=""),"",IF('Pivot elenchi'!Q32="",'Pivot elenchi'!Q31="",'Pivot elenchi'!Q32))</f>
        <v>COORDINAMENTO OPERATIVO</v>
      </c>
      <c r="N33" s="42" t="str">
        <f>IF(AND('Pivot elenchi'!R32="",'Pivot elenchi'!R33=""),"",IF('Pivot elenchi'!R32="",'Pivot elenchi'!R31="",'Pivot elenchi'!R32))</f>
        <v/>
      </c>
      <c r="O33" s="42" t="str">
        <f>IF(AND('Pivot elenchi'!S32="",'Pivot elenchi'!S33=""),"",IF('Pivot elenchi'!S32="",'Pivot elenchi'!S31="",'Pivot elenchi'!S32))</f>
        <v>SERVIZI GENERALI SICUREZZA E AMBIENTE</v>
      </c>
      <c r="P33" s="42" t="str">
        <f>IF(AND('Pivot elenchi'!T32="",'Pivot elenchi'!T33=""),"",IF('Pivot elenchi'!T32="",'Pivot elenchi'!T31="",'Pivot elenchi'!T32))</f>
        <v/>
      </c>
      <c r="Q33" s="42" t="str">
        <f>IF(AND('Pivot elenchi'!U32="",'Pivot elenchi'!U33=""),"",IF('Pivot elenchi'!U32="",'Pivot elenchi'!U31="",'Pivot elenchi'!U32))</f>
        <v>DIREZIONE CENTRALE PERSONALE E ORGANIZZA</v>
      </c>
      <c r="R33" t="s">
        <v>717</v>
      </c>
      <c r="AB33" s="42" t="str">
        <f t="shared" si="11"/>
        <v xml:space="preserve">414100      </v>
      </c>
      <c r="AC33" s="42" t="str">
        <f t="shared" si="11"/>
        <v>COORDINAMENTO OPERATIVO</v>
      </c>
      <c r="AD33" s="42" t="str">
        <f t="shared" si="11"/>
        <v/>
      </c>
      <c r="AE33" s="42" t="str">
        <f t="shared" si="11"/>
        <v>SERVIZI GENERALI SICUREZZA E AMBIENTE</v>
      </c>
      <c r="AF33" s="42" t="str">
        <f t="shared" si="12"/>
        <v/>
      </c>
      <c r="AG33" s="42" t="str">
        <f t="shared" si="12"/>
        <v>DIREZIONE CENTRALE PERSONALE E ORGANIZZA</v>
      </c>
    </row>
    <row r="34" spans="1:33" x14ac:dyDescent="0.25">
      <c r="A34" s="53" t="str">
        <f>IF('Scheda Movimento'!C21="","",'Scheda Movimento'!C21)</f>
        <v>Contratto a tempo indeterminato</v>
      </c>
      <c r="B34" s="54" t="str">
        <f>IF(A34="","",VLOOKUP(A34,A36:B52,2,FALSE))</f>
        <v>02</v>
      </c>
      <c r="D34" s="25"/>
      <c r="L34" s="42" t="str">
        <f>IF(AND('Pivot elenchi'!P33="",'Pivot elenchi'!P34=""),"",IF('Pivot elenchi'!P33="",'Pivot elenchi'!P32="",'Pivot elenchi'!P33))</f>
        <v xml:space="preserve">415110      </v>
      </c>
      <c r="M34" s="42" t="str">
        <f>IF(AND('Pivot elenchi'!Q33="",'Pivot elenchi'!Q34=""),"",IF('Pivot elenchi'!Q33="",'Pivot elenchi'!Q32="",'Pivot elenchi'!Q33))</f>
        <v>SISTEMI INFORMATICI GESTIONALI</v>
      </c>
      <c r="N34" s="42" t="str">
        <f>IF(AND('Pivot elenchi'!R33="",'Pivot elenchi'!R34=""),"",IF('Pivot elenchi'!R33="",'Pivot elenchi'!R32="",'Pivot elenchi'!R33))</f>
        <v/>
      </c>
      <c r="O34" s="42" t="str">
        <f>IF(AND('Pivot elenchi'!S33="",'Pivot elenchi'!S34=""),"",IF('Pivot elenchi'!S33="",'Pivot elenchi'!S32="",'Pivot elenchi'!S33))</f>
        <v>SISTEMI INFORMATICI GESTIONALI</v>
      </c>
      <c r="P34" s="42" t="str">
        <f>IF(AND('Pivot elenchi'!T33="",'Pivot elenchi'!T34=""),"",IF('Pivot elenchi'!T33="",'Pivot elenchi'!T32="",'Pivot elenchi'!T33))</f>
        <v/>
      </c>
      <c r="Q34" s="42" t="str">
        <f>IF(AND('Pivot elenchi'!U33="",'Pivot elenchi'!U34=""),"",IF('Pivot elenchi'!U33="",'Pivot elenchi'!U32="",'Pivot elenchi'!U33))</f>
        <v>DG I&amp;S - DIR INFORMATION TECHNOLOGY</v>
      </c>
      <c r="R34" t="s">
        <v>717</v>
      </c>
      <c r="AB34" s="42" t="str">
        <f t="shared" si="11"/>
        <v xml:space="preserve">415110      </v>
      </c>
      <c r="AC34" s="42" t="str">
        <f t="shared" si="11"/>
        <v>SISTEMI INFORMATICI GESTIONALI</v>
      </c>
      <c r="AD34" s="42" t="str">
        <f t="shared" si="11"/>
        <v/>
      </c>
      <c r="AE34" s="42" t="str">
        <f t="shared" si="11"/>
        <v>SISTEMI INFORMATICI GESTIONALI</v>
      </c>
      <c r="AF34" s="42" t="str">
        <f t="shared" si="12"/>
        <v/>
      </c>
      <c r="AG34" s="42" t="str">
        <f t="shared" si="12"/>
        <v>DG I&amp;S - DIR INFORMATION TECHNOLOGY</v>
      </c>
    </row>
    <row r="35" spans="1:33" x14ac:dyDescent="0.25">
      <c r="A35" s="47" t="s">
        <v>75</v>
      </c>
      <c r="B35" s="51" t="s">
        <v>100</v>
      </c>
      <c r="L35" s="42" t="str">
        <f>IF(AND('Pivot elenchi'!P34="",'Pivot elenchi'!P35=""),"",IF('Pivot elenchi'!P34="",'Pivot elenchi'!P33="",'Pivot elenchi'!P34))</f>
        <v xml:space="preserve">415120      </v>
      </c>
      <c r="M35" s="42" t="str">
        <f>IF(AND('Pivot elenchi'!Q34="",'Pivot elenchi'!Q35=""),"",IF('Pivot elenchi'!Q34="",'Pivot elenchi'!Q33="",'Pivot elenchi'!Q34))</f>
        <v>INFRASTRUTTURE E IT NETWORKING</v>
      </c>
      <c r="N35" s="42" t="str">
        <f>IF(AND('Pivot elenchi'!R34="",'Pivot elenchi'!R35=""),"",IF('Pivot elenchi'!R34="",'Pivot elenchi'!R33="",'Pivot elenchi'!R34))</f>
        <v/>
      </c>
      <c r="O35" s="42" t="str">
        <f>IF(AND('Pivot elenchi'!S34="",'Pivot elenchi'!S35=""),"",IF('Pivot elenchi'!S34="",'Pivot elenchi'!S33="",'Pivot elenchi'!S34))</f>
        <v>INFRAST, IT NETWORK. E AREA TECN RADIO24</v>
      </c>
      <c r="P35" s="42" t="str">
        <f>IF(AND('Pivot elenchi'!T34="",'Pivot elenchi'!T35=""),"",IF('Pivot elenchi'!T34="",'Pivot elenchi'!T33="",'Pivot elenchi'!T34))</f>
        <v/>
      </c>
      <c r="Q35" s="42" t="str">
        <f>IF(AND('Pivot elenchi'!U34="",'Pivot elenchi'!U35=""),"",IF('Pivot elenchi'!U34="",'Pivot elenchi'!U33="",'Pivot elenchi'!U34))</f>
        <v>DG I&amp;S - DIR INFORMATION TECHNOLOGY</v>
      </c>
      <c r="R35" t="s">
        <v>717</v>
      </c>
      <c r="AB35" s="42" t="str">
        <f t="shared" si="11"/>
        <v xml:space="preserve">415120      </v>
      </c>
      <c r="AC35" s="42" t="str">
        <f t="shared" si="11"/>
        <v>INFRASTRUTTURE E IT NETWORKING</v>
      </c>
      <c r="AD35" s="42" t="str">
        <f t="shared" si="11"/>
        <v/>
      </c>
      <c r="AE35" s="42" t="str">
        <f t="shared" si="11"/>
        <v>INFRAST, IT NETWORK. E AREA TECN RADIO24</v>
      </c>
      <c r="AF35" s="42" t="str">
        <f t="shared" si="12"/>
        <v/>
      </c>
      <c r="AG35" s="42" t="str">
        <f t="shared" si="12"/>
        <v>DG I&amp;S - DIR INFORMATION TECHNOLOGY</v>
      </c>
    </row>
    <row r="36" spans="1:33" x14ac:dyDescent="0.25">
      <c r="A36" s="49"/>
      <c r="B36" s="48"/>
      <c r="E36"/>
      <c r="L36" s="42" t="str">
        <f>IF(AND('Pivot elenchi'!P35="",'Pivot elenchi'!P36=""),"",IF('Pivot elenchi'!P35="",'Pivot elenchi'!P34="",'Pivot elenchi'!P35))</f>
        <v xml:space="preserve">415130      </v>
      </c>
      <c r="M36" s="42" t="str">
        <f>IF(AND('Pivot elenchi'!Q35="",'Pivot elenchi'!Q36=""),"",IF('Pivot elenchi'!Q35="",'Pivot elenchi'!Q34="",'Pivot elenchi'!Q35))</f>
        <v>HELP DESK 1 LIV</v>
      </c>
      <c r="N36" s="42" t="str">
        <f>IF(AND('Pivot elenchi'!R35="",'Pivot elenchi'!R36=""),"",IF('Pivot elenchi'!R35="",'Pivot elenchi'!R34="",'Pivot elenchi'!R35))</f>
        <v/>
      </c>
      <c r="O36" s="42" t="str">
        <f>IF(AND('Pivot elenchi'!S35="",'Pivot elenchi'!S36=""),"",IF('Pivot elenchi'!S35="",'Pivot elenchi'!S34="",'Pivot elenchi'!S35))</f>
        <v>SISTEMI EDITORIALI</v>
      </c>
      <c r="P36" s="42" t="str">
        <f>IF(AND('Pivot elenchi'!T35="",'Pivot elenchi'!T36=""),"",IF('Pivot elenchi'!T35="",'Pivot elenchi'!T34="",'Pivot elenchi'!T35))</f>
        <v/>
      </c>
      <c r="Q36" s="42" t="str">
        <f>IF(AND('Pivot elenchi'!U35="",'Pivot elenchi'!U36=""),"",IF('Pivot elenchi'!U35="",'Pivot elenchi'!U34="",'Pivot elenchi'!U35))</f>
        <v>DG I&amp;S - DIR INFORMATION TECHNOLOGY</v>
      </c>
      <c r="R36" t="s">
        <v>717</v>
      </c>
      <c r="AB36" s="42" t="str">
        <f t="shared" si="11"/>
        <v xml:space="preserve">415130      </v>
      </c>
      <c r="AC36" s="42" t="str">
        <f t="shared" si="11"/>
        <v>HELP DESK 1 LIV</v>
      </c>
      <c r="AD36" s="42" t="str">
        <f t="shared" si="11"/>
        <v/>
      </c>
      <c r="AE36" s="42" t="str">
        <f t="shared" si="11"/>
        <v>SISTEMI EDITORIALI</v>
      </c>
      <c r="AF36" s="42" t="str">
        <f t="shared" si="12"/>
        <v/>
      </c>
      <c r="AG36" s="42" t="str">
        <f t="shared" si="12"/>
        <v>DG I&amp;S - DIR INFORMATION TECHNOLOGY</v>
      </c>
    </row>
    <row r="37" spans="1:33" x14ac:dyDescent="0.25">
      <c r="A37" s="49" t="s">
        <v>234</v>
      </c>
      <c r="B37" s="72" t="s">
        <v>224</v>
      </c>
      <c r="E37"/>
      <c r="L37" s="42" t="str">
        <f>IF(AND('Pivot elenchi'!P36="",'Pivot elenchi'!P37=""),"",IF('Pivot elenchi'!P36="",'Pivot elenchi'!P35="",'Pivot elenchi'!P36))</f>
        <v xml:space="preserve">415200      </v>
      </c>
      <c r="M37" s="42" t="str">
        <f>IF(AND('Pivot elenchi'!Q36="",'Pivot elenchi'!Q37=""),"",IF('Pivot elenchi'!Q36="",'Pivot elenchi'!Q35="",'Pivot elenchi'!Q36))</f>
        <v>E-COMMERCE &amp; DIGITAL TRANSFORMA</v>
      </c>
      <c r="N37" s="42" t="str">
        <f>IF(AND('Pivot elenchi'!R36="",'Pivot elenchi'!R37=""),"",IF('Pivot elenchi'!R36="",'Pivot elenchi'!R35="",'Pivot elenchi'!R36))</f>
        <v/>
      </c>
      <c r="O37" s="42" t="str">
        <f>IF(AND('Pivot elenchi'!S36="",'Pivot elenchi'!S37=""),"",IF('Pivot elenchi'!S36="",'Pivot elenchi'!S35="",'Pivot elenchi'!S36))</f>
        <v>TECNOLOGIE DI PRODOTTO</v>
      </c>
      <c r="P37" s="42" t="str">
        <f>IF(AND('Pivot elenchi'!T36="",'Pivot elenchi'!T37=""),"",IF('Pivot elenchi'!T36="",'Pivot elenchi'!T35="",'Pivot elenchi'!T36))</f>
        <v/>
      </c>
      <c r="Q37" s="42" t="str">
        <f>IF(AND('Pivot elenchi'!U36="",'Pivot elenchi'!U37=""),"",IF('Pivot elenchi'!U36="",'Pivot elenchi'!U35="",'Pivot elenchi'!U36))</f>
        <v>DG I&amp;S - DIR INFORMATION TECHNOLOGY</v>
      </c>
      <c r="R37" t="s">
        <v>717</v>
      </c>
      <c r="AB37" s="42" t="str">
        <f t="shared" si="11"/>
        <v xml:space="preserve">415200      </v>
      </c>
      <c r="AC37" s="42" t="str">
        <f t="shared" si="11"/>
        <v>E-COMMERCE &amp; DIGITAL TRANSFORMA</v>
      </c>
      <c r="AD37" s="42" t="str">
        <f t="shared" si="11"/>
        <v/>
      </c>
      <c r="AE37" s="42" t="str">
        <f t="shared" si="11"/>
        <v>TECNOLOGIE DI PRODOTTO</v>
      </c>
      <c r="AF37" s="42" t="str">
        <f t="shared" si="12"/>
        <v/>
      </c>
      <c r="AG37" s="42" t="str">
        <f t="shared" si="12"/>
        <v>DG I&amp;S - DIR INFORMATION TECHNOLOGY</v>
      </c>
    </row>
    <row r="38" spans="1:33" x14ac:dyDescent="0.25">
      <c r="A38" s="49" t="s">
        <v>235</v>
      </c>
      <c r="B38" s="72" t="s">
        <v>225</v>
      </c>
      <c r="E38"/>
      <c r="L38" s="42" t="str">
        <f>IF(AND('Pivot elenchi'!P37="",'Pivot elenchi'!P38=""),"",IF('Pivot elenchi'!P37="",'Pivot elenchi'!P36="",'Pivot elenchi'!P37))</f>
        <v xml:space="preserve">415230      </v>
      </c>
      <c r="M38" s="42" t="str">
        <f>IF(AND('Pivot elenchi'!Q37="",'Pivot elenchi'!Q38=""),"",IF('Pivot elenchi'!Q37="",'Pivot elenchi'!Q36="",'Pivot elenchi'!Q37))</f>
        <v>PROD. AREA PROF.LE E GEST.PIATT</v>
      </c>
      <c r="N38" s="42" t="str">
        <f>IF(AND('Pivot elenchi'!R37="",'Pivot elenchi'!R38=""),"",IF('Pivot elenchi'!R37="",'Pivot elenchi'!R36="",'Pivot elenchi'!R37))</f>
        <v/>
      </c>
      <c r="O38" s="42" t="str">
        <f>IF(AND('Pivot elenchi'!S37="",'Pivot elenchi'!S38=""),"",IF('Pivot elenchi'!S37="",'Pivot elenchi'!S36="",'Pivot elenchi'!S37))</f>
        <v>TECNOLOGIE DI PRODOTTO</v>
      </c>
      <c r="P38" s="42" t="str">
        <f>IF(AND('Pivot elenchi'!T37="",'Pivot elenchi'!T38=""),"",IF('Pivot elenchi'!T37="",'Pivot elenchi'!T36="",'Pivot elenchi'!T37))</f>
        <v/>
      </c>
      <c r="Q38" s="42" t="str">
        <f>IF(AND('Pivot elenchi'!U37="",'Pivot elenchi'!U38=""),"",IF('Pivot elenchi'!U37="",'Pivot elenchi'!U36="",'Pivot elenchi'!U37))</f>
        <v>DG I&amp;S - DIR INFORMATION TECHNOLOGY</v>
      </c>
      <c r="R38" t="s">
        <v>717</v>
      </c>
      <c r="AB38" s="42" t="str">
        <f t="shared" si="11"/>
        <v xml:space="preserve">415230      </v>
      </c>
      <c r="AC38" s="42" t="str">
        <f t="shared" si="11"/>
        <v>PROD. AREA PROF.LE E GEST.PIATT</v>
      </c>
      <c r="AD38" s="42" t="str">
        <f t="shared" si="11"/>
        <v/>
      </c>
      <c r="AE38" s="42" t="str">
        <f t="shared" si="11"/>
        <v>TECNOLOGIE DI PRODOTTO</v>
      </c>
      <c r="AF38" s="42" t="str">
        <f t="shared" si="12"/>
        <v/>
      </c>
      <c r="AG38" s="42" t="str">
        <f t="shared" si="12"/>
        <v>DG I&amp;S - DIR INFORMATION TECHNOLOGY</v>
      </c>
    </row>
    <row r="39" spans="1:33" x14ac:dyDescent="0.25">
      <c r="A39" s="49" t="s">
        <v>236</v>
      </c>
      <c r="B39" s="72" t="s">
        <v>226</v>
      </c>
      <c r="E39" s="35"/>
      <c r="L39" s="42" t="str">
        <f>IF(AND('Pivot elenchi'!P38="",'Pivot elenchi'!P39=""),"",IF('Pivot elenchi'!P38="",'Pivot elenchi'!P37="",'Pivot elenchi'!P38))</f>
        <v xml:space="preserve">415300      </v>
      </c>
      <c r="M39" s="42" t="str">
        <f>IF(AND('Pivot elenchi'!Q38="",'Pivot elenchi'!Q39=""),"",IF('Pivot elenchi'!Q38="",'Pivot elenchi'!Q37="",'Pivot elenchi'!Q38))</f>
        <v>DIR INFORMATION TECHNOLOGY</v>
      </c>
      <c r="N39" s="42" t="str">
        <f>IF(AND('Pivot elenchi'!R38="",'Pivot elenchi'!R39=""),"",IF('Pivot elenchi'!R38="",'Pivot elenchi'!R37="",'Pivot elenchi'!R38))</f>
        <v/>
      </c>
      <c r="O39" s="42" t="str">
        <f>IF(AND('Pivot elenchi'!S38="",'Pivot elenchi'!S39=""),"",IF('Pivot elenchi'!S38="",'Pivot elenchi'!S37="",'Pivot elenchi'!S38))</f>
        <v>DIR INFORMATION TECHNOLOGY</v>
      </c>
      <c r="P39" s="42" t="str">
        <f>IF(AND('Pivot elenchi'!T38="",'Pivot elenchi'!T39=""),"",IF('Pivot elenchi'!T38="",'Pivot elenchi'!T37="",'Pivot elenchi'!T38))</f>
        <v/>
      </c>
      <c r="Q39" s="42" t="str">
        <f>IF(AND('Pivot elenchi'!U38="",'Pivot elenchi'!U39=""),"",IF('Pivot elenchi'!U38="",'Pivot elenchi'!U37="",'Pivot elenchi'!U38))</f>
        <v>DG I&amp;S - DIR INFORMATION TECHNOLOGY</v>
      </c>
      <c r="R39" t="s">
        <v>717</v>
      </c>
      <c r="AB39" s="42" t="str">
        <f t="shared" si="11"/>
        <v xml:space="preserve">415300      </v>
      </c>
      <c r="AC39" s="42" t="str">
        <f t="shared" si="11"/>
        <v>DIR INFORMATION TECHNOLOGY</v>
      </c>
      <c r="AD39" s="42" t="str">
        <f t="shared" si="11"/>
        <v/>
      </c>
      <c r="AE39" s="42" t="str">
        <f t="shared" si="11"/>
        <v>DIR INFORMATION TECHNOLOGY</v>
      </c>
      <c r="AF39" s="42" t="str">
        <f t="shared" si="12"/>
        <v/>
      </c>
      <c r="AG39" s="42" t="str">
        <f t="shared" si="12"/>
        <v>DG I&amp;S - DIR INFORMATION TECHNOLOGY</v>
      </c>
    </row>
    <row r="40" spans="1:33" x14ac:dyDescent="0.25">
      <c r="A40" s="49" t="s">
        <v>245</v>
      </c>
      <c r="B40" s="72" t="s">
        <v>227</v>
      </c>
      <c r="E40" s="35"/>
      <c r="L40" s="42" t="str">
        <f>IF(AND('Pivot elenchi'!P39="",'Pivot elenchi'!P40=""),"",IF('Pivot elenchi'!P39="",'Pivot elenchi'!P38="",'Pivot elenchi'!P39))</f>
        <v xml:space="preserve">41530001    </v>
      </c>
      <c r="M40" s="42" t="str">
        <f>IF(AND('Pivot elenchi'!Q39="",'Pivot elenchi'!Q40=""),"",IF('Pivot elenchi'!Q39="",'Pivot elenchi'!Q38="",'Pivot elenchi'!Q39))</f>
        <v>PRODOTTI PUBLISHING &amp; DIGITAL</v>
      </c>
      <c r="N40" s="42" t="str">
        <f>IF(AND('Pivot elenchi'!R39="",'Pivot elenchi'!R40=""),"",IF('Pivot elenchi'!R39="",'Pivot elenchi'!R38="",'Pivot elenchi'!R39))</f>
        <v/>
      </c>
      <c r="O40" s="42" t="str">
        <f>IF(AND('Pivot elenchi'!S39="",'Pivot elenchi'!S40=""),"",IF('Pivot elenchi'!S39="",'Pivot elenchi'!S38="",'Pivot elenchi'!S39))</f>
        <v>TECNOLOGIE DI PRODOTTO</v>
      </c>
      <c r="P40" s="42" t="str">
        <f>IF(AND('Pivot elenchi'!T39="",'Pivot elenchi'!T40=""),"",IF('Pivot elenchi'!T39="",'Pivot elenchi'!T38="",'Pivot elenchi'!T39))</f>
        <v/>
      </c>
      <c r="Q40" s="42" t="str">
        <f>IF(AND('Pivot elenchi'!U39="",'Pivot elenchi'!U40=""),"",IF('Pivot elenchi'!U39="",'Pivot elenchi'!U38="",'Pivot elenchi'!U39))</f>
        <v>DG I&amp;S - DIR INFORMATION TECHNOLOGY</v>
      </c>
      <c r="R40" t="s">
        <v>717</v>
      </c>
      <c r="AB40" s="42" t="str">
        <f t="shared" si="11"/>
        <v xml:space="preserve">41530001    </v>
      </c>
      <c r="AC40" s="42" t="str">
        <f t="shared" si="11"/>
        <v>PRODOTTI PUBLISHING &amp; DIGITAL</v>
      </c>
      <c r="AD40" s="42" t="str">
        <f t="shared" si="11"/>
        <v/>
      </c>
      <c r="AE40" s="42" t="str">
        <f t="shared" si="11"/>
        <v>TECNOLOGIE DI PRODOTTO</v>
      </c>
      <c r="AF40" s="42" t="str">
        <f t="shared" si="12"/>
        <v/>
      </c>
      <c r="AG40" s="42" t="str">
        <f t="shared" si="12"/>
        <v>DG I&amp;S - DIR INFORMATION TECHNOLOGY</v>
      </c>
    </row>
    <row r="41" spans="1:33" x14ac:dyDescent="0.25">
      <c r="A41" s="49" t="s">
        <v>246</v>
      </c>
      <c r="B41" s="72" t="s">
        <v>54</v>
      </c>
      <c r="E41" s="35"/>
      <c r="L41" s="42" t="str">
        <f>IF(AND('Pivot elenchi'!P40="",'Pivot elenchi'!P41=""),"",IF('Pivot elenchi'!P40="",'Pivot elenchi'!P39="",'Pivot elenchi'!P40))</f>
        <v xml:space="preserve">41530010    </v>
      </c>
      <c r="M41" s="42" t="str">
        <f>IF(AND('Pivot elenchi'!Q40="",'Pivot elenchi'!Q41=""),"",IF('Pivot elenchi'!Q40="",'Pivot elenchi'!Q39="",'Pivot elenchi'!Q40))</f>
        <v>DATA PLATFORM</v>
      </c>
      <c r="N41" s="42" t="str">
        <f>IF(AND('Pivot elenchi'!R40="",'Pivot elenchi'!R41=""),"",IF('Pivot elenchi'!R40="",'Pivot elenchi'!R39="",'Pivot elenchi'!R40))</f>
        <v/>
      </c>
      <c r="O41" s="42" t="str">
        <f>IF(AND('Pivot elenchi'!S40="",'Pivot elenchi'!S41=""),"",IF('Pivot elenchi'!S40="",'Pivot elenchi'!S39="",'Pivot elenchi'!S40))</f>
        <v>DIR INFORMATION TECHNOLOGY</v>
      </c>
      <c r="P41" s="42" t="str">
        <f>IF(AND('Pivot elenchi'!T40="",'Pivot elenchi'!T41=""),"",IF('Pivot elenchi'!T40="",'Pivot elenchi'!T39="",'Pivot elenchi'!T40))</f>
        <v/>
      </c>
      <c r="Q41" s="42" t="str">
        <f>IF(AND('Pivot elenchi'!U40="",'Pivot elenchi'!U41=""),"",IF('Pivot elenchi'!U40="",'Pivot elenchi'!U39="",'Pivot elenchi'!U40))</f>
        <v>DG I&amp;S - DIR INFORMATION TECHNOLOGY</v>
      </c>
      <c r="R41" t="s">
        <v>717</v>
      </c>
      <c r="AB41" s="42" t="str">
        <f t="shared" si="11"/>
        <v xml:space="preserve">41530010    </v>
      </c>
      <c r="AC41" s="42" t="str">
        <f t="shared" si="11"/>
        <v>DATA PLATFORM</v>
      </c>
      <c r="AD41" s="42" t="str">
        <f t="shared" si="11"/>
        <v/>
      </c>
      <c r="AE41" s="42" t="str">
        <f t="shared" si="11"/>
        <v>DIR INFORMATION TECHNOLOGY</v>
      </c>
      <c r="AF41" s="42" t="str">
        <f t="shared" si="12"/>
        <v/>
      </c>
      <c r="AG41" s="42" t="str">
        <f t="shared" si="12"/>
        <v>DG I&amp;S - DIR INFORMATION TECHNOLOGY</v>
      </c>
    </row>
    <row r="42" spans="1:33" x14ac:dyDescent="0.25">
      <c r="A42" s="49" t="s">
        <v>237</v>
      </c>
      <c r="B42" s="72" t="s">
        <v>228</v>
      </c>
      <c r="E42" s="35"/>
      <c r="L42" s="42" t="str">
        <f>IF(AND('Pivot elenchi'!P41="",'Pivot elenchi'!P42=""),"",IF('Pivot elenchi'!P41="",'Pivot elenchi'!P40="",'Pivot elenchi'!P41))</f>
        <v xml:space="preserve">41530020    </v>
      </c>
      <c r="M42" s="42" t="str">
        <f>IF(AND('Pivot elenchi'!Q41="",'Pivot elenchi'!Q42=""),"",IF('Pivot elenchi'!Q41="",'Pivot elenchi'!Q40="",'Pivot elenchi'!Q41))</f>
        <v>CONTROLLO QUALITA'</v>
      </c>
      <c r="N42" s="42" t="str">
        <f>IF(AND('Pivot elenchi'!R41="",'Pivot elenchi'!R42=""),"",IF('Pivot elenchi'!R41="",'Pivot elenchi'!R40="",'Pivot elenchi'!R41))</f>
        <v/>
      </c>
      <c r="O42" s="42" t="str">
        <f>IF(AND('Pivot elenchi'!S41="",'Pivot elenchi'!S42=""),"",IF('Pivot elenchi'!S41="",'Pivot elenchi'!S40="",'Pivot elenchi'!S41))</f>
        <v>TECNOLOGIE DI PRODOTTO</v>
      </c>
      <c r="P42" s="42" t="str">
        <f>IF(AND('Pivot elenchi'!T41="",'Pivot elenchi'!T42=""),"",IF('Pivot elenchi'!T41="",'Pivot elenchi'!T40="",'Pivot elenchi'!T41))</f>
        <v/>
      </c>
      <c r="Q42" s="42" t="str">
        <f>IF(AND('Pivot elenchi'!U41="",'Pivot elenchi'!U42=""),"",IF('Pivot elenchi'!U41="",'Pivot elenchi'!U40="",'Pivot elenchi'!U41))</f>
        <v>DG I&amp;S - DIR INFORMATION TECHNOLOGY</v>
      </c>
      <c r="R42" t="s">
        <v>717</v>
      </c>
      <c r="AB42" s="42" t="str">
        <f t="shared" si="11"/>
        <v xml:space="preserve">41530020    </v>
      </c>
      <c r="AC42" s="42" t="str">
        <f t="shared" si="11"/>
        <v>CONTROLLO QUALITA'</v>
      </c>
      <c r="AD42" s="42" t="str">
        <f t="shared" si="11"/>
        <v/>
      </c>
      <c r="AE42" s="42" t="str">
        <f t="shared" si="11"/>
        <v>TECNOLOGIE DI PRODOTTO</v>
      </c>
      <c r="AF42" s="42" t="str">
        <f t="shared" si="12"/>
        <v/>
      </c>
      <c r="AG42" s="42" t="str">
        <f t="shared" si="12"/>
        <v>DG I&amp;S - DIR INFORMATION TECHNOLOGY</v>
      </c>
    </row>
    <row r="43" spans="1:33" x14ac:dyDescent="0.25">
      <c r="A43" s="49" t="s">
        <v>238</v>
      </c>
      <c r="B43" s="72" t="s">
        <v>229</v>
      </c>
      <c r="E43" s="35"/>
      <c r="L43" s="42" t="str">
        <f>IF(AND('Pivot elenchi'!P42="",'Pivot elenchi'!P43=""),"",IF('Pivot elenchi'!P42="",'Pivot elenchi'!P41="",'Pivot elenchi'!P42))</f>
        <v xml:space="preserve">511100      </v>
      </c>
      <c r="M43" s="42" t="str">
        <f>IF(AND('Pivot elenchi'!Q42="",'Pivot elenchi'!Q43=""),"",IF('Pivot elenchi'!Q42="",'Pivot elenchi'!Q41="",'Pivot elenchi'!Q42))</f>
        <v>SISTEMI EDITORIALI</v>
      </c>
      <c r="N43" s="42" t="str">
        <f>IF(AND('Pivot elenchi'!R42="",'Pivot elenchi'!R43=""),"",IF('Pivot elenchi'!R42="",'Pivot elenchi'!R41="",'Pivot elenchi'!R42))</f>
        <v/>
      </c>
      <c r="O43" s="42" t="str">
        <f>IF(AND('Pivot elenchi'!S42="",'Pivot elenchi'!S43=""),"",IF('Pivot elenchi'!S42="",'Pivot elenchi'!S41="",'Pivot elenchi'!S42))</f>
        <v>SISTEMI EDITORIALI</v>
      </c>
      <c r="P43" s="42" t="str">
        <f>IF(AND('Pivot elenchi'!T42="",'Pivot elenchi'!T43=""),"",IF('Pivot elenchi'!T42="",'Pivot elenchi'!T41="",'Pivot elenchi'!T42))</f>
        <v/>
      </c>
      <c r="Q43" s="42" t="str">
        <f>IF(AND('Pivot elenchi'!U42="",'Pivot elenchi'!U43=""),"",IF('Pivot elenchi'!U42="",'Pivot elenchi'!U41="",'Pivot elenchi'!U42))</f>
        <v>DG I&amp;S - DIR INFORMATION TECHNOLOGY</v>
      </c>
      <c r="R43" t="s">
        <v>717</v>
      </c>
      <c r="AB43" s="42" t="str">
        <f t="shared" si="11"/>
        <v xml:space="preserve">511100      </v>
      </c>
      <c r="AC43" s="42" t="str">
        <f t="shared" si="11"/>
        <v>SISTEMI EDITORIALI</v>
      </c>
      <c r="AD43" s="42" t="str">
        <f t="shared" si="11"/>
        <v/>
      </c>
      <c r="AE43" s="42" t="str">
        <f t="shared" si="11"/>
        <v>SISTEMI EDITORIALI</v>
      </c>
      <c r="AF43" s="42" t="str">
        <f t="shared" si="12"/>
        <v/>
      </c>
      <c r="AG43" s="42" t="str">
        <f t="shared" si="12"/>
        <v>DG I&amp;S - DIR INFORMATION TECHNOLOGY</v>
      </c>
    </row>
    <row r="44" spans="1:33" x14ac:dyDescent="0.25">
      <c r="A44" s="49" t="s">
        <v>239</v>
      </c>
      <c r="B44" s="72" t="s">
        <v>230</v>
      </c>
      <c r="E44" s="35"/>
      <c r="L44" s="42" t="str">
        <f>IF(AND('Pivot elenchi'!P43="",'Pivot elenchi'!P44=""),"",IF('Pivot elenchi'!P43="",'Pivot elenchi'!P42="",'Pivot elenchi'!P43))</f>
        <v xml:space="preserve">511200      </v>
      </c>
      <c r="M44" s="42" t="str">
        <f>IF(AND('Pivot elenchi'!Q43="",'Pivot elenchi'!Q44=""),"",IF('Pivot elenchi'!Q43="",'Pivot elenchi'!Q42="",'Pivot elenchi'!Q43))</f>
        <v>AREA PRODUZIONE</v>
      </c>
      <c r="N44" s="42" t="str">
        <f>IF(AND('Pivot elenchi'!R43="",'Pivot elenchi'!R44=""),"",IF('Pivot elenchi'!R43="",'Pivot elenchi'!R42="",'Pivot elenchi'!R43))</f>
        <v/>
      </c>
      <c r="O44" s="42" t="str">
        <f>IF(AND('Pivot elenchi'!S43="",'Pivot elenchi'!S44=""),"",IF('Pivot elenchi'!S43="",'Pivot elenchi'!S42="",'Pivot elenchi'!S43))</f>
        <v>OPERATIONS DG P&amp;D</v>
      </c>
      <c r="P44" s="42" t="str">
        <f>IF(AND('Pivot elenchi'!T43="",'Pivot elenchi'!T44=""),"",IF('Pivot elenchi'!T43="",'Pivot elenchi'!T42="",'Pivot elenchi'!T43))</f>
        <v/>
      </c>
      <c r="Q44" s="42" t="str">
        <f>IF(AND('Pivot elenchi'!U43="",'Pivot elenchi'!U44=""),"",IF('Pivot elenchi'!U43="",'Pivot elenchi'!U42="",'Pivot elenchi'!U43))</f>
        <v>DG M&amp;B - DG PUBLISHING &amp; DIGITAL</v>
      </c>
      <c r="R44" t="s">
        <v>717</v>
      </c>
      <c r="AB44" s="42" t="str">
        <f t="shared" si="11"/>
        <v xml:space="preserve">511200      </v>
      </c>
      <c r="AC44" s="42" t="str">
        <f t="shared" si="11"/>
        <v>AREA PRODUZIONE</v>
      </c>
      <c r="AD44" s="42" t="str">
        <f t="shared" si="11"/>
        <v/>
      </c>
      <c r="AE44" s="42" t="str">
        <f t="shared" si="11"/>
        <v>OPERATIONS DG P&amp;D</v>
      </c>
      <c r="AF44" s="42" t="str">
        <f t="shared" si="12"/>
        <v/>
      </c>
      <c r="AG44" s="42" t="str">
        <f t="shared" si="12"/>
        <v>DG M&amp;B - DG PUBLISHING &amp; DIGITAL</v>
      </c>
    </row>
    <row r="45" spans="1:33" x14ac:dyDescent="0.25">
      <c r="A45" s="49" t="s">
        <v>240</v>
      </c>
      <c r="B45" s="72" t="s">
        <v>231</v>
      </c>
      <c r="E45" s="35"/>
      <c r="L45" s="42" t="str">
        <f>IF(AND('Pivot elenchi'!P44="",'Pivot elenchi'!P45=""),"",IF('Pivot elenchi'!P44="",'Pivot elenchi'!P43="",'Pivot elenchi'!P44))</f>
        <v xml:space="preserve">51120001    </v>
      </c>
      <c r="M45" s="42" t="str">
        <f>IF(AND('Pivot elenchi'!Q44="",'Pivot elenchi'!Q45=""),"",IF('Pivot elenchi'!Q44="",'Pivot elenchi'!Q43="",'Pivot elenchi'!Q44))</f>
        <v>PROGR. PROD. E GEST. CARTA</v>
      </c>
      <c r="N45" s="42" t="str">
        <f>IF(AND('Pivot elenchi'!R44="",'Pivot elenchi'!R45=""),"",IF('Pivot elenchi'!R44="",'Pivot elenchi'!R43="",'Pivot elenchi'!R44))</f>
        <v/>
      </c>
      <c r="O45" s="42" t="str">
        <f>IF(AND('Pivot elenchi'!S44="",'Pivot elenchi'!S45=""),"",IF('Pivot elenchi'!S44="",'Pivot elenchi'!S43="",'Pivot elenchi'!S44))</f>
        <v>OPERATIONS DG P&amp;D</v>
      </c>
      <c r="P45" s="42" t="str">
        <f>IF(AND('Pivot elenchi'!T44="",'Pivot elenchi'!T45=""),"",IF('Pivot elenchi'!T44="",'Pivot elenchi'!T43="",'Pivot elenchi'!T44))</f>
        <v/>
      </c>
      <c r="Q45" s="42" t="str">
        <f>IF(AND('Pivot elenchi'!U44="",'Pivot elenchi'!U45=""),"",IF('Pivot elenchi'!U44="",'Pivot elenchi'!U43="",'Pivot elenchi'!U44))</f>
        <v>DG M&amp;B - DG PUBLISHING &amp; DIGITAL</v>
      </c>
      <c r="R45" t="s">
        <v>717</v>
      </c>
      <c r="AB45" s="42" t="str">
        <f t="shared" si="11"/>
        <v xml:space="preserve">51120001    </v>
      </c>
      <c r="AC45" s="42" t="str">
        <f t="shared" si="11"/>
        <v>PROGR. PROD. E GEST. CARTA</v>
      </c>
      <c r="AD45" s="42" t="str">
        <f t="shared" si="11"/>
        <v/>
      </c>
      <c r="AE45" s="42" t="str">
        <f t="shared" si="11"/>
        <v>OPERATIONS DG P&amp;D</v>
      </c>
      <c r="AF45" s="42" t="str">
        <f t="shared" si="12"/>
        <v/>
      </c>
      <c r="AG45" s="42" t="str">
        <f t="shared" si="12"/>
        <v>DG M&amp;B - DG PUBLISHING &amp; DIGITAL</v>
      </c>
    </row>
    <row r="46" spans="1:33" x14ac:dyDescent="0.25">
      <c r="A46" s="49" t="s">
        <v>241</v>
      </c>
      <c r="B46" s="72" t="s">
        <v>55</v>
      </c>
      <c r="E46" s="35"/>
      <c r="L46" s="42" t="str">
        <f>IF(AND('Pivot elenchi'!P45="",'Pivot elenchi'!P46=""),"",IF('Pivot elenchi'!P45="",'Pivot elenchi'!P44="",'Pivot elenchi'!P45))</f>
        <v xml:space="preserve">51130012    </v>
      </c>
      <c r="M46" s="42" t="str">
        <f>IF(AND('Pivot elenchi'!Q45="",'Pivot elenchi'!Q46=""),"",IF('Pivot elenchi'!Q45="",'Pivot elenchi'!Q44="",'Pivot elenchi'!Q45))</f>
        <v>ASSISTENTI EDITORIALI</v>
      </c>
      <c r="N46" s="42" t="str">
        <f>IF(AND('Pivot elenchi'!R45="",'Pivot elenchi'!R46=""),"",IF('Pivot elenchi'!R45="",'Pivot elenchi'!R44="",'Pivot elenchi'!R45))</f>
        <v/>
      </c>
      <c r="O46" s="42" t="str">
        <f>IF(AND('Pivot elenchi'!S45="",'Pivot elenchi'!S46=""),"",IF('Pivot elenchi'!S45="",'Pivot elenchi'!S44="",'Pivot elenchi'!S45))</f>
        <v>OPERATIONS DG P&amp;D</v>
      </c>
      <c r="P46" s="42" t="str">
        <f>IF(AND('Pivot elenchi'!T45="",'Pivot elenchi'!T46=""),"",IF('Pivot elenchi'!T45="",'Pivot elenchi'!T44="",'Pivot elenchi'!T45))</f>
        <v/>
      </c>
      <c r="Q46" s="42" t="str">
        <f>IF(AND('Pivot elenchi'!U45="",'Pivot elenchi'!U46=""),"",IF('Pivot elenchi'!U45="",'Pivot elenchi'!U44="",'Pivot elenchi'!U45))</f>
        <v>DG M&amp;B - DG PUBLISHING &amp; DIGITAL</v>
      </c>
      <c r="R46" t="s">
        <v>717</v>
      </c>
      <c r="AB46" s="42" t="str">
        <f t="shared" si="11"/>
        <v xml:space="preserve">51130012    </v>
      </c>
      <c r="AC46" s="42" t="str">
        <f t="shared" si="11"/>
        <v>ASSISTENTI EDITORIALI</v>
      </c>
      <c r="AD46" s="42" t="str">
        <f t="shared" si="11"/>
        <v/>
      </c>
      <c r="AE46" s="42" t="str">
        <f t="shared" si="11"/>
        <v>OPERATIONS DG P&amp;D</v>
      </c>
      <c r="AF46" s="42" t="str">
        <f t="shared" si="12"/>
        <v/>
      </c>
      <c r="AG46" s="42" t="str">
        <f t="shared" si="12"/>
        <v>DG M&amp;B - DG PUBLISHING &amp; DIGITAL</v>
      </c>
    </row>
    <row r="47" spans="1:33" x14ac:dyDescent="0.25">
      <c r="A47" s="49" t="s">
        <v>242</v>
      </c>
      <c r="B47" s="72" t="s">
        <v>232</v>
      </c>
      <c r="E47" s="35"/>
      <c r="L47" s="42" t="str">
        <f>IF(AND('Pivot elenchi'!P46="",'Pivot elenchi'!P47=""),"",IF('Pivot elenchi'!P46="",'Pivot elenchi'!P45="",'Pivot elenchi'!P46))</f>
        <v xml:space="preserve">51130013    </v>
      </c>
      <c r="M47" s="42" t="str">
        <f>IF(AND('Pivot elenchi'!Q46="",'Pivot elenchi'!Q47=""),"",IF('Pivot elenchi'!Q46="",'Pivot elenchi'!Q45="",'Pivot elenchi'!Q46))</f>
        <v>GRAFICI DI REDAZIONE</v>
      </c>
      <c r="N47" s="42" t="str">
        <f>IF(AND('Pivot elenchi'!R46="",'Pivot elenchi'!R47=""),"",IF('Pivot elenchi'!R46="",'Pivot elenchi'!R45="",'Pivot elenchi'!R46))</f>
        <v/>
      </c>
      <c r="O47" s="42" t="str">
        <f>IF(AND('Pivot elenchi'!S46="",'Pivot elenchi'!S47=""),"",IF('Pivot elenchi'!S46="",'Pivot elenchi'!S45="",'Pivot elenchi'!S46))</f>
        <v>OPERATIONS DG P&amp;D</v>
      </c>
      <c r="P47" s="42" t="str">
        <f>IF(AND('Pivot elenchi'!T46="",'Pivot elenchi'!T47=""),"",IF('Pivot elenchi'!T46="",'Pivot elenchi'!T45="",'Pivot elenchi'!T46))</f>
        <v/>
      </c>
      <c r="Q47" s="42" t="str">
        <f>IF(AND('Pivot elenchi'!U46="",'Pivot elenchi'!U47=""),"",IF('Pivot elenchi'!U46="",'Pivot elenchi'!U45="",'Pivot elenchi'!U46))</f>
        <v>DG M&amp;B - DG PUBLISHING &amp; DIGITAL</v>
      </c>
      <c r="R47" t="s">
        <v>717</v>
      </c>
      <c r="AB47" s="42" t="str">
        <f t="shared" si="11"/>
        <v xml:space="preserve">51130013    </v>
      </c>
      <c r="AC47" s="42" t="str">
        <f t="shared" si="11"/>
        <v>GRAFICI DI REDAZIONE</v>
      </c>
      <c r="AD47" s="42" t="str">
        <f t="shared" si="11"/>
        <v/>
      </c>
      <c r="AE47" s="42" t="str">
        <f t="shared" si="11"/>
        <v>OPERATIONS DG P&amp;D</v>
      </c>
      <c r="AF47" s="42" t="str">
        <f t="shared" si="12"/>
        <v/>
      </c>
      <c r="AG47" s="42" t="str">
        <f t="shared" si="12"/>
        <v>DG M&amp;B - DG PUBLISHING &amp; DIGITAL</v>
      </c>
    </row>
    <row r="48" spans="1:33" x14ac:dyDescent="0.25">
      <c r="A48" s="49" t="s">
        <v>244</v>
      </c>
      <c r="B48" s="72" t="s">
        <v>233</v>
      </c>
      <c r="E48" s="35"/>
      <c r="L48" s="42" t="str">
        <f>IF(AND('Pivot elenchi'!P47="",'Pivot elenchi'!P48=""),"",IF('Pivot elenchi'!P47="",'Pivot elenchi'!P46="",'Pivot elenchi'!P47))</f>
        <v xml:space="preserve">51130014    </v>
      </c>
      <c r="M48" s="42" t="str">
        <f>IF(AND('Pivot elenchi'!Q47="",'Pivot elenchi'!Q48=""),"",IF('Pivot elenchi'!Q47="",'Pivot elenchi'!Q46="",'Pivot elenchi'!Q47))</f>
        <v>LAB24</v>
      </c>
      <c r="N48" s="42" t="str">
        <f>IF(AND('Pivot elenchi'!R47="",'Pivot elenchi'!R48=""),"",IF('Pivot elenchi'!R47="",'Pivot elenchi'!R46="",'Pivot elenchi'!R47))</f>
        <v/>
      </c>
      <c r="O48" s="42" t="str">
        <f>IF(AND('Pivot elenchi'!S47="",'Pivot elenchi'!S48=""),"",IF('Pivot elenchi'!S47="",'Pivot elenchi'!S46="",'Pivot elenchi'!S47))</f>
        <v>OPERATIONS DG P&amp;D</v>
      </c>
      <c r="P48" s="42" t="str">
        <f>IF(AND('Pivot elenchi'!T47="",'Pivot elenchi'!T48=""),"",IF('Pivot elenchi'!T47="",'Pivot elenchi'!T46="",'Pivot elenchi'!T47))</f>
        <v/>
      </c>
      <c r="Q48" s="42" t="str">
        <f>IF(AND('Pivot elenchi'!U47="",'Pivot elenchi'!U48=""),"",IF('Pivot elenchi'!U47="",'Pivot elenchi'!U46="",'Pivot elenchi'!U47))</f>
        <v>DG M&amp;B - DG PUBLISHING &amp; DIGITAL</v>
      </c>
      <c r="R48" t="s">
        <v>717</v>
      </c>
      <c r="AB48" s="42" t="str">
        <f t="shared" si="11"/>
        <v xml:space="preserve">51130014    </v>
      </c>
      <c r="AC48" s="42" t="str">
        <f t="shared" si="11"/>
        <v>LAB24</v>
      </c>
      <c r="AD48" s="42" t="str">
        <f t="shared" si="11"/>
        <v/>
      </c>
      <c r="AE48" s="42" t="str">
        <f t="shared" si="11"/>
        <v>OPERATIONS DG P&amp;D</v>
      </c>
      <c r="AF48" s="42" t="str">
        <f t="shared" si="12"/>
        <v/>
      </c>
      <c r="AG48" s="42" t="str">
        <f t="shared" si="12"/>
        <v>DG M&amp;B - DG PUBLISHING &amp; DIGITAL</v>
      </c>
    </row>
    <row r="49" spans="1:33" x14ac:dyDescent="0.25">
      <c r="A49" s="49" t="s">
        <v>243</v>
      </c>
      <c r="B49" s="72">
        <v>99</v>
      </c>
      <c r="E49" s="35"/>
      <c r="L49" s="42" t="str">
        <f>IF(AND('Pivot elenchi'!P48="",'Pivot elenchi'!P49=""),"",IF('Pivot elenchi'!P48="",'Pivot elenchi'!P47="",'Pivot elenchi'!P48))</f>
        <v xml:space="preserve">51130015    </v>
      </c>
      <c r="M49" s="42" t="str">
        <f>IF(AND('Pivot elenchi'!Q48="",'Pivot elenchi'!Q49=""),"",IF('Pivot elenchi'!Q48="",'Pivot elenchi'!Q47="",'Pivot elenchi'!Q48))</f>
        <v>GRAFICI INFOGRAFICI</v>
      </c>
      <c r="N49" s="42" t="str">
        <f>IF(AND('Pivot elenchi'!R48="",'Pivot elenchi'!R49=""),"",IF('Pivot elenchi'!R48="",'Pivot elenchi'!R47="",'Pivot elenchi'!R48))</f>
        <v/>
      </c>
      <c r="O49" s="42" t="str">
        <f>IF(AND('Pivot elenchi'!S48="",'Pivot elenchi'!S49=""),"",IF('Pivot elenchi'!S48="",'Pivot elenchi'!S47="",'Pivot elenchi'!S48))</f>
        <v>OPERATIONS DG P&amp;D</v>
      </c>
      <c r="P49" s="42" t="str">
        <f>IF(AND('Pivot elenchi'!T48="",'Pivot elenchi'!T49=""),"",IF('Pivot elenchi'!T48="",'Pivot elenchi'!T47="",'Pivot elenchi'!T48))</f>
        <v/>
      </c>
      <c r="Q49" s="42" t="str">
        <f>IF(AND('Pivot elenchi'!U48="",'Pivot elenchi'!U49=""),"",IF('Pivot elenchi'!U48="",'Pivot elenchi'!U47="",'Pivot elenchi'!U48))</f>
        <v>DG M&amp;B - DG PUBLISHING &amp; DIGITAL</v>
      </c>
      <c r="R49" t="s">
        <v>717</v>
      </c>
      <c r="AB49" s="42" t="str">
        <f t="shared" si="11"/>
        <v xml:space="preserve">51130015    </v>
      </c>
      <c r="AC49" s="42" t="str">
        <f t="shared" si="11"/>
        <v>GRAFICI INFOGRAFICI</v>
      </c>
      <c r="AD49" s="42" t="str">
        <f t="shared" si="11"/>
        <v/>
      </c>
      <c r="AE49" s="42" t="str">
        <f t="shared" si="11"/>
        <v>OPERATIONS DG P&amp;D</v>
      </c>
      <c r="AF49" s="42" t="str">
        <f t="shared" si="12"/>
        <v/>
      </c>
      <c r="AG49" s="42" t="str">
        <f t="shared" si="12"/>
        <v>DG M&amp;B - DG PUBLISHING &amp; DIGITAL</v>
      </c>
    </row>
    <row r="50" spans="1:33" x14ac:dyDescent="0.25">
      <c r="A50" s="49"/>
      <c r="B50" s="48"/>
      <c r="E50" s="35"/>
      <c r="L50" s="42" t="str">
        <f>IF(AND('Pivot elenchi'!P49="",'Pivot elenchi'!P50=""),"",IF('Pivot elenchi'!P49="",'Pivot elenchi'!P48="",'Pivot elenchi'!P49))</f>
        <v xml:space="preserve">511305      </v>
      </c>
      <c r="M50" s="42" t="str">
        <f>IF(AND('Pivot elenchi'!Q49="",'Pivot elenchi'!Q50=""),"",IF('Pivot elenchi'!Q49="",'Pivot elenchi'!Q48="",'Pivot elenchi'!Q49))</f>
        <v>SUPPORTI REDAZIONALI</v>
      </c>
      <c r="N50" s="42" t="str">
        <f>IF(AND('Pivot elenchi'!R49="",'Pivot elenchi'!R50=""),"",IF('Pivot elenchi'!R49="",'Pivot elenchi'!R48="",'Pivot elenchi'!R49))</f>
        <v/>
      </c>
      <c r="O50" s="42" t="str">
        <f>IF(AND('Pivot elenchi'!S49="",'Pivot elenchi'!S50=""),"",IF('Pivot elenchi'!S49="",'Pivot elenchi'!S48="",'Pivot elenchi'!S49))</f>
        <v>SERVIZI GENERALI SICUREZZA E AMBIENTE</v>
      </c>
      <c r="P50" s="42" t="str">
        <f>IF(AND('Pivot elenchi'!T49="",'Pivot elenchi'!T50=""),"",IF('Pivot elenchi'!T49="",'Pivot elenchi'!T48="",'Pivot elenchi'!T49))</f>
        <v/>
      </c>
      <c r="Q50" s="42" t="str">
        <f>IF(AND('Pivot elenchi'!U49="",'Pivot elenchi'!U50=""),"",IF('Pivot elenchi'!U49="",'Pivot elenchi'!U48="",'Pivot elenchi'!U49))</f>
        <v>DIREZIONE CENTRALE PERSONALE E ORGANIZZA</v>
      </c>
      <c r="R50" t="s">
        <v>717</v>
      </c>
      <c r="AB50" s="42" t="str">
        <f t="shared" si="11"/>
        <v xml:space="preserve">511305      </v>
      </c>
      <c r="AC50" s="42" t="str">
        <f t="shared" si="11"/>
        <v>SUPPORTI REDAZIONALI</v>
      </c>
      <c r="AD50" s="42" t="str">
        <f t="shared" si="11"/>
        <v/>
      </c>
      <c r="AE50" s="42" t="str">
        <f t="shared" si="11"/>
        <v>SERVIZI GENERALI SICUREZZA E AMBIENTE</v>
      </c>
      <c r="AF50" s="42" t="str">
        <f t="shared" si="12"/>
        <v/>
      </c>
      <c r="AG50" s="42" t="str">
        <f t="shared" si="12"/>
        <v>DIREZIONE CENTRALE PERSONALE E ORGANIZZA</v>
      </c>
    </row>
    <row r="51" spans="1:33" x14ac:dyDescent="0.25">
      <c r="A51" s="49"/>
      <c r="B51" s="48"/>
      <c r="E51" s="35"/>
      <c r="L51" s="42" t="str">
        <f>IF(AND('Pivot elenchi'!P50="",'Pivot elenchi'!P51=""),"",IF('Pivot elenchi'!P50="",'Pivot elenchi'!P49="",'Pivot elenchi'!P50))</f>
        <v xml:space="preserve">51130501    </v>
      </c>
      <c r="M51" s="42" t="str">
        <f>IF(AND('Pivot elenchi'!Q50="",'Pivot elenchi'!Q51=""),"",IF('Pivot elenchi'!Q50="",'Pivot elenchi'!Q49="",'Pivot elenchi'!Q50))</f>
        <v>SEGRETERIE REDAZIONE MILANO</v>
      </c>
      <c r="N51" s="42" t="str">
        <f>IF(AND('Pivot elenchi'!R50="",'Pivot elenchi'!R51=""),"",IF('Pivot elenchi'!R50="",'Pivot elenchi'!R49="",'Pivot elenchi'!R50))</f>
        <v/>
      </c>
      <c r="O51" s="42" t="str">
        <f>IF(AND('Pivot elenchi'!S50="",'Pivot elenchi'!S51=""),"",IF('Pivot elenchi'!S50="",'Pivot elenchi'!S49="",'Pivot elenchi'!S50))</f>
        <v>SERVIZI GENERALI SICUREZZA E AMBIENTE</v>
      </c>
      <c r="P51" s="42" t="str">
        <f>IF(AND('Pivot elenchi'!T50="",'Pivot elenchi'!T51=""),"",IF('Pivot elenchi'!T50="",'Pivot elenchi'!T49="",'Pivot elenchi'!T50))</f>
        <v/>
      </c>
      <c r="Q51" s="42" t="str">
        <f>IF(AND('Pivot elenchi'!U50="",'Pivot elenchi'!U51=""),"",IF('Pivot elenchi'!U50="",'Pivot elenchi'!U49="",'Pivot elenchi'!U50))</f>
        <v>DIREZIONE CENTRALE PERSONALE E ORGANIZZA</v>
      </c>
      <c r="R51" t="s">
        <v>717</v>
      </c>
      <c r="AB51" s="42" t="str">
        <f t="shared" si="11"/>
        <v xml:space="preserve">51130501    </v>
      </c>
      <c r="AC51" s="42" t="str">
        <f t="shared" si="11"/>
        <v>SEGRETERIE REDAZIONE MILANO</v>
      </c>
      <c r="AD51" s="42" t="str">
        <f t="shared" si="11"/>
        <v/>
      </c>
      <c r="AE51" s="42" t="str">
        <f t="shared" si="11"/>
        <v>SERVIZI GENERALI SICUREZZA E AMBIENTE</v>
      </c>
      <c r="AF51" s="42" t="str">
        <f t="shared" si="12"/>
        <v/>
      </c>
      <c r="AG51" s="42" t="str">
        <f t="shared" si="12"/>
        <v>DIREZIONE CENTRALE PERSONALE E ORGANIZZA</v>
      </c>
    </row>
    <row r="52" spans="1:33" x14ac:dyDescent="0.25">
      <c r="A52" s="49"/>
      <c r="B52" s="48"/>
      <c r="L52" s="42" t="str">
        <f>IF(AND('Pivot elenchi'!P51="",'Pivot elenchi'!P52=""),"",IF('Pivot elenchi'!P51="",'Pivot elenchi'!P50="",'Pivot elenchi'!P51))</f>
        <v xml:space="preserve">51130502    </v>
      </c>
      <c r="M52" s="42" t="str">
        <f>IF(AND('Pivot elenchi'!Q51="",'Pivot elenchi'!Q52=""),"",IF('Pivot elenchi'!Q51="",'Pivot elenchi'!Q50="",'Pivot elenchi'!Q51))</f>
        <v>SEGRETERIE REDAZIONE ROMA</v>
      </c>
      <c r="N52" s="42" t="str">
        <f>IF(AND('Pivot elenchi'!R51="",'Pivot elenchi'!R52=""),"",IF('Pivot elenchi'!R51="",'Pivot elenchi'!R50="",'Pivot elenchi'!R51))</f>
        <v/>
      </c>
      <c r="O52" s="42" t="str">
        <f>IF(AND('Pivot elenchi'!S51="",'Pivot elenchi'!S52=""),"",IF('Pivot elenchi'!S51="",'Pivot elenchi'!S50="",'Pivot elenchi'!S51))</f>
        <v>SERVIZI GENERALI SICUREZZA E AMBIENTE</v>
      </c>
      <c r="P52" s="42" t="str">
        <f>IF(AND('Pivot elenchi'!T51="",'Pivot elenchi'!T52=""),"",IF('Pivot elenchi'!T51="",'Pivot elenchi'!T50="",'Pivot elenchi'!T51))</f>
        <v/>
      </c>
      <c r="Q52" s="42" t="str">
        <f>IF(AND('Pivot elenchi'!U51="",'Pivot elenchi'!U52=""),"",IF('Pivot elenchi'!U51="",'Pivot elenchi'!U50="",'Pivot elenchi'!U51))</f>
        <v>DIREZIONE CENTRALE PERSONALE E ORGANIZZA</v>
      </c>
      <c r="R52" t="s">
        <v>717</v>
      </c>
      <c r="AB52" s="42" t="str">
        <f t="shared" si="11"/>
        <v xml:space="preserve">51130502    </v>
      </c>
      <c r="AC52" s="42" t="str">
        <f t="shared" si="11"/>
        <v>SEGRETERIE REDAZIONE ROMA</v>
      </c>
      <c r="AD52" s="42" t="str">
        <f t="shared" si="11"/>
        <v/>
      </c>
      <c r="AE52" s="42" t="str">
        <f t="shared" si="11"/>
        <v>SERVIZI GENERALI SICUREZZA E AMBIENTE</v>
      </c>
      <c r="AF52" s="42" t="str">
        <f t="shared" si="12"/>
        <v/>
      </c>
      <c r="AG52" s="42" t="str">
        <f t="shared" si="12"/>
        <v>DIREZIONE CENTRALE PERSONALE E ORGANIZZA</v>
      </c>
    </row>
    <row r="53" spans="1:33" x14ac:dyDescent="0.25">
      <c r="A53" s="35"/>
      <c r="B53" s="36"/>
      <c r="L53" s="42" t="str">
        <f>IF(AND('Pivot elenchi'!P52="",'Pivot elenchi'!P53=""),"",IF('Pivot elenchi'!P52="",'Pivot elenchi'!P51="",'Pivot elenchi'!P52))</f>
        <v xml:space="preserve">511600      </v>
      </c>
      <c r="M53" s="42" t="str">
        <f>IF(AND('Pivot elenchi'!Q52="",'Pivot elenchi'!Q53=""),"",IF('Pivot elenchi'!Q52="",'Pivot elenchi'!Q51="",'Pivot elenchi'!Q52))</f>
        <v>DATI BORSE E MERCATI</v>
      </c>
      <c r="N53" s="42" t="str">
        <f>IF(AND('Pivot elenchi'!R52="",'Pivot elenchi'!R53=""),"",IF('Pivot elenchi'!R52="",'Pivot elenchi'!R51="",'Pivot elenchi'!R52))</f>
        <v/>
      </c>
      <c r="O53" s="42" t="str">
        <f>IF(AND('Pivot elenchi'!S52="",'Pivot elenchi'!S53=""),"",IF('Pivot elenchi'!S52="",'Pivot elenchi'!S51="",'Pivot elenchi'!S52))</f>
        <v>OPERATIONS DG P&amp;D</v>
      </c>
      <c r="P53" s="42" t="str">
        <f>IF(AND('Pivot elenchi'!T52="",'Pivot elenchi'!T53=""),"",IF('Pivot elenchi'!T52="",'Pivot elenchi'!T51="",'Pivot elenchi'!T52))</f>
        <v/>
      </c>
      <c r="Q53" s="42" t="str">
        <f>IF(AND('Pivot elenchi'!U52="",'Pivot elenchi'!U53=""),"",IF('Pivot elenchi'!U52="",'Pivot elenchi'!U51="",'Pivot elenchi'!U52))</f>
        <v>DG M&amp;B - DG PUBLISHING &amp; DIGITAL</v>
      </c>
      <c r="R53" t="s">
        <v>717</v>
      </c>
      <c r="AB53" s="42" t="str">
        <f t="shared" si="11"/>
        <v xml:space="preserve">511600      </v>
      </c>
      <c r="AC53" s="42" t="str">
        <f t="shared" si="11"/>
        <v>DATI BORSE E MERCATI</v>
      </c>
      <c r="AD53" s="42" t="str">
        <f t="shared" si="11"/>
        <v/>
      </c>
      <c r="AE53" s="42" t="str">
        <f t="shared" si="11"/>
        <v>OPERATIONS DG P&amp;D</v>
      </c>
      <c r="AF53" s="42" t="str">
        <f t="shared" si="12"/>
        <v/>
      </c>
      <c r="AG53" s="42" t="str">
        <f t="shared" si="12"/>
        <v>DG M&amp;B - DG PUBLISHING &amp; DIGITAL</v>
      </c>
    </row>
    <row r="54" spans="1:33" x14ac:dyDescent="0.25">
      <c r="A54" s="53" t="str">
        <f>IF('Scheda Movimento'!C22="","",'Scheda Movimento'!C22)</f>
        <v>DIRIGENTE</v>
      </c>
      <c r="B54" s="54" t="str">
        <f>IF(A54="","",VLOOKUP(A54,A56:B69,2,FALSE))</f>
        <v>D</v>
      </c>
      <c r="L54" s="42" t="str">
        <f>IF(AND('Pivot elenchi'!P53="",'Pivot elenchi'!P54=""),"",IF('Pivot elenchi'!P53="",'Pivot elenchi'!P52="",'Pivot elenchi'!P53))</f>
        <v xml:space="preserve">512000      </v>
      </c>
      <c r="M54" s="42" t="str">
        <f>IF(AND('Pivot elenchi'!Q53="",'Pivot elenchi'!Q54=""),"",IF('Pivot elenchi'!Q53="",'Pivot elenchi'!Q52="",'Pivot elenchi'!Q53))</f>
        <v>MARKETING EDITORIALE</v>
      </c>
      <c r="N54" s="42" t="str">
        <f>IF(AND('Pivot elenchi'!R53="",'Pivot elenchi'!R54=""),"",IF('Pivot elenchi'!R53="",'Pivot elenchi'!R52="",'Pivot elenchi'!R53))</f>
        <v/>
      </c>
      <c r="O54" s="42" t="str">
        <f>IF(AND('Pivot elenchi'!S53="",'Pivot elenchi'!S54=""),"",IF('Pivot elenchi'!S53="",'Pivot elenchi'!S52="",'Pivot elenchi'!S53))</f>
        <v>DG PUBLISHING &amp; DIGITAL</v>
      </c>
      <c r="P54" s="42" t="str">
        <f>IF(AND('Pivot elenchi'!T53="",'Pivot elenchi'!T54=""),"",IF('Pivot elenchi'!T53="",'Pivot elenchi'!T52="",'Pivot elenchi'!T53))</f>
        <v/>
      </c>
      <c r="Q54" s="42" t="str">
        <f>IF(AND('Pivot elenchi'!U53="",'Pivot elenchi'!U54=""),"",IF('Pivot elenchi'!U53="",'Pivot elenchi'!U52="",'Pivot elenchi'!U53))</f>
        <v>DG M&amp;B - DG PUBLISHING &amp; DIGITAL</v>
      </c>
      <c r="R54" t="s">
        <v>717</v>
      </c>
      <c r="AB54" s="42" t="str">
        <f t="shared" si="11"/>
        <v xml:space="preserve">512000      </v>
      </c>
      <c r="AC54" s="42" t="str">
        <f t="shared" si="11"/>
        <v>MARKETING EDITORIALE</v>
      </c>
      <c r="AD54" s="42" t="str">
        <f t="shared" si="11"/>
        <v/>
      </c>
      <c r="AE54" s="42" t="str">
        <f t="shared" si="11"/>
        <v>DG PUBLISHING &amp; DIGITAL</v>
      </c>
      <c r="AF54" s="42" t="str">
        <f t="shared" si="12"/>
        <v/>
      </c>
      <c r="AG54" s="42" t="str">
        <f t="shared" si="12"/>
        <v>DG M&amp;B - DG PUBLISHING &amp; DIGITAL</v>
      </c>
    </row>
    <row r="55" spans="1:33" x14ac:dyDescent="0.25">
      <c r="A55" s="47" t="s">
        <v>76</v>
      </c>
      <c r="B55" s="51" t="s">
        <v>100</v>
      </c>
      <c r="L55" s="42" t="str">
        <f>IF(AND('Pivot elenchi'!P54="",'Pivot elenchi'!P55=""),"",IF('Pivot elenchi'!P54="",'Pivot elenchi'!P53="",'Pivot elenchi'!P54))</f>
        <v xml:space="preserve">512100      </v>
      </c>
      <c r="M55" s="42" t="str">
        <f>IF(AND('Pivot elenchi'!Q54="",'Pivot elenchi'!Q55=""),"",IF('Pivot elenchi'!Q54="",'Pivot elenchi'!Q53="",'Pivot elenchi'!Q54))</f>
        <v>DG PUBLISHING E DIGITAL</v>
      </c>
      <c r="N55" s="42" t="str">
        <f>IF(AND('Pivot elenchi'!R54="",'Pivot elenchi'!R55=""),"",IF('Pivot elenchi'!R54="",'Pivot elenchi'!R53="",'Pivot elenchi'!R54))</f>
        <v/>
      </c>
      <c r="O55" s="42" t="str">
        <f>IF(AND('Pivot elenchi'!S54="",'Pivot elenchi'!S55=""),"",IF('Pivot elenchi'!S54="",'Pivot elenchi'!S53="",'Pivot elenchi'!S54))</f>
        <v>DG PUBLISHING &amp; DIGITAL</v>
      </c>
      <c r="P55" s="42" t="str">
        <f>IF(AND('Pivot elenchi'!T54="",'Pivot elenchi'!T55=""),"",IF('Pivot elenchi'!T54="",'Pivot elenchi'!T53="",'Pivot elenchi'!T54))</f>
        <v/>
      </c>
      <c r="Q55" s="42" t="str">
        <f>IF(AND('Pivot elenchi'!U54="",'Pivot elenchi'!U55=""),"",IF('Pivot elenchi'!U54="",'Pivot elenchi'!U53="",'Pivot elenchi'!U54))</f>
        <v>DG M&amp;B - DG PUBLISHING &amp; DIGITAL</v>
      </c>
      <c r="R55" t="s">
        <v>717</v>
      </c>
      <c r="AB55" s="42" t="str">
        <f t="shared" si="11"/>
        <v xml:space="preserve">512100      </v>
      </c>
      <c r="AC55" s="42" t="str">
        <f t="shared" si="11"/>
        <v>DG PUBLISHING E DIGITAL</v>
      </c>
      <c r="AD55" s="42" t="str">
        <f t="shared" si="11"/>
        <v/>
      </c>
      <c r="AE55" s="42" t="str">
        <f t="shared" si="11"/>
        <v>DG PUBLISHING &amp; DIGITAL</v>
      </c>
      <c r="AF55" s="42" t="str">
        <f t="shared" si="12"/>
        <v/>
      </c>
      <c r="AG55" s="42" t="str">
        <f t="shared" si="12"/>
        <v>DG M&amp;B - DG PUBLISHING &amp; DIGITAL</v>
      </c>
    </row>
    <row r="56" spans="1:33" x14ac:dyDescent="0.25">
      <c r="A56" s="49"/>
      <c r="B56" s="48"/>
      <c r="L56" s="42" t="str">
        <f>IF(AND('Pivot elenchi'!P55="",'Pivot elenchi'!P56=""),"",IF('Pivot elenchi'!P55="",'Pivot elenchi'!P54="",'Pivot elenchi'!P55))</f>
        <v xml:space="preserve">51210010    </v>
      </c>
      <c r="M56" s="42" t="str">
        <f>IF(AND('Pivot elenchi'!Q55="",'Pivot elenchi'!Q56=""),"",IF('Pivot elenchi'!Q55="",'Pivot elenchi'!Q54="",'Pivot elenchi'!Q55))</f>
        <v>SVILUPPO DIGITALE MKTG EDITORIA</v>
      </c>
      <c r="N56" s="42" t="str">
        <f>IF(AND('Pivot elenchi'!R55="",'Pivot elenchi'!R56=""),"",IF('Pivot elenchi'!R55="",'Pivot elenchi'!R54="",'Pivot elenchi'!R55))</f>
        <v/>
      </c>
      <c r="O56" s="42" t="str">
        <f>IF(AND('Pivot elenchi'!S55="",'Pivot elenchi'!S56=""),"",IF('Pivot elenchi'!S55="",'Pivot elenchi'!S54="",'Pivot elenchi'!S55))</f>
        <v>DG PUBLISHING &amp; DIGITAL</v>
      </c>
      <c r="P56" s="42" t="str">
        <f>IF(AND('Pivot elenchi'!T55="",'Pivot elenchi'!T56=""),"",IF('Pivot elenchi'!T55="",'Pivot elenchi'!T54="",'Pivot elenchi'!T55))</f>
        <v/>
      </c>
      <c r="Q56" s="42" t="str">
        <f>IF(AND('Pivot elenchi'!U55="",'Pivot elenchi'!U56=""),"",IF('Pivot elenchi'!U55="",'Pivot elenchi'!U54="",'Pivot elenchi'!U55))</f>
        <v>DG M&amp;B - DG PUBLISHING &amp; DIGITAL</v>
      </c>
      <c r="R56" t="s">
        <v>717</v>
      </c>
      <c r="AB56" s="42" t="str">
        <f t="shared" si="11"/>
        <v xml:space="preserve">51210010    </v>
      </c>
      <c r="AC56" s="42" t="str">
        <f t="shared" si="11"/>
        <v>SVILUPPO DIGITALE MKTG EDITORIA</v>
      </c>
      <c r="AD56" s="42" t="str">
        <f t="shared" si="11"/>
        <v/>
      </c>
      <c r="AE56" s="42" t="str">
        <f t="shared" si="11"/>
        <v>DG PUBLISHING &amp; DIGITAL</v>
      </c>
      <c r="AF56" s="42" t="str">
        <f t="shared" si="12"/>
        <v/>
      </c>
      <c r="AG56" s="42" t="str">
        <f t="shared" si="12"/>
        <v>DG M&amp;B - DG PUBLISHING &amp; DIGITAL</v>
      </c>
    </row>
    <row r="57" spans="1:33" x14ac:dyDescent="0.25">
      <c r="A57" s="49" t="s">
        <v>88</v>
      </c>
      <c r="B57" s="48" t="s">
        <v>21</v>
      </c>
      <c r="L57" s="42" t="str">
        <f>IF(AND('Pivot elenchi'!P56="",'Pivot elenchi'!P57=""),"",IF('Pivot elenchi'!P56="",'Pivot elenchi'!P55="",'Pivot elenchi'!P56))</f>
        <v xml:space="preserve">513000      </v>
      </c>
      <c r="M57" s="42" t="str">
        <f>IF(AND('Pivot elenchi'!Q56="",'Pivot elenchi'!Q57=""),"",IF('Pivot elenchi'!Q56="",'Pivot elenchi'!Q55="",'Pivot elenchi'!Q56))</f>
        <v>POLITICHE COMMERCIALI DIFF.LOG.</v>
      </c>
      <c r="N57" s="42" t="str">
        <f>IF(AND('Pivot elenchi'!R56="",'Pivot elenchi'!R57=""),"",IF('Pivot elenchi'!R56="",'Pivot elenchi'!R55="",'Pivot elenchi'!R56))</f>
        <v/>
      </c>
      <c r="O57" s="42" t="str">
        <f>IF(AND('Pivot elenchi'!S56="",'Pivot elenchi'!S57=""),"",IF('Pivot elenchi'!S56="",'Pivot elenchi'!S55="",'Pivot elenchi'!S56))</f>
        <v>DG PUBLISHING &amp; DIGITAL</v>
      </c>
      <c r="P57" s="42" t="str">
        <f>IF(AND('Pivot elenchi'!T56="",'Pivot elenchi'!T57=""),"",IF('Pivot elenchi'!T56="",'Pivot elenchi'!T55="",'Pivot elenchi'!T56))</f>
        <v/>
      </c>
      <c r="Q57" s="42" t="str">
        <f>IF(AND('Pivot elenchi'!U56="",'Pivot elenchi'!U57=""),"",IF('Pivot elenchi'!U56="",'Pivot elenchi'!U55="",'Pivot elenchi'!U56))</f>
        <v>DG M&amp;B - DG PUBLISHING &amp; DIGITAL</v>
      </c>
      <c r="R57" t="s">
        <v>717</v>
      </c>
      <c r="AB57" s="42" t="str">
        <f t="shared" si="11"/>
        <v xml:space="preserve">513000      </v>
      </c>
      <c r="AC57" s="42" t="str">
        <f t="shared" si="11"/>
        <v>POLITICHE COMMERCIALI DIFF.LOG.</v>
      </c>
      <c r="AD57" s="42" t="str">
        <f t="shared" si="11"/>
        <v/>
      </c>
      <c r="AE57" s="42" t="str">
        <f t="shared" si="11"/>
        <v>DG PUBLISHING &amp; DIGITAL</v>
      </c>
      <c r="AF57" s="42" t="str">
        <f t="shared" si="12"/>
        <v/>
      </c>
      <c r="AG57" s="42" t="str">
        <f t="shared" si="12"/>
        <v>DG M&amp;B - DG PUBLISHING &amp; DIGITAL</v>
      </c>
    </row>
    <row r="58" spans="1:33" x14ac:dyDescent="0.25">
      <c r="A58" s="49" t="s">
        <v>455</v>
      </c>
      <c r="B58" s="48" t="s">
        <v>712</v>
      </c>
      <c r="L58" s="42" t="str">
        <f>IF(AND('Pivot elenchi'!P57="",'Pivot elenchi'!P58=""),"",IF('Pivot elenchi'!P57="",'Pivot elenchi'!P56="",'Pivot elenchi'!P57))</f>
        <v xml:space="preserve">51320010    </v>
      </c>
      <c r="M58" s="42" t="str">
        <f>IF(AND('Pivot elenchi'!Q57="",'Pivot elenchi'!Q58=""),"",IF('Pivot elenchi'!Q57="",'Pivot elenchi'!Q56="",'Pivot elenchi'!Q57))</f>
        <v>LOGISTICA</v>
      </c>
      <c r="N58" s="42" t="str">
        <f>IF(AND('Pivot elenchi'!R57="",'Pivot elenchi'!R58=""),"",IF('Pivot elenchi'!R57="",'Pivot elenchi'!R56="",'Pivot elenchi'!R57))</f>
        <v/>
      </c>
      <c r="O58" s="42" t="str">
        <f>IF(AND('Pivot elenchi'!S57="",'Pivot elenchi'!S58=""),"",IF('Pivot elenchi'!S57="",'Pivot elenchi'!S56="",'Pivot elenchi'!S57))</f>
        <v>DG PUBLISHING &amp; DIGITAL</v>
      </c>
      <c r="P58" s="42" t="str">
        <f>IF(AND('Pivot elenchi'!T57="",'Pivot elenchi'!T58=""),"",IF('Pivot elenchi'!T57="",'Pivot elenchi'!T56="",'Pivot elenchi'!T57))</f>
        <v/>
      </c>
      <c r="Q58" s="42" t="str">
        <f>IF(AND('Pivot elenchi'!U57="",'Pivot elenchi'!U58=""),"",IF('Pivot elenchi'!U57="",'Pivot elenchi'!U56="",'Pivot elenchi'!U57))</f>
        <v>DG M&amp;B - DG PUBLISHING &amp; DIGITAL</v>
      </c>
      <c r="R58" t="s">
        <v>717</v>
      </c>
      <c r="AB58" s="42" t="str">
        <f t="shared" si="11"/>
        <v xml:space="preserve">51320010    </v>
      </c>
      <c r="AC58" s="42" t="str">
        <f t="shared" si="11"/>
        <v>LOGISTICA</v>
      </c>
      <c r="AD58" s="42" t="str">
        <f t="shared" si="11"/>
        <v/>
      </c>
      <c r="AE58" s="42" t="str">
        <f t="shared" si="11"/>
        <v>DG PUBLISHING &amp; DIGITAL</v>
      </c>
      <c r="AF58" s="42" t="str">
        <f t="shared" si="12"/>
        <v/>
      </c>
      <c r="AG58" s="42" t="str">
        <f t="shared" si="12"/>
        <v>DG M&amp;B - DG PUBLISHING &amp; DIGITAL</v>
      </c>
    </row>
    <row r="59" spans="1:33" x14ac:dyDescent="0.25">
      <c r="A59" s="49" t="s">
        <v>89</v>
      </c>
      <c r="B59" s="48" t="s">
        <v>12</v>
      </c>
      <c r="L59" s="42" t="str">
        <f>IF(AND('Pivot elenchi'!P58="",'Pivot elenchi'!P59=""),"",IF('Pivot elenchi'!P58="",'Pivot elenchi'!P57="",'Pivot elenchi'!P58))</f>
        <v xml:space="preserve">51320020    </v>
      </c>
      <c r="M59" s="42" t="str">
        <f>IF(AND('Pivot elenchi'!Q58="",'Pivot elenchi'!Q59=""),"",IF('Pivot elenchi'!Q58="",'Pivot elenchi'!Q57="",'Pivot elenchi'!Q58))</f>
        <v>DIFFUSIONE</v>
      </c>
      <c r="N59" s="42" t="str">
        <f>IF(AND('Pivot elenchi'!R58="",'Pivot elenchi'!R59=""),"",IF('Pivot elenchi'!R58="",'Pivot elenchi'!R57="",'Pivot elenchi'!R58))</f>
        <v/>
      </c>
      <c r="O59" s="42" t="str">
        <f>IF(AND('Pivot elenchi'!S58="",'Pivot elenchi'!S59=""),"",IF('Pivot elenchi'!S58="",'Pivot elenchi'!S57="",'Pivot elenchi'!S58))</f>
        <v>DG PUBLISHING &amp; DIGITAL</v>
      </c>
      <c r="P59" s="42" t="str">
        <f>IF(AND('Pivot elenchi'!T58="",'Pivot elenchi'!T59=""),"",IF('Pivot elenchi'!T58="",'Pivot elenchi'!T57="",'Pivot elenchi'!T58))</f>
        <v/>
      </c>
      <c r="Q59" s="42" t="str">
        <f>IF(AND('Pivot elenchi'!U58="",'Pivot elenchi'!U59=""),"",IF('Pivot elenchi'!U58="",'Pivot elenchi'!U57="",'Pivot elenchi'!U58))</f>
        <v>DG M&amp;B - DG PUBLISHING &amp; DIGITAL</v>
      </c>
      <c r="R59" t="s">
        <v>717</v>
      </c>
      <c r="AB59" s="42" t="str">
        <f t="shared" si="11"/>
        <v xml:space="preserve">51320020    </v>
      </c>
      <c r="AC59" s="42" t="str">
        <f t="shared" si="11"/>
        <v>DIFFUSIONE</v>
      </c>
      <c r="AD59" s="42" t="str">
        <f t="shared" si="11"/>
        <v/>
      </c>
      <c r="AE59" s="42" t="str">
        <f t="shared" si="11"/>
        <v>DG PUBLISHING &amp; DIGITAL</v>
      </c>
      <c r="AF59" s="42" t="str">
        <f t="shared" si="12"/>
        <v/>
      </c>
      <c r="AG59" s="42" t="str">
        <f t="shared" si="12"/>
        <v>DG M&amp;B - DG PUBLISHING &amp; DIGITAL</v>
      </c>
    </row>
    <row r="60" spans="1:33" x14ac:dyDescent="0.25">
      <c r="A60" s="49" t="s">
        <v>90</v>
      </c>
      <c r="B60" s="48" t="s">
        <v>51</v>
      </c>
      <c r="L60" s="42" t="str">
        <f>IF(AND('Pivot elenchi'!P59="",'Pivot elenchi'!P60=""),"",IF('Pivot elenchi'!P59="",'Pivot elenchi'!P58="",'Pivot elenchi'!P59))</f>
        <v xml:space="preserve">513400      </v>
      </c>
      <c r="M60" s="42" t="str">
        <f>IF(AND('Pivot elenchi'!Q59="",'Pivot elenchi'!Q60=""),"",IF('Pivot elenchi'!Q59="",'Pivot elenchi'!Q58="",'Pivot elenchi'!Q59))</f>
        <v>PIANIFICAZ. E CONTROLLO COMM.LE</v>
      </c>
      <c r="N60" s="42" t="str">
        <f>IF(AND('Pivot elenchi'!R59="",'Pivot elenchi'!R60=""),"",IF('Pivot elenchi'!R59="",'Pivot elenchi'!R58="",'Pivot elenchi'!R59))</f>
        <v/>
      </c>
      <c r="O60" s="42" t="str">
        <f>IF(AND('Pivot elenchi'!S59="",'Pivot elenchi'!S60=""),"",IF('Pivot elenchi'!S59="",'Pivot elenchi'!S58="",'Pivot elenchi'!S59))</f>
        <v>DG PUBLISHING &amp; DIGITAL</v>
      </c>
      <c r="P60" s="42" t="str">
        <f>IF(AND('Pivot elenchi'!T59="",'Pivot elenchi'!T60=""),"",IF('Pivot elenchi'!T59="",'Pivot elenchi'!T58="",'Pivot elenchi'!T59))</f>
        <v/>
      </c>
      <c r="Q60" s="42" t="str">
        <f>IF(AND('Pivot elenchi'!U59="",'Pivot elenchi'!U60=""),"",IF('Pivot elenchi'!U59="",'Pivot elenchi'!U58="",'Pivot elenchi'!U59))</f>
        <v>DG M&amp;B - DG PUBLISHING &amp; DIGITAL</v>
      </c>
      <c r="R60" t="s">
        <v>717</v>
      </c>
      <c r="AB60" s="42" t="str">
        <f t="shared" si="11"/>
        <v xml:space="preserve">513400      </v>
      </c>
      <c r="AC60" s="42" t="str">
        <f t="shared" si="11"/>
        <v>PIANIFICAZ. E CONTROLLO COMM.LE</v>
      </c>
      <c r="AD60" s="42" t="str">
        <f t="shared" si="11"/>
        <v/>
      </c>
      <c r="AE60" s="42" t="str">
        <f t="shared" si="11"/>
        <v>DG PUBLISHING &amp; DIGITAL</v>
      </c>
      <c r="AF60" s="42" t="str">
        <f t="shared" si="12"/>
        <v/>
      </c>
      <c r="AG60" s="42" t="str">
        <f t="shared" si="12"/>
        <v>DG M&amp;B - DG PUBLISHING &amp; DIGITAL</v>
      </c>
    </row>
    <row r="61" spans="1:33" x14ac:dyDescent="0.25">
      <c r="A61" s="49" t="s">
        <v>214</v>
      </c>
      <c r="B61" s="48" t="s">
        <v>53</v>
      </c>
      <c r="L61" s="42" t="str">
        <f>IF(AND('Pivot elenchi'!P60="",'Pivot elenchi'!P61=""),"",IF('Pivot elenchi'!P60="",'Pivot elenchi'!P59="",'Pivot elenchi'!P60))</f>
        <v xml:space="preserve">513500      </v>
      </c>
      <c r="M61" s="42" t="str">
        <f>IF(AND('Pivot elenchi'!Q60="",'Pivot elenchi'!Q61=""),"",IF('Pivot elenchi'!Q60="",'Pivot elenchi'!Q59="",'Pivot elenchi'!Q60))</f>
        <v>VENDITE ABBON. NUOVI E RINNOVI</v>
      </c>
      <c r="N61" s="42" t="str">
        <f>IF(AND('Pivot elenchi'!R60="",'Pivot elenchi'!R61=""),"",IF('Pivot elenchi'!R60="",'Pivot elenchi'!R59="",'Pivot elenchi'!R60))</f>
        <v/>
      </c>
      <c r="O61" s="42" t="str">
        <f>IF(AND('Pivot elenchi'!S60="",'Pivot elenchi'!S61=""),"",IF('Pivot elenchi'!S60="",'Pivot elenchi'!S59="",'Pivot elenchi'!S60))</f>
        <v>DG PUBLISHING &amp; DIGITAL</v>
      </c>
      <c r="P61" s="42" t="str">
        <f>IF(AND('Pivot elenchi'!T60="",'Pivot elenchi'!T61=""),"",IF('Pivot elenchi'!T60="",'Pivot elenchi'!T59="",'Pivot elenchi'!T60))</f>
        <v/>
      </c>
      <c r="Q61" s="42" t="str">
        <f>IF(AND('Pivot elenchi'!U60="",'Pivot elenchi'!U61=""),"",IF('Pivot elenchi'!U60="",'Pivot elenchi'!U59="",'Pivot elenchi'!U60))</f>
        <v>DG M&amp;B - DG PUBLISHING &amp; DIGITAL</v>
      </c>
      <c r="R61" t="s">
        <v>717</v>
      </c>
      <c r="AB61" s="42" t="str">
        <f t="shared" si="11"/>
        <v xml:space="preserve">513500      </v>
      </c>
      <c r="AC61" s="42" t="str">
        <f t="shared" si="11"/>
        <v>VENDITE ABBON. NUOVI E RINNOVI</v>
      </c>
      <c r="AD61" s="42" t="str">
        <f t="shared" si="11"/>
        <v/>
      </c>
      <c r="AE61" s="42" t="str">
        <f t="shared" si="11"/>
        <v>DG PUBLISHING &amp; DIGITAL</v>
      </c>
      <c r="AF61" s="42" t="str">
        <f t="shared" si="12"/>
        <v/>
      </c>
      <c r="AG61" s="42" t="str">
        <f t="shared" si="12"/>
        <v>DG M&amp;B - DG PUBLISHING &amp; DIGITAL</v>
      </c>
    </row>
    <row r="62" spans="1:33" x14ac:dyDescent="0.25">
      <c r="A62" s="49" t="s">
        <v>91</v>
      </c>
      <c r="B62" s="48" t="s">
        <v>62</v>
      </c>
      <c r="L62" s="42" t="str">
        <f>IF(AND('Pivot elenchi'!P61="",'Pivot elenchi'!P62=""),"",IF('Pivot elenchi'!P61="",'Pivot elenchi'!P60="",'Pivot elenchi'!P61))</f>
        <v xml:space="preserve">514000      </v>
      </c>
      <c r="M62" s="42" t="str">
        <f>IF(AND('Pivot elenchi'!Q61="",'Pivot elenchi'!Q62=""),"",IF('Pivot elenchi'!Q61="",'Pivot elenchi'!Q60="",'Pivot elenchi'!Q61))</f>
        <v>DIREZIONE QUOTIDIANO</v>
      </c>
      <c r="N62" s="42" t="str">
        <f>IF(AND('Pivot elenchi'!R61="",'Pivot elenchi'!R62=""),"",IF('Pivot elenchi'!R61="",'Pivot elenchi'!R60="",'Pivot elenchi'!R61))</f>
        <v/>
      </c>
      <c r="O62" s="42" t="str">
        <f>IF(AND('Pivot elenchi'!S61="",'Pivot elenchi'!S62=""),"",IF('Pivot elenchi'!S61="",'Pivot elenchi'!S60="",'Pivot elenchi'!S61))</f>
        <v>QUOTIDIANO</v>
      </c>
      <c r="P62" s="42" t="str">
        <f>IF(AND('Pivot elenchi'!T61="",'Pivot elenchi'!T62=""),"",IF('Pivot elenchi'!T61="",'Pivot elenchi'!T60="",'Pivot elenchi'!T61))</f>
        <v/>
      </c>
      <c r="Q62" s="42" t="str">
        <f>IF(AND('Pivot elenchi'!U61="",'Pivot elenchi'!U62=""),"",IF('Pivot elenchi'!U61="",'Pivot elenchi'!U60="",'Pivot elenchi'!U61))</f>
        <v>REDAZIONI GIORNALISTICHE</v>
      </c>
      <c r="R62" t="s">
        <v>717</v>
      </c>
      <c r="AB62" s="42" t="str">
        <f t="shared" si="11"/>
        <v xml:space="preserve">514000      </v>
      </c>
      <c r="AC62" s="42" t="str">
        <f t="shared" si="11"/>
        <v>DIREZIONE QUOTIDIANO</v>
      </c>
      <c r="AD62" s="42" t="str">
        <f t="shared" si="11"/>
        <v/>
      </c>
      <c r="AE62" s="42" t="str">
        <f t="shared" si="11"/>
        <v>QUOTIDIANO</v>
      </c>
      <c r="AF62" s="42" t="str">
        <f t="shared" si="12"/>
        <v/>
      </c>
      <c r="AG62" s="42" t="str">
        <f t="shared" si="12"/>
        <v>REDAZIONI GIORNALISTICHE</v>
      </c>
    </row>
    <row r="63" spans="1:33" x14ac:dyDescent="0.25">
      <c r="A63" s="49" t="s">
        <v>15</v>
      </c>
      <c r="B63" s="48" t="s">
        <v>64</v>
      </c>
      <c r="L63" s="42" t="str">
        <f>IF(AND('Pivot elenchi'!P62="",'Pivot elenchi'!P63=""),"",IF('Pivot elenchi'!P62="",'Pivot elenchi'!P61="",'Pivot elenchi'!P62))</f>
        <v xml:space="preserve">51400001    </v>
      </c>
      <c r="M63" s="42" t="str">
        <f>IF(AND('Pivot elenchi'!Q62="",'Pivot elenchi'!Q63=""),"",IF('Pivot elenchi'!Q62="",'Pivot elenchi'!Q61="",'Pivot elenchi'!Q62))</f>
        <v>DIREZIONE QUOTIDIANO</v>
      </c>
      <c r="N63" s="42" t="str">
        <f>IF(AND('Pivot elenchi'!R62="",'Pivot elenchi'!R63=""),"",IF('Pivot elenchi'!R62="",'Pivot elenchi'!R61="",'Pivot elenchi'!R62))</f>
        <v/>
      </c>
      <c r="O63" s="42" t="str">
        <f>IF(AND('Pivot elenchi'!S62="",'Pivot elenchi'!S63=""),"",IF('Pivot elenchi'!S62="",'Pivot elenchi'!S61="",'Pivot elenchi'!S62))</f>
        <v>SERVIZI GENERALI SICUREZZA E AMBIENTE</v>
      </c>
      <c r="P63" s="42" t="str">
        <f>IF(AND('Pivot elenchi'!T62="",'Pivot elenchi'!T63=""),"",IF('Pivot elenchi'!T62="",'Pivot elenchi'!T61="",'Pivot elenchi'!T62))</f>
        <v/>
      </c>
      <c r="Q63" s="42" t="str">
        <f>IF(AND('Pivot elenchi'!U62="",'Pivot elenchi'!U63=""),"",IF('Pivot elenchi'!U62="",'Pivot elenchi'!U61="",'Pivot elenchi'!U62))</f>
        <v>DIREZIONE CENTRALE PERSONALE E ORGANIZZA</v>
      </c>
      <c r="R63" t="s">
        <v>717</v>
      </c>
      <c r="AB63" s="42" t="str">
        <f t="shared" si="11"/>
        <v xml:space="preserve">51400001    </v>
      </c>
      <c r="AC63" s="42" t="str">
        <f t="shared" si="11"/>
        <v>DIREZIONE QUOTIDIANO</v>
      </c>
      <c r="AD63" s="42" t="str">
        <f t="shared" si="11"/>
        <v/>
      </c>
      <c r="AE63" s="42" t="str">
        <f t="shared" si="11"/>
        <v>SERVIZI GENERALI SICUREZZA E AMBIENTE</v>
      </c>
      <c r="AF63" s="42" t="str">
        <f t="shared" si="12"/>
        <v/>
      </c>
      <c r="AG63" s="42" t="str">
        <f t="shared" si="12"/>
        <v>DIREZIONE CENTRALE PERSONALE E ORGANIZZA</v>
      </c>
    </row>
    <row r="64" spans="1:33" x14ac:dyDescent="0.25">
      <c r="A64" s="49" t="s">
        <v>208</v>
      </c>
      <c r="B64" s="48" t="s">
        <v>67</v>
      </c>
      <c r="L64" s="42" t="str">
        <f>IF(AND('Pivot elenchi'!P63="",'Pivot elenchi'!P64=""),"",IF('Pivot elenchi'!P63="",'Pivot elenchi'!P62="",'Pivot elenchi'!P63))</f>
        <v xml:space="preserve">514100      </v>
      </c>
      <c r="M64" s="42" t="str">
        <f>IF(AND('Pivot elenchi'!Q63="",'Pivot elenchi'!Q64=""),"",IF('Pivot elenchi'!Q63="",'Pivot elenchi'!Q62="",'Pivot elenchi'!Q63))</f>
        <v>REDAZIONI ITALIA</v>
      </c>
      <c r="N64" s="42" t="str">
        <f>IF(AND('Pivot elenchi'!R63="",'Pivot elenchi'!R64=""),"",IF('Pivot elenchi'!R63="",'Pivot elenchi'!R62="",'Pivot elenchi'!R63))</f>
        <v/>
      </c>
      <c r="O64" s="42" t="str">
        <f>IF(AND('Pivot elenchi'!S63="",'Pivot elenchi'!S64=""),"",IF('Pivot elenchi'!S63="",'Pivot elenchi'!S62="",'Pivot elenchi'!S63))</f>
        <v>QUOTIDIANO</v>
      </c>
      <c r="P64" s="42" t="str">
        <f>IF(AND('Pivot elenchi'!T63="",'Pivot elenchi'!T64=""),"",IF('Pivot elenchi'!T63="",'Pivot elenchi'!T62="",'Pivot elenchi'!T63))</f>
        <v/>
      </c>
      <c r="Q64" s="42" t="str">
        <f>IF(AND('Pivot elenchi'!U63="",'Pivot elenchi'!U64=""),"",IF('Pivot elenchi'!U63="",'Pivot elenchi'!U62="",'Pivot elenchi'!U63))</f>
        <v>REDAZIONI GIORNALISTICHE</v>
      </c>
      <c r="R64" t="s">
        <v>717</v>
      </c>
      <c r="AB64" s="42" t="str">
        <f t="shared" si="11"/>
        <v xml:space="preserve">514100      </v>
      </c>
      <c r="AC64" s="42" t="str">
        <f t="shared" si="11"/>
        <v>REDAZIONI ITALIA</v>
      </c>
      <c r="AD64" s="42" t="str">
        <f t="shared" si="11"/>
        <v/>
      </c>
      <c r="AE64" s="42" t="str">
        <f t="shared" si="11"/>
        <v>QUOTIDIANO</v>
      </c>
      <c r="AF64" s="42" t="str">
        <f t="shared" si="12"/>
        <v/>
      </c>
      <c r="AG64" s="42" t="str">
        <f t="shared" si="12"/>
        <v>REDAZIONI GIORNALISTICHE</v>
      </c>
    </row>
    <row r="65" spans="1:33" x14ac:dyDescent="0.25">
      <c r="A65" s="49" t="s">
        <v>209</v>
      </c>
      <c r="B65" s="48" t="s">
        <v>65</v>
      </c>
      <c r="L65" s="42" t="str">
        <f>IF(AND('Pivot elenchi'!P64="",'Pivot elenchi'!P65=""),"",IF('Pivot elenchi'!P64="",'Pivot elenchi'!P63="",'Pivot elenchi'!P64))</f>
        <v xml:space="preserve">514210      </v>
      </c>
      <c r="M65" s="42" t="str">
        <f>IF(AND('Pivot elenchi'!Q64="",'Pivot elenchi'!Q65=""),"",IF('Pivot elenchi'!Q64="",'Pivot elenchi'!Q63="",'Pivot elenchi'!Q64))</f>
        <v>REDAZIONE E CORRISP BRUXELLES</v>
      </c>
      <c r="N65" s="42" t="str">
        <f>IF(AND('Pivot elenchi'!R64="",'Pivot elenchi'!R65=""),"",IF('Pivot elenchi'!R64="",'Pivot elenchi'!R63="",'Pivot elenchi'!R64))</f>
        <v/>
      </c>
      <c r="O65" s="42" t="str">
        <f>IF(AND('Pivot elenchi'!S64="",'Pivot elenchi'!S65=""),"",IF('Pivot elenchi'!S64="",'Pivot elenchi'!S63="",'Pivot elenchi'!S64))</f>
        <v>QUOTIDIANO</v>
      </c>
      <c r="P65" s="42" t="str">
        <f>IF(AND('Pivot elenchi'!T64="",'Pivot elenchi'!T65=""),"",IF('Pivot elenchi'!T64="",'Pivot elenchi'!T63="",'Pivot elenchi'!T64))</f>
        <v/>
      </c>
      <c r="Q65" s="42" t="str">
        <f>IF(AND('Pivot elenchi'!U64="",'Pivot elenchi'!U65=""),"",IF('Pivot elenchi'!U64="",'Pivot elenchi'!U63="",'Pivot elenchi'!U64))</f>
        <v>REDAZIONI GIORNALISTICHE</v>
      </c>
      <c r="R65" t="s">
        <v>717</v>
      </c>
      <c r="AB65" s="42" t="str">
        <f t="shared" si="11"/>
        <v xml:space="preserve">514210      </v>
      </c>
      <c r="AC65" s="42" t="str">
        <f t="shared" si="11"/>
        <v>REDAZIONE E CORRISP BRUXELLES</v>
      </c>
      <c r="AD65" s="42" t="str">
        <f t="shared" si="11"/>
        <v/>
      </c>
      <c r="AE65" s="42" t="str">
        <f t="shared" si="11"/>
        <v>QUOTIDIANO</v>
      </c>
      <c r="AF65" s="42" t="str">
        <f t="shared" si="12"/>
        <v/>
      </c>
      <c r="AG65" s="42" t="str">
        <f t="shared" si="12"/>
        <v>REDAZIONI GIORNALISTICHE</v>
      </c>
    </row>
    <row r="66" spans="1:33" x14ac:dyDescent="0.25">
      <c r="A66" s="49" t="s">
        <v>210</v>
      </c>
      <c r="B66" s="48" t="s">
        <v>63</v>
      </c>
      <c r="L66" s="42" t="str">
        <f>IF(AND('Pivot elenchi'!P65="",'Pivot elenchi'!P66=""),"",IF('Pivot elenchi'!P65="",'Pivot elenchi'!P64="",'Pivot elenchi'!P65))</f>
        <v xml:space="preserve">514220      </v>
      </c>
      <c r="M66" s="42" t="str">
        <f>IF(AND('Pivot elenchi'!Q65="",'Pivot elenchi'!Q66=""),"",IF('Pivot elenchi'!Q65="",'Pivot elenchi'!Q64="",'Pivot elenchi'!Q65))</f>
        <v>REDAZIONE E CORRISP FRANCOFORTE</v>
      </c>
      <c r="N66" s="42" t="str">
        <f>IF(AND('Pivot elenchi'!R65="",'Pivot elenchi'!R66=""),"",IF('Pivot elenchi'!R65="",'Pivot elenchi'!R64="",'Pivot elenchi'!R65))</f>
        <v/>
      </c>
      <c r="O66" s="42" t="str">
        <f>IF(AND('Pivot elenchi'!S65="",'Pivot elenchi'!S66=""),"",IF('Pivot elenchi'!S65="",'Pivot elenchi'!S64="",'Pivot elenchi'!S65))</f>
        <v>QUOTIDIANO</v>
      </c>
      <c r="P66" s="42" t="str">
        <f>IF(AND('Pivot elenchi'!T65="",'Pivot elenchi'!T66=""),"",IF('Pivot elenchi'!T65="",'Pivot elenchi'!T64="",'Pivot elenchi'!T65))</f>
        <v/>
      </c>
      <c r="Q66" s="42" t="str">
        <f>IF(AND('Pivot elenchi'!U65="",'Pivot elenchi'!U66=""),"",IF('Pivot elenchi'!U65="",'Pivot elenchi'!U64="",'Pivot elenchi'!U65))</f>
        <v>REDAZIONI GIORNALISTICHE</v>
      </c>
      <c r="R66" t="s">
        <v>717</v>
      </c>
      <c r="AB66" s="42" t="str">
        <f t="shared" si="11"/>
        <v xml:space="preserve">514220      </v>
      </c>
      <c r="AC66" s="42" t="str">
        <f t="shared" si="11"/>
        <v>REDAZIONE E CORRISP FRANCOFORTE</v>
      </c>
      <c r="AD66" s="42" t="str">
        <f t="shared" si="11"/>
        <v/>
      </c>
      <c r="AE66" s="42" t="str">
        <f t="shared" si="11"/>
        <v>QUOTIDIANO</v>
      </c>
      <c r="AF66" s="42" t="str">
        <f t="shared" si="12"/>
        <v/>
      </c>
      <c r="AG66" s="42" t="str">
        <f t="shared" si="12"/>
        <v>REDAZIONI GIORNALISTICHE</v>
      </c>
    </row>
    <row r="67" spans="1:33" x14ac:dyDescent="0.25">
      <c r="A67" s="49" t="s">
        <v>211</v>
      </c>
      <c r="B67" s="48" t="s">
        <v>67</v>
      </c>
      <c r="L67" s="42" t="str">
        <f>IF(AND('Pivot elenchi'!P66="",'Pivot elenchi'!P67=""),"",IF('Pivot elenchi'!P66="",'Pivot elenchi'!P65="",'Pivot elenchi'!P66))</f>
        <v xml:space="preserve">514300      </v>
      </c>
      <c r="M67" s="42" t="str">
        <f>IF(AND('Pivot elenchi'!Q66="",'Pivot elenchi'!Q67=""),"",IF('Pivot elenchi'!Q66="",'Pivot elenchi'!Q65="",'Pivot elenchi'!Q66))</f>
        <v>REDAZIONE MILANO</v>
      </c>
      <c r="N67" s="42" t="str">
        <f>IF(AND('Pivot elenchi'!R66="",'Pivot elenchi'!R67=""),"",IF('Pivot elenchi'!R66="",'Pivot elenchi'!R65="",'Pivot elenchi'!R66))</f>
        <v/>
      </c>
      <c r="O67" s="42" t="str">
        <f>IF(AND('Pivot elenchi'!S66="",'Pivot elenchi'!S67=""),"",IF('Pivot elenchi'!S66="",'Pivot elenchi'!S65="",'Pivot elenchi'!S66))</f>
        <v>QUOTIDIANO</v>
      </c>
      <c r="P67" s="42" t="str">
        <f>IF(AND('Pivot elenchi'!T66="",'Pivot elenchi'!T67=""),"",IF('Pivot elenchi'!T66="",'Pivot elenchi'!T65="",'Pivot elenchi'!T66))</f>
        <v/>
      </c>
      <c r="Q67" s="42" t="str">
        <f>IF(AND('Pivot elenchi'!U66="",'Pivot elenchi'!U67=""),"",IF('Pivot elenchi'!U66="",'Pivot elenchi'!U65="",'Pivot elenchi'!U66))</f>
        <v>REDAZIONI GIORNALISTICHE</v>
      </c>
      <c r="R67" t="s">
        <v>717</v>
      </c>
      <c r="AB67" s="42" t="str">
        <f t="shared" si="11"/>
        <v xml:space="preserve">514300      </v>
      </c>
      <c r="AC67" s="42" t="str">
        <f t="shared" si="11"/>
        <v>REDAZIONE MILANO</v>
      </c>
      <c r="AD67" s="42" t="str">
        <f t="shared" si="11"/>
        <v/>
      </c>
      <c r="AE67" s="42" t="str">
        <f t="shared" si="11"/>
        <v>QUOTIDIANO</v>
      </c>
      <c r="AF67" s="42" t="str">
        <f t="shared" si="12"/>
        <v/>
      </c>
      <c r="AG67" s="42" t="str">
        <f t="shared" si="12"/>
        <v>REDAZIONI GIORNALISTICHE</v>
      </c>
    </row>
    <row r="68" spans="1:33" x14ac:dyDescent="0.25">
      <c r="A68" s="49"/>
      <c r="B68" s="48"/>
      <c r="L68" s="42" t="str">
        <f>IF(AND('Pivot elenchi'!P67="",'Pivot elenchi'!P68=""),"",IF('Pivot elenchi'!P67="",'Pivot elenchi'!P66="",'Pivot elenchi'!P67))</f>
        <v xml:space="preserve">514400      </v>
      </c>
      <c r="M68" s="42" t="str">
        <f>IF(AND('Pivot elenchi'!Q67="",'Pivot elenchi'!Q68=""),"",IF('Pivot elenchi'!Q67="",'Pivot elenchi'!Q66="",'Pivot elenchi'!Q67))</f>
        <v>NOVA 24</v>
      </c>
      <c r="N68" s="42" t="str">
        <f>IF(AND('Pivot elenchi'!R67="",'Pivot elenchi'!R68=""),"",IF('Pivot elenchi'!R67="",'Pivot elenchi'!R66="",'Pivot elenchi'!R67))</f>
        <v/>
      </c>
      <c r="O68" s="42" t="str">
        <f>IF(AND('Pivot elenchi'!S67="",'Pivot elenchi'!S68=""),"",IF('Pivot elenchi'!S67="",'Pivot elenchi'!S66="",'Pivot elenchi'!S67))</f>
        <v>QUOTIDIANO</v>
      </c>
      <c r="P68" s="42" t="str">
        <f>IF(AND('Pivot elenchi'!T67="",'Pivot elenchi'!T68=""),"",IF('Pivot elenchi'!T67="",'Pivot elenchi'!T66="",'Pivot elenchi'!T67))</f>
        <v/>
      </c>
      <c r="Q68" s="42" t="str">
        <f>IF(AND('Pivot elenchi'!U67="",'Pivot elenchi'!U68=""),"",IF('Pivot elenchi'!U67="",'Pivot elenchi'!U66="",'Pivot elenchi'!U67))</f>
        <v>REDAZIONI GIORNALISTICHE</v>
      </c>
      <c r="R68" t="s">
        <v>717</v>
      </c>
      <c r="AB68" s="42" t="str">
        <f t="shared" si="11"/>
        <v xml:space="preserve">514400      </v>
      </c>
      <c r="AC68" s="42" t="str">
        <f t="shared" si="11"/>
        <v>NOVA 24</v>
      </c>
      <c r="AD68" s="42" t="str">
        <f t="shared" si="11"/>
        <v/>
      </c>
      <c r="AE68" s="42" t="str">
        <f t="shared" si="11"/>
        <v>QUOTIDIANO</v>
      </c>
      <c r="AF68" s="42" t="str">
        <f t="shared" si="12"/>
        <v/>
      </c>
      <c r="AG68" s="42" t="str">
        <f t="shared" si="12"/>
        <v>REDAZIONI GIORNALISTICHE</v>
      </c>
    </row>
    <row r="69" spans="1:33" x14ac:dyDescent="0.25">
      <c r="A69" s="49"/>
      <c r="B69" s="48"/>
      <c r="L69" s="42" t="str">
        <f>IF(AND('Pivot elenchi'!P68="",'Pivot elenchi'!P69=""),"",IF('Pivot elenchi'!P68="",'Pivot elenchi'!P67="",'Pivot elenchi'!P68))</f>
        <v xml:space="preserve">514500      </v>
      </c>
      <c r="M69" s="42" t="str">
        <f>IF(AND('Pivot elenchi'!Q68="",'Pivot elenchi'!Q69=""),"",IF('Pivot elenchi'!Q68="",'Pivot elenchi'!Q67="",'Pivot elenchi'!Q68))</f>
        <v>LUNEDI'</v>
      </c>
      <c r="N69" s="42" t="str">
        <f>IF(AND('Pivot elenchi'!R68="",'Pivot elenchi'!R69=""),"",IF('Pivot elenchi'!R68="",'Pivot elenchi'!R67="",'Pivot elenchi'!R68))</f>
        <v/>
      </c>
      <c r="O69" s="42" t="str">
        <f>IF(AND('Pivot elenchi'!S68="",'Pivot elenchi'!S69=""),"",IF('Pivot elenchi'!S68="",'Pivot elenchi'!S67="",'Pivot elenchi'!S68))</f>
        <v>QUOTIDIANO</v>
      </c>
      <c r="P69" s="42" t="str">
        <f>IF(AND('Pivot elenchi'!T68="",'Pivot elenchi'!T69=""),"",IF('Pivot elenchi'!T68="",'Pivot elenchi'!T67="",'Pivot elenchi'!T68))</f>
        <v/>
      </c>
      <c r="Q69" s="42" t="str">
        <f>IF(AND('Pivot elenchi'!U68="",'Pivot elenchi'!U69=""),"",IF('Pivot elenchi'!U68="",'Pivot elenchi'!U67="",'Pivot elenchi'!U68))</f>
        <v>REDAZIONI GIORNALISTICHE</v>
      </c>
      <c r="R69" t="s">
        <v>717</v>
      </c>
      <c r="AB69" s="42" t="str">
        <f t="shared" si="11"/>
        <v xml:space="preserve">514500      </v>
      </c>
      <c r="AC69" s="42" t="str">
        <f t="shared" si="11"/>
        <v>LUNEDI'</v>
      </c>
      <c r="AD69" s="42" t="str">
        <f t="shared" si="11"/>
        <v/>
      </c>
      <c r="AE69" s="42" t="str">
        <f t="shared" si="11"/>
        <v>QUOTIDIANO</v>
      </c>
      <c r="AF69" s="42" t="str">
        <f t="shared" si="12"/>
        <v/>
      </c>
      <c r="AG69" s="42" t="str">
        <f t="shared" si="12"/>
        <v>REDAZIONI GIORNALISTICHE</v>
      </c>
    </row>
    <row r="70" spans="1:33" x14ac:dyDescent="0.25">
      <c r="A70" s="50"/>
      <c r="B70" s="58"/>
      <c r="L70" s="42" t="str">
        <f>IF(AND('Pivot elenchi'!P69="",'Pivot elenchi'!P70=""),"",IF('Pivot elenchi'!P69="",'Pivot elenchi'!P68="",'Pivot elenchi'!P69))</f>
        <v xml:space="preserve">514600      </v>
      </c>
      <c r="M70" s="42" t="str">
        <f>IF(AND('Pivot elenchi'!Q69="",'Pivot elenchi'!Q70=""),"",IF('Pivot elenchi'!Q69="",'Pivot elenchi'!Q68="",'Pivot elenchi'!Q69))</f>
        <v>SEGRETERIA RED. ALTRI PERIODICI</v>
      </c>
      <c r="N70" s="42" t="str">
        <f>IF(AND('Pivot elenchi'!R69="",'Pivot elenchi'!R70=""),"",IF('Pivot elenchi'!R69="",'Pivot elenchi'!R68="",'Pivot elenchi'!R69))</f>
        <v/>
      </c>
      <c r="O70" s="42" t="str">
        <f>IF(AND('Pivot elenchi'!S69="",'Pivot elenchi'!S70=""),"",IF('Pivot elenchi'!S69="",'Pivot elenchi'!S68="",'Pivot elenchi'!S69))</f>
        <v>SERVIZI GENERALI SICUREZZA E AMBIENTE</v>
      </c>
      <c r="P70" s="42" t="str">
        <f>IF(AND('Pivot elenchi'!T69="",'Pivot elenchi'!T70=""),"",IF('Pivot elenchi'!T69="",'Pivot elenchi'!T68="",'Pivot elenchi'!T69))</f>
        <v/>
      </c>
      <c r="Q70" s="42" t="str">
        <f>IF(AND('Pivot elenchi'!U69="",'Pivot elenchi'!U70=""),"",IF('Pivot elenchi'!U69="",'Pivot elenchi'!U68="",'Pivot elenchi'!U69))</f>
        <v>DIREZIONE CENTRALE PERSONALE E ORGANIZZA</v>
      </c>
      <c r="R70" t="s">
        <v>717</v>
      </c>
      <c r="AB70" s="42" t="str">
        <f t="shared" si="11"/>
        <v xml:space="preserve">514600      </v>
      </c>
      <c r="AC70" s="42" t="str">
        <f t="shared" si="11"/>
        <v>SEGRETERIA RED. ALTRI PERIODICI</v>
      </c>
      <c r="AD70" s="42" t="str">
        <f t="shared" si="11"/>
        <v/>
      </c>
      <c r="AE70" s="42" t="str">
        <f t="shared" ref="AE70" si="14">O70</f>
        <v>SERVIZI GENERALI SICUREZZA E AMBIENTE</v>
      </c>
      <c r="AF70" s="42" t="str">
        <f t="shared" si="12"/>
        <v/>
      </c>
      <c r="AG70" s="42" t="str">
        <f t="shared" si="12"/>
        <v>DIREZIONE CENTRALE PERSONALE E ORGANIZZA</v>
      </c>
    </row>
    <row r="71" spans="1:33" x14ac:dyDescent="0.25">
      <c r="A71" s="53" t="str">
        <f>IF('Scheda Movimento'!C28="","",'Scheda Movimento'!C28)</f>
        <v>Servizio (in)</v>
      </c>
      <c r="B71" s="54" t="str">
        <f>IF(A71="","",VLOOKUP(A71,A73:B80,2,FALSE))</f>
        <v>S</v>
      </c>
      <c r="L71" s="42" t="str">
        <f>IF(AND('Pivot elenchi'!P70="",'Pivot elenchi'!P71=""),"",IF('Pivot elenchi'!P70="",'Pivot elenchi'!P69="",'Pivot elenchi'!P70))</f>
        <v xml:space="preserve">514700      </v>
      </c>
      <c r="M71" s="42" t="str">
        <f>IF(AND('Pivot elenchi'!Q70="",'Pivot elenchi'!Q71=""),"",IF('Pivot elenchi'!Q70="",'Pivot elenchi'!Q69="",'Pivot elenchi'!Q70))</f>
        <v>REDAZIONE ROMA</v>
      </c>
      <c r="N71" s="42" t="str">
        <f>IF(AND('Pivot elenchi'!R70="",'Pivot elenchi'!R71=""),"",IF('Pivot elenchi'!R70="",'Pivot elenchi'!R69="",'Pivot elenchi'!R70))</f>
        <v/>
      </c>
      <c r="O71" s="42" t="str">
        <f>IF(AND('Pivot elenchi'!S70="",'Pivot elenchi'!S71=""),"",IF('Pivot elenchi'!S70="",'Pivot elenchi'!S69="",'Pivot elenchi'!S70))</f>
        <v>QUOTIDIANO</v>
      </c>
      <c r="P71" s="42" t="str">
        <f>IF(AND('Pivot elenchi'!T70="",'Pivot elenchi'!T71=""),"",IF('Pivot elenchi'!T70="",'Pivot elenchi'!T69="",'Pivot elenchi'!T70))</f>
        <v/>
      </c>
      <c r="Q71" s="42" t="str">
        <f>IF(AND('Pivot elenchi'!U70="",'Pivot elenchi'!U71=""),"",IF('Pivot elenchi'!U70="",'Pivot elenchi'!U69="",'Pivot elenchi'!U70))</f>
        <v>REDAZIONI GIORNALISTICHE</v>
      </c>
      <c r="R71" t="s">
        <v>717</v>
      </c>
      <c r="AB71" s="42" t="str">
        <f t="shared" ref="AB71:AE134" si="15">L71</f>
        <v xml:space="preserve">514700      </v>
      </c>
      <c r="AC71" s="42" t="str">
        <f t="shared" si="15"/>
        <v>REDAZIONE ROMA</v>
      </c>
      <c r="AD71" s="42" t="str">
        <f t="shared" si="15"/>
        <v/>
      </c>
      <c r="AE71" s="42" t="str">
        <f t="shared" si="15"/>
        <v>QUOTIDIANO</v>
      </c>
      <c r="AF71" s="42" t="str">
        <f t="shared" ref="AF71:AG134" si="16">P71</f>
        <v/>
      </c>
      <c r="AG71" s="42" t="str">
        <f t="shared" si="16"/>
        <v>REDAZIONI GIORNALISTICHE</v>
      </c>
    </row>
    <row r="72" spans="1:33" x14ac:dyDescent="0.25">
      <c r="A72" s="47" t="s">
        <v>74</v>
      </c>
      <c r="B72" s="51" t="s">
        <v>100</v>
      </c>
      <c r="L72" s="42" t="str">
        <f>IF(AND('Pivot elenchi'!P71="",'Pivot elenchi'!P72=""),"",IF('Pivot elenchi'!P71="",'Pivot elenchi'!P70="",'Pivot elenchi'!P71))</f>
        <v xml:space="preserve">514800      </v>
      </c>
      <c r="M72" s="42" t="str">
        <f>IF(AND('Pivot elenchi'!Q71="",'Pivot elenchi'!Q72=""),"",IF('Pivot elenchi'!Q71="",'Pivot elenchi'!Q70="",'Pivot elenchi'!Q71))</f>
        <v>STRUTTURA MEDIA FACTORY ENEL</v>
      </c>
      <c r="N72" s="42" t="str">
        <f>IF(AND('Pivot elenchi'!R71="",'Pivot elenchi'!R72=""),"",IF('Pivot elenchi'!R71="",'Pivot elenchi'!R70="",'Pivot elenchi'!R71))</f>
        <v/>
      </c>
      <c r="O72" s="42" t="str">
        <f>IF(AND('Pivot elenchi'!S71="",'Pivot elenchi'!S72=""),"",IF('Pivot elenchi'!S71="",'Pivot elenchi'!S70="",'Pivot elenchi'!S71))</f>
        <v>PERSONALE GIORNALISTI, RADIO E CULTURA</v>
      </c>
      <c r="P72" s="42" t="str">
        <f>IF(AND('Pivot elenchi'!T71="",'Pivot elenchi'!T72=""),"",IF('Pivot elenchi'!T71="",'Pivot elenchi'!T70="",'Pivot elenchi'!T71))</f>
        <v/>
      </c>
      <c r="Q72" s="42" t="str">
        <f>IF(AND('Pivot elenchi'!U71="",'Pivot elenchi'!U72=""),"",IF('Pivot elenchi'!U71="",'Pivot elenchi'!U70="",'Pivot elenchi'!U71))</f>
        <v>DIREZIONE CENTRALE PERSONALE E ORGANIZZA</v>
      </c>
      <c r="R72" t="s">
        <v>717</v>
      </c>
      <c r="AB72" s="42" t="str">
        <f t="shared" si="15"/>
        <v xml:space="preserve">514800      </v>
      </c>
      <c r="AC72" s="42" t="str">
        <f t="shared" si="15"/>
        <v>STRUTTURA MEDIA FACTORY ENEL</v>
      </c>
      <c r="AD72" s="42" t="str">
        <f t="shared" si="15"/>
        <v/>
      </c>
      <c r="AE72" s="42" t="str">
        <f t="shared" si="15"/>
        <v>PERSONALE GIORNALISTI, RADIO E CULTURA</v>
      </c>
      <c r="AF72" s="42" t="str">
        <f t="shared" si="16"/>
        <v/>
      </c>
      <c r="AG72" s="42" t="str">
        <f t="shared" si="16"/>
        <v>DIREZIONE CENTRALE PERSONALE E ORGANIZZA</v>
      </c>
    </row>
    <row r="73" spans="1:33" x14ac:dyDescent="0.25">
      <c r="A73" s="49"/>
      <c r="B73" s="48"/>
      <c r="L73" s="42" t="str">
        <f>IF(AND('Pivot elenchi'!P72="",'Pivot elenchi'!P73=""),"",IF('Pivot elenchi'!P72="",'Pivot elenchi'!P71="",'Pivot elenchi'!P72))</f>
        <v xml:space="preserve">515010      </v>
      </c>
      <c r="M73" s="42" t="str">
        <f>IF(AND('Pivot elenchi'!Q72="",'Pivot elenchi'!Q73=""),"",IF('Pivot elenchi'!Q72="",'Pivot elenchi'!Q71="",'Pivot elenchi'!Q72))</f>
        <v>RCO+ FINANZA E MERCATI MI</v>
      </c>
      <c r="N73" s="42" t="str">
        <f>IF(AND('Pivot elenchi'!R72="",'Pivot elenchi'!R73=""),"",IF('Pivot elenchi'!R72="",'Pivot elenchi'!R71="",'Pivot elenchi'!R72))</f>
        <v/>
      </c>
      <c r="O73" s="42" t="str">
        <f>IF(AND('Pivot elenchi'!S72="",'Pivot elenchi'!S73=""),"",IF('Pivot elenchi'!S72="",'Pivot elenchi'!S71="",'Pivot elenchi'!S72))</f>
        <v>RCO+</v>
      </c>
      <c r="P73" s="42" t="str">
        <f>IF(AND('Pivot elenchi'!T72="",'Pivot elenchi'!T73=""),"",IF('Pivot elenchi'!T72="",'Pivot elenchi'!T71="",'Pivot elenchi'!T72))</f>
        <v/>
      </c>
      <c r="Q73" s="42" t="str">
        <f>IF(AND('Pivot elenchi'!U72="",'Pivot elenchi'!U73=""),"",IF('Pivot elenchi'!U72="",'Pivot elenchi'!U71="",'Pivot elenchi'!U72))</f>
        <v>REDAZIONI GIORNALISTICHE</v>
      </c>
      <c r="R73" t="s">
        <v>717</v>
      </c>
      <c r="AB73" s="42" t="str">
        <f t="shared" si="15"/>
        <v xml:space="preserve">515010      </v>
      </c>
      <c r="AC73" s="42" t="str">
        <f t="shared" si="15"/>
        <v>RCO+ FINANZA E MERCATI MI</v>
      </c>
      <c r="AD73" s="42" t="str">
        <f t="shared" si="15"/>
        <v/>
      </c>
      <c r="AE73" s="42" t="str">
        <f t="shared" si="15"/>
        <v>RCO+</v>
      </c>
      <c r="AF73" s="42" t="str">
        <f t="shared" si="16"/>
        <v/>
      </c>
      <c r="AG73" s="42" t="str">
        <f t="shared" si="16"/>
        <v>REDAZIONI GIORNALISTICHE</v>
      </c>
    </row>
    <row r="74" spans="1:33" x14ac:dyDescent="0.25">
      <c r="A74" s="49" t="s">
        <v>84</v>
      </c>
      <c r="B74" s="48" t="s">
        <v>64</v>
      </c>
      <c r="L74" s="42" t="str">
        <f>IF(AND('Pivot elenchi'!P73="",'Pivot elenchi'!P74=""),"",IF('Pivot elenchi'!P73="",'Pivot elenchi'!P72="",'Pivot elenchi'!P73))</f>
        <v xml:space="preserve">515020      </v>
      </c>
      <c r="M74" s="42" t="str">
        <f>IF(AND('Pivot elenchi'!Q73="",'Pivot elenchi'!Q74=""),"",IF('Pivot elenchi'!Q73="",'Pivot elenchi'!Q72="",'Pivot elenchi'!Q73))</f>
        <v>RCO+ FINANZA E MERCATI RM</v>
      </c>
      <c r="N74" s="42" t="str">
        <f>IF(AND('Pivot elenchi'!R73="",'Pivot elenchi'!R74=""),"",IF('Pivot elenchi'!R73="",'Pivot elenchi'!R72="",'Pivot elenchi'!R73))</f>
        <v/>
      </c>
      <c r="O74" s="42" t="str">
        <f>IF(AND('Pivot elenchi'!S73="",'Pivot elenchi'!S74=""),"",IF('Pivot elenchi'!S73="",'Pivot elenchi'!S72="",'Pivot elenchi'!S73))</f>
        <v>RCO+</v>
      </c>
      <c r="P74" s="42" t="str">
        <f>IF(AND('Pivot elenchi'!T73="",'Pivot elenchi'!T74=""),"",IF('Pivot elenchi'!T73="",'Pivot elenchi'!T72="",'Pivot elenchi'!T73))</f>
        <v/>
      </c>
      <c r="Q74" s="42" t="str">
        <f>IF(AND('Pivot elenchi'!U73="",'Pivot elenchi'!U74=""),"",IF('Pivot elenchi'!U73="",'Pivot elenchi'!U72="",'Pivot elenchi'!U73))</f>
        <v>REDAZIONI GIORNALISTICHE</v>
      </c>
      <c r="R74" t="s">
        <v>717</v>
      </c>
      <c r="AB74" s="42" t="str">
        <f t="shared" si="15"/>
        <v xml:space="preserve">515020      </v>
      </c>
      <c r="AC74" s="42" t="str">
        <f t="shared" si="15"/>
        <v>RCO+ FINANZA E MERCATI RM</v>
      </c>
      <c r="AD74" s="42" t="str">
        <f t="shared" si="15"/>
        <v/>
      </c>
      <c r="AE74" s="42" t="str">
        <f t="shared" si="15"/>
        <v>RCO+</v>
      </c>
      <c r="AF74" s="42" t="str">
        <f t="shared" si="16"/>
        <v/>
      </c>
      <c r="AG74" s="42" t="str">
        <f t="shared" si="16"/>
        <v>REDAZIONI GIORNALISTICHE</v>
      </c>
    </row>
    <row r="75" spans="1:33" x14ac:dyDescent="0.25">
      <c r="A75" s="49" t="s">
        <v>85</v>
      </c>
      <c r="B75" s="48" t="s">
        <v>50</v>
      </c>
      <c r="L75" s="42" t="str">
        <f>IF(AND('Pivot elenchi'!P74="",'Pivot elenchi'!P75=""),"",IF('Pivot elenchi'!P74="",'Pivot elenchi'!P73="",'Pivot elenchi'!P74))</f>
        <v xml:space="preserve">515040      </v>
      </c>
      <c r="M75" s="42" t="str">
        <f>IF(AND('Pivot elenchi'!Q74="",'Pivot elenchi'!Q75=""),"",IF('Pivot elenchi'!Q74="",'Pivot elenchi'!Q73="",'Pivot elenchi'!Q74))</f>
        <v>RCO+ FINANZA E MERCATI PD</v>
      </c>
      <c r="N75" s="42" t="str">
        <f>IF(AND('Pivot elenchi'!R74="",'Pivot elenchi'!R75=""),"",IF('Pivot elenchi'!R74="",'Pivot elenchi'!R73="",'Pivot elenchi'!R74))</f>
        <v/>
      </c>
      <c r="O75" s="42" t="str">
        <f>IF(AND('Pivot elenchi'!S74="",'Pivot elenchi'!S75=""),"",IF('Pivot elenchi'!S74="",'Pivot elenchi'!S73="",'Pivot elenchi'!S74))</f>
        <v>RCO+</v>
      </c>
      <c r="P75" s="42" t="str">
        <f>IF(AND('Pivot elenchi'!T74="",'Pivot elenchi'!T75=""),"",IF('Pivot elenchi'!T74="",'Pivot elenchi'!T73="",'Pivot elenchi'!T74))</f>
        <v/>
      </c>
      <c r="Q75" s="42" t="str">
        <f>IF(AND('Pivot elenchi'!U74="",'Pivot elenchi'!U75=""),"",IF('Pivot elenchi'!U74="",'Pivot elenchi'!U73="",'Pivot elenchi'!U74))</f>
        <v>REDAZIONI GIORNALISTICHE</v>
      </c>
      <c r="R75" t="s">
        <v>717</v>
      </c>
      <c r="AB75" s="42" t="str">
        <f t="shared" si="15"/>
        <v xml:space="preserve">515040      </v>
      </c>
      <c r="AC75" s="42" t="str">
        <f t="shared" si="15"/>
        <v>RCO+ FINANZA E MERCATI PD</v>
      </c>
      <c r="AD75" s="42" t="str">
        <f t="shared" si="15"/>
        <v/>
      </c>
      <c r="AE75" s="42" t="str">
        <f t="shared" si="15"/>
        <v>RCO+</v>
      </c>
      <c r="AF75" s="42" t="str">
        <f t="shared" si="16"/>
        <v/>
      </c>
      <c r="AG75" s="42" t="str">
        <f t="shared" si="16"/>
        <v>REDAZIONI GIORNALISTICHE</v>
      </c>
    </row>
    <row r="76" spans="1:33" x14ac:dyDescent="0.25">
      <c r="A76" s="49" t="s">
        <v>86</v>
      </c>
      <c r="B76" s="48" t="s">
        <v>48</v>
      </c>
      <c r="L76" s="42" t="str">
        <f>IF(AND('Pivot elenchi'!P75="",'Pivot elenchi'!P76=""),"",IF('Pivot elenchi'!P75="",'Pivot elenchi'!P74="",'Pivot elenchi'!P75))</f>
        <v xml:space="preserve">51511001    </v>
      </c>
      <c r="M76" s="42" t="str">
        <f>IF(AND('Pivot elenchi'!Q75="",'Pivot elenchi'!Q76=""),"",IF('Pivot elenchi'!Q75="",'Pivot elenchi'!Q74="",'Pivot elenchi'!Q75))</f>
        <v>SUPPORTI AGENZIA</v>
      </c>
      <c r="N76" s="42" t="str">
        <f>IF(AND('Pivot elenchi'!R75="",'Pivot elenchi'!R76=""),"",IF('Pivot elenchi'!R75="",'Pivot elenchi'!R74="",'Pivot elenchi'!R75))</f>
        <v/>
      </c>
      <c r="O76" s="42" t="str">
        <f>IF(AND('Pivot elenchi'!S75="",'Pivot elenchi'!S76=""),"",IF('Pivot elenchi'!S75="",'Pivot elenchi'!S74="",'Pivot elenchi'!S75))</f>
        <v>SERVIZI GENERALI SICUREZZA E AMBIENTE</v>
      </c>
      <c r="P76" s="42" t="str">
        <f>IF(AND('Pivot elenchi'!T75="",'Pivot elenchi'!T76=""),"",IF('Pivot elenchi'!T75="",'Pivot elenchi'!T74="",'Pivot elenchi'!T75))</f>
        <v/>
      </c>
      <c r="Q76" s="42" t="str">
        <f>IF(AND('Pivot elenchi'!U75="",'Pivot elenchi'!U76=""),"",IF('Pivot elenchi'!U75="",'Pivot elenchi'!U74="",'Pivot elenchi'!U75))</f>
        <v>DIREZIONE CENTRALE PERSONALE E ORGANIZZA</v>
      </c>
      <c r="R76" t="s">
        <v>717</v>
      </c>
      <c r="AB76" s="42" t="str">
        <f t="shared" si="15"/>
        <v xml:space="preserve">51511001    </v>
      </c>
      <c r="AC76" s="42" t="str">
        <f t="shared" si="15"/>
        <v>SUPPORTI AGENZIA</v>
      </c>
      <c r="AD76" s="42" t="str">
        <f t="shared" si="15"/>
        <v/>
      </c>
      <c r="AE76" s="42" t="str">
        <f t="shared" si="15"/>
        <v>SERVIZI GENERALI SICUREZZA E AMBIENTE</v>
      </c>
      <c r="AF76" s="42" t="str">
        <f t="shared" si="16"/>
        <v/>
      </c>
      <c r="AG76" s="42" t="str">
        <f t="shared" si="16"/>
        <v>DIREZIONE CENTRALE PERSONALE E ORGANIZZA</v>
      </c>
    </row>
    <row r="77" spans="1:33" x14ac:dyDescent="0.25">
      <c r="A77" s="49" t="s">
        <v>87</v>
      </c>
      <c r="B77" s="48" t="s">
        <v>23</v>
      </c>
      <c r="L77" s="42" t="str">
        <f>IF(AND('Pivot elenchi'!P76="",'Pivot elenchi'!P77=""),"",IF('Pivot elenchi'!P76="",'Pivot elenchi'!P75="",'Pivot elenchi'!P76))</f>
        <v xml:space="preserve">516000      </v>
      </c>
      <c r="M77" s="42" t="str">
        <f>IF(AND('Pivot elenchi'!Q76="",'Pivot elenchi'!Q77=""),"",IF('Pivot elenchi'!Q76="",'Pivot elenchi'!Q75="",'Pivot elenchi'!Q76))</f>
        <v>ON LINE REDAZIONE</v>
      </c>
      <c r="N77" s="42" t="str">
        <f>IF(AND('Pivot elenchi'!R76="",'Pivot elenchi'!R77=""),"",IF('Pivot elenchi'!R76="",'Pivot elenchi'!R75="",'Pivot elenchi'!R76))</f>
        <v/>
      </c>
      <c r="O77" s="42" t="str">
        <f>IF(AND('Pivot elenchi'!S76="",'Pivot elenchi'!S77=""),"",IF('Pivot elenchi'!S76="",'Pivot elenchi'!S75="",'Pivot elenchi'!S76))</f>
        <v>QUOTIDIANO</v>
      </c>
      <c r="P77" s="42" t="str">
        <f>IF(AND('Pivot elenchi'!T76="",'Pivot elenchi'!T77=""),"",IF('Pivot elenchi'!T76="",'Pivot elenchi'!T75="",'Pivot elenchi'!T76))</f>
        <v/>
      </c>
      <c r="Q77" s="42" t="str">
        <f>IF(AND('Pivot elenchi'!U76="",'Pivot elenchi'!U77=""),"",IF('Pivot elenchi'!U76="",'Pivot elenchi'!U75="",'Pivot elenchi'!U76))</f>
        <v>REDAZIONI GIORNALISTICHE</v>
      </c>
      <c r="R77" t="s">
        <v>717</v>
      </c>
      <c r="AB77" s="42" t="str">
        <f t="shared" si="15"/>
        <v xml:space="preserve">516000      </v>
      </c>
      <c r="AC77" s="42" t="str">
        <f t="shared" si="15"/>
        <v>ON LINE REDAZIONE</v>
      </c>
      <c r="AD77" s="42" t="str">
        <f t="shared" si="15"/>
        <v/>
      </c>
      <c r="AE77" s="42" t="str">
        <f t="shared" si="15"/>
        <v>QUOTIDIANO</v>
      </c>
      <c r="AF77" s="42" t="str">
        <f t="shared" si="16"/>
        <v/>
      </c>
      <c r="AG77" s="42" t="str">
        <f t="shared" si="16"/>
        <v>REDAZIONI GIORNALISTICHE</v>
      </c>
    </row>
    <row r="78" spans="1:33" x14ac:dyDescent="0.25">
      <c r="A78" s="49"/>
      <c r="B78" s="48"/>
      <c r="L78" s="42" t="str">
        <f>IF(AND('Pivot elenchi'!P77="",'Pivot elenchi'!P78=""),"",IF('Pivot elenchi'!P77="",'Pivot elenchi'!P76="",'Pivot elenchi'!P77))</f>
        <v xml:space="preserve">518200      </v>
      </c>
      <c r="M78" s="42" t="str">
        <f>IF(AND('Pivot elenchi'!Q77="",'Pivot elenchi'!Q78=""),"",IF('Pivot elenchi'!Q77="",'Pivot elenchi'!Q76="",'Pivot elenchi'!Q77))</f>
        <v>HOW TO SPEND IT</v>
      </c>
      <c r="N78" s="42" t="str">
        <f>IF(AND('Pivot elenchi'!R77="",'Pivot elenchi'!R78=""),"",IF('Pivot elenchi'!R77="",'Pivot elenchi'!R76="",'Pivot elenchi'!R77))</f>
        <v/>
      </c>
      <c r="O78" s="42" t="str">
        <f>IF(AND('Pivot elenchi'!S77="",'Pivot elenchi'!S78=""),"",IF('Pivot elenchi'!S77="",'Pivot elenchi'!S76="",'Pivot elenchi'!S77))</f>
        <v>ALTRE TESTATE</v>
      </c>
      <c r="P78" s="42" t="str">
        <f>IF(AND('Pivot elenchi'!T77="",'Pivot elenchi'!T78=""),"",IF('Pivot elenchi'!T77="",'Pivot elenchi'!T76="",'Pivot elenchi'!T77))</f>
        <v/>
      </c>
      <c r="Q78" s="42" t="str">
        <f>IF(AND('Pivot elenchi'!U77="",'Pivot elenchi'!U78=""),"",IF('Pivot elenchi'!U77="",'Pivot elenchi'!U76="",'Pivot elenchi'!U77))</f>
        <v>REDAZIONI GIORNALISTICHE</v>
      </c>
      <c r="R78" t="s">
        <v>717</v>
      </c>
      <c r="AB78" s="42" t="str">
        <f t="shared" si="15"/>
        <v xml:space="preserve">518200      </v>
      </c>
      <c r="AC78" s="42" t="str">
        <f t="shared" si="15"/>
        <v>HOW TO SPEND IT</v>
      </c>
      <c r="AD78" s="42" t="str">
        <f t="shared" si="15"/>
        <v/>
      </c>
      <c r="AE78" s="42" t="str">
        <f t="shared" si="15"/>
        <v>ALTRE TESTATE</v>
      </c>
      <c r="AF78" s="42" t="str">
        <f t="shared" si="16"/>
        <v/>
      </c>
      <c r="AG78" s="42" t="str">
        <f t="shared" si="16"/>
        <v>REDAZIONI GIORNALISTICHE</v>
      </c>
    </row>
    <row r="79" spans="1:33" x14ac:dyDescent="0.25">
      <c r="A79" s="49"/>
      <c r="B79" s="48"/>
      <c r="L79" s="42" t="str">
        <f>IF(AND('Pivot elenchi'!P78="",'Pivot elenchi'!P79=""),"",IF('Pivot elenchi'!P78="",'Pivot elenchi'!P77="",'Pivot elenchi'!P78))</f>
        <v xml:space="preserve">51820001    </v>
      </c>
      <c r="M79" s="42" t="str">
        <f>IF(AND('Pivot elenchi'!Q78="",'Pivot elenchi'!Q79=""),"",IF('Pivot elenchi'!Q78="",'Pivot elenchi'!Q77="",'Pivot elenchi'!Q78))</f>
        <v>HOW TO SPEND IT</v>
      </c>
      <c r="N79" s="42" t="str">
        <f>IF(AND('Pivot elenchi'!R78="",'Pivot elenchi'!R79=""),"",IF('Pivot elenchi'!R78="",'Pivot elenchi'!R77="",'Pivot elenchi'!R78))</f>
        <v/>
      </c>
      <c r="O79" s="42" t="str">
        <f>IF(AND('Pivot elenchi'!S78="",'Pivot elenchi'!S79=""),"",IF('Pivot elenchi'!S78="",'Pivot elenchi'!S77="",'Pivot elenchi'!S78))</f>
        <v>SERVIZI GENERALI SICUREZZA E AMBIENTE</v>
      </c>
      <c r="P79" s="42" t="str">
        <f>IF(AND('Pivot elenchi'!T78="",'Pivot elenchi'!T79=""),"",IF('Pivot elenchi'!T78="",'Pivot elenchi'!T77="",'Pivot elenchi'!T78))</f>
        <v/>
      </c>
      <c r="Q79" s="42" t="str">
        <f>IF(AND('Pivot elenchi'!U78="",'Pivot elenchi'!U79=""),"",IF('Pivot elenchi'!U78="",'Pivot elenchi'!U77="",'Pivot elenchi'!U78))</f>
        <v>DIREZIONE CENTRALE PERSONALE E ORGANIZZA</v>
      </c>
      <c r="R79" t="s">
        <v>717</v>
      </c>
      <c r="AB79" s="42" t="str">
        <f t="shared" si="15"/>
        <v xml:space="preserve">51820001    </v>
      </c>
      <c r="AC79" s="42" t="str">
        <f t="shared" si="15"/>
        <v>HOW TO SPEND IT</v>
      </c>
      <c r="AD79" s="42" t="str">
        <f t="shared" si="15"/>
        <v/>
      </c>
      <c r="AE79" s="42" t="str">
        <f t="shared" si="15"/>
        <v>SERVIZI GENERALI SICUREZZA E AMBIENTE</v>
      </c>
      <c r="AF79" s="42" t="str">
        <f t="shared" si="16"/>
        <v/>
      </c>
      <c r="AG79" s="42" t="str">
        <f t="shared" si="16"/>
        <v>DIREZIONE CENTRALE PERSONALE E ORGANIZZA</v>
      </c>
    </row>
    <row r="80" spans="1:33" x14ac:dyDescent="0.25">
      <c r="A80" s="49"/>
      <c r="B80" s="48"/>
      <c r="L80" s="42" t="str">
        <f>IF(AND('Pivot elenchi'!P79="",'Pivot elenchi'!P80=""),"",IF('Pivot elenchi'!P79="",'Pivot elenchi'!P78="",'Pivot elenchi'!P79))</f>
        <v xml:space="preserve">610000      </v>
      </c>
      <c r="M80" s="42" t="str">
        <f>IF(AND('Pivot elenchi'!Q79="",'Pivot elenchi'!Q80=""),"",IF('Pivot elenchi'!Q79="",'Pivot elenchi'!Q78="",'Pivot elenchi'!Q79))</f>
        <v>DG SYSTEM 24</v>
      </c>
      <c r="N80" s="42" t="str">
        <f>IF(AND('Pivot elenchi'!R79="",'Pivot elenchi'!R80=""),"",IF('Pivot elenchi'!R79="",'Pivot elenchi'!R78="",'Pivot elenchi'!R79))</f>
        <v/>
      </c>
      <c r="O80" s="42" t="str">
        <f>IF(AND('Pivot elenchi'!S79="",'Pivot elenchi'!S80=""),"",IF('Pivot elenchi'!S79="",'Pivot elenchi'!S78="",'Pivot elenchi'!S79))</f>
        <v>DG SYSTEM 24</v>
      </c>
      <c r="P80" s="42" t="str">
        <f>IF(AND('Pivot elenchi'!T79="",'Pivot elenchi'!T80=""),"",IF('Pivot elenchi'!T79="",'Pivot elenchi'!T78="",'Pivot elenchi'!T79))</f>
        <v/>
      </c>
      <c r="Q80" s="42" t="str">
        <f>IF(AND('Pivot elenchi'!U79="",'Pivot elenchi'!U80=""),"",IF('Pivot elenchi'!U79="",'Pivot elenchi'!U78="",'Pivot elenchi'!U79))</f>
        <v>DG M&amp;B - DG SYSTEM 24</v>
      </c>
      <c r="R80" t="s">
        <v>717</v>
      </c>
      <c r="AB80" s="42" t="str">
        <f t="shared" si="15"/>
        <v xml:space="preserve">610000      </v>
      </c>
      <c r="AC80" s="42" t="str">
        <f t="shared" si="15"/>
        <v>DG SYSTEM 24</v>
      </c>
      <c r="AD80" s="42" t="str">
        <f t="shared" si="15"/>
        <v/>
      </c>
      <c r="AE80" s="42" t="str">
        <f t="shared" si="15"/>
        <v>DG SYSTEM 24</v>
      </c>
      <c r="AF80" s="42" t="str">
        <f t="shared" si="16"/>
        <v/>
      </c>
      <c r="AG80" s="42" t="str">
        <f t="shared" si="16"/>
        <v>DG M&amp;B - DG SYSTEM 24</v>
      </c>
    </row>
    <row r="81" spans="1:33" x14ac:dyDescent="0.25">
      <c r="A81" s="35"/>
      <c r="B81" s="36"/>
      <c r="L81" s="42" t="str">
        <f>IF(AND('Pivot elenchi'!P80="",'Pivot elenchi'!P81=""),"",IF('Pivot elenchi'!P80="",'Pivot elenchi'!P79="",'Pivot elenchi'!P80))</f>
        <v xml:space="preserve">611310      </v>
      </c>
      <c r="M81" s="42" t="str">
        <f>IF(AND('Pivot elenchi'!Q80="",'Pivot elenchi'!Q81=""),"",IF('Pivot elenchi'!Q80="",'Pivot elenchi'!Q79="",'Pivot elenchi'!Q80))</f>
        <v>PIANIF. E IMPAGINAZ. QUOTIDIANO</v>
      </c>
      <c r="N81" s="42" t="str">
        <f>IF(AND('Pivot elenchi'!R80="",'Pivot elenchi'!R81=""),"",IF('Pivot elenchi'!R80="",'Pivot elenchi'!R79="",'Pivot elenchi'!R80))</f>
        <v/>
      </c>
      <c r="O81" s="42" t="str">
        <f>IF(AND('Pivot elenchi'!S80="",'Pivot elenchi'!S81=""),"",IF('Pivot elenchi'!S80="",'Pivot elenchi'!S79="",'Pivot elenchi'!S80))</f>
        <v>SYSTEM 24 - OPERATIONS</v>
      </c>
      <c r="P81" s="42" t="str">
        <f>IF(AND('Pivot elenchi'!T80="",'Pivot elenchi'!T81=""),"",IF('Pivot elenchi'!T80="",'Pivot elenchi'!T79="",'Pivot elenchi'!T80))</f>
        <v/>
      </c>
      <c r="Q81" s="42" t="str">
        <f>IF(AND('Pivot elenchi'!U80="",'Pivot elenchi'!U81=""),"",IF('Pivot elenchi'!U80="",'Pivot elenchi'!U79="",'Pivot elenchi'!U80))</f>
        <v>DG M&amp;B - DG SYSTEM 24</v>
      </c>
      <c r="R81" t="s">
        <v>717</v>
      </c>
      <c r="AB81" s="42" t="str">
        <f t="shared" si="15"/>
        <v xml:space="preserve">611310      </v>
      </c>
      <c r="AC81" s="42" t="str">
        <f t="shared" si="15"/>
        <v>PIANIF. E IMPAGINAZ. QUOTIDIANO</v>
      </c>
      <c r="AD81" s="42" t="str">
        <f t="shared" si="15"/>
        <v/>
      </c>
      <c r="AE81" s="42" t="str">
        <f t="shared" si="15"/>
        <v>SYSTEM 24 - OPERATIONS</v>
      </c>
      <c r="AF81" s="42" t="str">
        <f t="shared" si="16"/>
        <v/>
      </c>
      <c r="AG81" s="42" t="str">
        <f t="shared" si="16"/>
        <v>DG M&amp;B - DG SYSTEM 24</v>
      </c>
    </row>
    <row r="82" spans="1:33" x14ac:dyDescent="0.25">
      <c r="A82" s="53" t="str">
        <f>IF('Scheda Movimento'!C31="","",'Scheda Movimento'!C31)</f>
        <v>IMPIEGATO CON USO VDT</v>
      </c>
      <c r="B82" s="54" t="str">
        <f>IF(A82="","",VLOOKUP(A82,A84:B112,2,FALSE))</f>
        <v>IMP_VDT</v>
      </c>
      <c r="L82" s="42" t="str">
        <f>IF(AND('Pivot elenchi'!P81="",'Pivot elenchi'!P82=""),"",IF('Pivot elenchi'!P81="",'Pivot elenchi'!P80="",'Pivot elenchi'!P81))</f>
        <v xml:space="preserve">61131010    </v>
      </c>
      <c r="M82" s="42" t="str">
        <f>IF(AND('Pivot elenchi'!Q81="",'Pivot elenchi'!Q82=""),"",IF('Pivot elenchi'!Q81="",'Pivot elenchi'!Q80="",'Pivot elenchi'!Q81))</f>
        <v>OPERATIONS EDITORIALE ADVERTISI</v>
      </c>
      <c r="N82" s="42" t="str">
        <f>IF(AND('Pivot elenchi'!R81="",'Pivot elenchi'!R82=""),"",IF('Pivot elenchi'!R81="",'Pivot elenchi'!R80="",'Pivot elenchi'!R81))</f>
        <v/>
      </c>
      <c r="O82" s="42" t="str">
        <f>IF(AND('Pivot elenchi'!S81="",'Pivot elenchi'!S82=""),"",IF('Pivot elenchi'!S81="",'Pivot elenchi'!S80="",'Pivot elenchi'!S81))</f>
        <v>SYSTEM 24 - OPERATIONS</v>
      </c>
      <c r="P82" s="42" t="str">
        <f>IF(AND('Pivot elenchi'!T81="",'Pivot elenchi'!T82=""),"",IF('Pivot elenchi'!T81="",'Pivot elenchi'!T80="",'Pivot elenchi'!T81))</f>
        <v/>
      </c>
      <c r="Q82" s="42" t="str">
        <f>IF(AND('Pivot elenchi'!U81="",'Pivot elenchi'!U82=""),"",IF('Pivot elenchi'!U81="",'Pivot elenchi'!U80="",'Pivot elenchi'!U81))</f>
        <v>DG M&amp;B - DG SYSTEM 24</v>
      </c>
      <c r="R82" t="s">
        <v>717</v>
      </c>
      <c r="AB82" s="42" t="str">
        <f t="shared" si="15"/>
        <v xml:space="preserve">61131010    </v>
      </c>
      <c r="AC82" s="42" t="str">
        <f t="shared" si="15"/>
        <v>OPERATIONS EDITORIALE ADVERTISI</v>
      </c>
      <c r="AD82" s="42" t="str">
        <f t="shared" si="15"/>
        <v/>
      </c>
      <c r="AE82" s="42" t="str">
        <f t="shared" si="15"/>
        <v>SYSTEM 24 - OPERATIONS</v>
      </c>
      <c r="AF82" s="42" t="str">
        <f t="shared" si="16"/>
        <v/>
      </c>
      <c r="AG82" s="42" t="str">
        <f t="shared" si="16"/>
        <v>DG M&amp;B - DG SYSTEM 24</v>
      </c>
    </row>
    <row r="83" spans="1:33" x14ac:dyDescent="0.25">
      <c r="A83" s="47" t="s">
        <v>178</v>
      </c>
      <c r="B83" s="51" t="s">
        <v>100</v>
      </c>
      <c r="L83" s="42" t="str">
        <f>IF(AND('Pivot elenchi'!P82="",'Pivot elenchi'!P83=""),"",IF('Pivot elenchi'!P82="",'Pivot elenchi'!P81="",'Pivot elenchi'!P82))</f>
        <v xml:space="preserve">611320      </v>
      </c>
      <c r="M83" s="42" t="str">
        <f>IF(AND('Pivot elenchi'!Q82="",'Pivot elenchi'!Q83=""),"",IF('Pivot elenchi'!Q82="",'Pivot elenchi'!Q81="",'Pivot elenchi'!Q82))</f>
        <v>PIANIF. E IMPAG. PERIOD E RADIO</v>
      </c>
      <c r="N83" s="42" t="str">
        <f>IF(AND('Pivot elenchi'!R82="",'Pivot elenchi'!R83=""),"",IF('Pivot elenchi'!R82="",'Pivot elenchi'!R81="",'Pivot elenchi'!R82))</f>
        <v/>
      </c>
      <c r="O83" s="42" t="str">
        <f>IF(AND('Pivot elenchi'!S82="",'Pivot elenchi'!S83=""),"",IF('Pivot elenchi'!S82="",'Pivot elenchi'!S81="",'Pivot elenchi'!S82))</f>
        <v>SYSTEM 24 - OPERATIONS</v>
      </c>
      <c r="P83" s="42" t="str">
        <f>IF(AND('Pivot elenchi'!T82="",'Pivot elenchi'!T83=""),"",IF('Pivot elenchi'!T82="",'Pivot elenchi'!T81="",'Pivot elenchi'!T82))</f>
        <v/>
      </c>
      <c r="Q83" s="42" t="str">
        <f>IF(AND('Pivot elenchi'!U82="",'Pivot elenchi'!U83=""),"",IF('Pivot elenchi'!U82="",'Pivot elenchi'!U81="",'Pivot elenchi'!U82))</f>
        <v>DG M&amp;B - DG SYSTEM 24</v>
      </c>
      <c r="R83" t="s">
        <v>717</v>
      </c>
      <c r="AB83" s="42" t="str">
        <f t="shared" si="15"/>
        <v xml:space="preserve">611320      </v>
      </c>
      <c r="AC83" s="42" t="str">
        <f t="shared" si="15"/>
        <v>PIANIF. E IMPAG. PERIOD E RADIO</v>
      </c>
      <c r="AD83" s="42" t="str">
        <f t="shared" si="15"/>
        <v/>
      </c>
      <c r="AE83" s="42" t="str">
        <f t="shared" si="15"/>
        <v>SYSTEM 24 - OPERATIONS</v>
      </c>
      <c r="AF83" s="42" t="str">
        <f t="shared" si="16"/>
        <v/>
      </c>
      <c r="AG83" s="42" t="str">
        <f t="shared" si="16"/>
        <v>DG M&amp;B - DG SYSTEM 24</v>
      </c>
    </row>
    <row r="84" spans="1:33" x14ac:dyDescent="0.25">
      <c r="A84" s="62"/>
      <c r="B84" s="48"/>
      <c r="L84" s="42" t="str">
        <f>IF(AND('Pivot elenchi'!P83="",'Pivot elenchi'!P84=""),"",IF('Pivot elenchi'!P83="",'Pivot elenchi'!P82="",'Pivot elenchi'!P83))</f>
        <v xml:space="preserve">611330      </v>
      </c>
      <c r="M84" s="42" t="str">
        <f>IF(AND('Pivot elenchi'!Q83="",'Pivot elenchi'!Q84=""),"",IF('Pivot elenchi'!Q83="",'Pivot elenchi'!Q82="",'Pivot elenchi'!Q83))</f>
        <v>GESTIONE PROVVIGIONE AGENTI</v>
      </c>
      <c r="N84" s="42" t="str">
        <f>IF(AND('Pivot elenchi'!R83="",'Pivot elenchi'!R84=""),"",IF('Pivot elenchi'!R83="",'Pivot elenchi'!R82="",'Pivot elenchi'!R83))</f>
        <v/>
      </c>
      <c r="O84" s="42" t="str">
        <f>IF(AND('Pivot elenchi'!S83="",'Pivot elenchi'!S84=""),"",IF('Pivot elenchi'!S83="",'Pivot elenchi'!S82="",'Pivot elenchi'!S83))</f>
        <v>SYSTEM 24 - OPERATIONS</v>
      </c>
      <c r="P84" s="42" t="str">
        <f>IF(AND('Pivot elenchi'!T83="",'Pivot elenchi'!T84=""),"",IF('Pivot elenchi'!T83="",'Pivot elenchi'!T82="",'Pivot elenchi'!T83))</f>
        <v/>
      </c>
      <c r="Q84" s="42" t="str">
        <f>IF(AND('Pivot elenchi'!U83="",'Pivot elenchi'!U84=""),"",IF('Pivot elenchi'!U83="",'Pivot elenchi'!U82="",'Pivot elenchi'!U83))</f>
        <v>DG M&amp;B - DG SYSTEM 24</v>
      </c>
      <c r="R84" t="s">
        <v>717</v>
      </c>
      <c r="AB84" s="42" t="str">
        <f t="shared" si="15"/>
        <v xml:space="preserve">611330      </v>
      </c>
      <c r="AC84" s="42" t="str">
        <f t="shared" si="15"/>
        <v>GESTIONE PROVVIGIONE AGENTI</v>
      </c>
      <c r="AD84" s="42" t="str">
        <f t="shared" si="15"/>
        <v/>
      </c>
      <c r="AE84" s="42" t="str">
        <f t="shared" si="15"/>
        <v>SYSTEM 24 - OPERATIONS</v>
      </c>
      <c r="AF84" s="42" t="str">
        <f t="shared" si="16"/>
        <v/>
      </c>
      <c r="AG84" s="42" t="str">
        <f t="shared" si="16"/>
        <v>DG M&amp;B - DG SYSTEM 24</v>
      </c>
    </row>
    <row r="85" spans="1:33" x14ac:dyDescent="0.25">
      <c r="A85" s="100" t="s">
        <v>287</v>
      </c>
      <c r="B85" s="63" t="s">
        <v>184</v>
      </c>
      <c r="L85" s="42" t="str">
        <f>IF(AND('Pivot elenchi'!P84="",'Pivot elenchi'!P85=""),"",IF('Pivot elenchi'!P84="",'Pivot elenchi'!P83="",'Pivot elenchi'!P84))</f>
        <v xml:space="preserve">612050      </v>
      </c>
      <c r="M85" s="42" t="str">
        <f>IF(AND('Pivot elenchi'!Q84="",'Pivot elenchi'!Q85=""),"",IF('Pivot elenchi'!Q84="",'Pivot elenchi'!Q83="",'Pivot elenchi'!Q84))</f>
        <v>MARKETING SYSTEM 24</v>
      </c>
      <c r="N85" s="42" t="str">
        <f>IF(AND('Pivot elenchi'!R84="",'Pivot elenchi'!R85=""),"",IF('Pivot elenchi'!R84="",'Pivot elenchi'!R83="",'Pivot elenchi'!R84))</f>
        <v/>
      </c>
      <c r="O85" s="42" t="str">
        <f>IF(AND('Pivot elenchi'!S84="",'Pivot elenchi'!S85=""),"",IF('Pivot elenchi'!S84="",'Pivot elenchi'!S83="",'Pivot elenchi'!S84))</f>
        <v>MARKETING SYSTEM24</v>
      </c>
      <c r="P85" s="42" t="str">
        <f>IF(AND('Pivot elenchi'!T84="",'Pivot elenchi'!T85=""),"",IF('Pivot elenchi'!T84="",'Pivot elenchi'!T83="",'Pivot elenchi'!T84))</f>
        <v/>
      </c>
      <c r="Q85" s="42" t="str">
        <f>IF(AND('Pivot elenchi'!U84="",'Pivot elenchi'!U85=""),"",IF('Pivot elenchi'!U84="",'Pivot elenchi'!U83="",'Pivot elenchi'!U84))</f>
        <v>DG M&amp;B - DG SYSTEM 24</v>
      </c>
      <c r="R85" t="s">
        <v>717</v>
      </c>
      <c r="AB85" s="42" t="str">
        <f t="shared" si="15"/>
        <v xml:space="preserve">612050      </v>
      </c>
      <c r="AC85" s="42" t="str">
        <f t="shared" si="15"/>
        <v>MARKETING SYSTEM 24</v>
      </c>
      <c r="AD85" s="42" t="str">
        <f t="shared" si="15"/>
        <v/>
      </c>
      <c r="AE85" s="42" t="str">
        <f t="shared" si="15"/>
        <v>MARKETING SYSTEM24</v>
      </c>
      <c r="AF85" s="42" t="str">
        <f t="shared" si="16"/>
        <v/>
      </c>
      <c r="AG85" s="42" t="str">
        <f t="shared" si="16"/>
        <v>DG M&amp;B - DG SYSTEM 24</v>
      </c>
    </row>
    <row r="86" spans="1:33" x14ac:dyDescent="0.25">
      <c r="A86" s="100" t="s">
        <v>179</v>
      </c>
      <c r="B86" s="63" t="s">
        <v>185</v>
      </c>
      <c r="L86" s="42" t="str">
        <f>IF(AND('Pivot elenchi'!P85="",'Pivot elenchi'!P86=""),"",IF('Pivot elenchi'!P85="",'Pivot elenchi'!P84="",'Pivot elenchi'!P85))</f>
        <v xml:space="preserve">61207010    </v>
      </c>
      <c r="M86" s="42" t="str">
        <f>IF(AND('Pivot elenchi'!Q85="",'Pivot elenchi'!Q86=""),"",IF('Pivot elenchi'!Q85="",'Pivot elenchi'!Q84="",'Pivot elenchi'!Q85))</f>
        <v>SVILUPPO DIGITAL ADVERTISING</v>
      </c>
      <c r="N86" s="42" t="str">
        <f>IF(AND('Pivot elenchi'!R85="",'Pivot elenchi'!R86=""),"",IF('Pivot elenchi'!R85="",'Pivot elenchi'!R84="",'Pivot elenchi'!R85))</f>
        <v/>
      </c>
      <c r="O86" s="42" t="str">
        <f>IF(AND('Pivot elenchi'!S85="",'Pivot elenchi'!S86=""),"",IF('Pivot elenchi'!S85="",'Pivot elenchi'!S84="",'Pivot elenchi'!S85))</f>
        <v>DIGITAL ADVERTISING</v>
      </c>
      <c r="P86" s="42" t="str">
        <f>IF(AND('Pivot elenchi'!T85="",'Pivot elenchi'!T86=""),"",IF('Pivot elenchi'!T85="",'Pivot elenchi'!T84="",'Pivot elenchi'!T85))</f>
        <v/>
      </c>
      <c r="Q86" s="42" t="str">
        <f>IF(AND('Pivot elenchi'!U85="",'Pivot elenchi'!U86=""),"",IF('Pivot elenchi'!U85="",'Pivot elenchi'!U84="",'Pivot elenchi'!U85))</f>
        <v>DG M&amp;B - DG SYSTEM 24</v>
      </c>
      <c r="R86" t="s">
        <v>717</v>
      </c>
      <c r="AB86" s="42" t="str">
        <f t="shared" si="15"/>
        <v xml:space="preserve">61207010    </v>
      </c>
      <c r="AC86" s="42" t="str">
        <f t="shared" si="15"/>
        <v>SVILUPPO DIGITAL ADVERTISING</v>
      </c>
      <c r="AD86" s="42" t="str">
        <f t="shared" si="15"/>
        <v/>
      </c>
      <c r="AE86" s="42" t="str">
        <f t="shared" si="15"/>
        <v>DIGITAL ADVERTISING</v>
      </c>
      <c r="AF86" s="42" t="str">
        <f t="shared" si="16"/>
        <v/>
      </c>
      <c r="AG86" s="42" t="str">
        <f t="shared" si="16"/>
        <v>DG M&amp;B - DG SYSTEM 24</v>
      </c>
    </row>
    <row r="87" spans="1:33" x14ac:dyDescent="0.25">
      <c r="A87" s="101" t="s">
        <v>288</v>
      </c>
      <c r="B87" s="63" t="s">
        <v>186</v>
      </c>
      <c r="D87" s="34"/>
      <c r="E87" s="34"/>
      <c r="L87" s="42" t="str">
        <f>IF(AND('Pivot elenchi'!P86="",'Pivot elenchi'!P87=""),"",IF('Pivot elenchi'!P86="",'Pivot elenchi'!P85="",'Pivot elenchi'!P86))</f>
        <v xml:space="preserve">61207020    </v>
      </c>
      <c r="M87" s="42" t="str">
        <f>IF(AND('Pivot elenchi'!Q86="",'Pivot elenchi'!Q87=""),"",IF('Pivot elenchi'!Q86="",'Pivot elenchi'!Q85="",'Pivot elenchi'!Q86))</f>
        <v>DIGITAL MARKETING ADVERTISING</v>
      </c>
      <c r="N87" s="42" t="str">
        <f>IF(AND('Pivot elenchi'!R86="",'Pivot elenchi'!R87=""),"",IF('Pivot elenchi'!R86="",'Pivot elenchi'!R85="",'Pivot elenchi'!R86))</f>
        <v/>
      </c>
      <c r="O87" s="42" t="str">
        <f>IF(AND('Pivot elenchi'!S86="",'Pivot elenchi'!S87=""),"",IF('Pivot elenchi'!S86="",'Pivot elenchi'!S85="",'Pivot elenchi'!S86))</f>
        <v>DIGITAL ADVERTISING</v>
      </c>
      <c r="P87" s="42" t="str">
        <f>IF(AND('Pivot elenchi'!T86="",'Pivot elenchi'!T87=""),"",IF('Pivot elenchi'!T86="",'Pivot elenchi'!T85="",'Pivot elenchi'!T86))</f>
        <v/>
      </c>
      <c r="Q87" s="42" t="str">
        <f>IF(AND('Pivot elenchi'!U86="",'Pivot elenchi'!U87=""),"",IF('Pivot elenchi'!U86="",'Pivot elenchi'!U85="",'Pivot elenchi'!U86))</f>
        <v>DG M&amp;B - DG SYSTEM 24</v>
      </c>
      <c r="R87" t="s">
        <v>717</v>
      </c>
      <c r="AB87" s="42" t="str">
        <f t="shared" si="15"/>
        <v xml:space="preserve">61207020    </v>
      </c>
      <c r="AC87" s="42" t="str">
        <f t="shared" si="15"/>
        <v>DIGITAL MARKETING ADVERTISING</v>
      </c>
      <c r="AD87" s="42" t="str">
        <f t="shared" si="15"/>
        <v/>
      </c>
      <c r="AE87" s="42" t="str">
        <f t="shared" si="15"/>
        <v>DIGITAL ADVERTISING</v>
      </c>
      <c r="AF87" s="42" t="str">
        <f t="shared" si="16"/>
        <v/>
      </c>
      <c r="AG87" s="42" t="str">
        <f t="shared" si="16"/>
        <v>DG M&amp;B - DG SYSTEM 24</v>
      </c>
    </row>
    <row r="88" spans="1:33" x14ac:dyDescent="0.25">
      <c r="A88" s="100" t="s">
        <v>90</v>
      </c>
      <c r="B88" s="63" t="s">
        <v>187</v>
      </c>
      <c r="D88" s="34"/>
      <c r="E88" s="34"/>
      <c r="L88" s="42" t="str">
        <f>IF(AND('Pivot elenchi'!P87="",'Pivot elenchi'!P88=""),"",IF('Pivot elenchi'!P87="",'Pivot elenchi'!P86="",'Pivot elenchi'!P87))</f>
        <v xml:space="preserve">612100      </v>
      </c>
      <c r="M88" s="42" t="str">
        <f>IF(AND('Pivot elenchi'!Q87="",'Pivot elenchi'!Q88=""),"",IF('Pivot elenchi'!Q87="",'Pivot elenchi'!Q86="",'Pivot elenchi'!Q87))</f>
        <v>VENDITE ADVT TIPOLOGIA DI SERV.</v>
      </c>
      <c r="N88" s="42" t="str">
        <f>IF(AND('Pivot elenchi'!R87="",'Pivot elenchi'!R88=""),"",IF('Pivot elenchi'!R87="",'Pivot elenchi'!R86="",'Pivot elenchi'!R87))</f>
        <v/>
      </c>
      <c r="O88" s="42" t="str">
        <f>IF(AND('Pivot elenchi'!S87="",'Pivot elenchi'!S88=""),"",IF('Pivot elenchi'!S87="",'Pivot elenchi'!S86="",'Pivot elenchi'!S87))</f>
        <v>ADVERTISING STAMPA</v>
      </c>
      <c r="P88" s="42" t="str">
        <f>IF(AND('Pivot elenchi'!T87="",'Pivot elenchi'!T88=""),"",IF('Pivot elenchi'!T87="",'Pivot elenchi'!T86="",'Pivot elenchi'!T87))</f>
        <v/>
      </c>
      <c r="Q88" s="42" t="str">
        <f>IF(AND('Pivot elenchi'!U87="",'Pivot elenchi'!U88=""),"",IF('Pivot elenchi'!U87="",'Pivot elenchi'!U86="",'Pivot elenchi'!U87))</f>
        <v>DG M&amp;B - DG SYSTEM 24</v>
      </c>
      <c r="R88" t="s">
        <v>717</v>
      </c>
      <c r="AB88" s="42" t="str">
        <f t="shared" si="15"/>
        <v xml:space="preserve">612100      </v>
      </c>
      <c r="AC88" s="42" t="str">
        <f t="shared" si="15"/>
        <v>VENDITE ADVT TIPOLOGIA DI SERV.</v>
      </c>
      <c r="AD88" s="42" t="str">
        <f t="shared" si="15"/>
        <v/>
      </c>
      <c r="AE88" s="42" t="str">
        <f t="shared" si="15"/>
        <v>ADVERTISING STAMPA</v>
      </c>
      <c r="AF88" s="42" t="str">
        <f t="shared" si="16"/>
        <v/>
      </c>
      <c r="AG88" s="42" t="str">
        <f t="shared" si="16"/>
        <v>DG M&amp;B - DG SYSTEM 24</v>
      </c>
    </row>
    <row r="89" spans="1:33" x14ac:dyDescent="0.25">
      <c r="A89" s="100" t="s">
        <v>289</v>
      </c>
      <c r="B89" s="63" t="s">
        <v>188</v>
      </c>
      <c r="D89" s="34"/>
      <c r="E89" s="34"/>
      <c r="L89" s="42" t="str">
        <f>IF(AND('Pivot elenchi'!P88="",'Pivot elenchi'!P89=""),"",IF('Pivot elenchi'!P88="",'Pivot elenchi'!P87="",'Pivot elenchi'!P88))</f>
        <v xml:space="preserve">612300      </v>
      </c>
      <c r="M89" s="42" t="str">
        <f>IF(AND('Pivot elenchi'!Q88="",'Pivot elenchi'!Q89=""),"",IF('Pivot elenchi'!Q88="",'Pivot elenchi'!Q87="",'Pivot elenchi'!Q88))</f>
        <v>ANALISI E RICERCHE SYSTEM24</v>
      </c>
      <c r="N89" s="42" t="str">
        <f>IF(AND('Pivot elenchi'!R88="",'Pivot elenchi'!R89=""),"",IF('Pivot elenchi'!R88="",'Pivot elenchi'!R87="",'Pivot elenchi'!R88))</f>
        <v/>
      </c>
      <c r="O89" s="42" t="str">
        <f>IF(AND('Pivot elenchi'!S88="",'Pivot elenchi'!S89=""),"",IF('Pivot elenchi'!S88="",'Pivot elenchi'!S87="",'Pivot elenchi'!S88))</f>
        <v>MARKETING SYSTEM24</v>
      </c>
      <c r="P89" s="42" t="str">
        <f>IF(AND('Pivot elenchi'!T88="",'Pivot elenchi'!T89=""),"",IF('Pivot elenchi'!T88="",'Pivot elenchi'!T87="",'Pivot elenchi'!T88))</f>
        <v/>
      </c>
      <c r="Q89" s="42" t="str">
        <f>IF(AND('Pivot elenchi'!U88="",'Pivot elenchi'!U89=""),"",IF('Pivot elenchi'!U88="",'Pivot elenchi'!U87="",'Pivot elenchi'!U88))</f>
        <v>DG M&amp;B - DG SYSTEM 24</v>
      </c>
      <c r="R89" t="s">
        <v>717</v>
      </c>
      <c r="AB89" s="42" t="str">
        <f t="shared" si="15"/>
        <v xml:space="preserve">612300      </v>
      </c>
      <c r="AC89" s="42" t="str">
        <f t="shared" si="15"/>
        <v>ANALISI E RICERCHE SYSTEM24</v>
      </c>
      <c r="AD89" s="42" t="str">
        <f t="shared" si="15"/>
        <v/>
      </c>
      <c r="AE89" s="42" t="str">
        <f t="shared" si="15"/>
        <v>MARKETING SYSTEM24</v>
      </c>
      <c r="AF89" s="42" t="str">
        <f t="shared" si="16"/>
        <v/>
      </c>
      <c r="AG89" s="42" t="str">
        <f t="shared" si="16"/>
        <v>DG M&amp;B - DG SYSTEM 24</v>
      </c>
    </row>
    <row r="90" spans="1:33" x14ac:dyDescent="0.25">
      <c r="A90" s="100" t="s">
        <v>290</v>
      </c>
      <c r="B90" s="63" t="s">
        <v>189</v>
      </c>
      <c r="D90" s="34"/>
      <c r="E90" s="34"/>
      <c r="L90" s="42" t="str">
        <f>IF(AND('Pivot elenchi'!P89="",'Pivot elenchi'!P90=""),"",IF('Pivot elenchi'!P89="",'Pivot elenchi'!P88="",'Pivot elenchi'!P89))</f>
        <v xml:space="preserve">613950      </v>
      </c>
      <c r="M90" s="42" t="str">
        <f>IF(AND('Pivot elenchi'!Q89="",'Pivot elenchi'!Q90=""),"",IF('Pivot elenchi'!Q89="",'Pivot elenchi'!Q88="",'Pivot elenchi'!Q89))</f>
        <v>VENDITE CENTRI MEDIA E AGENZIE</v>
      </c>
      <c r="N90" s="42" t="str">
        <f>IF(AND('Pivot elenchi'!R89="",'Pivot elenchi'!R90=""),"",IF('Pivot elenchi'!R89="",'Pivot elenchi'!R88="",'Pivot elenchi'!R89))</f>
        <v/>
      </c>
      <c r="O90" s="42" t="str">
        <f>IF(AND('Pivot elenchi'!S89="",'Pivot elenchi'!S90=""),"",IF('Pivot elenchi'!S89="",'Pivot elenchi'!S88="",'Pivot elenchi'!S89))</f>
        <v>DIREZIONE ADVERTISING CENTRI MEDIA</v>
      </c>
      <c r="P90" s="42" t="str">
        <f>IF(AND('Pivot elenchi'!T89="",'Pivot elenchi'!T90=""),"",IF('Pivot elenchi'!T89="",'Pivot elenchi'!T88="",'Pivot elenchi'!T89))</f>
        <v/>
      </c>
      <c r="Q90" s="42" t="str">
        <f>IF(AND('Pivot elenchi'!U89="",'Pivot elenchi'!U90=""),"",IF('Pivot elenchi'!U89="",'Pivot elenchi'!U88="",'Pivot elenchi'!U89))</f>
        <v>DG M&amp;B - DG SYSTEM 24</v>
      </c>
      <c r="R90" t="s">
        <v>717</v>
      </c>
      <c r="AB90" s="42" t="str">
        <f t="shared" si="15"/>
        <v xml:space="preserve">613950      </v>
      </c>
      <c r="AC90" s="42" t="str">
        <f t="shared" si="15"/>
        <v>VENDITE CENTRI MEDIA E AGENZIE</v>
      </c>
      <c r="AD90" s="42" t="str">
        <f t="shared" si="15"/>
        <v/>
      </c>
      <c r="AE90" s="42" t="str">
        <f t="shared" si="15"/>
        <v>DIREZIONE ADVERTISING CENTRI MEDIA</v>
      </c>
      <c r="AF90" s="42" t="str">
        <f t="shared" si="16"/>
        <v/>
      </c>
      <c r="AG90" s="42" t="str">
        <f t="shared" si="16"/>
        <v>DG M&amp;B - DG SYSTEM 24</v>
      </c>
    </row>
    <row r="91" spans="1:33" x14ac:dyDescent="0.25">
      <c r="A91" s="100" t="s">
        <v>180</v>
      </c>
      <c r="B91" s="63" t="s">
        <v>190</v>
      </c>
      <c r="D91" s="34"/>
      <c r="E91" s="34"/>
      <c r="L91" s="42" t="str">
        <f>IF(AND('Pivot elenchi'!P90="",'Pivot elenchi'!P91=""),"",IF('Pivot elenchi'!P90="",'Pivot elenchi'!P89="",'Pivot elenchi'!P90))</f>
        <v xml:space="preserve">614000      </v>
      </c>
      <c r="M91" s="42" t="str">
        <f>IF(AND('Pivot elenchi'!Q90="",'Pivot elenchi'!Q91=""),"",IF('Pivot elenchi'!Q90="",'Pivot elenchi'!Q89="",'Pivot elenchi'!Q90))</f>
        <v>OPERATIONS SYSTEM 24</v>
      </c>
      <c r="N91" s="42" t="str">
        <f>IF(AND('Pivot elenchi'!R90="",'Pivot elenchi'!R91=""),"",IF('Pivot elenchi'!R90="",'Pivot elenchi'!R89="",'Pivot elenchi'!R90))</f>
        <v/>
      </c>
      <c r="O91" s="42" t="str">
        <f>IF(AND('Pivot elenchi'!S90="",'Pivot elenchi'!S91=""),"",IF('Pivot elenchi'!S90="",'Pivot elenchi'!S89="",'Pivot elenchi'!S90))</f>
        <v>SYSTEM 24 - OPERATIONS</v>
      </c>
      <c r="P91" s="42" t="str">
        <f>IF(AND('Pivot elenchi'!T90="",'Pivot elenchi'!T91=""),"",IF('Pivot elenchi'!T90="",'Pivot elenchi'!T89="",'Pivot elenchi'!T90))</f>
        <v/>
      </c>
      <c r="Q91" s="42" t="str">
        <f>IF(AND('Pivot elenchi'!U90="",'Pivot elenchi'!U91=""),"",IF('Pivot elenchi'!U90="",'Pivot elenchi'!U89="",'Pivot elenchi'!U90))</f>
        <v>DG M&amp;B - DG SYSTEM 24</v>
      </c>
      <c r="R91" t="s">
        <v>717</v>
      </c>
      <c r="AB91" s="98" t="str">
        <f t="shared" si="15"/>
        <v xml:space="preserve">614000      </v>
      </c>
      <c r="AC91" s="98" t="str">
        <f t="shared" si="15"/>
        <v>OPERATIONS SYSTEM 24</v>
      </c>
      <c r="AD91" s="42" t="str">
        <f t="shared" si="15"/>
        <v/>
      </c>
      <c r="AE91" s="42" t="str">
        <f t="shared" si="15"/>
        <v>SYSTEM 24 - OPERATIONS</v>
      </c>
      <c r="AF91" s="42" t="str">
        <f t="shared" si="16"/>
        <v/>
      </c>
      <c r="AG91" s="42" t="str">
        <f t="shared" si="16"/>
        <v>DG M&amp;B - DG SYSTEM 24</v>
      </c>
    </row>
    <row r="92" spans="1:33" x14ac:dyDescent="0.25">
      <c r="A92" s="100" t="s">
        <v>291</v>
      </c>
      <c r="B92" s="63" t="s">
        <v>191</v>
      </c>
      <c r="D92" s="34"/>
      <c r="E92" s="34"/>
      <c r="L92" s="42" t="str">
        <f>IF(AND('Pivot elenchi'!P91="",'Pivot elenchi'!P92=""),"",IF('Pivot elenchi'!P91="",'Pivot elenchi'!P90="",'Pivot elenchi'!P91))</f>
        <v xml:space="preserve">61400010    </v>
      </c>
      <c r="M92" s="42" t="str">
        <f>IF(AND('Pivot elenchi'!Q91="",'Pivot elenchi'!Q92=""),"",IF('Pivot elenchi'!Q91="",'Pivot elenchi'!Q90="",'Pivot elenchi'!Q91))</f>
        <v>SALES PLANNING &amp; REPORTING</v>
      </c>
      <c r="N92" s="42" t="str">
        <f>IF(AND('Pivot elenchi'!R91="",'Pivot elenchi'!R92=""),"",IF('Pivot elenchi'!R91="",'Pivot elenchi'!R90="",'Pivot elenchi'!R91))</f>
        <v/>
      </c>
      <c r="O92" s="42" t="str">
        <f>IF(AND('Pivot elenchi'!S91="",'Pivot elenchi'!S92=""),"",IF('Pivot elenchi'!S91="",'Pivot elenchi'!S90="",'Pivot elenchi'!S91))</f>
        <v>SYSTEM 24 - OPERATIONS</v>
      </c>
      <c r="P92" s="42" t="str">
        <f>IF(AND('Pivot elenchi'!T91="",'Pivot elenchi'!T92=""),"",IF('Pivot elenchi'!T91="",'Pivot elenchi'!T90="",'Pivot elenchi'!T91))</f>
        <v/>
      </c>
      <c r="Q92" s="42" t="str">
        <f>IF(AND('Pivot elenchi'!U91="",'Pivot elenchi'!U92=""),"",IF('Pivot elenchi'!U91="",'Pivot elenchi'!U90="",'Pivot elenchi'!U91))</f>
        <v>DG M&amp;B - DG SYSTEM 24</v>
      </c>
      <c r="R92" t="s">
        <v>717</v>
      </c>
      <c r="AB92" s="42" t="str">
        <f t="shared" si="15"/>
        <v xml:space="preserve">61400010    </v>
      </c>
      <c r="AC92" s="42" t="str">
        <f t="shared" si="15"/>
        <v>SALES PLANNING &amp; REPORTING</v>
      </c>
      <c r="AD92" s="42" t="str">
        <f t="shared" si="15"/>
        <v/>
      </c>
      <c r="AE92" s="42" t="str">
        <f t="shared" si="15"/>
        <v>SYSTEM 24 - OPERATIONS</v>
      </c>
      <c r="AF92" s="42" t="str">
        <f t="shared" si="16"/>
        <v/>
      </c>
      <c r="AG92" s="42" t="str">
        <f t="shared" si="16"/>
        <v>DG M&amp;B - DG SYSTEM 24</v>
      </c>
    </row>
    <row r="93" spans="1:33" x14ac:dyDescent="0.25">
      <c r="A93" s="100" t="s">
        <v>292</v>
      </c>
      <c r="B93" s="63" t="s">
        <v>192</v>
      </c>
      <c r="D93" s="34"/>
      <c r="E93" s="34"/>
      <c r="L93" s="42" t="str">
        <f>IF(AND('Pivot elenchi'!P92="",'Pivot elenchi'!P93=""),"",IF('Pivot elenchi'!P92="",'Pivot elenchi'!P91="",'Pivot elenchi'!P92))</f>
        <v xml:space="preserve">61400020    </v>
      </c>
      <c r="M93" s="42" t="str">
        <f>IF(AND('Pivot elenchi'!Q92="",'Pivot elenchi'!Q93=""),"",IF('Pivot elenchi'!Q92="",'Pivot elenchi'!Q91="",'Pivot elenchi'!Q92))</f>
        <v>SEGRETERIA COMMERCIALE</v>
      </c>
      <c r="N93" s="42" t="str">
        <f>IF(AND('Pivot elenchi'!R92="",'Pivot elenchi'!R93=""),"",IF('Pivot elenchi'!R92="",'Pivot elenchi'!R91="",'Pivot elenchi'!R92))</f>
        <v/>
      </c>
      <c r="O93" s="42" t="str">
        <f>IF(AND('Pivot elenchi'!S92="",'Pivot elenchi'!S93=""),"",IF('Pivot elenchi'!S92="",'Pivot elenchi'!S91="",'Pivot elenchi'!S92))</f>
        <v>SYSTEM 24 - OPERATIONS</v>
      </c>
      <c r="P93" s="42" t="str">
        <f>IF(AND('Pivot elenchi'!T92="",'Pivot elenchi'!T93=""),"",IF('Pivot elenchi'!T92="",'Pivot elenchi'!T91="",'Pivot elenchi'!T92))</f>
        <v/>
      </c>
      <c r="Q93" s="42" t="str">
        <f>IF(AND('Pivot elenchi'!U92="",'Pivot elenchi'!U93=""),"",IF('Pivot elenchi'!U92="",'Pivot elenchi'!U91="",'Pivot elenchi'!U92))</f>
        <v>DG M&amp;B - DG SYSTEM 24</v>
      </c>
      <c r="R93" t="s">
        <v>717</v>
      </c>
      <c r="AB93" s="42" t="str">
        <f t="shared" si="15"/>
        <v xml:space="preserve">61400020    </v>
      </c>
      <c r="AC93" s="42" t="str">
        <f t="shared" si="15"/>
        <v>SEGRETERIA COMMERCIALE</v>
      </c>
      <c r="AD93" s="42" t="str">
        <f t="shared" si="15"/>
        <v/>
      </c>
      <c r="AE93" s="42" t="str">
        <f t="shared" si="15"/>
        <v>SYSTEM 24 - OPERATIONS</v>
      </c>
      <c r="AF93" s="42" t="str">
        <f t="shared" si="16"/>
        <v/>
      </c>
      <c r="AG93" s="42" t="str">
        <f t="shared" si="16"/>
        <v>DG M&amp;B - DG SYSTEM 24</v>
      </c>
    </row>
    <row r="94" spans="1:33" x14ac:dyDescent="0.25">
      <c r="A94" s="100" t="s">
        <v>454</v>
      </c>
      <c r="B94" s="63" t="s">
        <v>193</v>
      </c>
      <c r="D94" s="34"/>
      <c r="E94" s="34"/>
      <c r="L94" s="42" t="str">
        <f>IF(AND('Pivot elenchi'!P93="",'Pivot elenchi'!P94=""),"",IF('Pivot elenchi'!P93="",'Pivot elenchi'!P92="",'Pivot elenchi'!P93))</f>
        <v xml:space="preserve">61400030    </v>
      </c>
      <c r="M94" s="42" t="str">
        <f>IF(AND('Pivot elenchi'!Q93="",'Pivot elenchi'!Q94=""),"",IF('Pivot elenchi'!Q93="",'Pivot elenchi'!Q92="",'Pivot elenchi'!Q93))</f>
        <v>SUPPORTI SEGRETARIALI</v>
      </c>
      <c r="N94" s="42" t="str">
        <f>IF(AND('Pivot elenchi'!R93="",'Pivot elenchi'!R94=""),"",IF('Pivot elenchi'!R93="",'Pivot elenchi'!R92="",'Pivot elenchi'!R93))</f>
        <v/>
      </c>
      <c r="O94" s="42" t="str">
        <f>IF(AND('Pivot elenchi'!S93="",'Pivot elenchi'!S94=""),"",IF('Pivot elenchi'!S93="",'Pivot elenchi'!S92="",'Pivot elenchi'!S93))</f>
        <v>SYSTEM 24 - OPERATIONS</v>
      </c>
      <c r="P94" s="42" t="str">
        <f>IF(AND('Pivot elenchi'!T93="",'Pivot elenchi'!T94=""),"",IF('Pivot elenchi'!T93="",'Pivot elenchi'!T92="",'Pivot elenchi'!T93))</f>
        <v/>
      </c>
      <c r="Q94" s="42" t="str">
        <f>IF(AND('Pivot elenchi'!U93="",'Pivot elenchi'!U94=""),"",IF('Pivot elenchi'!U93="",'Pivot elenchi'!U92="",'Pivot elenchi'!U93))</f>
        <v>DG M&amp;B - DG SYSTEM 24</v>
      </c>
      <c r="R94" t="s">
        <v>717</v>
      </c>
      <c r="AB94" s="42" t="str">
        <f t="shared" si="15"/>
        <v xml:space="preserve">61400030    </v>
      </c>
      <c r="AC94" s="42" t="str">
        <f t="shared" si="15"/>
        <v>SUPPORTI SEGRETARIALI</v>
      </c>
      <c r="AD94" s="42" t="str">
        <f t="shared" si="15"/>
        <v/>
      </c>
      <c r="AE94" s="42" t="str">
        <f t="shared" si="15"/>
        <v>SYSTEM 24 - OPERATIONS</v>
      </c>
      <c r="AF94" s="42" t="str">
        <f t="shared" si="16"/>
        <v/>
      </c>
      <c r="AG94" s="42" t="str">
        <f t="shared" si="16"/>
        <v>DG M&amp;B - DG SYSTEM 24</v>
      </c>
    </row>
    <row r="95" spans="1:33" x14ac:dyDescent="0.25">
      <c r="A95" s="100" t="s">
        <v>293</v>
      </c>
      <c r="B95" s="63" t="s">
        <v>194</v>
      </c>
      <c r="D95" s="34"/>
      <c r="E95" s="34"/>
      <c r="L95" s="42" t="str">
        <f>IF(AND('Pivot elenchi'!P94="",'Pivot elenchi'!P95=""),"",IF('Pivot elenchi'!P94="",'Pivot elenchi'!P93="",'Pivot elenchi'!P94))</f>
        <v xml:space="preserve">615000      </v>
      </c>
      <c r="M95" s="42" t="str">
        <f>IF(AND('Pivot elenchi'!Q94="",'Pivot elenchi'!Q95=""),"",IF('Pivot elenchi'!Q94="",'Pivot elenchi'!Q93="",'Pivot elenchi'!Q94))</f>
        <v>PIANIFICAZIONE WEB</v>
      </c>
      <c r="N95" s="42" t="str">
        <f>IF(AND('Pivot elenchi'!R94="",'Pivot elenchi'!R95=""),"",IF('Pivot elenchi'!R94="",'Pivot elenchi'!R93="",'Pivot elenchi'!R94))</f>
        <v/>
      </c>
      <c r="O95" s="42" t="str">
        <f>IF(AND('Pivot elenchi'!S94="",'Pivot elenchi'!S95=""),"",IF('Pivot elenchi'!S94="",'Pivot elenchi'!S93="",'Pivot elenchi'!S94))</f>
        <v>SYSTEM 24 - OPERATIONS</v>
      </c>
      <c r="P95" s="42" t="str">
        <f>IF(AND('Pivot elenchi'!T94="",'Pivot elenchi'!T95=""),"",IF('Pivot elenchi'!T94="",'Pivot elenchi'!T93="",'Pivot elenchi'!T94))</f>
        <v/>
      </c>
      <c r="Q95" s="42" t="str">
        <f>IF(AND('Pivot elenchi'!U94="",'Pivot elenchi'!U95=""),"",IF('Pivot elenchi'!U94="",'Pivot elenchi'!U93="",'Pivot elenchi'!U94))</f>
        <v>DG M&amp;B - DG SYSTEM 24</v>
      </c>
      <c r="R95" t="s">
        <v>717</v>
      </c>
      <c r="AB95" s="42" t="str">
        <f t="shared" si="15"/>
        <v xml:space="preserve">615000      </v>
      </c>
      <c r="AC95" s="42" t="str">
        <f t="shared" si="15"/>
        <v>PIANIFICAZIONE WEB</v>
      </c>
      <c r="AD95" s="42" t="str">
        <f t="shared" si="15"/>
        <v/>
      </c>
      <c r="AE95" s="42" t="str">
        <f t="shared" si="15"/>
        <v>SYSTEM 24 - OPERATIONS</v>
      </c>
      <c r="AF95" s="42" t="str">
        <f t="shared" si="16"/>
        <v/>
      </c>
      <c r="AG95" s="42" t="str">
        <f t="shared" si="16"/>
        <v>DG M&amp;B - DG SYSTEM 24</v>
      </c>
    </row>
    <row r="96" spans="1:33" x14ac:dyDescent="0.25">
      <c r="A96" s="100" t="s">
        <v>294</v>
      </c>
      <c r="B96" s="63" t="s">
        <v>195</v>
      </c>
      <c r="D96" s="34"/>
      <c r="E96" s="34"/>
      <c r="L96" s="42" t="str">
        <f>IF(AND('Pivot elenchi'!P95="",'Pivot elenchi'!P96=""),"",IF('Pivot elenchi'!P95="",'Pivot elenchi'!P94="",'Pivot elenchi'!P95))</f>
        <v xml:space="preserve">61500010    </v>
      </c>
      <c r="M96" s="42" t="str">
        <f>IF(AND('Pivot elenchi'!Q95="",'Pivot elenchi'!Q96=""),"",IF('Pivot elenchi'!Q95="",'Pivot elenchi'!Q94="",'Pivot elenchi'!Q95))</f>
        <v>PROGRAMMATIC</v>
      </c>
      <c r="N96" s="42" t="str">
        <f>IF(AND('Pivot elenchi'!R95="",'Pivot elenchi'!R96=""),"",IF('Pivot elenchi'!R95="",'Pivot elenchi'!R94="",'Pivot elenchi'!R95))</f>
        <v/>
      </c>
      <c r="O96" s="42" t="str">
        <f>IF(AND('Pivot elenchi'!S95="",'Pivot elenchi'!S96=""),"",IF('Pivot elenchi'!S95="",'Pivot elenchi'!S94="",'Pivot elenchi'!S95))</f>
        <v>SYSTEM 24 - OPERATIONS</v>
      </c>
      <c r="P96" s="42" t="str">
        <f>IF(AND('Pivot elenchi'!T95="",'Pivot elenchi'!T96=""),"",IF('Pivot elenchi'!T95="",'Pivot elenchi'!T94="",'Pivot elenchi'!T95))</f>
        <v/>
      </c>
      <c r="Q96" s="42" t="str">
        <f>IF(AND('Pivot elenchi'!U95="",'Pivot elenchi'!U96=""),"",IF('Pivot elenchi'!U95="",'Pivot elenchi'!U94="",'Pivot elenchi'!U95))</f>
        <v>DG M&amp;B - DG SYSTEM 24</v>
      </c>
      <c r="R96" t="s">
        <v>717</v>
      </c>
      <c r="AB96" s="42" t="str">
        <f t="shared" si="15"/>
        <v xml:space="preserve">61500010    </v>
      </c>
      <c r="AC96" s="42" t="str">
        <f t="shared" si="15"/>
        <v>PROGRAMMATIC</v>
      </c>
      <c r="AD96" s="42" t="str">
        <f t="shared" si="15"/>
        <v/>
      </c>
      <c r="AE96" s="42" t="str">
        <f t="shared" si="15"/>
        <v>SYSTEM 24 - OPERATIONS</v>
      </c>
      <c r="AF96" s="42" t="str">
        <f t="shared" si="16"/>
        <v/>
      </c>
      <c r="AG96" s="42" t="str">
        <f t="shared" si="16"/>
        <v>DG M&amp;B - DG SYSTEM 24</v>
      </c>
    </row>
    <row r="97" spans="1:33" x14ac:dyDescent="0.25">
      <c r="A97" s="100" t="s">
        <v>295</v>
      </c>
      <c r="B97" s="63" t="s">
        <v>196</v>
      </c>
      <c r="D97" s="34"/>
      <c r="E97" s="34"/>
      <c r="L97" s="42" t="str">
        <f>IF(AND('Pivot elenchi'!P96="",'Pivot elenchi'!P97=""),"",IF('Pivot elenchi'!P96="",'Pivot elenchi'!P95="",'Pivot elenchi'!P96))</f>
        <v xml:space="preserve">616000      </v>
      </c>
      <c r="M97" s="42" t="str">
        <f>IF(AND('Pivot elenchi'!Q96="",'Pivot elenchi'!Q97=""),"",IF('Pivot elenchi'!Q96="",'Pivot elenchi'!Q95="",'Pivot elenchi'!Q96))</f>
        <v>ADVERTISING STAMPA</v>
      </c>
      <c r="N97" s="42" t="str">
        <f>IF(AND('Pivot elenchi'!R96="",'Pivot elenchi'!R97=""),"",IF('Pivot elenchi'!R96="",'Pivot elenchi'!R95="",'Pivot elenchi'!R96))</f>
        <v/>
      </c>
      <c r="O97" s="42" t="str">
        <f>IF(AND('Pivot elenchi'!S96="",'Pivot elenchi'!S97=""),"",IF('Pivot elenchi'!S96="",'Pivot elenchi'!S95="",'Pivot elenchi'!S96))</f>
        <v>ADVERTISING STAMPA</v>
      </c>
      <c r="P97" s="42" t="str">
        <f>IF(AND('Pivot elenchi'!T96="",'Pivot elenchi'!T97=""),"",IF('Pivot elenchi'!T96="",'Pivot elenchi'!T95="",'Pivot elenchi'!T96))</f>
        <v/>
      </c>
      <c r="Q97" s="42" t="str">
        <f>IF(AND('Pivot elenchi'!U96="",'Pivot elenchi'!U97=""),"",IF('Pivot elenchi'!U96="",'Pivot elenchi'!U95="",'Pivot elenchi'!U96))</f>
        <v>DG M&amp;B - DG SYSTEM 24</v>
      </c>
      <c r="R97" t="s">
        <v>717</v>
      </c>
      <c r="AB97" s="42" t="str">
        <f t="shared" si="15"/>
        <v xml:space="preserve">616000      </v>
      </c>
      <c r="AC97" s="42" t="str">
        <f t="shared" si="15"/>
        <v>ADVERTISING STAMPA</v>
      </c>
      <c r="AD97" s="42" t="str">
        <f t="shared" si="15"/>
        <v/>
      </c>
      <c r="AE97" s="42" t="str">
        <f t="shared" si="15"/>
        <v>ADVERTISING STAMPA</v>
      </c>
      <c r="AF97" s="42" t="str">
        <f t="shared" si="16"/>
        <v/>
      </c>
      <c r="AG97" s="42" t="str">
        <f t="shared" si="16"/>
        <v>DG M&amp;B - DG SYSTEM 24</v>
      </c>
    </row>
    <row r="98" spans="1:33" x14ac:dyDescent="0.25">
      <c r="A98" s="100" t="s">
        <v>296</v>
      </c>
      <c r="B98" s="63" t="s">
        <v>197</v>
      </c>
      <c r="D98" s="34"/>
      <c r="E98" s="34"/>
      <c r="L98" s="42" t="str">
        <f>IF(AND('Pivot elenchi'!P97="",'Pivot elenchi'!P98=""),"",IF('Pivot elenchi'!P97="",'Pivot elenchi'!P96="",'Pivot elenchi'!P97))</f>
        <v xml:space="preserve">61800010    </v>
      </c>
      <c r="M98" s="42" t="str">
        <f>IF(AND('Pivot elenchi'!Q97="",'Pivot elenchi'!Q98=""),"",IF('Pivot elenchi'!Q97="",'Pivot elenchi'!Q96="",'Pivot elenchi'!Q97))</f>
        <v>EDITORI ESTERI</v>
      </c>
      <c r="N98" s="42" t="str">
        <f>IF(AND('Pivot elenchi'!R97="",'Pivot elenchi'!R98=""),"",IF('Pivot elenchi'!R97="",'Pivot elenchi'!R96="",'Pivot elenchi'!R97))</f>
        <v/>
      </c>
      <c r="O98" s="42" t="str">
        <f>IF(AND('Pivot elenchi'!S97="",'Pivot elenchi'!S98=""),"",IF('Pivot elenchi'!S97="",'Pivot elenchi'!S96="",'Pivot elenchi'!S97))</f>
        <v>ADVERTISING STAMPA</v>
      </c>
      <c r="P98" s="42" t="str">
        <f>IF(AND('Pivot elenchi'!T97="",'Pivot elenchi'!T98=""),"",IF('Pivot elenchi'!T97="",'Pivot elenchi'!T96="",'Pivot elenchi'!T97))</f>
        <v/>
      </c>
      <c r="Q98" s="42" t="str">
        <f>IF(AND('Pivot elenchi'!U97="",'Pivot elenchi'!U98=""),"",IF('Pivot elenchi'!U97="",'Pivot elenchi'!U96="",'Pivot elenchi'!U97))</f>
        <v>DG M&amp;B - DG SYSTEM 24</v>
      </c>
      <c r="R98" t="s">
        <v>717</v>
      </c>
      <c r="AB98" s="42" t="str">
        <f t="shared" si="15"/>
        <v xml:space="preserve">61800010    </v>
      </c>
      <c r="AC98" s="42" t="str">
        <f t="shared" si="15"/>
        <v>EDITORI ESTERI</v>
      </c>
      <c r="AD98" s="42" t="str">
        <f t="shared" si="15"/>
        <v/>
      </c>
      <c r="AE98" s="42" t="str">
        <f t="shared" si="15"/>
        <v>ADVERTISING STAMPA</v>
      </c>
      <c r="AF98" s="42" t="str">
        <f t="shared" si="16"/>
        <v/>
      </c>
      <c r="AG98" s="42" t="str">
        <f t="shared" si="16"/>
        <v>DG M&amp;B - DG SYSTEM 24</v>
      </c>
    </row>
    <row r="99" spans="1:33" x14ac:dyDescent="0.25">
      <c r="A99" s="100" t="s">
        <v>181</v>
      </c>
      <c r="B99" s="63" t="s">
        <v>198</v>
      </c>
      <c r="D99" s="34"/>
      <c r="E99" s="34"/>
      <c r="L99" s="42" t="str">
        <f>IF(AND('Pivot elenchi'!P98="",'Pivot elenchi'!P99=""),"",IF('Pivot elenchi'!P98="",'Pivot elenchi'!P97="",'Pivot elenchi'!P98))</f>
        <v xml:space="preserve">815100      </v>
      </c>
      <c r="M99" s="42" t="str">
        <f>IF(AND('Pivot elenchi'!Q98="",'Pivot elenchi'!Q99=""),"",IF('Pivot elenchi'!Q98="",'Pivot elenchi'!Q97="",'Pivot elenchi'!Q98))</f>
        <v>AREA DIRITTO, TECNICI, PA E FONTI</v>
      </c>
      <c r="N99" s="42" t="str">
        <f>IF(AND('Pivot elenchi'!R98="",'Pivot elenchi'!R99=""),"",IF('Pivot elenchi'!R98="",'Pivot elenchi'!R97="",'Pivot elenchi'!R98))</f>
        <v/>
      </c>
      <c r="O99" s="42" t="str">
        <f>IF(AND('Pivot elenchi'!S98="",'Pivot elenchi'!S99=""),"",IF('Pivot elenchi'!S98="",'Pivot elenchi'!S97="",'Pivot elenchi'!S98))</f>
        <v>AREA DIRITTO, TECNICI, PA E FONTI NO</v>
      </c>
      <c r="P99" s="42" t="str">
        <f>IF(AND('Pivot elenchi'!T98="",'Pivot elenchi'!T99=""),"",IF('Pivot elenchi'!T98="",'Pivot elenchi'!T97="",'Pivot elenchi'!T98))</f>
        <v/>
      </c>
      <c r="Q99" s="42" t="str">
        <f>IF(AND('Pivot elenchi'!U98="",'Pivot elenchi'!U99=""),"",IF('Pivot elenchi'!U98="",'Pivot elenchi'!U97="",'Pivot elenchi'!U98))</f>
        <v>DG SERVIZI PROFESSIONALI E FORMAZIONE</v>
      </c>
      <c r="R99" t="s">
        <v>717</v>
      </c>
      <c r="AB99" s="42" t="str">
        <f t="shared" si="15"/>
        <v xml:space="preserve">815100      </v>
      </c>
      <c r="AC99" s="42" t="str">
        <f t="shared" si="15"/>
        <v>AREA DIRITTO, TECNICI, PA E FONTI</v>
      </c>
      <c r="AD99" s="42" t="str">
        <f t="shared" si="15"/>
        <v/>
      </c>
      <c r="AE99" s="42" t="str">
        <f t="shared" si="15"/>
        <v>AREA DIRITTO, TECNICI, PA E FONTI NO</v>
      </c>
      <c r="AF99" s="42" t="str">
        <f t="shared" si="16"/>
        <v/>
      </c>
      <c r="AG99" s="42" t="str">
        <f t="shared" si="16"/>
        <v>DG SERVIZI PROFESSIONALI E FORMAZIONE</v>
      </c>
    </row>
    <row r="100" spans="1:33" x14ac:dyDescent="0.25">
      <c r="A100" s="100" t="s">
        <v>297</v>
      </c>
      <c r="B100" s="63" t="s">
        <v>199</v>
      </c>
      <c r="D100" s="34"/>
      <c r="E100" s="34"/>
      <c r="L100" s="42" t="str">
        <f>IF(AND('Pivot elenchi'!P99="",'Pivot elenchi'!P100=""),"",IF('Pivot elenchi'!P99="",'Pivot elenchi'!P98="",'Pivot elenchi'!P99))</f>
        <v xml:space="preserve">815115      </v>
      </c>
      <c r="M100" s="42" t="str">
        <f>IF(AND('Pivot elenchi'!Q99="",'Pivot elenchi'!Q100=""),"",IF('Pivot elenchi'!Q99="",'Pivot elenchi'!Q98="",'Pivot elenchi'!Q99))</f>
        <v>REDAZIONE FISCO E LAVORO</v>
      </c>
      <c r="N100" s="42" t="str">
        <f>IF(AND('Pivot elenchi'!R99="",'Pivot elenchi'!R100=""),"",IF('Pivot elenchi'!R99="",'Pivot elenchi'!R98="",'Pivot elenchi'!R99))</f>
        <v/>
      </c>
      <c r="O100" s="42" t="str">
        <f>IF(AND('Pivot elenchi'!S99="",'Pivot elenchi'!S100=""),"",IF('Pivot elenchi'!S99="",'Pivot elenchi'!S98="",'Pivot elenchi'!S99))</f>
        <v>AREA FISCO LAVORO</v>
      </c>
      <c r="P100" s="42" t="str">
        <f>IF(AND('Pivot elenchi'!T99="",'Pivot elenchi'!T100=""),"",IF('Pivot elenchi'!T99="",'Pivot elenchi'!T98="",'Pivot elenchi'!T99))</f>
        <v/>
      </c>
      <c r="Q100" s="42" t="str">
        <f>IF(AND('Pivot elenchi'!U99="",'Pivot elenchi'!U100=""),"",IF('Pivot elenchi'!U99="",'Pivot elenchi'!U98="",'Pivot elenchi'!U99))</f>
        <v>DG SERVIZI PROFESSIONALI E FORMAZIONE</v>
      </c>
      <c r="R100" t="s">
        <v>717</v>
      </c>
      <c r="AB100" s="42" t="str">
        <f t="shared" si="15"/>
        <v xml:space="preserve">815115      </v>
      </c>
      <c r="AC100" s="42" t="str">
        <f t="shared" si="15"/>
        <v>REDAZIONE FISCO E LAVORO</v>
      </c>
      <c r="AD100" s="42" t="str">
        <f t="shared" si="15"/>
        <v/>
      </c>
      <c r="AE100" s="42" t="str">
        <f t="shared" si="15"/>
        <v>AREA FISCO LAVORO</v>
      </c>
      <c r="AF100" s="42" t="str">
        <f t="shared" si="16"/>
        <v/>
      </c>
      <c r="AG100" s="42" t="str">
        <f t="shared" si="16"/>
        <v>DG SERVIZI PROFESSIONALI E FORMAZIONE</v>
      </c>
    </row>
    <row r="101" spans="1:33" x14ac:dyDescent="0.25">
      <c r="A101" s="100" t="s">
        <v>298</v>
      </c>
      <c r="B101" s="63" t="s">
        <v>200</v>
      </c>
      <c r="D101" s="34"/>
      <c r="E101" s="34"/>
      <c r="L101" s="42" t="str">
        <f>IF(AND('Pivot elenchi'!P100="",'Pivot elenchi'!P101=""),"",IF('Pivot elenchi'!P100="",'Pivot elenchi'!P99="",'Pivot elenchi'!P100))</f>
        <v xml:space="preserve">81511510    </v>
      </c>
      <c r="M101" s="42" t="str">
        <f>IF(AND('Pivot elenchi'!Q100="",'Pivot elenchi'!Q101=""),"",IF('Pivot elenchi'!Q100="",'Pivot elenchi'!Q99="",'Pivot elenchi'!Q100))</f>
        <v>REDAZIONE FISCO</v>
      </c>
      <c r="N101" s="42" t="str">
        <f>IF(AND('Pivot elenchi'!R100="",'Pivot elenchi'!R101=""),"",IF('Pivot elenchi'!R100="",'Pivot elenchi'!R99="",'Pivot elenchi'!R100))</f>
        <v/>
      </c>
      <c r="O101" s="42" t="str">
        <f>IF(AND('Pivot elenchi'!S100="",'Pivot elenchi'!S101=""),"",IF('Pivot elenchi'!S100="",'Pivot elenchi'!S99="",'Pivot elenchi'!S100))</f>
        <v>AREA FISCO LAVORO</v>
      </c>
      <c r="P101" s="42" t="str">
        <f>IF(AND('Pivot elenchi'!T100="",'Pivot elenchi'!T101=""),"",IF('Pivot elenchi'!T100="",'Pivot elenchi'!T99="",'Pivot elenchi'!T100))</f>
        <v/>
      </c>
      <c r="Q101" s="42" t="str">
        <f>IF(AND('Pivot elenchi'!U100="",'Pivot elenchi'!U101=""),"",IF('Pivot elenchi'!U100="",'Pivot elenchi'!U99="",'Pivot elenchi'!U100))</f>
        <v>DG SERVIZI PROFESSIONALI E FORMAZIONE</v>
      </c>
      <c r="R101" t="s">
        <v>717</v>
      </c>
      <c r="AB101" s="42" t="str">
        <f t="shared" si="15"/>
        <v xml:space="preserve">81511510    </v>
      </c>
      <c r="AC101" s="42" t="str">
        <f t="shared" si="15"/>
        <v>REDAZIONE FISCO</v>
      </c>
      <c r="AD101" s="42" t="str">
        <f t="shared" si="15"/>
        <v/>
      </c>
      <c r="AE101" s="42" t="str">
        <f t="shared" si="15"/>
        <v>AREA FISCO LAVORO</v>
      </c>
      <c r="AF101" s="42" t="str">
        <f t="shared" si="16"/>
        <v/>
      </c>
      <c r="AG101" s="42" t="str">
        <f t="shared" si="16"/>
        <v>DG SERVIZI PROFESSIONALI E FORMAZIONE</v>
      </c>
    </row>
    <row r="102" spans="1:33" x14ac:dyDescent="0.25">
      <c r="A102" s="100" t="s">
        <v>299</v>
      </c>
      <c r="B102" s="63" t="s">
        <v>201</v>
      </c>
      <c r="D102" s="34"/>
      <c r="E102" s="34"/>
      <c r="L102" s="42" t="str">
        <f>IF(AND('Pivot elenchi'!P101="",'Pivot elenchi'!P102=""),"",IF('Pivot elenchi'!P101="",'Pivot elenchi'!P100="",'Pivot elenchi'!P101))</f>
        <v xml:space="preserve">815130      </v>
      </c>
      <c r="M102" s="42" t="str">
        <f>IF(AND('Pivot elenchi'!Q101="",'Pivot elenchi'!Q102=""),"",IF('Pivot elenchi'!Q101="",'Pivot elenchi'!Q100="",'Pivot elenchi'!Q101))</f>
        <v>REDAZIONE FISCO - TRENTO</v>
      </c>
      <c r="N102" s="42" t="str">
        <f>IF(AND('Pivot elenchi'!R101="",'Pivot elenchi'!R102=""),"",IF('Pivot elenchi'!R101="",'Pivot elenchi'!R100="",'Pivot elenchi'!R101))</f>
        <v/>
      </c>
      <c r="O102" s="42" t="str">
        <f>IF(AND('Pivot elenchi'!S101="",'Pivot elenchi'!S102=""),"",IF('Pivot elenchi'!S101="",'Pivot elenchi'!S100="",'Pivot elenchi'!S101))</f>
        <v>AREA FISCO LAVORO</v>
      </c>
      <c r="P102" s="42" t="str">
        <f>IF(AND('Pivot elenchi'!T101="",'Pivot elenchi'!T102=""),"",IF('Pivot elenchi'!T101="",'Pivot elenchi'!T100="",'Pivot elenchi'!T101))</f>
        <v/>
      </c>
      <c r="Q102" s="42" t="str">
        <f>IF(AND('Pivot elenchi'!U101="",'Pivot elenchi'!U102=""),"",IF('Pivot elenchi'!U101="",'Pivot elenchi'!U100="",'Pivot elenchi'!U101))</f>
        <v>DG SERVIZI PROFESSIONALI E FORMAZIONE</v>
      </c>
      <c r="R102" t="s">
        <v>717</v>
      </c>
      <c r="AB102" s="42" t="str">
        <f t="shared" si="15"/>
        <v xml:space="preserve">815130      </v>
      </c>
      <c r="AC102" s="42" t="str">
        <f t="shared" si="15"/>
        <v>REDAZIONE FISCO - TRENTO</v>
      </c>
      <c r="AD102" s="42" t="str">
        <f t="shared" si="15"/>
        <v/>
      </c>
      <c r="AE102" s="42" t="str">
        <f t="shared" si="15"/>
        <v>AREA FISCO LAVORO</v>
      </c>
      <c r="AF102" s="42" t="str">
        <f t="shared" si="16"/>
        <v/>
      </c>
      <c r="AG102" s="42" t="str">
        <f t="shared" si="16"/>
        <v>DG SERVIZI PROFESSIONALI E FORMAZIONE</v>
      </c>
    </row>
    <row r="103" spans="1:33" x14ac:dyDescent="0.25">
      <c r="A103" s="100" t="s">
        <v>282</v>
      </c>
      <c r="B103" s="63" t="s">
        <v>281</v>
      </c>
      <c r="D103" s="34"/>
      <c r="E103" s="34"/>
      <c r="L103" s="42" t="str">
        <f>IF(AND('Pivot elenchi'!P102="",'Pivot elenchi'!P103=""),"",IF('Pivot elenchi'!P102="",'Pivot elenchi'!P101="",'Pivot elenchi'!P102))</f>
        <v xml:space="preserve">815200      </v>
      </c>
      <c r="M103" s="42" t="str">
        <f>IF(AND('Pivot elenchi'!Q102="",'Pivot elenchi'!Q103=""),"",IF('Pivot elenchi'!Q102="",'Pivot elenchi'!Q101="",'Pivot elenchi'!Q102))</f>
        <v>REDAZIONE LAVORO</v>
      </c>
      <c r="N103" s="42" t="str">
        <f>IF(AND('Pivot elenchi'!R102="",'Pivot elenchi'!R103=""),"",IF('Pivot elenchi'!R102="",'Pivot elenchi'!R101="",'Pivot elenchi'!R102))</f>
        <v/>
      </c>
      <c r="O103" s="42" t="str">
        <f>IF(AND('Pivot elenchi'!S102="",'Pivot elenchi'!S103=""),"",IF('Pivot elenchi'!S102="",'Pivot elenchi'!S101="",'Pivot elenchi'!S102))</f>
        <v>AREA FISCO LAVORO</v>
      </c>
      <c r="P103" s="42" t="str">
        <f>IF(AND('Pivot elenchi'!T102="",'Pivot elenchi'!T103=""),"",IF('Pivot elenchi'!T102="",'Pivot elenchi'!T101="",'Pivot elenchi'!T102))</f>
        <v/>
      </c>
      <c r="Q103" s="42" t="str">
        <f>IF(AND('Pivot elenchi'!U102="",'Pivot elenchi'!U103=""),"",IF('Pivot elenchi'!U102="",'Pivot elenchi'!U101="",'Pivot elenchi'!U102))</f>
        <v>DG SERVIZI PROFESSIONALI E FORMAZIONE</v>
      </c>
      <c r="R103" t="s">
        <v>717</v>
      </c>
      <c r="AB103" s="42" t="str">
        <f t="shared" si="15"/>
        <v xml:space="preserve">815200      </v>
      </c>
      <c r="AC103" s="42" t="str">
        <f t="shared" si="15"/>
        <v>REDAZIONE LAVORO</v>
      </c>
      <c r="AD103" s="42" t="str">
        <f t="shared" si="15"/>
        <v/>
      </c>
      <c r="AE103" s="42" t="str">
        <f t="shared" si="15"/>
        <v>AREA FISCO LAVORO</v>
      </c>
      <c r="AF103" s="42" t="str">
        <f t="shared" si="16"/>
        <v/>
      </c>
      <c r="AG103" s="42" t="str">
        <f t="shared" si="16"/>
        <v>DG SERVIZI PROFESSIONALI E FORMAZIONE</v>
      </c>
    </row>
    <row r="104" spans="1:33" x14ac:dyDescent="0.25">
      <c r="A104" s="100" t="s">
        <v>300</v>
      </c>
      <c r="B104" s="63" t="s">
        <v>202</v>
      </c>
      <c r="D104" s="34"/>
      <c r="E104" s="34"/>
      <c r="L104" s="42" t="str">
        <f>IF(AND('Pivot elenchi'!P103="",'Pivot elenchi'!P104=""),"",IF('Pivot elenchi'!P103="",'Pivot elenchi'!P102="",'Pivot elenchi'!P103))</f>
        <v xml:space="preserve">815400      </v>
      </c>
      <c r="M104" s="42" t="str">
        <f>IF(AND('Pivot elenchi'!Q103="",'Pivot elenchi'!Q104=""),"",IF('Pivot elenchi'!Q103="",'Pivot elenchi'!Q102="",'Pivot elenchi'!Q103))</f>
        <v>REDAZIONE DIRITTO E FONTI NORM.</v>
      </c>
      <c r="N104" s="42" t="str">
        <f>IF(AND('Pivot elenchi'!R103="",'Pivot elenchi'!R104=""),"",IF('Pivot elenchi'!R103="",'Pivot elenchi'!R102="",'Pivot elenchi'!R103))</f>
        <v/>
      </c>
      <c r="O104" s="42" t="str">
        <f>IF(AND('Pivot elenchi'!S103="",'Pivot elenchi'!S104=""),"",IF('Pivot elenchi'!S103="",'Pivot elenchi'!S102="",'Pivot elenchi'!S103))</f>
        <v>AREA DIRITTO, TECNICI, PA E FONTI NO</v>
      </c>
      <c r="P104" s="42" t="str">
        <f>IF(AND('Pivot elenchi'!T103="",'Pivot elenchi'!T104=""),"",IF('Pivot elenchi'!T103="",'Pivot elenchi'!T102="",'Pivot elenchi'!T103))</f>
        <v/>
      </c>
      <c r="Q104" s="42" t="str">
        <f>IF(AND('Pivot elenchi'!U103="",'Pivot elenchi'!U104=""),"",IF('Pivot elenchi'!U103="",'Pivot elenchi'!U102="",'Pivot elenchi'!U103))</f>
        <v>DG SERVIZI PROFESSIONALI E FORMAZIONE</v>
      </c>
      <c r="R104" t="s">
        <v>717</v>
      </c>
      <c r="AB104" s="42" t="str">
        <f t="shared" si="15"/>
        <v xml:space="preserve">815400      </v>
      </c>
      <c r="AC104" s="42" t="str">
        <f t="shared" si="15"/>
        <v>REDAZIONE DIRITTO E FONTI NORM.</v>
      </c>
      <c r="AD104" s="42" t="str">
        <f t="shared" si="15"/>
        <v/>
      </c>
      <c r="AE104" s="42" t="str">
        <f t="shared" si="15"/>
        <v>AREA DIRITTO, TECNICI, PA E FONTI NO</v>
      </c>
      <c r="AF104" s="42" t="str">
        <f t="shared" si="16"/>
        <v/>
      </c>
      <c r="AG104" s="42" t="str">
        <f t="shared" si="16"/>
        <v>DG SERVIZI PROFESSIONALI E FORMAZIONE</v>
      </c>
    </row>
    <row r="105" spans="1:33" x14ac:dyDescent="0.25">
      <c r="A105" s="100" t="s">
        <v>301</v>
      </c>
      <c r="B105" s="63" t="s">
        <v>203</v>
      </c>
      <c r="D105" s="34"/>
      <c r="E105" s="34"/>
      <c r="L105" s="42" t="str">
        <f>IF(AND('Pivot elenchi'!P104="",'Pivot elenchi'!P105=""),"",IF('Pivot elenchi'!P104="",'Pivot elenchi'!P103="",'Pivot elenchi'!P104))</f>
        <v xml:space="preserve">815410      </v>
      </c>
      <c r="M105" s="42" t="str">
        <f>IF(AND('Pivot elenchi'!Q104="",'Pivot elenchi'!Q105=""),"",IF('Pivot elenchi'!Q104="",'Pivot elenchi'!Q103="",'Pivot elenchi'!Q104))</f>
        <v>RCO+ NORME E P.A.</v>
      </c>
      <c r="N105" s="42" t="str">
        <f>IF(AND('Pivot elenchi'!R104="",'Pivot elenchi'!R105=""),"",IF('Pivot elenchi'!R104="",'Pivot elenchi'!R103="",'Pivot elenchi'!R104))</f>
        <v/>
      </c>
      <c r="O105" s="42" t="str">
        <f>IF(AND('Pivot elenchi'!S104="",'Pivot elenchi'!S105=""),"",IF('Pivot elenchi'!S104="",'Pivot elenchi'!S103="",'Pivot elenchi'!S104))</f>
        <v>RCO+</v>
      </c>
      <c r="P105" s="42" t="str">
        <f>IF(AND('Pivot elenchi'!T104="",'Pivot elenchi'!T105=""),"",IF('Pivot elenchi'!T104="",'Pivot elenchi'!T103="",'Pivot elenchi'!T104))</f>
        <v/>
      </c>
      <c r="Q105" s="42" t="str">
        <f>IF(AND('Pivot elenchi'!U104="",'Pivot elenchi'!U105=""),"",IF('Pivot elenchi'!U104="",'Pivot elenchi'!U103="",'Pivot elenchi'!U104))</f>
        <v>REDAZIONI GIORNALISTICHE</v>
      </c>
      <c r="R105" t="s">
        <v>717</v>
      </c>
      <c r="AB105" s="42" t="str">
        <f t="shared" si="15"/>
        <v xml:space="preserve">815410      </v>
      </c>
      <c r="AC105" s="42" t="str">
        <f t="shared" si="15"/>
        <v>RCO+ NORME E P.A.</v>
      </c>
      <c r="AD105" s="42" t="str">
        <f t="shared" si="15"/>
        <v/>
      </c>
      <c r="AE105" s="42" t="str">
        <f t="shared" si="15"/>
        <v>RCO+</v>
      </c>
      <c r="AF105" s="42" t="str">
        <f t="shared" si="16"/>
        <v/>
      </c>
      <c r="AG105" s="42" t="str">
        <f t="shared" si="16"/>
        <v>REDAZIONI GIORNALISTICHE</v>
      </c>
    </row>
    <row r="106" spans="1:33" x14ac:dyDescent="0.25">
      <c r="A106" s="100" t="s">
        <v>302</v>
      </c>
      <c r="B106" s="63" t="s">
        <v>204</v>
      </c>
      <c r="D106" s="34"/>
      <c r="E106" s="34"/>
      <c r="L106" s="42" t="str">
        <f>IF(AND('Pivot elenchi'!P105="",'Pivot elenchi'!P106=""),"",IF('Pivot elenchi'!P105="",'Pivot elenchi'!P104="",'Pivot elenchi'!P105))</f>
        <v xml:space="preserve">815420      </v>
      </c>
      <c r="M106" s="42" t="str">
        <f>IF(AND('Pivot elenchi'!Q105="",'Pivot elenchi'!Q106=""),"",IF('Pivot elenchi'!Q105="",'Pivot elenchi'!Q104="",'Pivot elenchi'!Q105))</f>
        <v>DIGITAL MARKETING SERV. PROF.</v>
      </c>
      <c r="N106" s="42" t="str">
        <f>IF(AND('Pivot elenchi'!R105="",'Pivot elenchi'!R106=""),"",IF('Pivot elenchi'!R105="",'Pivot elenchi'!R104="",'Pivot elenchi'!R105))</f>
        <v/>
      </c>
      <c r="O106" s="42" t="str">
        <f>IF(AND('Pivot elenchi'!S105="",'Pivot elenchi'!S106=""),"",IF('Pivot elenchi'!S105="",'Pivot elenchi'!S104="",'Pivot elenchi'!S105))</f>
        <v>MARKETING SERVIZI PROFESSIONALI</v>
      </c>
      <c r="P106" s="42" t="str">
        <f>IF(AND('Pivot elenchi'!T105="",'Pivot elenchi'!T106=""),"",IF('Pivot elenchi'!T105="",'Pivot elenchi'!T104="",'Pivot elenchi'!T105))</f>
        <v/>
      </c>
      <c r="Q106" s="42" t="str">
        <f>IF(AND('Pivot elenchi'!U105="",'Pivot elenchi'!U106=""),"",IF('Pivot elenchi'!U105="",'Pivot elenchi'!U104="",'Pivot elenchi'!U105))</f>
        <v>DG SERVIZI PROFESSIONALI E FORMAZIONE</v>
      </c>
      <c r="R106" t="s">
        <v>717</v>
      </c>
      <c r="AB106" s="42" t="str">
        <f t="shared" si="15"/>
        <v xml:space="preserve">815420      </v>
      </c>
      <c r="AC106" s="42" t="str">
        <f t="shared" si="15"/>
        <v>DIGITAL MARKETING SERV. PROF.</v>
      </c>
      <c r="AD106" s="42" t="str">
        <f t="shared" si="15"/>
        <v/>
      </c>
      <c r="AE106" s="42" t="str">
        <f t="shared" si="15"/>
        <v>MARKETING SERVIZI PROFESSIONALI</v>
      </c>
      <c r="AF106" s="42" t="str">
        <f t="shared" si="16"/>
        <v/>
      </c>
      <c r="AG106" s="42" t="str">
        <f t="shared" si="16"/>
        <v>DG SERVIZI PROFESSIONALI E FORMAZIONE</v>
      </c>
    </row>
    <row r="107" spans="1:33" x14ac:dyDescent="0.25">
      <c r="A107" s="100" t="s">
        <v>303</v>
      </c>
      <c r="B107" s="63" t="s">
        <v>205</v>
      </c>
      <c r="D107" s="34"/>
      <c r="E107" s="34"/>
      <c r="L107" s="42" t="str">
        <f>IF(AND('Pivot elenchi'!P106="",'Pivot elenchi'!P107=""),"",IF('Pivot elenchi'!P106="",'Pivot elenchi'!P105="",'Pivot elenchi'!P106))</f>
        <v xml:space="preserve">816000      </v>
      </c>
      <c r="M107" s="42" t="str">
        <f>IF(AND('Pivot elenchi'!Q106="",'Pivot elenchi'!Q107=""),"",IF('Pivot elenchi'!Q106="",'Pivot elenchi'!Q105="",'Pivot elenchi'!Q106))</f>
        <v>SOFTWARE GESTIONALI</v>
      </c>
      <c r="N107" s="42" t="str">
        <f>IF(AND('Pivot elenchi'!R106="",'Pivot elenchi'!R107=""),"",IF('Pivot elenchi'!R106="",'Pivot elenchi'!R105="",'Pivot elenchi'!R106))</f>
        <v/>
      </c>
      <c r="O107" s="42" t="str">
        <f>IF(AND('Pivot elenchi'!S106="",'Pivot elenchi'!S107=""),"",IF('Pivot elenchi'!S106="",'Pivot elenchi'!S105="",'Pivot elenchi'!S106))</f>
        <v>DG SERVIZI PROFESSIONALI</v>
      </c>
      <c r="P107" s="42" t="str">
        <f>IF(AND('Pivot elenchi'!T106="",'Pivot elenchi'!T107=""),"",IF('Pivot elenchi'!T106="",'Pivot elenchi'!T105="",'Pivot elenchi'!T106))</f>
        <v/>
      </c>
      <c r="Q107" s="42" t="str">
        <f>IF(AND('Pivot elenchi'!U106="",'Pivot elenchi'!U107=""),"",IF('Pivot elenchi'!U106="",'Pivot elenchi'!U105="",'Pivot elenchi'!U106))</f>
        <v>DG SERVIZI PROFESSIONALI</v>
      </c>
      <c r="R107" t="s">
        <v>717</v>
      </c>
      <c r="AB107" s="42" t="str">
        <f t="shared" si="15"/>
        <v xml:space="preserve">816000      </v>
      </c>
      <c r="AC107" s="42" t="str">
        <f t="shared" si="15"/>
        <v>SOFTWARE GESTIONALI</v>
      </c>
      <c r="AD107" s="42" t="str">
        <f t="shared" si="15"/>
        <v/>
      </c>
      <c r="AE107" s="42" t="str">
        <f t="shared" si="15"/>
        <v>DG SERVIZI PROFESSIONALI</v>
      </c>
      <c r="AF107" s="42" t="str">
        <f t="shared" si="16"/>
        <v/>
      </c>
      <c r="AG107" s="42" t="str">
        <f t="shared" si="16"/>
        <v>DG SERVIZI PROFESSIONALI</v>
      </c>
    </row>
    <row r="108" spans="1:33" x14ac:dyDescent="0.25">
      <c r="A108" s="102" t="s">
        <v>182</v>
      </c>
      <c r="B108" s="63" t="s">
        <v>206</v>
      </c>
      <c r="D108" s="34"/>
      <c r="E108" s="34"/>
      <c r="L108" s="42" t="str">
        <f>IF(AND('Pivot elenchi'!P107="",'Pivot elenchi'!P108=""),"",IF('Pivot elenchi'!P107="",'Pivot elenchi'!P106="",'Pivot elenchi'!P107))</f>
        <v xml:space="preserve">81800010    </v>
      </c>
      <c r="M108" s="42" t="str">
        <f>IF(AND('Pivot elenchi'!Q107="",'Pivot elenchi'!Q108=""),"",IF('Pivot elenchi'!Q107="",'Pivot elenchi'!Q106="",'Pivot elenchi'!Q107))</f>
        <v>REDAZIONE PARTNER 24 ORE FISCO</v>
      </c>
      <c r="N108" s="42" t="str">
        <f>IF(AND('Pivot elenchi'!R107="",'Pivot elenchi'!R108=""),"",IF('Pivot elenchi'!R107="",'Pivot elenchi'!R106="",'Pivot elenchi'!R107))</f>
        <v/>
      </c>
      <c r="O108" s="42" t="str">
        <f>IF(AND('Pivot elenchi'!S107="",'Pivot elenchi'!S108=""),"",IF('Pivot elenchi'!S107="",'Pivot elenchi'!S106="",'Pivot elenchi'!S107))</f>
        <v>AREA FISCO LAVORO</v>
      </c>
      <c r="P108" s="42" t="str">
        <f>IF(AND('Pivot elenchi'!T107="",'Pivot elenchi'!T108=""),"",IF('Pivot elenchi'!T107="",'Pivot elenchi'!T106="",'Pivot elenchi'!T107))</f>
        <v/>
      </c>
      <c r="Q108" s="42" t="str">
        <f>IF(AND('Pivot elenchi'!U107="",'Pivot elenchi'!U108=""),"",IF('Pivot elenchi'!U107="",'Pivot elenchi'!U106="",'Pivot elenchi'!U107))</f>
        <v>DG SERVIZI PROFESSIONALI E FORMAZIONE</v>
      </c>
      <c r="R108" t="s">
        <v>717</v>
      </c>
      <c r="AB108" s="42" t="str">
        <f t="shared" si="15"/>
        <v xml:space="preserve">81800010    </v>
      </c>
      <c r="AC108" s="42" t="str">
        <f t="shared" si="15"/>
        <v>REDAZIONE PARTNER 24 ORE FISCO</v>
      </c>
      <c r="AD108" s="42" t="str">
        <f t="shared" si="15"/>
        <v/>
      </c>
      <c r="AE108" s="42" t="str">
        <f t="shared" si="15"/>
        <v>AREA FISCO LAVORO</v>
      </c>
      <c r="AF108" s="42" t="str">
        <f t="shared" si="16"/>
        <v/>
      </c>
      <c r="AG108" s="42" t="str">
        <f t="shared" si="16"/>
        <v>DG SERVIZI PROFESSIONALI E FORMAZIONE</v>
      </c>
    </row>
    <row r="109" spans="1:33" x14ac:dyDescent="0.25">
      <c r="A109" s="100" t="s">
        <v>183</v>
      </c>
      <c r="B109" s="63" t="s">
        <v>207</v>
      </c>
      <c r="D109" s="34"/>
      <c r="E109" s="34"/>
      <c r="L109" s="42" t="str">
        <f>IF(AND('Pivot elenchi'!P108="",'Pivot elenchi'!P109=""),"",IF('Pivot elenchi'!P108="",'Pivot elenchi'!P107="",'Pivot elenchi'!P108))</f>
        <v xml:space="preserve">A16335      </v>
      </c>
      <c r="M109" s="42" t="str">
        <f>IF(AND('Pivot elenchi'!Q108="",'Pivot elenchi'!Q109=""),"",IF('Pivot elenchi'!Q108="",'Pivot elenchi'!Q107="",'Pivot elenchi'!Q108))</f>
        <v>RCO+ ECONOMIA E SERVIZI</v>
      </c>
      <c r="N109" s="42" t="str">
        <f>IF(AND('Pivot elenchi'!R108="",'Pivot elenchi'!R109=""),"",IF('Pivot elenchi'!R108="",'Pivot elenchi'!R107="",'Pivot elenchi'!R108))</f>
        <v/>
      </c>
      <c r="O109" s="42" t="str">
        <f>IF(AND('Pivot elenchi'!S108="",'Pivot elenchi'!S109=""),"",IF('Pivot elenchi'!S108="",'Pivot elenchi'!S107="",'Pivot elenchi'!S108))</f>
        <v>RCO+</v>
      </c>
      <c r="P109" s="42" t="str">
        <f>IF(AND('Pivot elenchi'!T108="",'Pivot elenchi'!T109=""),"",IF('Pivot elenchi'!T108="",'Pivot elenchi'!T107="",'Pivot elenchi'!T108))</f>
        <v/>
      </c>
      <c r="Q109" s="42" t="str">
        <f>IF(AND('Pivot elenchi'!U108="",'Pivot elenchi'!U109=""),"",IF('Pivot elenchi'!U108="",'Pivot elenchi'!U107="",'Pivot elenchi'!U108))</f>
        <v>REDAZIONI GIORNALISTICHE</v>
      </c>
      <c r="R109" t="s">
        <v>717</v>
      </c>
      <c r="AB109" s="42" t="str">
        <f t="shared" si="15"/>
        <v xml:space="preserve">A16335      </v>
      </c>
      <c r="AC109" s="42" t="str">
        <f t="shared" si="15"/>
        <v>RCO+ ECONOMIA E SERVIZI</v>
      </c>
      <c r="AD109" s="42" t="str">
        <f t="shared" si="15"/>
        <v/>
      </c>
      <c r="AE109" s="42" t="str">
        <f t="shared" si="15"/>
        <v>RCO+</v>
      </c>
      <c r="AF109" s="42" t="str">
        <f t="shared" si="16"/>
        <v/>
      </c>
      <c r="AG109" s="42" t="str">
        <f t="shared" si="16"/>
        <v>REDAZIONI GIORNALISTICHE</v>
      </c>
    </row>
    <row r="110" spans="1:33" x14ac:dyDescent="0.25">
      <c r="A110" s="62"/>
      <c r="B110" s="48"/>
      <c r="D110" s="34"/>
      <c r="E110" s="34"/>
      <c r="L110" s="42" t="str">
        <f>IF(AND('Pivot elenchi'!P109="",'Pivot elenchi'!P110=""),"",IF('Pivot elenchi'!P109="",'Pivot elenchi'!P108="",'Pivot elenchi'!P109))</f>
        <v xml:space="preserve">B1000030    </v>
      </c>
      <c r="M110" s="42" t="str">
        <f>IF(AND('Pivot elenchi'!Q109="",'Pivot elenchi'!Q110=""),"",IF('Pivot elenchi'!Q109="",'Pivot elenchi'!Q108="",'Pivot elenchi'!Q109))</f>
        <v>VENDITE PROFESSIONISTI E PA LOC</v>
      </c>
      <c r="N110" s="42" t="str">
        <f>IF(AND('Pivot elenchi'!R109="",'Pivot elenchi'!R110=""),"",IF('Pivot elenchi'!R109="",'Pivot elenchi'!R108="",'Pivot elenchi'!R109))</f>
        <v/>
      </c>
      <c r="O110" s="42" t="str">
        <f>IF(AND('Pivot elenchi'!S109="",'Pivot elenchi'!S110=""),"",IF('Pivot elenchi'!S109="",'Pivot elenchi'!S108="",'Pivot elenchi'!S109))</f>
        <v>DIR.COM. SERVIZI PROFESSIONALI</v>
      </c>
      <c r="P110" s="42" t="str">
        <f>IF(AND('Pivot elenchi'!T109="",'Pivot elenchi'!T110=""),"",IF('Pivot elenchi'!T109="",'Pivot elenchi'!T108="",'Pivot elenchi'!T109))</f>
        <v/>
      </c>
      <c r="Q110" s="42" t="str">
        <f>IF(AND('Pivot elenchi'!U109="",'Pivot elenchi'!U110=""),"",IF('Pivot elenchi'!U109="",'Pivot elenchi'!U108="",'Pivot elenchi'!U109))</f>
        <v>DG SERVIZI PROFESSIONALI E FORMAZIONE</v>
      </c>
      <c r="R110" t="s">
        <v>717</v>
      </c>
      <c r="AB110" s="42" t="str">
        <f t="shared" si="15"/>
        <v xml:space="preserve">B1000030    </v>
      </c>
      <c r="AC110" s="42" t="str">
        <f t="shared" si="15"/>
        <v>VENDITE PROFESSIONISTI E PA LOC</v>
      </c>
      <c r="AD110" s="42" t="str">
        <f t="shared" si="15"/>
        <v/>
      </c>
      <c r="AE110" s="42" t="str">
        <f t="shared" si="15"/>
        <v>DIR.COM. SERVIZI PROFESSIONALI</v>
      </c>
      <c r="AF110" s="42" t="str">
        <f t="shared" si="16"/>
        <v/>
      </c>
      <c r="AG110" s="42" t="str">
        <f t="shared" si="16"/>
        <v>DG SERVIZI PROFESSIONALI E FORMAZIONE</v>
      </c>
    </row>
    <row r="111" spans="1:33" x14ac:dyDescent="0.25">
      <c r="A111" s="62"/>
      <c r="B111" s="48"/>
      <c r="D111" s="34"/>
      <c r="E111" s="34"/>
      <c r="L111" s="42" t="str">
        <f>IF(AND('Pivot elenchi'!P110="",'Pivot elenchi'!P111=""),"",IF('Pivot elenchi'!P110="",'Pivot elenchi'!P109="",'Pivot elenchi'!P110))</f>
        <v xml:space="preserve">B10130      </v>
      </c>
      <c r="M111" s="42" t="str">
        <f>IF(AND('Pivot elenchi'!Q110="",'Pivot elenchi'!Q111=""),"",IF('Pivot elenchi'!Q110="",'Pivot elenchi'!Q109="",'Pivot elenchi'!Q110))</f>
        <v>SUPPORTO COMMERCIALE E SALES AC</v>
      </c>
      <c r="N111" s="42" t="str">
        <f>IF(AND('Pivot elenchi'!R110="",'Pivot elenchi'!R111=""),"",IF('Pivot elenchi'!R110="",'Pivot elenchi'!R109="",'Pivot elenchi'!R110))</f>
        <v/>
      </c>
      <c r="O111" s="42" t="str">
        <f>IF(AND('Pivot elenchi'!S110="",'Pivot elenchi'!S111=""),"",IF('Pivot elenchi'!S110="",'Pivot elenchi'!S109="",'Pivot elenchi'!S110))</f>
        <v>DIR.COM. SERVIZI PROFESSIONALI</v>
      </c>
      <c r="P111" s="42" t="str">
        <f>IF(AND('Pivot elenchi'!T110="",'Pivot elenchi'!T111=""),"",IF('Pivot elenchi'!T110="",'Pivot elenchi'!T109="",'Pivot elenchi'!T110))</f>
        <v/>
      </c>
      <c r="Q111" s="42" t="str">
        <f>IF(AND('Pivot elenchi'!U110="",'Pivot elenchi'!U111=""),"",IF('Pivot elenchi'!U110="",'Pivot elenchi'!U109="",'Pivot elenchi'!U110))</f>
        <v>DG SERVIZI PROFESSIONALI E FORMAZIONE</v>
      </c>
      <c r="R111" t="s">
        <v>717</v>
      </c>
      <c r="AB111" s="42" t="str">
        <f t="shared" si="15"/>
        <v xml:space="preserve">B10130      </v>
      </c>
      <c r="AC111" s="42" t="str">
        <f t="shared" si="15"/>
        <v>SUPPORTO COMMERCIALE E SALES AC</v>
      </c>
      <c r="AD111" s="42" t="str">
        <f t="shared" si="15"/>
        <v/>
      </c>
      <c r="AE111" s="42" t="str">
        <f t="shared" si="15"/>
        <v>DIR.COM. SERVIZI PROFESSIONALI</v>
      </c>
      <c r="AF111" s="42" t="str">
        <f t="shared" si="16"/>
        <v/>
      </c>
      <c r="AG111" s="42" t="str">
        <f t="shared" si="16"/>
        <v>DG SERVIZI PROFESSIONALI E FORMAZIONE</v>
      </c>
    </row>
    <row r="112" spans="1:33" x14ac:dyDescent="0.25">
      <c r="A112" s="62"/>
      <c r="B112" s="48"/>
      <c r="D112" s="34"/>
      <c r="E112" s="34"/>
      <c r="L112" s="42" t="str">
        <f>IF(AND('Pivot elenchi'!P111="",'Pivot elenchi'!P112=""),"",IF('Pivot elenchi'!P111="",'Pivot elenchi'!P110="",'Pivot elenchi'!P111))</f>
        <v xml:space="preserve">B10140      </v>
      </c>
      <c r="M112" s="42" t="str">
        <f>IF(AND('Pivot elenchi'!Q111="",'Pivot elenchi'!Q112=""),"",IF('Pivot elenchi'!Q111="",'Pivot elenchi'!Q110="",'Pivot elenchi'!Q111))</f>
        <v>SVILUPPO CANALI E INIZIATIVE SP</v>
      </c>
      <c r="N112" s="42" t="str">
        <f>IF(AND('Pivot elenchi'!R111="",'Pivot elenchi'!R112=""),"",IF('Pivot elenchi'!R111="",'Pivot elenchi'!R110="",'Pivot elenchi'!R111))</f>
        <v/>
      </c>
      <c r="O112" s="42" t="str">
        <f>IF(AND('Pivot elenchi'!S111="",'Pivot elenchi'!S112=""),"",IF('Pivot elenchi'!S111="",'Pivot elenchi'!S110="",'Pivot elenchi'!S111))</f>
        <v>OPERATIONS E CUSTOMER ENGAGEMENT</v>
      </c>
      <c r="P112" s="42" t="str">
        <f>IF(AND('Pivot elenchi'!T111="",'Pivot elenchi'!T112=""),"",IF('Pivot elenchi'!T111="",'Pivot elenchi'!T110="",'Pivot elenchi'!T111))</f>
        <v/>
      </c>
      <c r="Q112" s="42" t="str">
        <f>IF(AND('Pivot elenchi'!U111="",'Pivot elenchi'!U112=""),"",IF('Pivot elenchi'!U111="",'Pivot elenchi'!U110="",'Pivot elenchi'!U111))</f>
        <v>DG SERVIZI PROFESSIONALI E FORMAZIONE</v>
      </c>
      <c r="R112" t="s">
        <v>717</v>
      </c>
      <c r="AB112" s="42" t="str">
        <f t="shared" si="15"/>
        <v xml:space="preserve">B10140      </v>
      </c>
      <c r="AC112" s="42" t="str">
        <f t="shared" si="15"/>
        <v>SVILUPPO CANALI E INIZIATIVE SP</v>
      </c>
      <c r="AD112" s="42" t="str">
        <f t="shared" si="15"/>
        <v/>
      </c>
      <c r="AE112" s="42" t="str">
        <f t="shared" si="15"/>
        <v>OPERATIONS E CUSTOMER ENGAGEMENT</v>
      </c>
      <c r="AF112" s="42" t="str">
        <f t="shared" si="16"/>
        <v/>
      </c>
      <c r="AG112" s="42" t="str">
        <f t="shared" si="16"/>
        <v>DG SERVIZI PROFESSIONALI E FORMAZIONE</v>
      </c>
    </row>
    <row r="113" spans="4:33" x14ac:dyDescent="0.25">
      <c r="D113" s="34"/>
      <c r="E113" s="34"/>
      <c r="L113" s="42" t="str">
        <f>IF(AND('Pivot elenchi'!P112="",'Pivot elenchi'!P113=""),"",IF('Pivot elenchi'!P112="",'Pivot elenchi'!P111="",'Pivot elenchi'!P112))</f>
        <v xml:space="preserve">B1014010      </v>
      </c>
      <c r="M113" s="42" t="str">
        <f>IF(AND('Pivot elenchi'!Q112="",'Pivot elenchi'!Q113=""),"",IF('Pivot elenchi'!Q112="",'Pivot elenchi'!Q111="",'Pivot elenchi'!Q112))</f>
        <v>OPERATIONS E CUSTOMER ENGAGEMENT</v>
      </c>
      <c r="N113" s="42" t="str">
        <f>IF(AND('Pivot elenchi'!R112="",'Pivot elenchi'!R113=""),"",IF('Pivot elenchi'!R112="",'Pivot elenchi'!R111="",'Pivot elenchi'!R112))</f>
        <v/>
      </c>
      <c r="O113" s="42" t="str">
        <f>IF(AND('Pivot elenchi'!S112="",'Pivot elenchi'!S113=""),"",IF('Pivot elenchi'!S112="",'Pivot elenchi'!S111="",'Pivot elenchi'!S112))</f>
        <v>OPERATIONS E CUSTOMER ENGAGEMENT</v>
      </c>
      <c r="P113" s="42" t="str">
        <f>IF(AND('Pivot elenchi'!T112="",'Pivot elenchi'!T113=""),"",IF('Pivot elenchi'!T112="",'Pivot elenchi'!T111="",'Pivot elenchi'!T112))</f>
        <v/>
      </c>
      <c r="Q113" s="42" t="str">
        <f>IF(AND('Pivot elenchi'!U112="",'Pivot elenchi'!U113=""),"",IF('Pivot elenchi'!U112="",'Pivot elenchi'!U111="",'Pivot elenchi'!U112))</f>
        <v>DG SERVIZI PROFESSIONALI E FORMAZIONE</v>
      </c>
      <c r="R113" t="s">
        <v>717</v>
      </c>
      <c r="AB113" s="42" t="str">
        <f t="shared" si="15"/>
        <v xml:space="preserve">B1014010      </v>
      </c>
      <c r="AC113" s="42" t="str">
        <f t="shared" si="15"/>
        <v>OPERATIONS E CUSTOMER ENGAGEMENT</v>
      </c>
      <c r="AD113" s="42" t="str">
        <f t="shared" si="15"/>
        <v/>
      </c>
      <c r="AE113" s="42" t="str">
        <f t="shared" si="15"/>
        <v>OPERATIONS E CUSTOMER ENGAGEMENT</v>
      </c>
      <c r="AF113" s="42" t="str">
        <f t="shared" si="16"/>
        <v/>
      </c>
      <c r="AG113" s="42" t="str">
        <f t="shared" si="16"/>
        <v>DG SERVIZI PROFESSIONALI E FORMAZIONE</v>
      </c>
    </row>
    <row r="114" spans="4:33" x14ac:dyDescent="0.25">
      <c r="D114" s="34"/>
      <c r="E114" s="34"/>
      <c r="L114" s="42" t="str">
        <f>IF(AND('Pivot elenchi'!P113="",'Pivot elenchi'!P114=""),"",IF('Pivot elenchi'!P113="",'Pivot elenchi'!P112="",'Pivot elenchi'!P113))</f>
        <v xml:space="preserve">B13000      </v>
      </c>
      <c r="M114" s="42" t="str">
        <f>IF(AND('Pivot elenchi'!Q113="",'Pivot elenchi'!Q114=""),"",IF('Pivot elenchi'!Q113="",'Pivot elenchi'!Q112="",'Pivot elenchi'!Q113))</f>
        <v>BUSINESS DATA MANAGEMENT</v>
      </c>
      <c r="N114" s="42" t="str">
        <f>IF(AND('Pivot elenchi'!R113="",'Pivot elenchi'!R114=""),"",IF('Pivot elenchi'!R113="",'Pivot elenchi'!R112="",'Pivot elenchi'!R113))</f>
        <v/>
      </c>
      <c r="O114" s="42" t="str">
        <f>IF(AND('Pivot elenchi'!S113="",'Pivot elenchi'!S114=""),"",IF('Pivot elenchi'!S113="",'Pivot elenchi'!S112="",'Pivot elenchi'!S113))</f>
        <v>DG PUBLISHING &amp; DIGITAL</v>
      </c>
      <c r="P114" s="42" t="str">
        <f>IF(AND('Pivot elenchi'!T113="",'Pivot elenchi'!T114=""),"",IF('Pivot elenchi'!T113="",'Pivot elenchi'!T112="",'Pivot elenchi'!T113))</f>
        <v/>
      </c>
      <c r="Q114" s="42" t="str">
        <f>IF(AND('Pivot elenchi'!U113="",'Pivot elenchi'!U114=""),"",IF('Pivot elenchi'!U113="",'Pivot elenchi'!U112="",'Pivot elenchi'!U113))</f>
        <v>DG M&amp;B - DG PUBLISHING &amp; DIGITAL</v>
      </c>
      <c r="R114" t="s">
        <v>717</v>
      </c>
      <c r="AB114" s="42" t="str">
        <f t="shared" si="15"/>
        <v xml:space="preserve">B13000      </v>
      </c>
      <c r="AC114" s="42" t="str">
        <f t="shared" si="15"/>
        <v>BUSINESS DATA MANAGEMENT</v>
      </c>
      <c r="AD114" s="42" t="str">
        <f t="shared" si="15"/>
        <v/>
      </c>
      <c r="AE114" s="42" t="str">
        <f t="shared" si="15"/>
        <v>DG PUBLISHING &amp; DIGITAL</v>
      </c>
      <c r="AF114" s="42" t="str">
        <f t="shared" si="16"/>
        <v/>
      </c>
      <c r="AG114" s="42" t="str">
        <f t="shared" si="16"/>
        <v>DG M&amp;B - DG PUBLISHING &amp; DIGITAL</v>
      </c>
    </row>
    <row r="115" spans="4:33" x14ac:dyDescent="0.25">
      <c r="D115" s="34"/>
      <c r="E115" s="34"/>
      <c r="L115" s="42" t="str">
        <f>IF(AND('Pivot elenchi'!P114="",'Pivot elenchi'!P115=""),"",IF('Pivot elenchi'!P114="",'Pivot elenchi'!P113="",'Pivot elenchi'!P114))</f>
        <v xml:space="preserve">B14000      </v>
      </c>
      <c r="M115" s="42" t="str">
        <f>IF(AND('Pivot elenchi'!Q114="",'Pivot elenchi'!Q115=""),"",IF('Pivot elenchi'!Q114="",'Pivot elenchi'!Q113="",'Pivot elenchi'!Q114))</f>
        <v>COMUNICAZIONE E REL. ESTERNE</v>
      </c>
      <c r="N115" s="42" t="str">
        <f>IF(AND('Pivot elenchi'!R114="",'Pivot elenchi'!R115=""),"",IF('Pivot elenchi'!R114="",'Pivot elenchi'!R113="",'Pivot elenchi'!R114))</f>
        <v/>
      </c>
      <c r="O115" s="42" t="str">
        <f>IF(AND('Pivot elenchi'!S114="",'Pivot elenchi'!S115=""),"",IF('Pivot elenchi'!S114="",'Pivot elenchi'!S113="",'Pivot elenchi'!S114))</f>
        <v>COMUNICAZIONE E RELAZIONI ESTERNE</v>
      </c>
      <c r="P115" s="42" t="str">
        <f>IF(AND('Pivot elenchi'!T114="",'Pivot elenchi'!T115=""),"",IF('Pivot elenchi'!T114="",'Pivot elenchi'!T113="",'Pivot elenchi'!T114))</f>
        <v/>
      </c>
      <c r="Q115" s="42" t="str">
        <f>IF(AND('Pivot elenchi'!U114="",'Pivot elenchi'!U115=""),"",IF('Pivot elenchi'!U114="",'Pivot elenchi'!U113="",'Pivot elenchi'!U114))</f>
        <v>COMUNICAZIONE E RELAZIONI ESTERNE</v>
      </c>
      <c r="R115" t="s">
        <v>717</v>
      </c>
      <c r="AB115" s="42" t="str">
        <f t="shared" si="15"/>
        <v xml:space="preserve">B14000      </v>
      </c>
      <c r="AC115" s="42" t="str">
        <f t="shared" si="15"/>
        <v>COMUNICAZIONE E REL. ESTERNE</v>
      </c>
      <c r="AD115" s="42" t="str">
        <f t="shared" si="15"/>
        <v/>
      </c>
      <c r="AE115" s="42" t="str">
        <f t="shared" si="15"/>
        <v>COMUNICAZIONE E RELAZIONI ESTERNE</v>
      </c>
      <c r="AF115" s="42" t="str">
        <f t="shared" si="16"/>
        <v/>
      </c>
      <c r="AG115" s="42" t="str">
        <f t="shared" si="16"/>
        <v>COMUNICAZIONE E RELAZIONI ESTERNE</v>
      </c>
    </row>
    <row r="116" spans="4:33" x14ac:dyDescent="0.25">
      <c r="D116" s="34"/>
      <c r="E116" s="34"/>
      <c r="L116" s="42" t="str">
        <f>IF(AND('Pivot elenchi'!P115="",'Pivot elenchi'!P116=""),"",IF('Pivot elenchi'!P115="",'Pivot elenchi'!P114="",'Pivot elenchi'!P115))</f>
        <v xml:space="preserve">C11000      </v>
      </c>
      <c r="M116" s="42" t="str">
        <f>IF(AND('Pivot elenchi'!Q115="",'Pivot elenchi'!Q116=""),"",IF('Pivot elenchi'!Q115="",'Pivot elenchi'!Q114="",'Pivot elenchi'!Q115))</f>
        <v>AMMINISTRAZIONE VENDITE</v>
      </c>
      <c r="N116" s="42" t="str">
        <f>IF(AND('Pivot elenchi'!R115="",'Pivot elenchi'!R116=""),"",IF('Pivot elenchi'!R115="",'Pivot elenchi'!R114="",'Pivot elenchi'!R115))</f>
        <v/>
      </c>
      <c r="O116" s="42" t="str">
        <f>IF(AND('Pivot elenchi'!S115="",'Pivot elenchi'!S116=""),"",IF('Pivot elenchi'!S115="",'Pivot elenchi'!S114="",'Pivot elenchi'!S115))</f>
        <v>AMMINISTRAZIONE E BILANCIO</v>
      </c>
      <c r="P116" s="42" t="str">
        <f>IF(AND('Pivot elenchi'!T115="",'Pivot elenchi'!T116=""),"",IF('Pivot elenchi'!T115="",'Pivot elenchi'!T114="",'Pivot elenchi'!T115))</f>
        <v/>
      </c>
      <c r="Q116" s="42" t="str">
        <f>IF(AND('Pivot elenchi'!U115="",'Pivot elenchi'!U116=""),"",IF('Pivot elenchi'!U115="",'Pivot elenchi'!U114="",'Pivot elenchi'!U115))</f>
        <v>AMMINISTRAZIONE, FINANZA E CONTROLLO</v>
      </c>
      <c r="R116" t="s">
        <v>717</v>
      </c>
      <c r="AB116" s="42" t="str">
        <f t="shared" si="15"/>
        <v xml:space="preserve">C11000      </v>
      </c>
      <c r="AC116" s="42" t="str">
        <f t="shared" si="15"/>
        <v>AMMINISTRAZIONE VENDITE</v>
      </c>
      <c r="AD116" s="42" t="str">
        <f t="shared" si="15"/>
        <v/>
      </c>
      <c r="AE116" s="42" t="str">
        <f t="shared" si="15"/>
        <v>AMMINISTRAZIONE E BILANCIO</v>
      </c>
      <c r="AF116" s="42" t="str">
        <f t="shared" si="16"/>
        <v/>
      </c>
      <c r="AG116" s="42" t="str">
        <f t="shared" si="16"/>
        <v>AMMINISTRAZIONE, FINANZA E CONTROLLO</v>
      </c>
    </row>
    <row r="117" spans="4:33" x14ac:dyDescent="0.25">
      <c r="D117" s="34"/>
      <c r="E117" s="34"/>
      <c r="L117" s="42" t="str">
        <f>IF(AND('Pivot elenchi'!P116="",'Pivot elenchi'!P117=""),"",IF('Pivot elenchi'!P116="",'Pivot elenchi'!P115="",'Pivot elenchi'!P116))</f>
        <v xml:space="preserve">C11210      </v>
      </c>
      <c r="M117" s="42" t="str">
        <f>IF(AND('Pivot elenchi'!Q116="",'Pivot elenchi'!Q117=""),"",IF('Pivot elenchi'!Q116="",'Pivot elenchi'!Q115="",'Pivot elenchi'!Q116))</f>
        <v>GESTIONE ORDINI COMMERCIALI</v>
      </c>
      <c r="N117" s="42" t="str">
        <f>IF(AND('Pivot elenchi'!R116="",'Pivot elenchi'!R117=""),"",IF('Pivot elenchi'!R116="",'Pivot elenchi'!R115="",'Pivot elenchi'!R116))</f>
        <v/>
      </c>
      <c r="O117" s="42" t="str">
        <f>IF(AND('Pivot elenchi'!S116="",'Pivot elenchi'!S117=""),"",IF('Pivot elenchi'!S116="",'Pivot elenchi'!S115="",'Pivot elenchi'!S116))</f>
        <v>SYSTEM 24 - OPERATIONS</v>
      </c>
      <c r="P117" s="42" t="str">
        <f>IF(AND('Pivot elenchi'!T116="",'Pivot elenchi'!T117=""),"",IF('Pivot elenchi'!T116="",'Pivot elenchi'!T115="",'Pivot elenchi'!T116))</f>
        <v/>
      </c>
      <c r="Q117" s="42" t="str">
        <f>IF(AND('Pivot elenchi'!U116="",'Pivot elenchi'!U117=""),"",IF('Pivot elenchi'!U116="",'Pivot elenchi'!U115="",'Pivot elenchi'!U116))</f>
        <v>DG M&amp;B - DG SYSTEM 24</v>
      </c>
      <c r="R117" t="s">
        <v>717</v>
      </c>
      <c r="AB117" s="42" t="str">
        <f t="shared" si="15"/>
        <v xml:space="preserve">C11210      </v>
      </c>
      <c r="AC117" s="42" t="str">
        <f t="shared" si="15"/>
        <v>GESTIONE ORDINI COMMERCIALI</v>
      </c>
      <c r="AD117" s="42" t="str">
        <f t="shared" si="15"/>
        <v/>
      </c>
      <c r="AE117" s="42" t="str">
        <f t="shared" si="15"/>
        <v>SYSTEM 24 - OPERATIONS</v>
      </c>
      <c r="AF117" s="42" t="str">
        <f t="shared" si="16"/>
        <v/>
      </c>
      <c r="AG117" s="42" t="str">
        <f t="shared" si="16"/>
        <v>DG M&amp;B - DG SYSTEM 24</v>
      </c>
    </row>
    <row r="118" spans="4:33" x14ac:dyDescent="0.25">
      <c r="D118" s="34"/>
      <c r="E118" s="34"/>
      <c r="L118" s="42" t="str">
        <f>IF(AND('Pivot elenchi'!P117="",'Pivot elenchi'!P118=""),"",IF('Pivot elenchi'!P117="",'Pivot elenchi'!P116="",'Pivot elenchi'!P117))</f>
        <v xml:space="preserve">C12000      </v>
      </c>
      <c r="M118" s="42" t="str">
        <f>IF(AND('Pivot elenchi'!Q117="",'Pivot elenchi'!Q118=""),"",IF('Pivot elenchi'!Q117="",'Pivot elenchi'!Q116="",'Pivot elenchi'!Q117))</f>
        <v>PRODUCT MANAGEMENT</v>
      </c>
      <c r="N118" s="42" t="str">
        <f>IF(AND('Pivot elenchi'!R117="",'Pivot elenchi'!R118=""),"",IF('Pivot elenchi'!R117="",'Pivot elenchi'!R116="",'Pivot elenchi'!R117))</f>
        <v/>
      </c>
      <c r="O118" s="42" t="str">
        <f>IF(AND('Pivot elenchi'!S117="",'Pivot elenchi'!S118=""),"",IF('Pivot elenchi'!S117="",'Pivot elenchi'!S116="",'Pivot elenchi'!S117))</f>
        <v>MARKETING SERVIZI PROFESSIONALI</v>
      </c>
      <c r="P118" s="42" t="str">
        <f>IF(AND('Pivot elenchi'!T117="",'Pivot elenchi'!T118=""),"",IF('Pivot elenchi'!T117="",'Pivot elenchi'!T116="",'Pivot elenchi'!T117))</f>
        <v/>
      </c>
      <c r="Q118" s="42" t="str">
        <f>IF(AND('Pivot elenchi'!U117="",'Pivot elenchi'!U118=""),"",IF('Pivot elenchi'!U117="",'Pivot elenchi'!U116="",'Pivot elenchi'!U117))</f>
        <v>DG SERVIZI PROFESSIONALI E FORMAZIONE</v>
      </c>
      <c r="R118" t="s">
        <v>717</v>
      </c>
      <c r="AB118" s="42" t="str">
        <f t="shared" si="15"/>
        <v xml:space="preserve">C12000      </v>
      </c>
      <c r="AC118" s="42" t="str">
        <f t="shared" si="15"/>
        <v>PRODUCT MANAGEMENT</v>
      </c>
      <c r="AD118" s="42" t="str">
        <f t="shared" si="15"/>
        <v/>
      </c>
      <c r="AE118" s="42" t="str">
        <f t="shared" si="15"/>
        <v>MARKETING SERVIZI PROFESSIONALI</v>
      </c>
      <c r="AF118" s="42" t="str">
        <f t="shared" si="16"/>
        <v/>
      </c>
      <c r="AG118" s="42" t="str">
        <f t="shared" si="16"/>
        <v>DG SERVIZI PROFESSIONALI E FORMAZIONE</v>
      </c>
    </row>
    <row r="119" spans="4:33" x14ac:dyDescent="0.25">
      <c r="D119" s="34"/>
      <c r="E119" s="34"/>
      <c r="L119" s="42" t="str">
        <f>IF(AND('Pivot elenchi'!P118="",'Pivot elenchi'!P119=""),"",IF('Pivot elenchi'!P118="",'Pivot elenchi'!P117="",'Pivot elenchi'!P118))</f>
        <v xml:space="preserve">C13200      </v>
      </c>
      <c r="M119" s="42" t="str">
        <f>IF(AND('Pivot elenchi'!Q118="",'Pivot elenchi'!Q119=""),"",IF('Pivot elenchi'!Q118="",'Pivot elenchi'!Q117="",'Pivot elenchi'!Q118))</f>
        <v>CUSTOMER CARE</v>
      </c>
      <c r="N119" s="42" t="str">
        <f>IF(AND('Pivot elenchi'!R118="",'Pivot elenchi'!R119=""),"",IF('Pivot elenchi'!R118="",'Pivot elenchi'!R117="",'Pivot elenchi'!R118))</f>
        <v/>
      </c>
      <c r="O119" s="42" t="str">
        <f>IF(AND('Pivot elenchi'!S118="",'Pivot elenchi'!S119=""),"",IF('Pivot elenchi'!S118="",'Pivot elenchi'!S117="",'Pivot elenchi'!S118))</f>
        <v>OPERATIONS E CUSTOMER ENGAGEMENT</v>
      </c>
      <c r="P119" s="42" t="str">
        <f>IF(AND('Pivot elenchi'!T118="",'Pivot elenchi'!T119=""),"",IF('Pivot elenchi'!T118="",'Pivot elenchi'!T117="",'Pivot elenchi'!T118))</f>
        <v/>
      </c>
      <c r="Q119" s="42" t="str">
        <f>IF(AND('Pivot elenchi'!U118="",'Pivot elenchi'!U119=""),"",IF('Pivot elenchi'!U118="",'Pivot elenchi'!U117="",'Pivot elenchi'!U118))</f>
        <v>DG SERVIZI PROFESSIONALI E FORMAZIONE</v>
      </c>
      <c r="R119" t="s">
        <v>717</v>
      </c>
      <c r="AB119" s="42" t="str">
        <f t="shared" si="15"/>
        <v xml:space="preserve">C13200      </v>
      </c>
      <c r="AC119" s="42" t="str">
        <f t="shared" si="15"/>
        <v>CUSTOMER CARE</v>
      </c>
      <c r="AD119" s="42" t="str">
        <f t="shared" si="15"/>
        <v/>
      </c>
      <c r="AE119" s="42" t="str">
        <f t="shared" si="15"/>
        <v>OPERATIONS E CUSTOMER ENGAGEMENT</v>
      </c>
      <c r="AF119" s="42" t="str">
        <f t="shared" si="16"/>
        <v/>
      </c>
      <c r="AG119" s="42" t="str">
        <f t="shared" si="16"/>
        <v>DG SERVIZI PROFESSIONALI E FORMAZIONE</v>
      </c>
    </row>
    <row r="120" spans="4:33" x14ac:dyDescent="0.25">
      <c r="L120" s="42" t="str">
        <f>IF(AND('Pivot elenchi'!P119="",'Pivot elenchi'!P120=""),"",IF('Pivot elenchi'!P119="",'Pivot elenchi'!P118="",'Pivot elenchi'!P119))</f>
        <v>E11000</v>
      </c>
      <c r="M120" s="42" t="str">
        <f>IF(AND('Pivot elenchi'!Q119="",'Pivot elenchi'!Q120=""),"",IF('Pivot elenchi'!Q119="",'Pivot elenchi'!Q118="",'Pivot elenchi'!Q119))</f>
        <v>FINANCIAL SERVICES</v>
      </c>
      <c r="N120" s="42" t="str">
        <f>IF(AND('Pivot elenchi'!R119="",'Pivot elenchi'!R120=""),"",IF('Pivot elenchi'!R119="",'Pivot elenchi'!R118="",'Pivot elenchi'!R119))</f>
        <v/>
      </c>
      <c r="O120" s="42" t="str">
        <f>IF(AND('Pivot elenchi'!S119="",'Pivot elenchi'!S120=""),"",IF('Pivot elenchi'!S119="",'Pivot elenchi'!S118="",'Pivot elenchi'!S119))</f>
        <v>AREA FINANCIAL SERVICES</v>
      </c>
      <c r="P120" s="42" t="str">
        <f>IF(AND('Pivot elenchi'!T119="",'Pivot elenchi'!T120=""),"",IF('Pivot elenchi'!T119="",'Pivot elenchi'!T118="",'Pivot elenchi'!T119))</f>
        <v/>
      </c>
      <c r="Q120" s="42" t="str">
        <f>IF(AND('Pivot elenchi'!U119="",'Pivot elenchi'!U120=""),"",IF('Pivot elenchi'!U119="",'Pivot elenchi'!U118="",'Pivot elenchi'!U119))</f>
        <v>DG SERVIZI PROFESSIONALI E FORMAZIONE</v>
      </c>
      <c r="R120" t="s">
        <v>717</v>
      </c>
      <c r="AB120" s="42" t="str">
        <f t="shared" si="15"/>
        <v>E11000</v>
      </c>
      <c r="AC120" s="42" t="str">
        <f t="shared" si="15"/>
        <v>FINANCIAL SERVICES</v>
      </c>
      <c r="AD120" s="42" t="str">
        <f t="shared" si="15"/>
        <v/>
      </c>
      <c r="AE120" s="42" t="str">
        <f t="shared" si="15"/>
        <v>AREA FINANCIAL SERVICES</v>
      </c>
      <c r="AF120" s="42" t="str">
        <f t="shared" si="16"/>
        <v/>
      </c>
      <c r="AG120" s="42" t="str">
        <f t="shared" si="16"/>
        <v>DG SERVIZI PROFESSIONALI E FORMAZIONE</v>
      </c>
    </row>
    <row r="121" spans="4:33" x14ac:dyDescent="0.25">
      <c r="L121" s="42" t="str">
        <f>IF(AND('Pivot elenchi'!P120="",'Pivot elenchi'!P121=""),"",IF('Pivot elenchi'!P120="",'Pivot elenchi'!P119="",'Pivot elenchi'!P120))</f>
        <v xml:space="preserve">E11010      </v>
      </c>
      <c r="M121" s="42" t="str">
        <f>IF(AND('Pivot elenchi'!Q120="",'Pivot elenchi'!Q121=""),"",IF('Pivot elenchi'!Q120="",'Pivot elenchi'!Q119="",'Pivot elenchi'!Q120))</f>
        <v>REDAZIONE ESPERTO RISPONDE</v>
      </c>
      <c r="N121" s="42" t="str">
        <f>IF(AND('Pivot elenchi'!R120="",'Pivot elenchi'!R121=""),"",IF('Pivot elenchi'!R120="",'Pivot elenchi'!R119="",'Pivot elenchi'!R120))</f>
        <v/>
      </c>
      <c r="O121" s="42" t="str">
        <f>IF(AND('Pivot elenchi'!S120="",'Pivot elenchi'!S121=""),"",IF('Pivot elenchi'!S120="",'Pivot elenchi'!S119="",'Pivot elenchi'!S120))</f>
        <v>AREA FISCO LAVORO</v>
      </c>
      <c r="P121" s="42" t="str">
        <f>IF(AND('Pivot elenchi'!T120="",'Pivot elenchi'!T121=""),"",IF('Pivot elenchi'!T120="",'Pivot elenchi'!T119="",'Pivot elenchi'!T120))</f>
        <v/>
      </c>
      <c r="Q121" s="42" t="str">
        <f>IF(AND('Pivot elenchi'!U120="",'Pivot elenchi'!U121=""),"",IF('Pivot elenchi'!U120="",'Pivot elenchi'!U119="",'Pivot elenchi'!U120))</f>
        <v>DG SERVIZI PROFESSIONALI E FORMAZIONE</v>
      </c>
      <c r="R121" t="s">
        <v>717</v>
      </c>
      <c r="AB121" s="42" t="str">
        <f t="shared" si="15"/>
        <v xml:space="preserve">E11010      </v>
      </c>
      <c r="AC121" s="42" t="str">
        <f t="shared" si="15"/>
        <v>REDAZIONE ESPERTO RISPONDE</v>
      </c>
      <c r="AD121" s="42" t="str">
        <f t="shared" si="15"/>
        <v/>
      </c>
      <c r="AE121" s="42" t="str">
        <f t="shared" si="15"/>
        <v>AREA FISCO LAVORO</v>
      </c>
      <c r="AF121" s="42" t="str">
        <f t="shared" si="16"/>
        <v/>
      </c>
      <c r="AG121" s="42" t="str">
        <f t="shared" si="16"/>
        <v>DG SERVIZI PROFESSIONALI E FORMAZIONE</v>
      </c>
    </row>
    <row r="122" spans="4:33" x14ac:dyDescent="0.25">
      <c r="L122" s="42" t="str">
        <f>IF(AND('Pivot elenchi'!P121="",'Pivot elenchi'!P122=""),"",IF('Pivot elenchi'!P121="",'Pivot elenchi'!P120="",'Pivot elenchi'!P121))</f>
        <v xml:space="preserve">F15000      </v>
      </c>
      <c r="M122" s="42" t="str">
        <f>IF(AND('Pivot elenchi'!Q121="",'Pivot elenchi'!Q122=""),"",IF('Pivot elenchi'!Q121="",'Pivot elenchi'!Q120="",'Pivot elenchi'!Q121))</f>
        <v>PRODOTTI SETTORE FINANZA</v>
      </c>
      <c r="N122" s="42" t="str">
        <f>IF(AND('Pivot elenchi'!R121="",'Pivot elenchi'!R122=""),"",IF('Pivot elenchi'!R121="",'Pivot elenchi'!R120="",'Pivot elenchi'!R121))</f>
        <v/>
      </c>
      <c r="O122" s="42" t="str">
        <f>IF(AND('Pivot elenchi'!S121="",'Pivot elenchi'!S122=""),"",IF('Pivot elenchi'!S121="",'Pivot elenchi'!S120="",'Pivot elenchi'!S121))</f>
        <v>AREA FINANCIAL SERVICES</v>
      </c>
      <c r="P122" s="42" t="str">
        <f>IF(AND('Pivot elenchi'!T121="",'Pivot elenchi'!T122=""),"",IF('Pivot elenchi'!T121="",'Pivot elenchi'!T120="",'Pivot elenchi'!T121))</f>
        <v/>
      </c>
      <c r="Q122" s="42" t="str">
        <f>IF(AND('Pivot elenchi'!U121="",'Pivot elenchi'!U122=""),"",IF('Pivot elenchi'!U121="",'Pivot elenchi'!U120="",'Pivot elenchi'!U121))</f>
        <v>DG SERVIZI PROFESSIONALI E FORMAZIONE</v>
      </c>
      <c r="R122" t="s">
        <v>717</v>
      </c>
      <c r="AB122" s="42" t="str">
        <f t="shared" si="15"/>
        <v xml:space="preserve">F15000      </v>
      </c>
      <c r="AC122" s="42" t="str">
        <f t="shared" si="15"/>
        <v>PRODOTTI SETTORE FINANZA</v>
      </c>
      <c r="AD122" s="42" t="str">
        <f t="shared" si="15"/>
        <v/>
      </c>
      <c r="AE122" s="42" t="str">
        <f t="shared" si="15"/>
        <v>AREA FINANCIAL SERVICES</v>
      </c>
      <c r="AF122" s="42" t="str">
        <f t="shared" si="16"/>
        <v/>
      </c>
      <c r="AG122" s="42" t="str">
        <f t="shared" si="16"/>
        <v>DG SERVIZI PROFESSIONALI E FORMAZIONE</v>
      </c>
    </row>
    <row r="123" spans="4:33" x14ac:dyDescent="0.25">
      <c r="L123" s="42" t="str">
        <f>IF(AND('Pivot elenchi'!P122="",'Pivot elenchi'!P123=""),"",IF('Pivot elenchi'!P122="",'Pivot elenchi'!P121="",'Pivot elenchi'!P122))</f>
        <v xml:space="preserve">F1500010      </v>
      </c>
      <c r="M123" s="42" t="str">
        <f>IF(AND('Pivot elenchi'!Q122="",'Pivot elenchi'!Q123=""),"",IF('Pivot elenchi'!Q122="",'Pivot elenchi'!Q121="",'Pivot elenchi'!Q122))</f>
        <v>STUDI E ANALISI</v>
      </c>
      <c r="N123" s="42" t="str">
        <f>IF(AND('Pivot elenchi'!R122="",'Pivot elenchi'!R123=""),"",IF('Pivot elenchi'!R122="",'Pivot elenchi'!R121="",'Pivot elenchi'!R122))</f>
        <v/>
      </c>
      <c r="O123" s="42" t="str">
        <f>IF(AND('Pivot elenchi'!S122="",'Pivot elenchi'!S123=""),"",IF('Pivot elenchi'!S122="",'Pivot elenchi'!S121="",'Pivot elenchi'!S122))</f>
        <v>AREA FINANCIAL SERVICES</v>
      </c>
      <c r="P123" s="42" t="str">
        <f>IF(AND('Pivot elenchi'!T122="",'Pivot elenchi'!T123=""),"",IF('Pivot elenchi'!T122="",'Pivot elenchi'!T121="",'Pivot elenchi'!T122))</f>
        <v/>
      </c>
      <c r="Q123" s="42" t="str">
        <f>IF(AND('Pivot elenchi'!U122="",'Pivot elenchi'!U123=""),"",IF('Pivot elenchi'!U122="",'Pivot elenchi'!U121="",'Pivot elenchi'!U122))</f>
        <v>DG SERVIZI PROFESSIONALI E FORMAZIONE</v>
      </c>
      <c r="R123" t="s">
        <v>717</v>
      </c>
      <c r="AB123" s="42" t="str">
        <f t="shared" si="15"/>
        <v xml:space="preserve">F1500010      </v>
      </c>
      <c r="AC123" s="42" t="str">
        <f t="shared" si="15"/>
        <v>STUDI E ANALISI</v>
      </c>
      <c r="AD123" s="42" t="str">
        <f t="shared" si="15"/>
        <v/>
      </c>
      <c r="AE123" s="42" t="str">
        <f t="shared" si="15"/>
        <v>AREA FINANCIAL SERVICES</v>
      </c>
      <c r="AF123" s="42" t="str">
        <f t="shared" si="16"/>
        <v/>
      </c>
      <c r="AG123" s="42" t="str">
        <f t="shared" si="16"/>
        <v>DG SERVIZI PROFESSIONALI E FORMAZIONE</v>
      </c>
    </row>
    <row r="124" spans="4:33" x14ac:dyDescent="0.25">
      <c r="L124" s="42" t="str">
        <f>IF(AND('Pivot elenchi'!P123="",'Pivot elenchi'!P124=""),"",IF('Pivot elenchi'!P123="",'Pivot elenchi'!P122="",'Pivot elenchi'!P123))</f>
        <v xml:space="preserve">F16000      </v>
      </c>
      <c r="M124" s="42" t="str">
        <f>IF(AND('Pivot elenchi'!Q123="",'Pivot elenchi'!Q124=""),"",IF('Pivot elenchi'!Q123="",'Pivot elenchi'!Q122="",'Pivot elenchi'!Q123))</f>
        <v>MARKETING SVILUPPO DIGITALE</v>
      </c>
      <c r="N124" s="42" t="str">
        <f>IF(AND('Pivot elenchi'!R123="",'Pivot elenchi'!R124=""),"",IF('Pivot elenchi'!R123="",'Pivot elenchi'!R122="",'Pivot elenchi'!R123))</f>
        <v/>
      </c>
      <c r="O124" s="42" t="str">
        <f>IF(AND('Pivot elenchi'!S123="",'Pivot elenchi'!S124=""),"",IF('Pivot elenchi'!S123="",'Pivot elenchi'!S122="",'Pivot elenchi'!S123))</f>
        <v>DG PUBLISHING &amp; DIGITAL</v>
      </c>
      <c r="P124" s="42" t="str">
        <f>IF(AND('Pivot elenchi'!T123="",'Pivot elenchi'!T124=""),"",IF('Pivot elenchi'!T123="",'Pivot elenchi'!T122="",'Pivot elenchi'!T123))</f>
        <v/>
      </c>
      <c r="Q124" s="42" t="str">
        <f>IF(AND('Pivot elenchi'!U123="",'Pivot elenchi'!U124=""),"",IF('Pivot elenchi'!U123="",'Pivot elenchi'!U122="",'Pivot elenchi'!U123))</f>
        <v>DG M&amp;B - DG PUBLISHING &amp; DIGITAL</v>
      </c>
      <c r="R124" t="s">
        <v>717</v>
      </c>
      <c r="AB124" s="42" t="str">
        <f t="shared" si="15"/>
        <v xml:space="preserve">F16000      </v>
      </c>
      <c r="AC124" s="42" t="str">
        <f t="shared" si="15"/>
        <v>MARKETING SVILUPPO DIGITALE</v>
      </c>
      <c r="AD124" s="42" t="str">
        <f t="shared" si="15"/>
        <v/>
      </c>
      <c r="AE124" s="42" t="str">
        <f t="shared" si="15"/>
        <v>DG PUBLISHING &amp; DIGITAL</v>
      </c>
      <c r="AF124" s="42" t="str">
        <f t="shared" si="16"/>
        <v/>
      </c>
      <c r="AG124" s="42" t="str">
        <f t="shared" si="16"/>
        <v>DG M&amp;B - DG PUBLISHING &amp; DIGITAL</v>
      </c>
    </row>
    <row r="125" spans="4:33" x14ac:dyDescent="0.25">
      <c r="L125" s="42" t="str">
        <f>IF(AND('Pivot elenchi'!P124="",'Pivot elenchi'!P125=""),"",IF('Pivot elenchi'!P124="",'Pivot elenchi'!P123="",'Pivot elenchi'!P124))</f>
        <v xml:space="preserve">F1600010    </v>
      </c>
      <c r="M125" s="42" t="str">
        <f>IF(AND('Pivot elenchi'!Q124="",'Pivot elenchi'!Q125=""),"",IF('Pivot elenchi'!Q124="",'Pivot elenchi'!Q123="",'Pivot elenchi'!Q124))</f>
        <v>E-COMMERCE</v>
      </c>
      <c r="N125" s="42" t="str">
        <f>IF(AND('Pivot elenchi'!R124="",'Pivot elenchi'!R125=""),"",IF('Pivot elenchi'!R124="",'Pivot elenchi'!R123="",'Pivot elenchi'!R124))</f>
        <v/>
      </c>
      <c r="O125" s="42" t="str">
        <f>IF(AND('Pivot elenchi'!S124="",'Pivot elenchi'!S125=""),"",IF('Pivot elenchi'!S124="",'Pivot elenchi'!S123="",'Pivot elenchi'!S124))</f>
        <v>DG PUBLISHING &amp; DIGITAL</v>
      </c>
      <c r="P125" s="42" t="str">
        <f>IF(AND('Pivot elenchi'!T124="",'Pivot elenchi'!T125=""),"",IF('Pivot elenchi'!T124="",'Pivot elenchi'!T123="",'Pivot elenchi'!T124))</f>
        <v/>
      </c>
      <c r="Q125" s="42" t="str">
        <f>IF(AND('Pivot elenchi'!U124="",'Pivot elenchi'!U125=""),"",IF('Pivot elenchi'!U124="",'Pivot elenchi'!U123="",'Pivot elenchi'!U124))</f>
        <v>DG M&amp;B - DG PUBLISHING &amp; DIGITAL</v>
      </c>
      <c r="R125" t="s">
        <v>717</v>
      </c>
      <c r="AB125" s="42" t="str">
        <f t="shared" si="15"/>
        <v xml:space="preserve">F1600010    </v>
      </c>
      <c r="AC125" s="42" t="str">
        <f t="shared" si="15"/>
        <v>E-COMMERCE</v>
      </c>
      <c r="AD125" s="42" t="str">
        <f t="shared" si="15"/>
        <v/>
      </c>
      <c r="AE125" s="42" t="str">
        <f t="shared" si="15"/>
        <v>DG PUBLISHING &amp; DIGITAL</v>
      </c>
      <c r="AF125" s="42" t="str">
        <f t="shared" si="16"/>
        <v/>
      </c>
      <c r="AG125" s="42" t="str">
        <f t="shared" si="16"/>
        <v>DG M&amp;B - DG PUBLISHING &amp; DIGITAL</v>
      </c>
    </row>
    <row r="126" spans="4:33" x14ac:dyDescent="0.25">
      <c r="L126" s="42" t="str">
        <f>IF(AND('Pivot elenchi'!P125="",'Pivot elenchi'!P126=""),"",IF('Pivot elenchi'!P125="",'Pivot elenchi'!P124="",'Pivot elenchi'!P125))</f>
        <v xml:space="preserve">G12000      </v>
      </c>
      <c r="M126" s="42" t="str">
        <f>IF(AND('Pivot elenchi'!Q125="",'Pivot elenchi'!Q126=""),"",IF('Pivot elenchi'!Q125="",'Pivot elenchi'!Q124="",'Pivot elenchi'!Q125))</f>
        <v>REDAZIONE AREE TECNICHE E P.A.</v>
      </c>
      <c r="N126" s="42" t="str">
        <f>IF(AND('Pivot elenchi'!R125="",'Pivot elenchi'!R126=""),"",IF('Pivot elenchi'!R125="",'Pivot elenchi'!R124="",'Pivot elenchi'!R125))</f>
        <v/>
      </c>
      <c r="O126" s="42" t="str">
        <f>IF(AND('Pivot elenchi'!S125="",'Pivot elenchi'!S126=""),"",IF('Pivot elenchi'!S125="",'Pivot elenchi'!S124="",'Pivot elenchi'!S125))</f>
        <v>AREA DIRITTO, TECNICI, PA E FONTI NO</v>
      </c>
      <c r="P126" s="42" t="str">
        <f>IF(AND('Pivot elenchi'!T125="",'Pivot elenchi'!T126=""),"",IF('Pivot elenchi'!T125="",'Pivot elenchi'!T124="",'Pivot elenchi'!T125))</f>
        <v/>
      </c>
      <c r="Q126" s="42" t="str">
        <f>IF(AND('Pivot elenchi'!U125="",'Pivot elenchi'!U126=""),"",IF('Pivot elenchi'!U125="",'Pivot elenchi'!U124="",'Pivot elenchi'!U125))</f>
        <v>DG SERVIZI PROFESSIONALI E FORMAZIONE</v>
      </c>
      <c r="R126" t="s">
        <v>717</v>
      </c>
      <c r="AB126" s="42" t="str">
        <f t="shared" si="15"/>
        <v xml:space="preserve">G12000      </v>
      </c>
      <c r="AC126" s="42" t="str">
        <f t="shared" si="15"/>
        <v>REDAZIONE AREE TECNICHE E P.A.</v>
      </c>
      <c r="AD126" s="42" t="str">
        <f t="shared" si="15"/>
        <v/>
      </c>
      <c r="AE126" s="42" t="str">
        <f t="shared" si="15"/>
        <v>AREA DIRITTO, TECNICI, PA E FONTI NO</v>
      </c>
      <c r="AF126" s="42" t="str">
        <f t="shared" si="16"/>
        <v/>
      </c>
      <c r="AG126" s="42" t="str">
        <f t="shared" si="16"/>
        <v>DG SERVIZI PROFESSIONALI E FORMAZIONE</v>
      </c>
    </row>
    <row r="127" spans="4:33" x14ac:dyDescent="0.25">
      <c r="L127" s="42" t="str">
        <f>IF(AND('Pivot elenchi'!P126="",'Pivot elenchi'!P127=""),"",IF('Pivot elenchi'!P126="",'Pivot elenchi'!P125="",'Pivot elenchi'!P126))</f>
        <v xml:space="preserve">G1240010    </v>
      </c>
      <c r="M127" s="42" t="str">
        <f>IF(AND('Pivot elenchi'!Q126="",'Pivot elenchi'!Q127=""),"",IF('Pivot elenchi'!Q126="",'Pivot elenchi'!Q125="",'Pivot elenchi'!Q126))</f>
        <v>PIATTAFORME INFORMATIVE BUS.DEV</v>
      </c>
      <c r="N127" s="42" t="str">
        <f>IF(AND('Pivot elenchi'!R126="",'Pivot elenchi'!R127=""),"",IF('Pivot elenchi'!R126="",'Pivot elenchi'!R125="",'Pivot elenchi'!R126))</f>
        <v/>
      </c>
      <c r="O127" s="42" t="str">
        <f>IF(AND('Pivot elenchi'!S126="",'Pivot elenchi'!S127=""),"",IF('Pivot elenchi'!S126="",'Pivot elenchi'!S125="",'Pivot elenchi'!S126))</f>
        <v>Business Development – Radiocor Plus</v>
      </c>
      <c r="P127" s="42" t="str">
        <f>IF(AND('Pivot elenchi'!T126="",'Pivot elenchi'!T127=""),"",IF('Pivot elenchi'!T126="",'Pivot elenchi'!T125="",'Pivot elenchi'!T126))</f>
        <v/>
      </c>
      <c r="Q127" s="42" t="str">
        <f>IF(AND('Pivot elenchi'!U126="",'Pivot elenchi'!U127=""),"",IF('Pivot elenchi'!U126="",'Pivot elenchi'!U125="",'Pivot elenchi'!U126))</f>
        <v>DG M&amp;B - Business Development – Radiocor Plus</v>
      </c>
      <c r="R127" t="s">
        <v>717</v>
      </c>
      <c r="AB127" s="42" t="str">
        <f t="shared" si="15"/>
        <v xml:space="preserve">G1240010    </v>
      </c>
      <c r="AC127" s="42" t="str">
        <f t="shared" si="15"/>
        <v>PIATTAFORME INFORMATIVE BUS.DEV</v>
      </c>
      <c r="AD127" s="42" t="str">
        <f t="shared" si="15"/>
        <v/>
      </c>
      <c r="AE127" s="42" t="str">
        <f t="shared" si="15"/>
        <v>Business Development – Radiocor Plus</v>
      </c>
      <c r="AF127" s="42" t="str">
        <f t="shared" si="16"/>
        <v/>
      </c>
      <c r="AG127" s="42" t="str">
        <f t="shared" si="16"/>
        <v>DG M&amp;B - Business Development – Radiocor Plus</v>
      </c>
    </row>
    <row r="128" spans="4:33" x14ac:dyDescent="0.25">
      <c r="L128" s="42" t="str">
        <f>IF(AND('Pivot elenchi'!P127="",'Pivot elenchi'!P128=""),"",IF('Pivot elenchi'!P127="",'Pivot elenchi'!P126="",'Pivot elenchi'!P127))</f>
        <v xml:space="preserve">G1240020    </v>
      </c>
      <c r="M128" s="42" t="str">
        <f>IF(AND('Pivot elenchi'!Q127="",'Pivot elenchi'!Q128=""),"",IF('Pivot elenchi'!Q127="",'Pivot elenchi'!Q126="",'Pivot elenchi'!Q127))</f>
        <v>SOLUZIONI RADIOCOR</v>
      </c>
      <c r="N128" s="42" t="str">
        <f>IF(AND('Pivot elenchi'!R127="",'Pivot elenchi'!R128=""),"",IF('Pivot elenchi'!R127="",'Pivot elenchi'!R126="",'Pivot elenchi'!R127))</f>
        <v/>
      </c>
      <c r="O128" s="42" t="str">
        <f>IF(AND('Pivot elenchi'!S127="",'Pivot elenchi'!S128=""),"",IF('Pivot elenchi'!S127="",'Pivot elenchi'!S126="",'Pivot elenchi'!S127))</f>
        <v>Business Development – Radiocor Plus</v>
      </c>
      <c r="P128" s="42" t="str">
        <f>IF(AND('Pivot elenchi'!T127="",'Pivot elenchi'!T128=""),"",IF('Pivot elenchi'!T127="",'Pivot elenchi'!T126="",'Pivot elenchi'!T127))</f>
        <v/>
      </c>
      <c r="Q128" s="42" t="str">
        <f>IF(AND('Pivot elenchi'!U127="",'Pivot elenchi'!U128=""),"",IF('Pivot elenchi'!U127="",'Pivot elenchi'!U126="",'Pivot elenchi'!U127))</f>
        <v>DG M&amp;B - Business Development – Radiocor Plus</v>
      </c>
      <c r="R128" t="s">
        <v>717</v>
      </c>
      <c r="AB128" s="42" t="str">
        <f t="shared" si="15"/>
        <v xml:space="preserve">G1240020    </v>
      </c>
      <c r="AC128" s="42" t="str">
        <f t="shared" si="15"/>
        <v>SOLUZIONI RADIOCOR</v>
      </c>
      <c r="AD128" s="42" t="str">
        <f t="shared" si="15"/>
        <v/>
      </c>
      <c r="AE128" s="42" t="str">
        <f t="shared" si="15"/>
        <v>Business Development – Radiocor Plus</v>
      </c>
      <c r="AF128" s="42" t="str">
        <f t="shared" si="16"/>
        <v/>
      </c>
      <c r="AG128" s="42" t="str">
        <f t="shared" si="16"/>
        <v>DG M&amp;B - Business Development – Radiocor Plus</v>
      </c>
    </row>
    <row r="129" spans="1:33" x14ac:dyDescent="0.25">
      <c r="A129" s="53" t="str">
        <f>IF('Scheda Movimento'!B42="","",'Scheda Movimento'!B42)</f>
        <v/>
      </c>
      <c r="B129" s="54" t="str">
        <f>IF(A129="","",VLOOKUP(A129,A131:B133,2,FALSE))</f>
        <v/>
      </c>
      <c r="L129" s="42" t="str">
        <f>IF(AND('Pivot elenchi'!P128="",'Pivot elenchi'!P129=""),"",IF('Pivot elenchi'!P128="",'Pivot elenchi'!P127="",'Pivot elenchi'!P128))</f>
        <v xml:space="preserve">G1240030    </v>
      </c>
      <c r="M129" s="42" t="str">
        <f>IF(AND('Pivot elenchi'!Q128="",'Pivot elenchi'!Q129=""),"",IF('Pivot elenchi'!Q128="",'Pivot elenchi'!Q127="",'Pivot elenchi'!Q128))</f>
        <v>PRODOTTI PERSONALIZZATI</v>
      </c>
      <c r="N129" s="42" t="str">
        <f>IF(AND('Pivot elenchi'!R128="",'Pivot elenchi'!R129=""),"",IF('Pivot elenchi'!R128="",'Pivot elenchi'!R127="",'Pivot elenchi'!R128))</f>
        <v/>
      </c>
      <c r="O129" s="42" t="str">
        <f>IF(AND('Pivot elenchi'!S128="",'Pivot elenchi'!S129=""),"",IF('Pivot elenchi'!S128="",'Pivot elenchi'!S127="",'Pivot elenchi'!S128))</f>
        <v>Business Development – Radiocor Plus</v>
      </c>
      <c r="P129" s="42" t="str">
        <f>IF(AND('Pivot elenchi'!T128="",'Pivot elenchi'!T129=""),"",IF('Pivot elenchi'!T128="",'Pivot elenchi'!T127="",'Pivot elenchi'!T128))</f>
        <v/>
      </c>
      <c r="Q129" s="42" t="str">
        <f>IF(AND('Pivot elenchi'!U128="",'Pivot elenchi'!U129=""),"",IF('Pivot elenchi'!U128="",'Pivot elenchi'!U127="",'Pivot elenchi'!U128))</f>
        <v>DG M&amp;B - Business Development – Radiocor Plus</v>
      </c>
      <c r="R129" t="s">
        <v>717</v>
      </c>
      <c r="AB129" s="42" t="str">
        <f t="shared" si="15"/>
        <v xml:space="preserve">G1240030    </v>
      </c>
      <c r="AC129" s="42" t="str">
        <f t="shared" si="15"/>
        <v>PRODOTTI PERSONALIZZATI</v>
      </c>
      <c r="AD129" s="42" t="str">
        <f t="shared" si="15"/>
        <v/>
      </c>
      <c r="AE129" s="42" t="str">
        <f t="shared" si="15"/>
        <v>Business Development – Radiocor Plus</v>
      </c>
      <c r="AF129" s="42" t="str">
        <f t="shared" si="16"/>
        <v/>
      </c>
      <c r="AG129" s="42" t="str">
        <f t="shared" si="16"/>
        <v>DG M&amp;B - Business Development – Radiocor Plus</v>
      </c>
    </row>
    <row r="130" spans="1:33" x14ac:dyDescent="0.25">
      <c r="A130" s="47" t="s">
        <v>709</v>
      </c>
      <c r="B130" s="51" t="s">
        <v>100</v>
      </c>
      <c r="L130" s="42" t="str">
        <f>IF(AND('Pivot elenchi'!P129="",'Pivot elenchi'!P130=""),"",IF('Pivot elenchi'!P129="",'Pivot elenchi'!P128="",'Pivot elenchi'!P129))</f>
        <v xml:space="preserve">G12410      </v>
      </c>
      <c r="M130" s="42" t="str">
        <f>IF(AND('Pivot elenchi'!Q129="",'Pivot elenchi'!Q130=""),"",IF('Pivot elenchi'!Q129="",'Pivot elenchi'!Q128="",'Pivot elenchi'!Q129))</f>
        <v>MARKETING SERVIZI PROFESSIONALI</v>
      </c>
      <c r="N130" s="42" t="str">
        <f>IF(AND('Pivot elenchi'!R129="",'Pivot elenchi'!R130=""),"",IF('Pivot elenchi'!R129="",'Pivot elenchi'!R128="",'Pivot elenchi'!R129))</f>
        <v/>
      </c>
      <c r="O130" s="42" t="str">
        <f>IF(AND('Pivot elenchi'!S129="",'Pivot elenchi'!S130=""),"",IF('Pivot elenchi'!S129="",'Pivot elenchi'!S128="",'Pivot elenchi'!S129))</f>
        <v>MARKETING SERVIZI PROFESSIONALI</v>
      </c>
      <c r="P130" s="42" t="str">
        <f>IF(AND('Pivot elenchi'!T129="",'Pivot elenchi'!T130=""),"",IF('Pivot elenchi'!T129="",'Pivot elenchi'!T128="",'Pivot elenchi'!T129))</f>
        <v/>
      </c>
      <c r="Q130" s="42" t="str">
        <f>IF(AND('Pivot elenchi'!U129="",'Pivot elenchi'!U130=""),"",IF('Pivot elenchi'!U129="",'Pivot elenchi'!U128="",'Pivot elenchi'!U129))</f>
        <v>DG SERVIZI PROFESSIONALI E FORMAZIONE</v>
      </c>
      <c r="R130" t="s">
        <v>717</v>
      </c>
      <c r="AB130" s="42" t="str">
        <f t="shared" si="15"/>
        <v xml:space="preserve">G12410      </v>
      </c>
      <c r="AC130" s="42" t="str">
        <f t="shared" si="15"/>
        <v>MARKETING SERVIZI PROFESSIONALI</v>
      </c>
      <c r="AD130" s="42" t="str">
        <f t="shared" si="15"/>
        <v/>
      </c>
      <c r="AE130" s="42" t="str">
        <f t="shared" si="15"/>
        <v>MARKETING SERVIZI PROFESSIONALI</v>
      </c>
      <c r="AF130" s="42" t="str">
        <f t="shared" si="16"/>
        <v/>
      </c>
      <c r="AG130" s="42" t="str">
        <f t="shared" si="16"/>
        <v>DG SERVIZI PROFESSIONALI E FORMAZIONE</v>
      </c>
    </row>
    <row r="131" spans="1:33" x14ac:dyDescent="0.25">
      <c r="A131" s="25"/>
      <c r="B131" s="25"/>
      <c r="L131" s="42" t="str">
        <f>IF(AND('Pivot elenchi'!P130="",'Pivot elenchi'!P131=""),"",IF('Pivot elenchi'!P130="",'Pivot elenchi'!P129="",'Pivot elenchi'!P130))</f>
        <v xml:space="preserve">G1241001    </v>
      </c>
      <c r="M131" s="42" t="str">
        <f>IF(AND('Pivot elenchi'!Q130="",'Pivot elenchi'!Q131=""),"",IF('Pivot elenchi'!Q130="",'Pivot elenchi'!Q129="",'Pivot elenchi'!Q130))</f>
        <v>ANALISI MKTG E REPORTING - PROF</v>
      </c>
      <c r="N131" s="42" t="str">
        <f>IF(AND('Pivot elenchi'!R130="",'Pivot elenchi'!R131=""),"",IF('Pivot elenchi'!R130="",'Pivot elenchi'!R129="",'Pivot elenchi'!R130))</f>
        <v/>
      </c>
      <c r="O131" s="42" t="str">
        <f>IF(AND('Pivot elenchi'!S130="",'Pivot elenchi'!S131=""),"",IF('Pivot elenchi'!S130="",'Pivot elenchi'!S129="",'Pivot elenchi'!S130))</f>
        <v>MARKETING SERVIZI PROFESSIONALI</v>
      </c>
      <c r="P131" s="42" t="str">
        <f>IF(AND('Pivot elenchi'!T130="",'Pivot elenchi'!T131=""),"",IF('Pivot elenchi'!T130="",'Pivot elenchi'!T129="",'Pivot elenchi'!T130))</f>
        <v/>
      </c>
      <c r="Q131" s="42" t="str">
        <f>IF(AND('Pivot elenchi'!U130="",'Pivot elenchi'!U131=""),"",IF('Pivot elenchi'!U130="",'Pivot elenchi'!U129="",'Pivot elenchi'!U130))</f>
        <v>DG SERVIZI PROFESSIONALI E FORMAZIONE</v>
      </c>
      <c r="R131" t="s">
        <v>717</v>
      </c>
      <c r="AB131" s="42" t="str">
        <f t="shared" si="15"/>
        <v xml:space="preserve">G1241001    </v>
      </c>
      <c r="AC131" s="42" t="str">
        <f t="shared" si="15"/>
        <v>ANALISI MKTG E REPORTING - PROF</v>
      </c>
      <c r="AD131" s="42" t="str">
        <f t="shared" si="15"/>
        <v/>
      </c>
      <c r="AE131" s="42" t="str">
        <f t="shared" si="15"/>
        <v>MARKETING SERVIZI PROFESSIONALI</v>
      </c>
      <c r="AF131" s="42" t="str">
        <f t="shared" si="16"/>
        <v/>
      </c>
      <c r="AG131" s="42" t="str">
        <f t="shared" si="16"/>
        <v>DG SERVIZI PROFESSIONALI E FORMAZIONE</v>
      </c>
    </row>
    <row r="132" spans="1:33" x14ac:dyDescent="0.25">
      <c r="A132" s="25" t="s">
        <v>314</v>
      </c>
      <c r="B132" s="25" t="s">
        <v>711</v>
      </c>
      <c r="L132" s="42" t="str">
        <f>IF(AND('Pivot elenchi'!P131="",'Pivot elenchi'!P132=""),"",IF('Pivot elenchi'!P131="",'Pivot elenchi'!P130="",'Pivot elenchi'!P131))</f>
        <v>G12600</v>
      </c>
      <c r="M132" s="42" t="str">
        <f>IF(AND('Pivot elenchi'!Q131="",'Pivot elenchi'!Q132=""),"",IF('Pivot elenchi'!Q131="",'Pivot elenchi'!Q130="",'Pivot elenchi'!Q131))</f>
        <v>Analisi &amp; Reporting Operativo</v>
      </c>
      <c r="N132" s="42" t="str">
        <f>IF(AND('Pivot elenchi'!R131="",'Pivot elenchi'!R132=""),"",IF('Pivot elenchi'!R131="",'Pivot elenchi'!R130="",'Pivot elenchi'!R131))</f>
        <v/>
      </c>
      <c r="O132" s="42" t="str">
        <f>IF(AND('Pivot elenchi'!S131="",'Pivot elenchi'!S132=""),"",IF('Pivot elenchi'!S131="",'Pivot elenchi'!S130="",'Pivot elenchi'!S131))</f>
        <v>Business Development – Radiocor Plus</v>
      </c>
      <c r="P132" s="42" t="str">
        <f>IF(AND('Pivot elenchi'!T131="",'Pivot elenchi'!T132=""),"",IF('Pivot elenchi'!T131="",'Pivot elenchi'!T130="",'Pivot elenchi'!T131))</f>
        <v/>
      </c>
      <c r="Q132" s="42" t="str">
        <f>IF(AND('Pivot elenchi'!U131="",'Pivot elenchi'!U132=""),"",IF('Pivot elenchi'!U131="",'Pivot elenchi'!U130="",'Pivot elenchi'!U131))</f>
        <v>DG M&amp;B - Business Development – Radiocor Plus</v>
      </c>
      <c r="R132" t="s">
        <v>717</v>
      </c>
      <c r="AB132" s="42" t="str">
        <f t="shared" si="15"/>
        <v>G12600</v>
      </c>
      <c r="AC132" s="42" t="str">
        <f t="shared" si="15"/>
        <v>Analisi &amp; Reporting Operativo</v>
      </c>
      <c r="AD132" s="42" t="str">
        <f t="shared" si="15"/>
        <v/>
      </c>
      <c r="AE132" s="42" t="str">
        <f t="shared" si="15"/>
        <v>Business Development – Radiocor Plus</v>
      </c>
      <c r="AF132" s="42" t="str">
        <f t="shared" si="16"/>
        <v/>
      </c>
      <c r="AG132" s="42" t="str">
        <f t="shared" si="16"/>
        <v>DG M&amp;B - Business Development – Radiocor Plus</v>
      </c>
    </row>
    <row r="133" spans="1:33" x14ac:dyDescent="0.25">
      <c r="A133" s="25" t="s">
        <v>315</v>
      </c>
      <c r="B133" s="132" t="str">
        <f>IF(B54="","Qualifica non selezionata",IF(OR(B54="I",B54="Q",B54="O"),"gruppo ONBOARDING",IF(OR(B54="D",B54="G",B54="P"),"gruppo ONBOARDING2","Attenzione, per questa qualifica non è presito Onboarding su intranet")))</f>
        <v>gruppo ONBOARDING2</v>
      </c>
      <c r="L133" s="42" t="str">
        <f>IF(AND('Pivot elenchi'!P132="",'Pivot elenchi'!P133=""),"",IF('Pivot elenchi'!P132="",'Pivot elenchi'!P131="",'Pivot elenchi'!P132))</f>
        <v xml:space="preserve">L19050      </v>
      </c>
      <c r="M133" s="42" t="str">
        <f>IF(AND('Pivot elenchi'!Q132="",'Pivot elenchi'!Q133=""),"",IF('Pivot elenchi'!Q132="",'Pivot elenchi'!Q131="",'Pivot elenchi'!Q132))</f>
        <v>MARKETING E COMUNICAZIONE</v>
      </c>
      <c r="N133" s="42" t="str">
        <f>IF(AND('Pivot elenchi'!R132="",'Pivot elenchi'!R133=""),"",IF('Pivot elenchi'!R132="",'Pivot elenchi'!R131="",'Pivot elenchi'!R132))</f>
        <v/>
      </c>
      <c r="O133" s="42" t="str">
        <f>IF(AND('Pivot elenchi'!S132="",'Pivot elenchi'!S133=""),"",IF('Pivot elenchi'!S132="",'Pivot elenchi'!S131="",'Pivot elenchi'!S132))</f>
        <v>24 ORE EVENTI</v>
      </c>
      <c r="P133" s="42" t="str">
        <f>IF(AND('Pivot elenchi'!T132="",'Pivot elenchi'!T133=""),"",IF('Pivot elenchi'!T132="",'Pivot elenchi'!T131="",'Pivot elenchi'!T132))</f>
        <v/>
      </c>
      <c r="Q133" s="42" t="str">
        <f>IF(AND('Pivot elenchi'!U132="",'Pivot elenchi'!U133=""),"",IF('Pivot elenchi'!U132="",'Pivot elenchi'!U131="",'Pivot elenchi'!U132))</f>
        <v>24 ORE EVENTI SRL</v>
      </c>
      <c r="R133" t="s">
        <v>717</v>
      </c>
      <c r="AB133" s="42" t="str">
        <f t="shared" si="15"/>
        <v xml:space="preserve">L19050      </v>
      </c>
      <c r="AC133" s="42" t="str">
        <f t="shared" si="15"/>
        <v>MARKETING E COMUNICAZIONE</v>
      </c>
      <c r="AD133" s="42" t="str">
        <f t="shared" si="15"/>
        <v/>
      </c>
      <c r="AE133" s="42" t="str">
        <f t="shared" si="15"/>
        <v>24 ORE EVENTI</v>
      </c>
      <c r="AF133" s="42" t="str">
        <f t="shared" si="16"/>
        <v/>
      </c>
      <c r="AG133" s="42" t="str">
        <f t="shared" si="16"/>
        <v>24 ORE EVENTI SRL</v>
      </c>
    </row>
    <row r="134" spans="1:33" x14ac:dyDescent="0.25">
      <c r="L134" s="42" t="str">
        <f>IF(AND('Pivot elenchi'!P133="",'Pivot elenchi'!P134=""),"",IF('Pivot elenchi'!P133="",'Pivot elenchi'!P132="",'Pivot elenchi'!P133))</f>
        <v xml:space="preserve">L19060      </v>
      </c>
      <c r="M134" s="42" t="str">
        <f>IF(AND('Pivot elenchi'!Q133="",'Pivot elenchi'!Q134=""),"",IF('Pivot elenchi'!Q133="",'Pivot elenchi'!Q132="",'Pivot elenchi'!Q133))</f>
        <v>SALES</v>
      </c>
      <c r="N134" s="42" t="str">
        <f>IF(AND('Pivot elenchi'!R133="",'Pivot elenchi'!R134=""),"",IF('Pivot elenchi'!R133="",'Pivot elenchi'!R132="",'Pivot elenchi'!R133))</f>
        <v/>
      </c>
      <c r="O134" s="42" t="str">
        <f>IF(AND('Pivot elenchi'!S133="",'Pivot elenchi'!S134=""),"",IF('Pivot elenchi'!S133="",'Pivot elenchi'!S132="",'Pivot elenchi'!S133))</f>
        <v>24 ORE EVENTI</v>
      </c>
      <c r="P134" s="42" t="str">
        <f>IF(AND('Pivot elenchi'!T133="",'Pivot elenchi'!T134=""),"",IF('Pivot elenchi'!T133="",'Pivot elenchi'!T132="",'Pivot elenchi'!T133))</f>
        <v/>
      </c>
      <c r="Q134" s="42" t="str">
        <f>IF(AND('Pivot elenchi'!U133="",'Pivot elenchi'!U134=""),"",IF('Pivot elenchi'!U133="",'Pivot elenchi'!U132="",'Pivot elenchi'!U133))</f>
        <v>24 ORE EVENTI SRL</v>
      </c>
      <c r="R134" t="s">
        <v>717</v>
      </c>
      <c r="AB134" s="42" t="str">
        <f t="shared" si="15"/>
        <v xml:space="preserve">L19060      </v>
      </c>
      <c r="AC134" s="42" t="str">
        <f t="shared" si="15"/>
        <v>SALES</v>
      </c>
      <c r="AD134" s="42" t="str">
        <f t="shared" si="15"/>
        <v/>
      </c>
      <c r="AE134" s="42" t="str">
        <f t="shared" ref="AE134" si="17">O134</f>
        <v>24 ORE EVENTI</v>
      </c>
      <c r="AF134" s="42" t="str">
        <f t="shared" si="16"/>
        <v/>
      </c>
      <c r="AG134" s="42" t="str">
        <f t="shared" si="16"/>
        <v>24 ORE EVENTI SRL</v>
      </c>
    </row>
    <row r="135" spans="1:33" x14ac:dyDescent="0.25">
      <c r="L135" s="42" t="str">
        <f>IF(AND('Pivot elenchi'!P134="",'Pivot elenchi'!P135=""),"",IF('Pivot elenchi'!P134="",'Pivot elenchi'!P133="",'Pivot elenchi'!P134))</f>
        <v xml:space="preserve">Q11000      </v>
      </c>
      <c r="M135" s="42" t="str">
        <f>IF(AND('Pivot elenchi'!Q134="",'Pivot elenchi'!Q135=""),"",IF('Pivot elenchi'!Q134="",'Pivot elenchi'!Q133="",'Pivot elenchi'!Q134))</f>
        <v>RADIO MARKETING &amp; ADVERTISING</v>
      </c>
      <c r="N135" s="42" t="str">
        <f>IF(AND('Pivot elenchi'!R134="",'Pivot elenchi'!R135=""),"",IF('Pivot elenchi'!R134="",'Pivot elenchi'!R133="",'Pivot elenchi'!R134))</f>
        <v/>
      </c>
      <c r="O135" s="42" t="str">
        <f>IF(AND('Pivot elenchi'!S134="",'Pivot elenchi'!S135=""),"",IF('Pivot elenchi'!S134="",'Pivot elenchi'!S133="",'Pivot elenchi'!S134))</f>
        <v>RADIO MARKETING E ADVERTISING</v>
      </c>
      <c r="P135" s="42" t="str">
        <f>IF(AND('Pivot elenchi'!T134="",'Pivot elenchi'!T135=""),"",IF('Pivot elenchi'!T134="",'Pivot elenchi'!T133="",'Pivot elenchi'!T134))</f>
        <v/>
      </c>
      <c r="Q135" s="42" t="str">
        <f>IF(AND('Pivot elenchi'!U134="",'Pivot elenchi'!U135=""),"",IF('Pivot elenchi'!U134="",'Pivot elenchi'!U133="",'Pivot elenchi'!U134))</f>
        <v>DG M&amp;B - DG RADIO 24</v>
      </c>
      <c r="R135" t="s">
        <v>717</v>
      </c>
      <c r="AB135" s="42" t="str">
        <f t="shared" ref="AB135:AE198" si="18">L135</f>
        <v xml:space="preserve">Q11000      </v>
      </c>
      <c r="AC135" s="42" t="str">
        <f t="shared" si="18"/>
        <v>RADIO MARKETING &amp; ADVERTISING</v>
      </c>
      <c r="AD135" s="42" t="str">
        <f t="shared" si="18"/>
        <v/>
      </c>
      <c r="AE135" s="42" t="str">
        <f t="shared" si="18"/>
        <v>RADIO MARKETING E ADVERTISING</v>
      </c>
      <c r="AF135" s="42" t="str">
        <f t="shared" ref="AF135:AG198" si="19">P135</f>
        <v/>
      </c>
      <c r="AG135" s="42" t="str">
        <f t="shared" si="19"/>
        <v>DG M&amp;B - DG RADIO 24</v>
      </c>
    </row>
    <row r="136" spans="1:33" x14ac:dyDescent="0.25">
      <c r="L136" s="42" t="str">
        <f>IF(AND('Pivot elenchi'!P135="",'Pivot elenchi'!P136=""),"",IF('Pivot elenchi'!P135="",'Pivot elenchi'!P134="",'Pivot elenchi'!P135))</f>
        <v xml:space="preserve">Q12000      </v>
      </c>
      <c r="M136" s="42" t="str">
        <f>IF(AND('Pivot elenchi'!Q135="",'Pivot elenchi'!Q136=""),"",IF('Pivot elenchi'!Q135="",'Pivot elenchi'!Q134="",'Pivot elenchi'!Q135))</f>
        <v>ALTA FREQUENZA</v>
      </c>
      <c r="N136" s="42" t="str">
        <f>IF(AND('Pivot elenchi'!R135="",'Pivot elenchi'!R136=""),"",IF('Pivot elenchi'!R135="",'Pivot elenchi'!R134="",'Pivot elenchi'!R135))</f>
        <v/>
      </c>
      <c r="O136" s="42" t="str">
        <f>IF(AND('Pivot elenchi'!S135="",'Pivot elenchi'!S136=""),"",IF('Pivot elenchi'!S135="",'Pivot elenchi'!S134="",'Pivot elenchi'!S135))</f>
        <v>AREA TECNOLOGIE</v>
      </c>
      <c r="P136" s="42" t="str">
        <f>IF(AND('Pivot elenchi'!T135="",'Pivot elenchi'!T136=""),"",IF('Pivot elenchi'!T135="",'Pivot elenchi'!T134="",'Pivot elenchi'!T135))</f>
        <v/>
      </c>
      <c r="Q136" s="42" t="str">
        <f>IF(AND('Pivot elenchi'!U135="",'Pivot elenchi'!U136=""),"",IF('Pivot elenchi'!U135="",'Pivot elenchi'!U134="",'Pivot elenchi'!U135))</f>
        <v>DG M&amp;B - DG RADIO 24</v>
      </c>
      <c r="R136" t="s">
        <v>717</v>
      </c>
      <c r="AB136" s="42" t="str">
        <f t="shared" si="18"/>
        <v xml:space="preserve">Q12000      </v>
      </c>
      <c r="AC136" s="42" t="str">
        <f t="shared" si="18"/>
        <v>ALTA FREQUENZA</v>
      </c>
      <c r="AD136" s="42" t="str">
        <f t="shared" si="18"/>
        <v/>
      </c>
      <c r="AE136" s="42" t="str">
        <f t="shared" si="18"/>
        <v>AREA TECNOLOGIE</v>
      </c>
      <c r="AF136" s="42" t="str">
        <f t="shared" si="19"/>
        <v/>
      </c>
      <c r="AG136" s="42" t="str">
        <f t="shared" si="19"/>
        <v>DG M&amp;B - DG RADIO 24</v>
      </c>
    </row>
    <row r="137" spans="1:33" x14ac:dyDescent="0.25">
      <c r="L137" s="42" t="str">
        <f>IF(AND('Pivot elenchi'!P136="",'Pivot elenchi'!P137=""),"",IF('Pivot elenchi'!P136="",'Pivot elenchi'!P135="",'Pivot elenchi'!P136))</f>
        <v xml:space="preserve">Q13000      </v>
      </c>
      <c r="M137" s="42" t="str">
        <f>IF(AND('Pivot elenchi'!Q136="",'Pivot elenchi'!Q137=""),"",IF('Pivot elenchi'!Q136="",'Pivot elenchi'!Q135="",'Pivot elenchi'!Q136))</f>
        <v>BASSA FREQUENZA</v>
      </c>
      <c r="N137" s="42" t="str">
        <f>IF(AND('Pivot elenchi'!R136="",'Pivot elenchi'!R137=""),"",IF('Pivot elenchi'!R136="",'Pivot elenchi'!R135="",'Pivot elenchi'!R136))</f>
        <v/>
      </c>
      <c r="O137" s="42" t="str">
        <f>IF(AND('Pivot elenchi'!S136="",'Pivot elenchi'!S137=""),"",IF('Pivot elenchi'!S136="",'Pivot elenchi'!S135="",'Pivot elenchi'!S136))</f>
        <v>AREA TECNOLOGIE</v>
      </c>
      <c r="P137" s="42" t="str">
        <f>IF(AND('Pivot elenchi'!T136="",'Pivot elenchi'!T137=""),"",IF('Pivot elenchi'!T136="",'Pivot elenchi'!T135="",'Pivot elenchi'!T136))</f>
        <v/>
      </c>
      <c r="Q137" s="42" t="str">
        <f>IF(AND('Pivot elenchi'!U136="",'Pivot elenchi'!U137=""),"",IF('Pivot elenchi'!U136="",'Pivot elenchi'!U135="",'Pivot elenchi'!U136))</f>
        <v>DG M&amp;B - DG RADIO 24</v>
      </c>
      <c r="R137" t="s">
        <v>717</v>
      </c>
      <c r="AB137" s="42" t="str">
        <f t="shared" si="18"/>
        <v xml:space="preserve">Q13000      </v>
      </c>
      <c r="AC137" s="42" t="str">
        <f t="shared" si="18"/>
        <v>BASSA FREQUENZA</v>
      </c>
      <c r="AD137" s="42" t="str">
        <f t="shared" si="18"/>
        <v/>
      </c>
      <c r="AE137" s="42" t="str">
        <f t="shared" si="18"/>
        <v>AREA TECNOLOGIE</v>
      </c>
      <c r="AF137" s="42" t="str">
        <f t="shared" si="19"/>
        <v/>
      </c>
      <c r="AG137" s="42" t="str">
        <f t="shared" si="19"/>
        <v>DG M&amp;B - DG RADIO 24</v>
      </c>
    </row>
    <row r="138" spans="1:33" x14ac:dyDescent="0.25">
      <c r="L138" s="42" t="str">
        <f>IF(AND('Pivot elenchi'!P137="",'Pivot elenchi'!P138=""),"",IF('Pivot elenchi'!P137="",'Pivot elenchi'!P136="",'Pivot elenchi'!P137))</f>
        <v xml:space="preserve">Q14000      </v>
      </c>
      <c r="M138" s="42" t="str">
        <f>IF(AND('Pivot elenchi'!Q137="",'Pivot elenchi'!Q138=""),"",IF('Pivot elenchi'!Q137="",'Pivot elenchi'!Q136="",'Pivot elenchi'!Q137))</f>
        <v>SERVIZI RADIOFONICI</v>
      </c>
      <c r="N138" s="42" t="str">
        <f>IF(AND('Pivot elenchi'!R137="",'Pivot elenchi'!R138=""),"",IF('Pivot elenchi'!R137="",'Pivot elenchi'!R136="",'Pivot elenchi'!R137))</f>
        <v/>
      </c>
      <c r="O138" s="42" t="str">
        <f>IF(AND('Pivot elenchi'!S137="",'Pivot elenchi'!S138=""),"",IF('Pivot elenchi'!S137="",'Pivot elenchi'!S136="",'Pivot elenchi'!S137))</f>
        <v>AREA PRODUZIONE</v>
      </c>
      <c r="P138" s="42" t="str">
        <f>IF(AND('Pivot elenchi'!T137="",'Pivot elenchi'!T138=""),"",IF('Pivot elenchi'!T137="",'Pivot elenchi'!T136="",'Pivot elenchi'!T137))</f>
        <v/>
      </c>
      <c r="Q138" s="42" t="str">
        <f>IF(AND('Pivot elenchi'!U137="",'Pivot elenchi'!U138=""),"",IF('Pivot elenchi'!U137="",'Pivot elenchi'!U136="",'Pivot elenchi'!U137))</f>
        <v>DG M&amp;B - DG RADIO 24</v>
      </c>
      <c r="R138" t="s">
        <v>717</v>
      </c>
      <c r="AB138" s="42" t="str">
        <f t="shared" si="18"/>
        <v xml:space="preserve">Q14000      </v>
      </c>
      <c r="AC138" s="42" t="str">
        <f t="shared" si="18"/>
        <v>SERVIZI RADIOFONICI</v>
      </c>
      <c r="AD138" s="42" t="str">
        <f t="shared" si="18"/>
        <v/>
      </c>
      <c r="AE138" s="42" t="str">
        <f t="shared" si="18"/>
        <v>AREA PRODUZIONE</v>
      </c>
      <c r="AF138" s="42" t="str">
        <f t="shared" si="19"/>
        <v/>
      </c>
      <c r="AG138" s="42" t="str">
        <f t="shared" si="19"/>
        <v>DG M&amp;B - DG RADIO 24</v>
      </c>
    </row>
    <row r="139" spans="1:33" x14ac:dyDescent="0.25">
      <c r="L139" s="42" t="str">
        <f>IF(AND('Pivot elenchi'!P138="",'Pivot elenchi'!P139=""),"",IF('Pivot elenchi'!P138="",'Pivot elenchi'!P137="",'Pivot elenchi'!P138))</f>
        <v xml:space="preserve">Q1400001    </v>
      </c>
      <c r="M139" s="42" t="str">
        <f>IF(AND('Pivot elenchi'!Q138="",'Pivot elenchi'!Q139=""),"",IF('Pivot elenchi'!Q138="",'Pivot elenchi'!Q137="",'Pivot elenchi'!Q138))</f>
        <v>SERVIZI RADIOFONICI</v>
      </c>
      <c r="N139" s="42" t="str">
        <f>IF(AND('Pivot elenchi'!R138="",'Pivot elenchi'!R139=""),"",IF('Pivot elenchi'!R138="",'Pivot elenchi'!R137="",'Pivot elenchi'!R138))</f>
        <v/>
      </c>
      <c r="O139" s="42" t="str">
        <f>IF(AND('Pivot elenchi'!S138="",'Pivot elenchi'!S139=""),"",IF('Pivot elenchi'!S138="",'Pivot elenchi'!S137="",'Pivot elenchi'!S138))</f>
        <v>AREA PRODUZIONE</v>
      </c>
      <c r="P139" s="42" t="str">
        <f>IF(AND('Pivot elenchi'!T138="",'Pivot elenchi'!T139=""),"",IF('Pivot elenchi'!T138="",'Pivot elenchi'!T137="",'Pivot elenchi'!T138))</f>
        <v/>
      </c>
      <c r="Q139" s="42" t="str">
        <f>IF(AND('Pivot elenchi'!U138="",'Pivot elenchi'!U139=""),"",IF('Pivot elenchi'!U138="",'Pivot elenchi'!U137="",'Pivot elenchi'!U138))</f>
        <v>DG M&amp;B - DG RADIO 24</v>
      </c>
      <c r="R139" t="s">
        <v>717</v>
      </c>
      <c r="AB139" s="42" t="str">
        <f t="shared" si="18"/>
        <v xml:space="preserve">Q1400001    </v>
      </c>
      <c r="AC139" s="42" t="str">
        <f t="shared" si="18"/>
        <v>SERVIZI RADIOFONICI</v>
      </c>
      <c r="AD139" s="42" t="str">
        <f t="shared" si="18"/>
        <v/>
      </c>
      <c r="AE139" s="42" t="str">
        <f t="shared" si="18"/>
        <v>AREA PRODUZIONE</v>
      </c>
      <c r="AF139" s="42" t="str">
        <f t="shared" si="19"/>
        <v/>
      </c>
      <c r="AG139" s="42" t="str">
        <f t="shared" si="19"/>
        <v>DG M&amp;B - DG RADIO 24</v>
      </c>
    </row>
    <row r="140" spans="1:33" x14ac:dyDescent="0.25">
      <c r="L140" s="42" t="str">
        <f>IF(AND('Pivot elenchi'!P139="",'Pivot elenchi'!P140=""),"",IF('Pivot elenchi'!P139="",'Pivot elenchi'!P138="",'Pivot elenchi'!P139))</f>
        <v xml:space="preserve">Q15000      </v>
      </c>
      <c r="M140" s="42" t="str">
        <f>IF(AND('Pivot elenchi'!Q139="",'Pivot elenchi'!Q140=""),"",IF('Pivot elenchi'!Q139="",'Pivot elenchi'!Q138="",'Pivot elenchi'!Q139))</f>
        <v>REDAZIONE GIORNALISTICA NEWS</v>
      </c>
      <c r="N140" s="42" t="str">
        <f>IF(AND('Pivot elenchi'!R139="",'Pivot elenchi'!R140=""),"",IF('Pivot elenchi'!R139="",'Pivot elenchi'!R138="",'Pivot elenchi'!R139))</f>
        <v/>
      </c>
      <c r="O140" s="42" t="str">
        <f>IF(AND('Pivot elenchi'!S139="",'Pivot elenchi'!S140=""),"",IF('Pivot elenchi'!S139="",'Pivot elenchi'!S138="",'Pivot elenchi'!S139))</f>
        <v>RADIO 24</v>
      </c>
      <c r="P140" s="42" t="str">
        <f>IF(AND('Pivot elenchi'!T139="",'Pivot elenchi'!T140=""),"",IF('Pivot elenchi'!T139="",'Pivot elenchi'!T138="",'Pivot elenchi'!T139))</f>
        <v/>
      </c>
      <c r="Q140" s="42" t="str">
        <f>IF(AND('Pivot elenchi'!U139="",'Pivot elenchi'!U140=""),"",IF('Pivot elenchi'!U139="",'Pivot elenchi'!U138="",'Pivot elenchi'!U139))</f>
        <v>REDAZIONI GIORNALISTICHE</v>
      </c>
      <c r="R140" t="s">
        <v>717</v>
      </c>
      <c r="AB140" s="42" t="str">
        <f t="shared" si="18"/>
        <v xml:space="preserve">Q15000      </v>
      </c>
      <c r="AC140" s="42" t="str">
        <f t="shared" si="18"/>
        <v>REDAZIONE GIORNALISTICA NEWS</v>
      </c>
      <c r="AD140" s="42" t="str">
        <f t="shared" si="18"/>
        <v/>
      </c>
      <c r="AE140" s="42" t="str">
        <f t="shared" si="18"/>
        <v>RADIO 24</v>
      </c>
      <c r="AF140" s="42" t="str">
        <f t="shared" si="19"/>
        <v/>
      </c>
      <c r="AG140" s="42" t="str">
        <f t="shared" si="19"/>
        <v>REDAZIONI GIORNALISTICHE</v>
      </c>
    </row>
    <row r="141" spans="1:33" x14ac:dyDescent="0.25">
      <c r="L141" s="42" t="str">
        <f>IF(AND('Pivot elenchi'!P140="",'Pivot elenchi'!P141=""),"",IF('Pivot elenchi'!P140="",'Pivot elenchi'!P139="",'Pivot elenchi'!P140))</f>
        <v xml:space="preserve">Q16000      </v>
      </c>
      <c r="M141" s="42" t="str">
        <f>IF(AND('Pivot elenchi'!Q140="",'Pivot elenchi'!Q141=""),"",IF('Pivot elenchi'!Q140="",'Pivot elenchi'!Q139="",'Pivot elenchi'!Q140))</f>
        <v>PRODUZIONE PROGRAMMI RADIO</v>
      </c>
      <c r="N141" s="42" t="str">
        <f>IF(AND('Pivot elenchi'!R140="",'Pivot elenchi'!R141=""),"",IF('Pivot elenchi'!R140="",'Pivot elenchi'!R139="",'Pivot elenchi'!R140))</f>
        <v/>
      </c>
      <c r="O141" s="42" t="str">
        <f>IF(AND('Pivot elenchi'!S140="",'Pivot elenchi'!S141=""),"",IF('Pivot elenchi'!S140="",'Pivot elenchi'!S139="",'Pivot elenchi'!S140))</f>
        <v>AREA PRODUZIONE</v>
      </c>
      <c r="P141" s="42" t="str">
        <f>IF(AND('Pivot elenchi'!T140="",'Pivot elenchi'!T141=""),"",IF('Pivot elenchi'!T140="",'Pivot elenchi'!T139="",'Pivot elenchi'!T140))</f>
        <v/>
      </c>
      <c r="Q141" s="42" t="str">
        <f>IF(AND('Pivot elenchi'!U140="",'Pivot elenchi'!U141=""),"",IF('Pivot elenchi'!U140="",'Pivot elenchi'!U139="",'Pivot elenchi'!U140))</f>
        <v>DG M&amp;B - DG RADIO 24</v>
      </c>
      <c r="R141" t="s">
        <v>717</v>
      </c>
      <c r="AB141" s="42" t="str">
        <f t="shared" si="18"/>
        <v xml:space="preserve">Q16000      </v>
      </c>
      <c r="AC141" s="42" t="str">
        <f t="shared" si="18"/>
        <v>PRODUZIONE PROGRAMMI RADIO</v>
      </c>
      <c r="AD141" s="42" t="str">
        <f t="shared" si="18"/>
        <v/>
      </c>
      <c r="AE141" s="42" t="str">
        <f t="shared" si="18"/>
        <v>AREA PRODUZIONE</v>
      </c>
      <c r="AF141" s="42" t="str">
        <f t="shared" si="19"/>
        <v/>
      </c>
      <c r="AG141" s="42" t="str">
        <f t="shared" si="19"/>
        <v>DG M&amp;B - DG RADIO 24</v>
      </c>
    </row>
    <row r="142" spans="1:33" x14ac:dyDescent="0.25">
      <c r="L142" s="42" t="str">
        <f>IF(AND('Pivot elenchi'!P141="",'Pivot elenchi'!P142=""),"",IF('Pivot elenchi'!P141="",'Pivot elenchi'!P140="",'Pivot elenchi'!P141))</f>
        <v xml:space="preserve">Q17000      </v>
      </c>
      <c r="M142" s="42" t="str">
        <f>IF(AND('Pivot elenchi'!Q141="",'Pivot elenchi'!Q142=""),"",IF('Pivot elenchi'!Q141="",'Pivot elenchi'!Q140="",'Pivot elenchi'!Q141))</f>
        <v>REDAZIONE GIORNALISTICA PROGRAM</v>
      </c>
      <c r="N142" s="42" t="str">
        <f>IF(AND('Pivot elenchi'!R141="",'Pivot elenchi'!R142=""),"",IF('Pivot elenchi'!R141="",'Pivot elenchi'!R140="",'Pivot elenchi'!R141))</f>
        <v/>
      </c>
      <c r="O142" s="42" t="str">
        <f>IF(AND('Pivot elenchi'!S141="",'Pivot elenchi'!S142=""),"",IF('Pivot elenchi'!S141="",'Pivot elenchi'!S140="",'Pivot elenchi'!S141))</f>
        <v>RADIO 24</v>
      </c>
      <c r="P142" s="42" t="str">
        <f>IF(AND('Pivot elenchi'!T141="",'Pivot elenchi'!T142=""),"",IF('Pivot elenchi'!T141="",'Pivot elenchi'!T140="",'Pivot elenchi'!T141))</f>
        <v/>
      </c>
      <c r="Q142" s="42" t="str">
        <f>IF(AND('Pivot elenchi'!U141="",'Pivot elenchi'!U142=""),"",IF('Pivot elenchi'!U141="",'Pivot elenchi'!U140="",'Pivot elenchi'!U141))</f>
        <v>REDAZIONI GIORNALISTICHE</v>
      </c>
      <c r="R142" t="s">
        <v>717</v>
      </c>
      <c r="AB142" s="42" t="str">
        <f t="shared" si="18"/>
        <v xml:space="preserve">Q17000      </v>
      </c>
      <c r="AC142" s="42" t="str">
        <f t="shared" si="18"/>
        <v>REDAZIONE GIORNALISTICA PROGRAM</v>
      </c>
      <c r="AD142" s="42" t="str">
        <f t="shared" si="18"/>
        <v/>
      </c>
      <c r="AE142" s="42" t="str">
        <f t="shared" si="18"/>
        <v>RADIO 24</v>
      </c>
      <c r="AF142" s="42" t="str">
        <f t="shared" si="19"/>
        <v/>
      </c>
      <c r="AG142" s="42" t="str">
        <f t="shared" si="19"/>
        <v>REDAZIONI GIORNALISTICHE</v>
      </c>
    </row>
    <row r="143" spans="1:33" x14ac:dyDescent="0.25">
      <c r="L143" s="42" t="str">
        <f>IF(AND('Pivot elenchi'!P142="",'Pivot elenchi'!P143=""),"",IF('Pivot elenchi'!P142="",'Pivot elenchi'!P141="",'Pivot elenchi'!P142))</f>
        <v xml:space="preserve">Q18000      </v>
      </c>
      <c r="M143" s="42" t="str">
        <f>IF(AND('Pivot elenchi'!Q142="",'Pivot elenchi'!Q143=""),"",IF('Pivot elenchi'!Q142="",'Pivot elenchi'!Q141="",'Pivot elenchi'!Q142))</f>
        <v>TECNICI DI REGIA</v>
      </c>
      <c r="N143" s="42" t="str">
        <f>IF(AND('Pivot elenchi'!R142="",'Pivot elenchi'!R143=""),"",IF('Pivot elenchi'!R142="",'Pivot elenchi'!R141="",'Pivot elenchi'!R142))</f>
        <v/>
      </c>
      <c r="O143" s="42" t="str">
        <f>IF(AND('Pivot elenchi'!S142="",'Pivot elenchi'!S143=""),"",IF('Pivot elenchi'!S142="",'Pivot elenchi'!S141="",'Pivot elenchi'!S142))</f>
        <v>AREA TECNOLOGIE</v>
      </c>
      <c r="P143" s="42" t="str">
        <f>IF(AND('Pivot elenchi'!T142="",'Pivot elenchi'!T143=""),"",IF('Pivot elenchi'!T142="",'Pivot elenchi'!T141="",'Pivot elenchi'!T142))</f>
        <v/>
      </c>
      <c r="Q143" s="42" t="str">
        <f>IF(AND('Pivot elenchi'!U142="",'Pivot elenchi'!U143=""),"",IF('Pivot elenchi'!U142="",'Pivot elenchi'!U141="",'Pivot elenchi'!U142))</f>
        <v>DG M&amp;B - DG RADIO 24</v>
      </c>
      <c r="R143" t="s">
        <v>717</v>
      </c>
      <c r="AB143" s="42" t="str">
        <f t="shared" si="18"/>
        <v xml:space="preserve">Q18000      </v>
      </c>
      <c r="AC143" s="42" t="str">
        <f t="shared" si="18"/>
        <v>TECNICI DI REGIA</v>
      </c>
      <c r="AD143" s="42" t="str">
        <f t="shared" si="18"/>
        <v/>
      </c>
      <c r="AE143" s="42" t="str">
        <f t="shared" si="18"/>
        <v>AREA TECNOLOGIE</v>
      </c>
      <c r="AF143" s="42" t="str">
        <f t="shared" si="19"/>
        <v/>
      </c>
      <c r="AG143" s="42" t="str">
        <f t="shared" si="19"/>
        <v>DG M&amp;B - DG RADIO 24</v>
      </c>
    </row>
    <row r="144" spans="1:33" x14ac:dyDescent="0.25">
      <c r="L144" s="42" t="str">
        <f>IF(AND('Pivot elenchi'!P143="",'Pivot elenchi'!P144=""),"",IF('Pivot elenchi'!P143="",'Pivot elenchi'!P142="",'Pivot elenchi'!P143))</f>
        <v xml:space="preserve">Q19300      </v>
      </c>
      <c r="M144" s="42" t="str">
        <f>IF(AND('Pivot elenchi'!Q143="",'Pivot elenchi'!Q144=""),"",IF('Pivot elenchi'!Q143="",'Pivot elenchi'!Q142="",'Pivot elenchi'!Q143))</f>
        <v>EVENTI RADIO24</v>
      </c>
      <c r="N144" s="42" t="str">
        <f>IF(AND('Pivot elenchi'!R143="",'Pivot elenchi'!R144=""),"",IF('Pivot elenchi'!R143="",'Pivot elenchi'!R142="",'Pivot elenchi'!R143))</f>
        <v/>
      </c>
      <c r="O144" s="42" t="str">
        <f>IF(AND('Pivot elenchi'!S143="",'Pivot elenchi'!S144=""),"",IF('Pivot elenchi'!S143="",'Pivot elenchi'!S142="",'Pivot elenchi'!S143))</f>
        <v>AREA TECNOLOGIE</v>
      </c>
      <c r="P144" s="42" t="str">
        <f>IF(AND('Pivot elenchi'!T143="",'Pivot elenchi'!T144=""),"",IF('Pivot elenchi'!T143="",'Pivot elenchi'!T142="",'Pivot elenchi'!T143))</f>
        <v/>
      </c>
      <c r="Q144" s="42" t="str">
        <f>IF(AND('Pivot elenchi'!U143="",'Pivot elenchi'!U144=""),"",IF('Pivot elenchi'!U143="",'Pivot elenchi'!U142="",'Pivot elenchi'!U143))</f>
        <v>DG M&amp;B - DG RADIO 24</v>
      </c>
      <c r="R144" t="s">
        <v>717</v>
      </c>
      <c r="AB144" s="42" t="str">
        <f t="shared" si="18"/>
        <v xml:space="preserve">Q19300      </v>
      </c>
      <c r="AC144" s="42" t="str">
        <f t="shared" si="18"/>
        <v>EVENTI RADIO24</v>
      </c>
      <c r="AD144" s="42" t="str">
        <f t="shared" si="18"/>
        <v/>
      </c>
      <c r="AE144" s="42" t="str">
        <f t="shared" si="18"/>
        <v>AREA TECNOLOGIE</v>
      </c>
      <c r="AF144" s="42" t="str">
        <f t="shared" si="19"/>
        <v/>
      </c>
      <c r="AG144" s="42" t="str">
        <f t="shared" si="19"/>
        <v>DG M&amp;B - DG RADIO 24</v>
      </c>
    </row>
    <row r="145" spans="12:33" x14ac:dyDescent="0.25">
      <c r="L145" s="42" t="str">
        <f>IF(AND('Pivot elenchi'!P144="",'Pivot elenchi'!P145=""),"",IF('Pivot elenchi'!P144="",'Pivot elenchi'!P143="",'Pivot elenchi'!P144))</f>
        <v xml:space="preserve">R14300      </v>
      </c>
      <c r="M145" s="42" t="str">
        <f>IF(AND('Pivot elenchi'!Q144="",'Pivot elenchi'!Q145=""),"",IF('Pivot elenchi'!Q144="",'Pivot elenchi'!Q143="",'Pivot elenchi'!Q144))</f>
        <v>BANDI E GARE D'APPALTO</v>
      </c>
      <c r="N145" s="42" t="str">
        <f>IF(AND('Pivot elenchi'!R144="",'Pivot elenchi'!R145=""),"",IF('Pivot elenchi'!R144="",'Pivot elenchi'!R143="",'Pivot elenchi'!R144))</f>
        <v/>
      </c>
      <c r="O145" s="42" t="str">
        <f>IF(AND('Pivot elenchi'!S144="",'Pivot elenchi'!S145=""),"",IF('Pivot elenchi'!S144="",'Pivot elenchi'!S143="",'Pivot elenchi'!S144))</f>
        <v>Business Development – Radiocor Plus</v>
      </c>
      <c r="P145" s="42" t="str">
        <f>IF(AND('Pivot elenchi'!T144="",'Pivot elenchi'!T145=""),"",IF('Pivot elenchi'!T144="",'Pivot elenchi'!T143="",'Pivot elenchi'!T144))</f>
        <v/>
      </c>
      <c r="Q145" s="42" t="str">
        <f>IF(AND('Pivot elenchi'!U144="",'Pivot elenchi'!U145=""),"",IF('Pivot elenchi'!U144="",'Pivot elenchi'!U143="",'Pivot elenchi'!U144))</f>
        <v>DG M&amp;B - Business Development – Radiocor Plus</v>
      </c>
      <c r="R145" t="s">
        <v>717</v>
      </c>
      <c r="AB145" s="42" t="str">
        <f t="shared" si="18"/>
        <v xml:space="preserve">R14300      </v>
      </c>
      <c r="AC145" s="42" t="str">
        <f t="shared" si="18"/>
        <v>BANDI E GARE D'APPALTO</v>
      </c>
      <c r="AD145" s="42" t="str">
        <f t="shared" si="18"/>
        <v/>
      </c>
      <c r="AE145" s="42" t="str">
        <f t="shared" si="18"/>
        <v>Business Development – Radiocor Plus</v>
      </c>
      <c r="AF145" s="42" t="str">
        <f t="shared" si="19"/>
        <v/>
      </c>
      <c r="AG145" s="42" t="str">
        <f t="shared" si="19"/>
        <v>DG M&amp;B - Business Development – Radiocor Plus</v>
      </c>
    </row>
    <row r="146" spans="12:33" x14ac:dyDescent="0.25">
      <c r="L146" s="42" t="str">
        <f>IF(AND('Pivot elenchi'!P145="",'Pivot elenchi'!P146=""),"",IF('Pivot elenchi'!P145="",'Pivot elenchi'!P144="",'Pivot elenchi'!P145))</f>
        <v xml:space="preserve">W19050      </v>
      </c>
      <c r="M146" s="42" t="str">
        <f>IF(AND('Pivot elenchi'!Q145="",'Pivot elenchi'!Q146=""),"",IF('Pivot elenchi'!Q145="",'Pivot elenchi'!Q144="",'Pivot elenchi'!Q145))</f>
        <v>MUDEC E TICKETING</v>
      </c>
      <c r="N146" s="42" t="str">
        <f>IF(AND('Pivot elenchi'!R145="",'Pivot elenchi'!R146=""),"",IF('Pivot elenchi'!R145="",'Pivot elenchi'!R144="",'Pivot elenchi'!R145))</f>
        <v/>
      </c>
      <c r="O146" s="42" t="str">
        <f>IF(AND('Pivot elenchi'!S145="",'Pivot elenchi'!S146=""),"",IF('Pivot elenchi'!S145="",'Pivot elenchi'!S144="",'Pivot elenchi'!S145))</f>
        <v>24 ORE CULTURA</v>
      </c>
      <c r="P146" s="42" t="str">
        <f>IF(AND('Pivot elenchi'!T145="",'Pivot elenchi'!T146=""),"",IF('Pivot elenchi'!T145="",'Pivot elenchi'!T144="",'Pivot elenchi'!T145))</f>
        <v/>
      </c>
      <c r="Q146" s="42" t="str">
        <f>IF(AND('Pivot elenchi'!U145="",'Pivot elenchi'!U146=""),"",IF('Pivot elenchi'!U145="",'Pivot elenchi'!U144="",'Pivot elenchi'!U145))</f>
        <v>24 ORE CULTURA</v>
      </c>
      <c r="R146" t="s">
        <v>715</v>
      </c>
      <c r="AB146" s="42" t="str">
        <f t="shared" si="18"/>
        <v xml:space="preserve">W19050      </v>
      </c>
      <c r="AC146" s="42" t="str">
        <f t="shared" si="18"/>
        <v>MUDEC E TICKETING</v>
      </c>
      <c r="AD146" s="42" t="str">
        <f t="shared" si="18"/>
        <v/>
      </c>
      <c r="AE146" s="42" t="str">
        <f t="shared" si="18"/>
        <v>24 ORE CULTURA</v>
      </c>
      <c r="AF146" s="42" t="str">
        <f t="shared" si="19"/>
        <v/>
      </c>
      <c r="AG146" s="42" t="str">
        <f t="shared" si="19"/>
        <v>24 ORE CULTURA</v>
      </c>
    </row>
    <row r="147" spans="12:33" x14ac:dyDescent="0.25">
      <c r="L147" s="42" t="str">
        <f>IF(AND('Pivot elenchi'!P146="",'Pivot elenchi'!P147=""),"",IF('Pivot elenchi'!P146="",'Pivot elenchi'!P145="",'Pivot elenchi'!P146))</f>
        <v xml:space="preserve">W1905010    </v>
      </c>
      <c r="M147" s="42" t="str">
        <f>IF(AND('Pivot elenchi'!Q146="",'Pivot elenchi'!Q147=""),"",IF('Pivot elenchi'!Q146="",'Pivot elenchi'!Q145="",'Pivot elenchi'!Q146))</f>
        <v>BIGLIETTERIA</v>
      </c>
      <c r="N147" s="42" t="str">
        <f>IF(AND('Pivot elenchi'!R146="",'Pivot elenchi'!R147=""),"",IF('Pivot elenchi'!R146="",'Pivot elenchi'!R145="",'Pivot elenchi'!R146))</f>
        <v/>
      </c>
      <c r="O147" s="42" t="str">
        <f>IF(AND('Pivot elenchi'!S146="",'Pivot elenchi'!S147=""),"",IF('Pivot elenchi'!S146="",'Pivot elenchi'!S145="",'Pivot elenchi'!S146))</f>
        <v>24 ORE CULTURA</v>
      </c>
      <c r="P147" s="42" t="str">
        <f>IF(AND('Pivot elenchi'!T146="",'Pivot elenchi'!T147=""),"",IF('Pivot elenchi'!T146="",'Pivot elenchi'!T145="",'Pivot elenchi'!T146))</f>
        <v/>
      </c>
      <c r="Q147" s="42" t="str">
        <f>IF(AND('Pivot elenchi'!U146="",'Pivot elenchi'!U147=""),"",IF('Pivot elenchi'!U146="",'Pivot elenchi'!U145="",'Pivot elenchi'!U146))</f>
        <v>24 ORE CULTURA</v>
      </c>
      <c r="R147" t="s">
        <v>715</v>
      </c>
      <c r="AB147" s="42" t="str">
        <f t="shared" si="18"/>
        <v xml:space="preserve">W1905010    </v>
      </c>
      <c r="AC147" s="42" t="str">
        <f t="shared" si="18"/>
        <v>BIGLIETTERIA</v>
      </c>
      <c r="AD147" s="42" t="str">
        <f t="shared" si="18"/>
        <v/>
      </c>
      <c r="AE147" s="42" t="str">
        <f t="shared" si="18"/>
        <v>24 ORE CULTURA</v>
      </c>
      <c r="AF147" s="42" t="str">
        <f t="shared" si="19"/>
        <v/>
      </c>
      <c r="AG147" s="42" t="str">
        <f t="shared" si="19"/>
        <v>24 ORE CULTURA</v>
      </c>
    </row>
    <row r="148" spans="12:33" x14ac:dyDescent="0.25">
      <c r="L148" s="42" t="str">
        <f>IF(AND('Pivot elenchi'!P147="",'Pivot elenchi'!P148=""),"",IF('Pivot elenchi'!P147="",'Pivot elenchi'!P146="",'Pivot elenchi'!P147))</f>
        <v xml:space="preserve">W1910010    </v>
      </c>
      <c r="M148" s="42" t="str">
        <f>IF(AND('Pivot elenchi'!Q147="",'Pivot elenchi'!Q148=""),"",IF('Pivot elenchi'!Q147="",'Pivot elenchi'!Q146="",'Pivot elenchi'!Q147))</f>
        <v>OPERATIONS MOSTRE 24 ORE CULTUR</v>
      </c>
      <c r="N148" s="42" t="str">
        <f>IF(AND('Pivot elenchi'!R147="",'Pivot elenchi'!R148=""),"",IF('Pivot elenchi'!R147="",'Pivot elenchi'!R146="",'Pivot elenchi'!R147))</f>
        <v/>
      </c>
      <c r="O148" s="42" t="str">
        <f>IF(AND('Pivot elenchi'!S147="",'Pivot elenchi'!S148=""),"",IF('Pivot elenchi'!S147="",'Pivot elenchi'!S146="",'Pivot elenchi'!S147))</f>
        <v>24 ORE CULTURA</v>
      </c>
      <c r="P148" s="42" t="str">
        <f>IF(AND('Pivot elenchi'!T147="",'Pivot elenchi'!T148=""),"",IF('Pivot elenchi'!T147="",'Pivot elenchi'!T146="",'Pivot elenchi'!T147))</f>
        <v/>
      </c>
      <c r="Q148" s="42" t="str">
        <f>IF(AND('Pivot elenchi'!U147="",'Pivot elenchi'!U148=""),"",IF('Pivot elenchi'!U147="",'Pivot elenchi'!U146="",'Pivot elenchi'!U147))</f>
        <v>24 ORE CULTURA</v>
      </c>
      <c r="R148" t="s">
        <v>715</v>
      </c>
      <c r="AB148" s="42" t="str">
        <f t="shared" si="18"/>
        <v xml:space="preserve">W1910010    </v>
      </c>
      <c r="AC148" s="42" t="str">
        <f t="shared" si="18"/>
        <v>OPERATIONS MOSTRE 24 ORE CULTUR</v>
      </c>
      <c r="AD148" s="42" t="str">
        <f t="shared" si="18"/>
        <v/>
      </c>
      <c r="AE148" s="42" t="str">
        <f t="shared" si="18"/>
        <v>24 ORE CULTURA</v>
      </c>
      <c r="AF148" s="42" t="str">
        <f t="shared" si="19"/>
        <v/>
      </c>
      <c r="AG148" s="42" t="str">
        <f t="shared" si="19"/>
        <v>24 ORE CULTURA</v>
      </c>
    </row>
    <row r="149" spans="12:33" x14ac:dyDescent="0.25">
      <c r="L149" s="42" t="str">
        <f>IF(AND('Pivot elenchi'!P148="",'Pivot elenchi'!P149=""),"",IF('Pivot elenchi'!P148="",'Pivot elenchi'!P147="",'Pivot elenchi'!P148))</f>
        <v xml:space="preserve">W1910020    </v>
      </c>
      <c r="M149" s="42" t="str">
        <f>IF(AND('Pivot elenchi'!Q148="",'Pivot elenchi'!Q149=""),"",IF('Pivot elenchi'!Q148="",'Pivot elenchi'!Q147="",'Pivot elenchi'!Q148))</f>
        <v>OPERATIONS MUDEC 24 ORE CULTURA</v>
      </c>
      <c r="N149" s="42" t="str">
        <f>IF(AND('Pivot elenchi'!R148="",'Pivot elenchi'!R149=""),"",IF('Pivot elenchi'!R148="",'Pivot elenchi'!R147="",'Pivot elenchi'!R148))</f>
        <v/>
      </c>
      <c r="O149" s="42" t="str">
        <f>IF(AND('Pivot elenchi'!S148="",'Pivot elenchi'!S149=""),"",IF('Pivot elenchi'!S148="",'Pivot elenchi'!S147="",'Pivot elenchi'!S148))</f>
        <v>24 ORE CULTURA</v>
      </c>
      <c r="P149" s="42" t="str">
        <f>IF(AND('Pivot elenchi'!T148="",'Pivot elenchi'!T149=""),"",IF('Pivot elenchi'!T148="",'Pivot elenchi'!T147="",'Pivot elenchi'!T148))</f>
        <v/>
      </c>
      <c r="Q149" s="42" t="str">
        <f>IF(AND('Pivot elenchi'!U148="",'Pivot elenchi'!U149=""),"",IF('Pivot elenchi'!U148="",'Pivot elenchi'!U147="",'Pivot elenchi'!U148))</f>
        <v>24 ORE CULTURA</v>
      </c>
      <c r="R149" t="s">
        <v>715</v>
      </c>
      <c r="AB149" s="42" t="str">
        <f t="shared" si="18"/>
        <v xml:space="preserve">W1910020    </v>
      </c>
      <c r="AC149" s="42" t="str">
        <f t="shared" si="18"/>
        <v>OPERATIONS MUDEC 24 ORE CULTURA</v>
      </c>
      <c r="AD149" s="42" t="str">
        <f t="shared" si="18"/>
        <v/>
      </c>
      <c r="AE149" s="42" t="str">
        <f t="shared" si="18"/>
        <v>24 ORE CULTURA</v>
      </c>
      <c r="AF149" s="42" t="str">
        <f t="shared" si="19"/>
        <v/>
      </c>
      <c r="AG149" s="42" t="str">
        <f t="shared" si="19"/>
        <v>24 ORE CULTURA</v>
      </c>
    </row>
    <row r="150" spans="12:33" x14ac:dyDescent="0.25">
      <c r="L150" s="42" t="str">
        <f>IF(AND('Pivot elenchi'!P149="",'Pivot elenchi'!P150=""),"",IF('Pivot elenchi'!P149="",'Pivot elenchi'!P148="",'Pivot elenchi'!P149))</f>
        <v xml:space="preserve">W19510      </v>
      </c>
      <c r="M150" s="42" t="str">
        <f>IF(AND('Pivot elenchi'!Q149="",'Pivot elenchi'!Q150=""),"",IF('Pivot elenchi'!Q149="",'Pivot elenchi'!Q148="",'Pivot elenchi'!Q149))</f>
        <v>EDITORIA &amp; BOOKSHOP</v>
      </c>
      <c r="N150" s="42" t="str">
        <f>IF(AND('Pivot elenchi'!R149="",'Pivot elenchi'!R150=""),"",IF('Pivot elenchi'!R149="",'Pivot elenchi'!R148="",'Pivot elenchi'!R149))</f>
        <v/>
      </c>
      <c r="O150" s="42" t="str">
        <f>IF(AND('Pivot elenchi'!S149="",'Pivot elenchi'!S150=""),"",IF('Pivot elenchi'!S149="",'Pivot elenchi'!S148="",'Pivot elenchi'!S149))</f>
        <v>24 ORE CULTURA</v>
      </c>
      <c r="P150" s="42" t="str">
        <f>IF(AND('Pivot elenchi'!T149="",'Pivot elenchi'!T150=""),"",IF('Pivot elenchi'!T149="",'Pivot elenchi'!T148="",'Pivot elenchi'!T149))</f>
        <v/>
      </c>
      <c r="Q150" s="42" t="str">
        <f>IF(AND('Pivot elenchi'!U149="",'Pivot elenchi'!U150=""),"",IF('Pivot elenchi'!U149="",'Pivot elenchi'!U148="",'Pivot elenchi'!U149))</f>
        <v>24 ORE CULTURA</v>
      </c>
      <c r="R150" t="s">
        <v>715</v>
      </c>
      <c r="AB150" s="42" t="str">
        <f t="shared" si="18"/>
        <v xml:space="preserve">W19510      </v>
      </c>
      <c r="AC150" s="42" t="str">
        <f t="shared" si="18"/>
        <v>EDITORIA &amp; BOOKSHOP</v>
      </c>
      <c r="AD150" s="42" t="str">
        <f t="shared" si="18"/>
        <v/>
      </c>
      <c r="AE150" s="42" t="str">
        <f t="shared" si="18"/>
        <v>24 ORE CULTURA</v>
      </c>
      <c r="AF150" s="42" t="str">
        <f t="shared" si="19"/>
        <v/>
      </c>
      <c r="AG150" s="42" t="str">
        <f t="shared" si="19"/>
        <v>24 ORE CULTURA</v>
      </c>
    </row>
    <row r="151" spans="12:33" x14ac:dyDescent="0.25">
      <c r="L151" s="42" t="str">
        <f>IF(AND('Pivot elenchi'!P150="",'Pivot elenchi'!P151=""),"",IF('Pivot elenchi'!P150="",'Pivot elenchi'!P149="",'Pivot elenchi'!P150))</f>
        <v xml:space="preserve">W19520      </v>
      </c>
      <c r="M151" s="42" t="str">
        <f>IF(AND('Pivot elenchi'!Q150="",'Pivot elenchi'!Q151=""),"",IF('Pivot elenchi'!Q150="",'Pivot elenchi'!Q149="",'Pivot elenchi'!Q150))</f>
        <v>MOSTRE</v>
      </c>
      <c r="N151" s="42" t="str">
        <f>IF(AND('Pivot elenchi'!R150="",'Pivot elenchi'!R151=""),"",IF('Pivot elenchi'!R150="",'Pivot elenchi'!R149="",'Pivot elenchi'!R150))</f>
        <v/>
      </c>
      <c r="O151" s="42" t="str">
        <f>IF(AND('Pivot elenchi'!S150="",'Pivot elenchi'!S151=""),"",IF('Pivot elenchi'!S150="",'Pivot elenchi'!S149="",'Pivot elenchi'!S150))</f>
        <v>24 ORE CULTURA</v>
      </c>
      <c r="P151" s="42" t="str">
        <f>IF(AND('Pivot elenchi'!T150="",'Pivot elenchi'!T151=""),"",IF('Pivot elenchi'!T150="",'Pivot elenchi'!T149="",'Pivot elenchi'!T150))</f>
        <v/>
      </c>
      <c r="Q151" s="42" t="str">
        <f>IF(AND('Pivot elenchi'!U150="",'Pivot elenchi'!U151=""),"",IF('Pivot elenchi'!U150="",'Pivot elenchi'!U149="",'Pivot elenchi'!U150))</f>
        <v>24 ORE CULTURA</v>
      </c>
      <c r="R151" t="s">
        <v>715</v>
      </c>
      <c r="AB151" s="42" t="str">
        <f t="shared" si="18"/>
        <v xml:space="preserve">W19520      </v>
      </c>
      <c r="AC151" s="42" t="str">
        <f t="shared" si="18"/>
        <v>MOSTRE</v>
      </c>
      <c r="AD151" s="42" t="str">
        <f t="shared" si="18"/>
        <v/>
      </c>
      <c r="AE151" s="42" t="str">
        <f t="shared" si="18"/>
        <v>24 ORE CULTURA</v>
      </c>
      <c r="AF151" s="42" t="str">
        <f t="shared" si="19"/>
        <v/>
      </c>
      <c r="AG151" s="42" t="str">
        <f t="shared" si="19"/>
        <v>24 ORE CULTURA</v>
      </c>
    </row>
    <row r="152" spans="12:33" x14ac:dyDescent="0.25">
      <c r="L152" s="42" t="str">
        <f>IF(AND('Pivot elenchi'!P151="",'Pivot elenchi'!P152=""),"",IF('Pivot elenchi'!P151="",'Pivot elenchi'!P150="",'Pivot elenchi'!P151))</f>
        <v xml:space="preserve">W1953010    </v>
      </c>
      <c r="M152" s="42" t="str">
        <f>IF(AND('Pivot elenchi'!Q151="",'Pivot elenchi'!Q152=""),"",IF('Pivot elenchi'!Q151="",'Pivot elenchi'!Q150="",'Pivot elenchi'!Q151))</f>
        <v>COMUNICAZIONE DI PRODOTTO</v>
      </c>
      <c r="N152" s="42" t="str">
        <f>IF(AND('Pivot elenchi'!R151="",'Pivot elenchi'!R152=""),"",IF('Pivot elenchi'!R151="",'Pivot elenchi'!R150="",'Pivot elenchi'!R151))</f>
        <v/>
      </c>
      <c r="O152" s="42" t="str">
        <f>IF(AND('Pivot elenchi'!S151="",'Pivot elenchi'!S152=""),"",IF('Pivot elenchi'!S151="",'Pivot elenchi'!S150="",'Pivot elenchi'!S151))</f>
        <v>24 ORE CULTURA</v>
      </c>
      <c r="P152" s="42" t="str">
        <f>IF(AND('Pivot elenchi'!T151="",'Pivot elenchi'!T152=""),"",IF('Pivot elenchi'!T151="",'Pivot elenchi'!T150="",'Pivot elenchi'!T151))</f>
        <v/>
      </c>
      <c r="Q152" s="42" t="str">
        <f>IF(AND('Pivot elenchi'!U151="",'Pivot elenchi'!U152=""),"",IF('Pivot elenchi'!U151="",'Pivot elenchi'!U150="",'Pivot elenchi'!U151))</f>
        <v>24 ORE CULTURA</v>
      </c>
      <c r="R152" t="s">
        <v>715</v>
      </c>
      <c r="AB152" s="42" t="str">
        <f t="shared" si="18"/>
        <v xml:space="preserve">W1953010    </v>
      </c>
      <c r="AC152" s="42" t="str">
        <f t="shared" si="18"/>
        <v>COMUNICAZIONE DI PRODOTTO</v>
      </c>
      <c r="AD152" s="42" t="str">
        <f t="shared" si="18"/>
        <v/>
      </c>
      <c r="AE152" s="42" t="str">
        <f t="shared" si="18"/>
        <v>24 ORE CULTURA</v>
      </c>
      <c r="AF152" s="42" t="str">
        <f t="shared" si="19"/>
        <v/>
      </c>
      <c r="AG152" s="42" t="str">
        <f t="shared" si="19"/>
        <v>24 ORE CULTURA</v>
      </c>
    </row>
    <row r="153" spans="12:33" x14ac:dyDescent="0.25">
      <c r="L153" s="42" t="str">
        <f>IF(AND('Pivot elenchi'!P152="",'Pivot elenchi'!P153=""),"",IF('Pivot elenchi'!P152="",'Pivot elenchi'!P151="",'Pivot elenchi'!P152))</f>
        <v xml:space="preserve">W1953020    </v>
      </c>
      <c r="M153" s="42" t="str">
        <f>IF(AND('Pivot elenchi'!Q152="",'Pivot elenchi'!Q153=""),"",IF('Pivot elenchi'!Q152="",'Pivot elenchi'!Q151="",'Pivot elenchi'!Q152))</f>
        <v>COMMERCIALE MOSTRE</v>
      </c>
      <c r="N153" s="42" t="str">
        <f>IF(AND('Pivot elenchi'!R152="",'Pivot elenchi'!R153=""),"",IF('Pivot elenchi'!R152="",'Pivot elenchi'!R151="",'Pivot elenchi'!R152))</f>
        <v/>
      </c>
      <c r="O153" s="42" t="str">
        <f>IF(AND('Pivot elenchi'!S152="",'Pivot elenchi'!S153=""),"",IF('Pivot elenchi'!S152="",'Pivot elenchi'!S151="",'Pivot elenchi'!S152))</f>
        <v>24 ORE CULTURA</v>
      </c>
      <c r="P153" s="42" t="str">
        <f>IF(AND('Pivot elenchi'!T152="",'Pivot elenchi'!T153=""),"",IF('Pivot elenchi'!T152="",'Pivot elenchi'!T151="",'Pivot elenchi'!T152))</f>
        <v/>
      </c>
      <c r="Q153" s="42" t="str">
        <f>IF(AND('Pivot elenchi'!U152="",'Pivot elenchi'!U153=""),"",IF('Pivot elenchi'!U152="",'Pivot elenchi'!U151="",'Pivot elenchi'!U152))</f>
        <v>24 ORE CULTURA</v>
      </c>
      <c r="R153" t="s">
        <v>715</v>
      </c>
      <c r="AB153" s="42" t="str">
        <f t="shared" si="18"/>
        <v xml:space="preserve">W1953020    </v>
      </c>
      <c r="AC153" s="42" t="str">
        <f t="shared" si="18"/>
        <v>COMMERCIALE MOSTRE</v>
      </c>
      <c r="AD153" s="42" t="str">
        <f t="shared" si="18"/>
        <v/>
      </c>
      <c r="AE153" s="42" t="str">
        <f t="shared" si="18"/>
        <v>24 ORE CULTURA</v>
      </c>
      <c r="AF153" s="42" t="str">
        <f t="shared" si="19"/>
        <v/>
      </c>
      <c r="AG153" s="42" t="str">
        <f t="shared" si="19"/>
        <v>24 ORE CULTURA</v>
      </c>
    </row>
    <row r="154" spans="12:33" x14ac:dyDescent="0.25">
      <c r="L154" s="42" t="str">
        <f>IF(AND('Pivot elenchi'!P153="",'Pivot elenchi'!P154=""),"",IF('Pivot elenchi'!P153="",'Pivot elenchi'!P152="",'Pivot elenchi'!P153))</f>
        <v/>
      </c>
      <c r="M154" s="42" t="str">
        <f>IF(AND('Pivot elenchi'!Q153="",'Pivot elenchi'!Q154=""),"",IF('Pivot elenchi'!Q153="",'Pivot elenchi'!Q152="",'Pivot elenchi'!Q153))</f>
        <v/>
      </c>
      <c r="N154" s="42" t="str">
        <f>IF(AND('Pivot elenchi'!R153="",'Pivot elenchi'!R154=""),"",IF('Pivot elenchi'!R153="",'Pivot elenchi'!R152="",'Pivot elenchi'!R153))</f>
        <v/>
      </c>
      <c r="O154" s="42" t="str">
        <f>IF(AND('Pivot elenchi'!S153="",'Pivot elenchi'!S154=""),"",IF('Pivot elenchi'!S153="",'Pivot elenchi'!S152="",'Pivot elenchi'!S153))</f>
        <v/>
      </c>
      <c r="P154" s="42" t="str">
        <f>IF(AND('Pivot elenchi'!T153="",'Pivot elenchi'!T154=""),"",IF('Pivot elenchi'!T153="",'Pivot elenchi'!T152="",'Pivot elenchi'!T153))</f>
        <v/>
      </c>
      <c r="Q154" s="42" t="str">
        <f>IF(AND('Pivot elenchi'!U153="",'Pivot elenchi'!U154=""),"",IF('Pivot elenchi'!U153="",'Pivot elenchi'!U152="",'Pivot elenchi'!U153))</f>
        <v/>
      </c>
      <c r="AB154" s="42" t="str">
        <f t="shared" si="18"/>
        <v/>
      </c>
      <c r="AC154" s="42" t="str">
        <f t="shared" si="18"/>
        <v/>
      </c>
      <c r="AD154" s="42" t="str">
        <f t="shared" si="18"/>
        <v/>
      </c>
      <c r="AE154" s="42" t="str">
        <f t="shared" si="18"/>
        <v/>
      </c>
      <c r="AF154" s="42" t="str">
        <f t="shared" si="19"/>
        <v/>
      </c>
      <c r="AG154" s="42" t="str">
        <f t="shared" si="19"/>
        <v/>
      </c>
    </row>
    <row r="155" spans="12:33" x14ac:dyDescent="0.25">
      <c r="L155" s="42" t="str">
        <f>IF(AND('Pivot elenchi'!P154="",'Pivot elenchi'!P155=""),"",IF('Pivot elenchi'!P154="",'Pivot elenchi'!P153="",'Pivot elenchi'!P154))</f>
        <v/>
      </c>
      <c r="M155" s="42" t="str">
        <f>IF(AND('Pivot elenchi'!Q154="",'Pivot elenchi'!Q155=""),"",IF('Pivot elenchi'!Q154="",'Pivot elenchi'!Q153="",'Pivot elenchi'!Q154))</f>
        <v/>
      </c>
      <c r="N155" s="42" t="str">
        <f>IF(AND('Pivot elenchi'!R154="",'Pivot elenchi'!R155=""),"",IF('Pivot elenchi'!R154="",'Pivot elenchi'!R153="",'Pivot elenchi'!R154))</f>
        <v/>
      </c>
      <c r="O155" s="42" t="str">
        <f>IF(AND('Pivot elenchi'!S154="",'Pivot elenchi'!S155=""),"",IF('Pivot elenchi'!S154="",'Pivot elenchi'!S153="",'Pivot elenchi'!S154))</f>
        <v/>
      </c>
      <c r="P155" s="42" t="str">
        <f>IF(AND('Pivot elenchi'!T154="",'Pivot elenchi'!T155=""),"",IF('Pivot elenchi'!T154="",'Pivot elenchi'!T153="",'Pivot elenchi'!T154))</f>
        <v/>
      </c>
      <c r="Q155" s="42" t="str">
        <f>IF(AND('Pivot elenchi'!U154="",'Pivot elenchi'!U155=""),"",IF('Pivot elenchi'!U154="",'Pivot elenchi'!U153="",'Pivot elenchi'!U154))</f>
        <v/>
      </c>
      <c r="AB155" s="42" t="str">
        <f t="shared" si="18"/>
        <v/>
      </c>
      <c r="AC155" s="42" t="str">
        <f t="shared" si="18"/>
        <v/>
      </c>
      <c r="AD155" s="42" t="str">
        <f t="shared" si="18"/>
        <v/>
      </c>
      <c r="AE155" s="42" t="str">
        <f t="shared" si="18"/>
        <v/>
      </c>
      <c r="AF155" s="42" t="str">
        <f t="shared" si="19"/>
        <v/>
      </c>
      <c r="AG155" s="42" t="str">
        <f t="shared" si="19"/>
        <v/>
      </c>
    </row>
    <row r="156" spans="12:33" x14ac:dyDescent="0.25">
      <c r="L156" s="42" t="str">
        <f>IF(AND('Pivot elenchi'!P155="",'Pivot elenchi'!P156=""),"",IF('Pivot elenchi'!P155="",'Pivot elenchi'!P154="",'Pivot elenchi'!P155))</f>
        <v/>
      </c>
      <c r="M156" s="42" t="str">
        <f>IF(AND('Pivot elenchi'!Q155="",'Pivot elenchi'!Q156=""),"",IF('Pivot elenchi'!Q155="",'Pivot elenchi'!Q154="",'Pivot elenchi'!Q155))</f>
        <v/>
      </c>
      <c r="N156" s="42" t="str">
        <f>IF(AND('Pivot elenchi'!R155="",'Pivot elenchi'!R156=""),"",IF('Pivot elenchi'!R155="",'Pivot elenchi'!R154="",'Pivot elenchi'!R155))</f>
        <v/>
      </c>
      <c r="O156" s="42" t="str">
        <f>IF(AND('Pivot elenchi'!S155="",'Pivot elenchi'!S156=""),"",IF('Pivot elenchi'!S155="",'Pivot elenchi'!S154="",'Pivot elenchi'!S155))</f>
        <v/>
      </c>
      <c r="P156" s="42" t="str">
        <f>IF(AND('Pivot elenchi'!T155="",'Pivot elenchi'!T156=""),"",IF('Pivot elenchi'!T155="",'Pivot elenchi'!T154="",'Pivot elenchi'!T155))</f>
        <v/>
      </c>
      <c r="Q156" s="42" t="str">
        <f>IF(AND('Pivot elenchi'!U155="",'Pivot elenchi'!U156=""),"",IF('Pivot elenchi'!U155="",'Pivot elenchi'!U154="",'Pivot elenchi'!U155))</f>
        <v/>
      </c>
      <c r="AB156" s="42" t="str">
        <f t="shared" si="18"/>
        <v/>
      </c>
      <c r="AC156" s="42" t="str">
        <f t="shared" si="18"/>
        <v/>
      </c>
      <c r="AD156" s="42" t="str">
        <f t="shared" si="18"/>
        <v/>
      </c>
      <c r="AE156" s="42" t="str">
        <f t="shared" si="18"/>
        <v/>
      </c>
      <c r="AF156" s="42" t="str">
        <f t="shared" si="19"/>
        <v/>
      </c>
      <c r="AG156" s="42" t="str">
        <f t="shared" si="19"/>
        <v/>
      </c>
    </row>
    <row r="157" spans="12:33" x14ac:dyDescent="0.25">
      <c r="L157" s="42" t="str">
        <f>IF(AND('Pivot elenchi'!P156="",'Pivot elenchi'!P157=""),"",IF('Pivot elenchi'!P156="",'Pivot elenchi'!P155="",'Pivot elenchi'!P156))</f>
        <v/>
      </c>
      <c r="M157" s="42" t="str">
        <f>IF(AND('Pivot elenchi'!Q156="",'Pivot elenchi'!Q157=""),"",IF('Pivot elenchi'!Q156="",'Pivot elenchi'!Q155="",'Pivot elenchi'!Q156))</f>
        <v/>
      </c>
      <c r="N157" s="42" t="str">
        <f>IF(AND('Pivot elenchi'!R156="",'Pivot elenchi'!R157=""),"",IF('Pivot elenchi'!R156="",'Pivot elenchi'!R155="",'Pivot elenchi'!R156))</f>
        <v/>
      </c>
      <c r="O157" s="42" t="str">
        <f>IF(AND('Pivot elenchi'!S156="",'Pivot elenchi'!S157=""),"",IF('Pivot elenchi'!S156="",'Pivot elenchi'!S155="",'Pivot elenchi'!S156))</f>
        <v/>
      </c>
      <c r="P157" s="42" t="str">
        <f>IF(AND('Pivot elenchi'!T156="",'Pivot elenchi'!T157=""),"",IF('Pivot elenchi'!T156="",'Pivot elenchi'!T155="",'Pivot elenchi'!T156))</f>
        <v/>
      </c>
      <c r="Q157" s="42" t="str">
        <f>IF(AND('Pivot elenchi'!U156="",'Pivot elenchi'!U157=""),"",IF('Pivot elenchi'!U156="",'Pivot elenchi'!U155="",'Pivot elenchi'!U156))</f>
        <v/>
      </c>
      <c r="AB157" s="42" t="str">
        <f t="shared" si="18"/>
        <v/>
      </c>
      <c r="AC157" s="42" t="str">
        <f t="shared" si="18"/>
        <v/>
      </c>
      <c r="AD157" s="42" t="str">
        <f t="shared" si="18"/>
        <v/>
      </c>
      <c r="AE157" s="42" t="str">
        <f t="shared" si="18"/>
        <v/>
      </c>
      <c r="AF157" s="42" t="str">
        <f t="shared" si="19"/>
        <v/>
      </c>
      <c r="AG157" s="42" t="str">
        <f t="shared" si="19"/>
        <v/>
      </c>
    </row>
    <row r="158" spans="12:33" x14ac:dyDescent="0.25">
      <c r="L158" s="42" t="str">
        <f>IF(AND('Pivot elenchi'!P157="",'Pivot elenchi'!P158=""),"",IF('Pivot elenchi'!P157="",'Pivot elenchi'!P156="",'Pivot elenchi'!P157))</f>
        <v/>
      </c>
      <c r="M158" s="42" t="str">
        <f>IF(AND('Pivot elenchi'!Q157="",'Pivot elenchi'!Q158=""),"",IF('Pivot elenchi'!Q157="",'Pivot elenchi'!Q156="",'Pivot elenchi'!Q157))</f>
        <v/>
      </c>
      <c r="N158" s="42" t="str">
        <f>IF(AND('Pivot elenchi'!R157="",'Pivot elenchi'!R158=""),"",IF('Pivot elenchi'!R157="",'Pivot elenchi'!R156="",'Pivot elenchi'!R157))</f>
        <v/>
      </c>
      <c r="O158" s="42" t="str">
        <f>IF(AND('Pivot elenchi'!S157="",'Pivot elenchi'!S158=""),"",IF('Pivot elenchi'!S157="",'Pivot elenchi'!S156="",'Pivot elenchi'!S157))</f>
        <v/>
      </c>
      <c r="P158" s="42" t="str">
        <f>IF(AND('Pivot elenchi'!T157="",'Pivot elenchi'!T158=""),"",IF('Pivot elenchi'!T157="",'Pivot elenchi'!T156="",'Pivot elenchi'!T157))</f>
        <v/>
      </c>
      <c r="Q158" s="42" t="str">
        <f>IF(AND('Pivot elenchi'!U157="",'Pivot elenchi'!U158=""),"",IF('Pivot elenchi'!U157="",'Pivot elenchi'!U156="",'Pivot elenchi'!U157))</f>
        <v/>
      </c>
      <c r="AB158" s="42" t="str">
        <f t="shared" si="18"/>
        <v/>
      </c>
      <c r="AC158" s="42" t="str">
        <f t="shared" si="18"/>
        <v/>
      </c>
      <c r="AD158" s="42" t="str">
        <f t="shared" si="18"/>
        <v/>
      </c>
      <c r="AE158" s="42" t="str">
        <f t="shared" si="18"/>
        <v/>
      </c>
      <c r="AF158" s="42" t="str">
        <f t="shared" si="19"/>
        <v/>
      </c>
      <c r="AG158" s="42" t="str">
        <f t="shared" si="19"/>
        <v/>
      </c>
    </row>
    <row r="159" spans="12:33" x14ac:dyDescent="0.25">
      <c r="L159" s="42" t="str">
        <f>IF(AND('Pivot elenchi'!P158="",'Pivot elenchi'!P159=""),"",IF('Pivot elenchi'!P158="",'Pivot elenchi'!P157="",'Pivot elenchi'!P158))</f>
        <v/>
      </c>
      <c r="M159" s="42" t="str">
        <f>IF(AND('Pivot elenchi'!Q158="",'Pivot elenchi'!Q159=""),"",IF('Pivot elenchi'!Q158="",'Pivot elenchi'!Q157="",'Pivot elenchi'!Q158))</f>
        <v/>
      </c>
      <c r="N159" s="42" t="str">
        <f>IF(AND('Pivot elenchi'!R158="",'Pivot elenchi'!R159=""),"",IF('Pivot elenchi'!R158="",'Pivot elenchi'!R157="",'Pivot elenchi'!R158))</f>
        <v/>
      </c>
      <c r="O159" s="42" t="str">
        <f>IF(AND('Pivot elenchi'!S158="",'Pivot elenchi'!S159=""),"",IF('Pivot elenchi'!S158="",'Pivot elenchi'!S157="",'Pivot elenchi'!S158))</f>
        <v/>
      </c>
      <c r="P159" s="42" t="str">
        <f>IF(AND('Pivot elenchi'!T158="",'Pivot elenchi'!T159=""),"",IF('Pivot elenchi'!T158="",'Pivot elenchi'!T157="",'Pivot elenchi'!T158))</f>
        <v/>
      </c>
      <c r="Q159" s="42" t="str">
        <f>IF(AND('Pivot elenchi'!U158="",'Pivot elenchi'!U159=""),"",IF('Pivot elenchi'!U158="",'Pivot elenchi'!U157="",'Pivot elenchi'!U158))</f>
        <v/>
      </c>
      <c r="AB159" s="42" t="str">
        <f t="shared" si="18"/>
        <v/>
      </c>
      <c r="AC159" s="42" t="str">
        <f t="shared" si="18"/>
        <v/>
      </c>
      <c r="AD159" s="42" t="str">
        <f t="shared" si="18"/>
        <v/>
      </c>
      <c r="AE159" s="42" t="str">
        <f t="shared" si="18"/>
        <v/>
      </c>
      <c r="AF159" s="42" t="str">
        <f t="shared" si="19"/>
        <v/>
      </c>
      <c r="AG159" s="42" t="str">
        <f t="shared" si="19"/>
        <v/>
      </c>
    </row>
    <row r="160" spans="12:33" x14ac:dyDescent="0.25">
      <c r="L160" s="42" t="str">
        <f>IF(AND('Pivot elenchi'!P159="",'Pivot elenchi'!P160=""),"",IF('Pivot elenchi'!P159="",'Pivot elenchi'!P158="",'Pivot elenchi'!P159))</f>
        <v/>
      </c>
      <c r="M160" s="42" t="str">
        <f>IF(AND('Pivot elenchi'!Q159="",'Pivot elenchi'!Q160=""),"",IF('Pivot elenchi'!Q159="",'Pivot elenchi'!Q158="",'Pivot elenchi'!Q159))</f>
        <v/>
      </c>
      <c r="N160" s="42" t="str">
        <f>IF(AND('Pivot elenchi'!R159="",'Pivot elenchi'!R160=""),"",IF('Pivot elenchi'!R159="",'Pivot elenchi'!R158="",'Pivot elenchi'!R159))</f>
        <v/>
      </c>
      <c r="O160" s="42" t="str">
        <f>IF(AND('Pivot elenchi'!S159="",'Pivot elenchi'!S160=""),"",IF('Pivot elenchi'!S159="",'Pivot elenchi'!S158="",'Pivot elenchi'!S159))</f>
        <v/>
      </c>
      <c r="P160" s="42" t="str">
        <f>IF(AND('Pivot elenchi'!T159="",'Pivot elenchi'!T160=""),"",IF('Pivot elenchi'!T159="",'Pivot elenchi'!T158="",'Pivot elenchi'!T159))</f>
        <v/>
      </c>
      <c r="Q160" s="42" t="str">
        <f>IF(AND('Pivot elenchi'!U159="",'Pivot elenchi'!U160=""),"",IF('Pivot elenchi'!U159="",'Pivot elenchi'!U158="",'Pivot elenchi'!U159))</f>
        <v/>
      </c>
      <c r="AB160" s="42" t="str">
        <f t="shared" si="18"/>
        <v/>
      </c>
      <c r="AC160" s="42" t="str">
        <f t="shared" si="18"/>
        <v/>
      </c>
      <c r="AD160" s="42" t="str">
        <f t="shared" si="18"/>
        <v/>
      </c>
      <c r="AE160" s="42" t="str">
        <f t="shared" si="18"/>
        <v/>
      </c>
      <c r="AF160" s="42" t="str">
        <f t="shared" si="19"/>
        <v/>
      </c>
      <c r="AG160" s="42" t="str">
        <f t="shared" si="19"/>
        <v/>
      </c>
    </row>
    <row r="161" spans="12:33" x14ac:dyDescent="0.25">
      <c r="L161" s="42" t="str">
        <f>IF(AND('Pivot elenchi'!P160="",'Pivot elenchi'!P161=""),"",IF('Pivot elenchi'!P160="",'Pivot elenchi'!P159="",'Pivot elenchi'!P160))</f>
        <v/>
      </c>
      <c r="M161" s="42" t="str">
        <f>IF(AND('Pivot elenchi'!Q160="",'Pivot elenchi'!Q161=""),"",IF('Pivot elenchi'!Q160="",'Pivot elenchi'!Q159="",'Pivot elenchi'!Q160))</f>
        <v/>
      </c>
      <c r="N161" s="42" t="str">
        <f>IF(AND('Pivot elenchi'!R160="",'Pivot elenchi'!R161=""),"",IF('Pivot elenchi'!R160="",'Pivot elenchi'!R159="",'Pivot elenchi'!R160))</f>
        <v/>
      </c>
      <c r="O161" s="42" t="str">
        <f>IF(AND('Pivot elenchi'!S160="",'Pivot elenchi'!S161=""),"",IF('Pivot elenchi'!S160="",'Pivot elenchi'!S159="",'Pivot elenchi'!S160))</f>
        <v/>
      </c>
      <c r="P161" s="42" t="str">
        <f>IF(AND('Pivot elenchi'!T160="",'Pivot elenchi'!T161=""),"",IF('Pivot elenchi'!T160="",'Pivot elenchi'!T159="",'Pivot elenchi'!T160))</f>
        <v/>
      </c>
      <c r="Q161" s="42" t="str">
        <f>IF(AND('Pivot elenchi'!U160="",'Pivot elenchi'!U161=""),"",IF('Pivot elenchi'!U160="",'Pivot elenchi'!U159="",'Pivot elenchi'!U160))</f>
        <v/>
      </c>
      <c r="AB161" s="42" t="str">
        <f t="shared" si="18"/>
        <v/>
      </c>
      <c r="AC161" s="42" t="str">
        <f t="shared" si="18"/>
        <v/>
      </c>
      <c r="AD161" s="42" t="str">
        <f t="shared" si="18"/>
        <v/>
      </c>
      <c r="AE161" s="42" t="str">
        <f t="shared" si="18"/>
        <v/>
      </c>
      <c r="AF161" s="42" t="str">
        <f t="shared" si="19"/>
        <v/>
      </c>
      <c r="AG161" s="42" t="str">
        <f t="shared" si="19"/>
        <v/>
      </c>
    </row>
    <row r="162" spans="12:33" x14ac:dyDescent="0.25">
      <c r="L162" s="42" t="str">
        <f>IF(AND('Pivot elenchi'!P161="",'Pivot elenchi'!P162=""),"",IF('Pivot elenchi'!P161="",'Pivot elenchi'!P160="",'Pivot elenchi'!P161))</f>
        <v/>
      </c>
      <c r="M162" s="42" t="str">
        <f>IF(AND('Pivot elenchi'!Q161="",'Pivot elenchi'!Q162=""),"",IF('Pivot elenchi'!Q161="",'Pivot elenchi'!Q160="",'Pivot elenchi'!Q161))</f>
        <v/>
      </c>
      <c r="N162" s="42" t="str">
        <f>IF(AND('Pivot elenchi'!R161="",'Pivot elenchi'!R162=""),"",IF('Pivot elenchi'!R161="",'Pivot elenchi'!R160="",'Pivot elenchi'!R161))</f>
        <v/>
      </c>
      <c r="O162" s="42" t="str">
        <f>IF(AND('Pivot elenchi'!S161="",'Pivot elenchi'!S162=""),"",IF('Pivot elenchi'!S161="",'Pivot elenchi'!S160="",'Pivot elenchi'!S161))</f>
        <v/>
      </c>
      <c r="P162" s="42" t="str">
        <f>IF(AND('Pivot elenchi'!T161="",'Pivot elenchi'!T162=""),"",IF('Pivot elenchi'!T161="",'Pivot elenchi'!T160="",'Pivot elenchi'!T161))</f>
        <v/>
      </c>
      <c r="Q162" s="42" t="str">
        <f>IF(AND('Pivot elenchi'!U161="",'Pivot elenchi'!U162=""),"",IF('Pivot elenchi'!U161="",'Pivot elenchi'!U160="",'Pivot elenchi'!U161))</f>
        <v/>
      </c>
      <c r="AB162" s="42" t="str">
        <f t="shared" si="18"/>
        <v/>
      </c>
      <c r="AC162" s="42" t="str">
        <f t="shared" si="18"/>
        <v/>
      </c>
      <c r="AD162" s="42" t="str">
        <f t="shared" si="18"/>
        <v/>
      </c>
      <c r="AE162" s="42" t="str">
        <f t="shared" si="18"/>
        <v/>
      </c>
      <c r="AF162" s="42" t="str">
        <f t="shared" si="19"/>
        <v/>
      </c>
      <c r="AG162" s="42" t="str">
        <f t="shared" si="19"/>
        <v/>
      </c>
    </row>
    <row r="163" spans="12:33" x14ac:dyDescent="0.25">
      <c r="L163" s="42" t="str">
        <f>IF(AND('Pivot elenchi'!P162="",'Pivot elenchi'!P163=""),"",IF('Pivot elenchi'!P162="",'Pivot elenchi'!P161="",'Pivot elenchi'!P162))</f>
        <v/>
      </c>
      <c r="M163" s="42" t="str">
        <f>IF(AND('Pivot elenchi'!Q162="",'Pivot elenchi'!Q163=""),"",IF('Pivot elenchi'!Q162="",'Pivot elenchi'!Q161="",'Pivot elenchi'!Q162))</f>
        <v/>
      </c>
      <c r="N163" s="42" t="str">
        <f>IF(AND('Pivot elenchi'!R162="",'Pivot elenchi'!R163=""),"",IF('Pivot elenchi'!R162="",'Pivot elenchi'!R161="",'Pivot elenchi'!R162))</f>
        <v/>
      </c>
      <c r="O163" s="42" t="str">
        <f>IF(AND('Pivot elenchi'!S162="",'Pivot elenchi'!S163=""),"",IF('Pivot elenchi'!S162="",'Pivot elenchi'!S161="",'Pivot elenchi'!S162))</f>
        <v/>
      </c>
      <c r="P163" s="42" t="str">
        <f>IF(AND('Pivot elenchi'!T162="",'Pivot elenchi'!T163=""),"",IF('Pivot elenchi'!T162="",'Pivot elenchi'!T161="",'Pivot elenchi'!T162))</f>
        <v/>
      </c>
      <c r="Q163" s="42" t="str">
        <f>IF(AND('Pivot elenchi'!U162="",'Pivot elenchi'!U163=""),"",IF('Pivot elenchi'!U162="",'Pivot elenchi'!U161="",'Pivot elenchi'!U162))</f>
        <v/>
      </c>
      <c r="AB163" s="42" t="str">
        <f t="shared" si="18"/>
        <v/>
      </c>
      <c r="AC163" s="42" t="str">
        <f t="shared" si="18"/>
        <v/>
      </c>
      <c r="AD163" s="42" t="str">
        <f t="shared" si="18"/>
        <v/>
      </c>
      <c r="AE163" s="42" t="str">
        <f t="shared" si="18"/>
        <v/>
      </c>
      <c r="AF163" s="42" t="str">
        <f t="shared" si="19"/>
        <v/>
      </c>
      <c r="AG163" s="42" t="str">
        <f t="shared" si="19"/>
        <v/>
      </c>
    </row>
    <row r="164" spans="12:33" x14ac:dyDescent="0.25">
      <c r="L164" s="42" t="str">
        <f>IF(AND('Pivot elenchi'!P163="",'Pivot elenchi'!P164=""),"",IF('Pivot elenchi'!P163="",'Pivot elenchi'!P162="",'Pivot elenchi'!P163))</f>
        <v/>
      </c>
      <c r="M164" s="42" t="str">
        <f>IF(AND('Pivot elenchi'!Q163="",'Pivot elenchi'!Q164=""),"",IF('Pivot elenchi'!Q163="",'Pivot elenchi'!Q162="",'Pivot elenchi'!Q163))</f>
        <v/>
      </c>
      <c r="N164" s="42" t="str">
        <f>IF(AND('Pivot elenchi'!R163="",'Pivot elenchi'!R164=""),"",IF('Pivot elenchi'!R163="",'Pivot elenchi'!R162="",'Pivot elenchi'!R163))</f>
        <v/>
      </c>
      <c r="O164" s="42" t="str">
        <f>IF(AND('Pivot elenchi'!S163="",'Pivot elenchi'!S164=""),"",IF('Pivot elenchi'!S163="",'Pivot elenchi'!S162="",'Pivot elenchi'!S163))</f>
        <v/>
      </c>
      <c r="P164" s="42" t="str">
        <f>IF(AND('Pivot elenchi'!T163="",'Pivot elenchi'!T164=""),"",IF('Pivot elenchi'!T163="",'Pivot elenchi'!T162="",'Pivot elenchi'!T163))</f>
        <v/>
      </c>
      <c r="Q164" s="42" t="str">
        <f>IF(AND('Pivot elenchi'!U163="",'Pivot elenchi'!U164=""),"",IF('Pivot elenchi'!U163="",'Pivot elenchi'!U162="",'Pivot elenchi'!U163))</f>
        <v/>
      </c>
      <c r="AB164" s="42" t="str">
        <f t="shared" si="18"/>
        <v/>
      </c>
      <c r="AC164" s="42" t="str">
        <f t="shared" si="18"/>
        <v/>
      </c>
      <c r="AD164" s="42" t="str">
        <f t="shared" si="18"/>
        <v/>
      </c>
      <c r="AE164" s="42" t="str">
        <f t="shared" si="18"/>
        <v/>
      </c>
      <c r="AF164" s="42" t="str">
        <f t="shared" si="19"/>
        <v/>
      </c>
      <c r="AG164" s="42" t="str">
        <f t="shared" si="19"/>
        <v/>
      </c>
    </row>
    <row r="165" spans="12:33" x14ac:dyDescent="0.25">
      <c r="L165" s="42" t="str">
        <f>IF(AND('Pivot elenchi'!P164="",'Pivot elenchi'!P165=""),"",IF('Pivot elenchi'!P164="",'Pivot elenchi'!P163="",'Pivot elenchi'!P164))</f>
        <v/>
      </c>
      <c r="M165" s="42" t="str">
        <f>IF(AND('Pivot elenchi'!Q164="",'Pivot elenchi'!Q165=""),"",IF('Pivot elenchi'!Q164="",'Pivot elenchi'!Q163="",'Pivot elenchi'!Q164))</f>
        <v/>
      </c>
      <c r="N165" s="42" t="str">
        <f>IF(AND('Pivot elenchi'!R164="",'Pivot elenchi'!R165=""),"",IF('Pivot elenchi'!R164="",'Pivot elenchi'!R163="",'Pivot elenchi'!R164))</f>
        <v/>
      </c>
      <c r="O165" s="42" t="str">
        <f>IF(AND('Pivot elenchi'!S164="",'Pivot elenchi'!S165=""),"",IF('Pivot elenchi'!S164="",'Pivot elenchi'!S163="",'Pivot elenchi'!S164))</f>
        <v/>
      </c>
      <c r="P165" s="42" t="str">
        <f>IF(AND('Pivot elenchi'!T164="",'Pivot elenchi'!T165=""),"",IF('Pivot elenchi'!T164="",'Pivot elenchi'!T163="",'Pivot elenchi'!T164))</f>
        <v/>
      </c>
      <c r="Q165" s="42" t="str">
        <f>IF(AND('Pivot elenchi'!U164="",'Pivot elenchi'!U165=""),"",IF('Pivot elenchi'!U164="",'Pivot elenchi'!U163="",'Pivot elenchi'!U164))</f>
        <v/>
      </c>
      <c r="AB165" s="42" t="str">
        <f t="shared" si="18"/>
        <v/>
      </c>
      <c r="AC165" s="42" t="str">
        <f t="shared" si="18"/>
        <v/>
      </c>
      <c r="AD165" s="42" t="str">
        <f t="shared" si="18"/>
        <v/>
      </c>
      <c r="AE165" s="42" t="str">
        <f t="shared" si="18"/>
        <v/>
      </c>
      <c r="AF165" s="42" t="str">
        <f t="shared" si="19"/>
        <v/>
      </c>
      <c r="AG165" s="42" t="str">
        <f t="shared" si="19"/>
        <v/>
      </c>
    </row>
    <row r="166" spans="12:33" x14ac:dyDescent="0.25">
      <c r="L166" s="42" t="str">
        <f>IF(AND('Pivot elenchi'!P165="",'Pivot elenchi'!P166=""),"",IF('Pivot elenchi'!P165="",'Pivot elenchi'!P164="",'Pivot elenchi'!P165))</f>
        <v/>
      </c>
      <c r="M166" s="42" t="str">
        <f>IF(AND('Pivot elenchi'!Q165="",'Pivot elenchi'!Q166=""),"",IF('Pivot elenchi'!Q165="",'Pivot elenchi'!Q164="",'Pivot elenchi'!Q165))</f>
        <v/>
      </c>
      <c r="N166" s="42" t="str">
        <f>IF(AND('Pivot elenchi'!R165="",'Pivot elenchi'!R166=""),"",IF('Pivot elenchi'!R165="",'Pivot elenchi'!R164="",'Pivot elenchi'!R165))</f>
        <v/>
      </c>
      <c r="O166" s="42" t="str">
        <f>IF(AND('Pivot elenchi'!S165="",'Pivot elenchi'!S166=""),"",IF('Pivot elenchi'!S165="",'Pivot elenchi'!S164="",'Pivot elenchi'!S165))</f>
        <v/>
      </c>
      <c r="P166" s="42" t="str">
        <f>IF(AND('Pivot elenchi'!T165="",'Pivot elenchi'!T166=""),"",IF('Pivot elenchi'!T165="",'Pivot elenchi'!T164="",'Pivot elenchi'!T165))</f>
        <v/>
      </c>
      <c r="Q166" s="42" t="str">
        <f>IF(AND('Pivot elenchi'!U165="",'Pivot elenchi'!U166=""),"",IF('Pivot elenchi'!U165="",'Pivot elenchi'!U164="",'Pivot elenchi'!U165))</f>
        <v/>
      </c>
      <c r="AB166" s="42" t="str">
        <f t="shared" si="18"/>
        <v/>
      </c>
      <c r="AC166" s="42" t="str">
        <f t="shared" si="18"/>
        <v/>
      </c>
      <c r="AD166" s="42" t="str">
        <f t="shared" si="18"/>
        <v/>
      </c>
      <c r="AE166" s="42" t="str">
        <f t="shared" si="18"/>
        <v/>
      </c>
      <c r="AF166" s="42" t="str">
        <f t="shared" si="19"/>
        <v/>
      </c>
      <c r="AG166" s="42" t="str">
        <f t="shared" si="19"/>
        <v/>
      </c>
    </row>
    <row r="167" spans="12:33" x14ac:dyDescent="0.25">
      <c r="L167" s="42" t="str">
        <f>IF(AND('Pivot elenchi'!P166="",'Pivot elenchi'!P167=""),"",IF('Pivot elenchi'!P166="",'Pivot elenchi'!P165="",'Pivot elenchi'!P166))</f>
        <v/>
      </c>
      <c r="M167" s="42" t="str">
        <f>IF(AND('Pivot elenchi'!Q166="",'Pivot elenchi'!Q167=""),"",IF('Pivot elenchi'!Q166="",'Pivot elenchi'!Q165="",'Pivot elenchi'!Q166))</f>
        <v/>
      </c>
      <c r="N167" s="42" t="str">
        <f>IF(AND('Pivot elenchi'!R166="",'Pivot elenchi'!R167=""),"",IF('Pivot elenchi'!R166="",'Pivot elenchi'!R165="",'Pivot elenchi'!R166))</f>
        <v/>
      </c>
      <c r="O167" s="42" t="str">
        <f>IF(AND('Pivot elenchi'!S166="",'Pivot elenchi'!S167=""),"",IF('Pivot elenchi'!S166="",'Pivot elenchi'!S165="",'Pivot elenchi'!S166))</f>
        <v/>
      </c>
      <c r="P167" s="42" t="str">
        <f>IF(AND('Pivot elenchi'!T166="",'Pivot elenchi'!T167=""),"",IF('Pivot elenchi'!T166="",'Pivot elenchi'!T165="",'Pivot elenchi'!T166))</f>
        <v/>
      </c>
      <c r="Q167" s="42" t="str">
        <f>IF(AND('Pivot elenchi'!U166="",'Pivot elenchi'!U167=""),"",IF('Pivot elenchi'!U166="",'Pivot elenchi'!U165="",'Pivot elenchi'!U166))</f>
        <v/>
      </c>
      <c r="AB167" s="42" t="str">
        <f t="shared" si="18"/>
        <v/>
      </c>
      <c r="AC167" s="42" t="str">
        <f t="shared" si="18"/>
        <v/>
      </c>
      <c r="AD167" s="42" t="str">
        <f t="shared" si="18"/>
        <v/>
      </c>
      <c r="AE167" s="42" t="str">
        <f t="shared" si="18"/>
        <v/>
      </c>
      <c r="AF167" s="42" t="str">
        <f t="shared" si="19"/>
        <v/>
      </c>
      <c r="AG167" s="42" t="str">
        <f t="shared" si="19"/>
        <v/>
      </c>
    </row>
    <row r="168" spans="12:33" x14ac:dyDescent="0.25">
      <c r="L168" s="42" t="str">
        <f>IF(AND('Pivot elenchi'!P167="",'Pivot elenchi'!P168=""),"",IF('Pivot elenchi'!P167="",'Pivot elenchi'!P166="",'Pivot elenchi'!P167))</f>
        <v/>
      </c>
      <c r="M168" s="42" t="str">
        <f>IF(AND('Pivot elenchi'!Q167="",'Pivot elenchi'!Q168=""),"",IF('Pivot elenchi'!Q167="",'Pivot elenchi'!Q166="",'Pivot elenchi'!Q167))</f>
        <v/>
      </c>
      <c r="N168" s="42" t="str">
        <f>IF(AND('Pivot elenchi'!R167="",'Pivot elenchi'!R168=""),"",IF('Pivot elenchi'!R167="",'Pivot elenchi'!R166="",'Pivot elenchi'!R167))</f>
        <v/>
      </c>
      <c r="O168" s="42" t="str">
        <f>IF(AND('Pivot elenchi'!S167="",'Pivot elenchi'!S168=""),"",IF('Pivot elenchi'!S167="",'Pivot elenchi'!S166="",'Pivot elenchi'!S167))</f>
        <v/>
      </c>
      <c r="P168" s="42" t="str">
        <f>IF(AND('Pivot elenchi'!T167="",'Pivot elenchi'!T168=""),"",IF('Pivot elenchi'!T167="",'Pivot elenchi'!T166="",'Pivot elenchi'!T167))</f>
        <v/>
      </c>
      <c r="Q168" s="42" t="str">
        <f>IF(AND('Pivot elenchi'!U167="",'Pivot elenchi'!U168=""),"",IF('Pivot elenchi'!U167="",'Pivot elenchi'!U166="",'Pivot elenchi'!U167))</f>
        <v/>
      </c>
      <c r="AB168" s="42" t="str">
        <f t="shared" si="18"/>
        <v/>
      </c>
      <c r="AC168" s="42" t="str">
        <f t="shared" si="18"/>
        <v/>
      </c>
      <c r="AD168" s="42" t="str">
        <f t="shared" si="18"/>
        <v/>
      </c>
      <c r="AE168" s="42" t="str">
        <f t="shared" si="18"/>
        <v/>
      </c>
      <c r="AF168" s="42" t="str">
        <f t="shared" si="19"/>
        <v/>
      </c>
      <c r="AG168" s="42" t="str">
        <f t="shared" si="19"/>
        <v/>
      </c>
    </row>
    <row r="169" spans="12:33" x14ac:dyDescent="0.25">
      <c r="L169" s="42" t="str">
        <f>IF(AND('Pivot elenchi'!P168="",'Pivot elenchi'!P169=""),"",IF('Pivot elenchi'!P168="",'Pivot elenchi'!P167="",'Pivot elenchi'!P168))</f>
        <v/>
      </c>
      <c r="M169" s="42" t="str">
        <f>IF(AND('Pivot elenchi'!Q168="",'Pivot elenchi'!Q169=""),"",IF('Pivot elenchi'!Q168="",'Pivot elenchi'!Q167="",'Pivot elenchi'!Q168))</f>
        <v/>
      </c>
      <c r="N169" s="42" t="str">
        <f>IF(AND('Pivot elenchi'!R168="",'Pivot elenchi'!R169=""),"",IF('Pivot elenchi'!R168="",'Pivot elenchi'!R167="",'Pivot elenchi'!R168))</f>
        <v/>
      </c>
      <c r="O169" s="42" t="str">
        <f>IF(AND('Pivot elenchi'!S168="",'Pivot elenchi'!S169=""),"",IF('Pivot elenchi'!S168="",'Pivot elenchi'!S167="",'Pivot elenchi'!S168))</f>
        <v/>
      </c>
      <c r="P169" s="42" t="str">
        <f>IF(AND('Pivot elenchi'!T168="",'Pivot elenchi'!T169=""),"",IF('Pivot elenchi'!T168="",'Pivot elenchi'!T167="",'Pivot elenchi'!T168))</f>
        <v/>
      </c>
      <c r="Q169" s="42" t="str">
        <f>IF(AND('Pivot elenchi'!U168="",'Pivot elenchi'!U169=""),"",IF('Pivot elenchi'!U168="",'Pivot elenchi'!U167="",'Pivot elenchi'!U168))</f>
        <v/>
      </c>
      <c r="AB169" s="42" t="str">
        <f t="shared" si="18"/>
        <v/>
      </c>
      <c r="AC169" s="42" t="str">
        <f t="shared" si="18"/>
        <v/>
      </c>
      <c r="AD169" s="42" t="str">
        <f t="shared" si="18"/>
        <v/>
      </c>
      <c r="AE169" s="42" t="str">
        <f t="shared" si="18"/>
        <v/>
      </c>
      <c r="AF169" s="42" t="str">
        <f t="shared" si="19"/>
        <v/>
      </c>
      <c r="AG169" s="42" t="str">
        <f t="shared" si="19"/>
        <v/>
      </c>
    </row>
    <row r="170" spans="12:33" x14ac:dyDescent="0.25">
      <c r="L170" s="42" t="str">
        <f>IF(AND('Pivot elenchi'!P169="",'Pivot elenchi'!P170=""),"",IF('Pivot elenchi'!P169="",'Pivot elenchi'!P168="",'Pivot elenchi'!P169))</f>
        <v/>
      </c>
      <c r="M170" s="42" t="str">
        <f>IF(AND('Pivot elenchi'!Q169="",'Pivot elenchi'!Q170=""),"",IF('Pivot elenchi'!Q169="",'Pivot elenchi'!Q168="",'Pivot elenchi'!Q169))</f>
        <v/>
      </c>
      <c r="N170" s="42" t="str">
        <f>IF(AND('Pivot elenchi'!R169="",'Pivot elenchi'!R170=""),"",IF('Pivot elenchi'!R169="",'Pivot elenchi'!R168="",'Pivot elenchi'!R169))</f>
        <v/>
      </c>
      <c r="O170" s="42" t="str">
        <f>IF(AND('Pivot elenchi'!S169="",'Pivot elenchi'!S170=""),"",IF('Pivot elenchi'!S169="",'Pivot elenchi'!S168="",'Pivot elenchi'!S169))</f>
        <v/>
      </c>
      <c r="P170" s="42" t="str">
        <f>IF(AND('Pivot elenchi'!T169="",'Pivot elenchi'!T170=""),"",IF('Pivot elenchi'!T169="",'Pivot elenchi'!T168="",'Pivot elenchi'!T169))</f>
        <v/>
      </c>
      <c r="Q170" s="42" t="str">
        <f>IF(AND('Pivot elenchi'!U169="",'Pivot elenchi'!U170=""),"",IF('Pivot elenchi'!U169="",'Pivot elenchi'!U168="",'Pivot elenchi'!U169))</f>
        <v/>
      </c>
      <c r="AB170" s="42" t="str">
        <f t="shared" si="18"/>
        <v/>
      </c>
      <c r="AC170" s="42" t="str">
        <f t="shared" si="18"/>
        <v/>
      </c>
      <c r="AD170" s="42" t="str">
        <f t="shared" si="18"/>
        <v/>
      </c>
      <c r="AE170" s="42" t="str">
        <f t="shared" si="18"/>
        <v/>
      </c>
      <c r="AF170" s="42" t="str">
        <f t="shared" si="19"/>
        <v/>
      </c>
      <c r="AG170" s="42" t="str">
        <f t="shared" si="19"/>
        <v/>
      </c>
    </row>
    <row r="171" spans="12:33" x14ac:dyDescent="0.25">
      <c r="L171" s="42" t="str">
        <f>IF(AND('Pivot elenchi'!P170="",'Pivot elenchi'!P171=""),"",IF('Pivot elenchi'!P170="",'Pivot elenchi'!P169="",'Pivot elenchi'!P170))</f>
        <v/>
      </c>
      <c r="M171" s="42" t="str">
        <f>IF(AND('Pivot elenchi'!Q170="",'Pivot elenchi'!Q171=""),"",IF('Pivot elenchi'!Q170="",'Pivot elenchi'!Q169="",'Pivot elenchi'!Q170))</f>
        <v/>
      </c>
      <c r="N171" s="42" t="str">
        <f>IF(AND('Pivot elenchi'!R170="",'Pivot elenchi'!R171=""),"",IF('Pivot elenchi'!R170="",'Pivot elenchi'!R169="",'Pivot elenchi'!R170))</f>
        <v/>
      </c>
      <c r="O171" s="42" t="str">
        <f>IF(AND('Pivot elenchi'!S170="",'Pivot elenchi'!S171=""),"",IF('Pivot elenchi'!S170="",'Pivot elenchi'!S169="",'Pivot elenchi'!S170))</f>
        <v/>
      </c>
      <c r="P171" s="42" t="str">
        <f>IF(AND('Pivot elenchi'!T170="",'Pivot elenchi'!T171=""),"",IF('Pivot elenchi'!T170="",'Pivot elenchi'!T169="",'Pivot elenchi'!T170))</f>
        <v/>
      </c>
      <c r="Q171" s="42" t="str">
        <f>IF(AND('Pivot elenchi'!U170="",'Pivot elenchi'!U171=""),"",IF('Pivot elenchi'!U170="",'Pivot elenchi'!U169="",'Pivot elenchi'!U170))</f>
        <v/>
      </c>
      <c r="AB171" s="42" t="str">
        <f t="shared" si="18"/>
        <v/>
      </c>
      <c r="AC171" s="42" t="str">
        <f t="shared" si="18"/>
        <v/>
      </c>
      <c r="AD171" s="42" t="str">
        <f t="shared" si="18"/>
        <v/>
      </c>
      <c r="AE171" s="42" t="str">
        <f t="shared" si="18"/>
        <v/>
      </c>
      <c r="AF171" s="42" t="str">
        <f t="shared" si="19"/>
        <v/>
      </c>
      <c r="AG171" s="42" t="str">
        <f t="shared" si="19"/>
        <v/>
      </c>
    </row>
    <row r="172" spans="12:33" x14ac:dyDescent="0.25">
      <c r="L172" s="42" t="str">
        <f>IF(AND('Pivot elenchi'!P171="",'Pivot elenchi'!P172=""),"",IF('Pivot elenchi'!P171="",'Pivot elenchi'!P170="",'Pivot elenchi'!P171))</f>
        <v/>
      </c>
      <c r="M172" s="42" t="str">
        <f>IF(AND('Pivot elenchi'!Q171="",'Pivot elenchi'!Q172=""),"",IF('Pivot elenchi'!Q171="",'Pivot elenchi'!Q170="",'Pivot elenchi'!Q171))</f>
        <v/>
      </c>
      <c r="N172" s="42" t="str">
        <f>IF(AND('Pivot elenchi'!R171="",'Pivot elenchi'!R172=""),"",IF('Pivot elenchi'!R171="",'Pivot elenchi'!R170="",'Pivot elenchi'!R171))</f>
        <v/>
      </c>
      <c r="O172" s="42" t="str">
        <f>IF(AND('Pivot elenchi'!S171="",'Pivot elenchi'!S172=""),"",IF('Pivot elenchi'!S171="",'Pivot elenchi'!S170="",'Pivot elenchi'!S171))</f>
        <v/>
      </c>
      <c r="P172" s="42" t="str">
        <f>IF(AND('Pivot elenchi'!T171="",'Pivot elenchi'!T172=""),"",IF('Pivot elenchi'!T171="",'Pivot elenchi'!T170="",'Pivot elenchi'!T171))</f>
        <v/>
      </c>
      <c r="Q172" s="42" t="str">
        <f>IF(AND('Pivot elenchi'!U171="",'Pivot elenchi'!U172=""),"",IF('Pivot elenchi'!U171="",'Pivot elenchi'!U170="",'Pivot elenchi'!U171))</f>
        <v/>
      </c>
      <c r="AB172" s="42" t="str">
        <f t="shared" si="18"/>
        <v/>
      </c>
      <c r="AC172" s="42" t="str">
        <f t="shared" si="18"/>
        <v/>
      </c>
      <c r="AD172" s="42" t="str">
        <f t="shared" si="18"/>
        <v/>
      </c>
      <c r="AE172" s="42" t="str">
        <f t="shared" si="18"/>
        <v/>
      </c>
      <c r="AF172" s="42" t="str">
        <f t="shared" si="19"/>
        <v/>
      </c>
      <c r="AG172" s="42" t="str">
        <f t="shared" si="19"/>
        <v/>
      </c>
    </row>
    <row r="173" spans="12:33" x14ac:dyDescent="0.25">
      <c r="L173" s="42" t="str">
        <f>IF(AND('Pivot elenchi'!P172="",'Pivot elenchi'!P173=""),"",IF('Pivot elenchi'!P172="",'Pivot elenchi'!P171="",'Pivot elenchi'!P172))</f>
        <v/>
      </c>
      <c r="M173" s="42" t="str">
        <f>IF(AND('Pivot elenchi'!Q172="",'Pivot elenchi'!Q173=""),"",IF('Pivot elenchi'!Q172="",'Pivot elenchi'!Q171="",'Pivot elenchi'!Q172))</f>
        <v/>
      </c>
      <c r="N173" s="42" t="str">
        <f>IF(AND('Pivot elenchi'!R172="",'Pivot elenchi'!R173=""),"",IF('Pivot elenchi'!R172="",'Pivot elenchi'!R171="",'Pivot elenchi'!R172))</f>
        <v/>
      </c>
      <c r="O173" s="42" t="str">
        <f>IF(AND('Pivot elenchi'!S172="",'Pivot elenchi'!S173=""),"",IF('Pivot elenchi'!S172="",'Pivot elenchi'!S171="",'Pivot elenchi'!S172))</f>
        <v/>
      </c>
      <c r="P173" s="42" t="str">
        <f>IF(AND('Pivot elenchi'!T172="",'Pivot elenchi'!T173=""),"",IF('Pivot elenchi'!T172="",'Pivot elenchi'!T171="",'Pivot elenchi'!T172))</f>
        <v/>
      </c>
      <c r="Q173" s="42" t="str">
        <f>IF(AND('Pivot elenchi'!U172="",'Pivot elenchi'!U173=""),"",IF('Pivot elenchi'!U172="",'Pivot elenchi'!U171="",'Pivot elenchi'!U172))</f>
        <v/>
      </c>
      <c r="AB173" s="42" t="str">
        <f t="shared" si="18"/>
        <v/>
      </c>
      <c r="AC173" s="42" t="str">
        <f t="shared" si="18"/>
        <v/>
      </c>
      <c r="AD173" s="42" t="str">
        <f t="shared" si="18"/>
        <v/>
      </c>
      <c r="AE173" s="42" t="str">
        <f t="shared" si="18"/>
        <v/>
      </c>
      <c r="AF173" s="42" t="str">
        <f t="shared" si="19"/>
        <v/>
      </c>
      <c r="AG173" s="42" t="str">
        <f t="shared" si="19"/>
        <v/>
      </c>
    </row>
    <row r="174" spans="12:33" x14ac:dyDescent="0.25">
      <c r="L174" s="42" t="str">
        <f>IF(AND('Pivot elenchi'!P173="",'Pivot elenchi'!P174=""),"",IF('Pivot elenchi'!P173="",'Pivot elenchi'!P172="",'Pivot elenchi'!P173))</f>
        <v/>
      </c>
      <c r="M174" s="42" t="str">
        <f>IF(AND('Pivot elenchi'!Q173="",'Pivot elenchi'!Q174=""),"",IF('Pivot elenchi'!Q173="",'Pivot elenchi'!Q172="",'Pivot elenchi'!Q173))</f>
        <v/>
      </c>
      <c r="N174" s="42" t="str">
        <f>IF(AND('Pivot elenchi'!R173="",'Pivot elenchi'!R174=""),"",IF('Pivot elenchi'!R173="",'Pivot elenchi'!R172="",'Pivot elenchi'!R173))</f>
        <v/>
      </c>
      <c r="O174" s="42" t="str">
        <f>IF(AND('Pivot elenchi'!S173="",'Pivot elenchi'!S174=""),"",IF('Pivot elenchi'!S173="",'Pivot elenchi'!S172="",'Pivot elenchi'!S173))</f>
        <v/>
      </c>
      <c r="P174" s="42" t="str">
        <f>IF(AND('Pivot elenchi'!T173="",'Pivot elenchi'!T174=""),"",IF('Pivot elenchi'!T173="",'Pivot elenchi'!T172="",'Pivot elenchi'!T173))</f>
        <v/>
      </c>
      <c r="Q174" s="42" t="str">
        <f>IF(AND('Pivot elenchi'!U173="",'Pivot elenchi'!U174=""),"",IF('Pivot elenchi'!U173="",'Pivot elenchi'!U172="",'Pivot elenchi'!U173))</f>
        <v/>
      </c>
      <c r="AB174" s="42" t="str">
        <f t="shared" si="18"/>
        <v/>
      </c>
      <c r="AC174" s="42" t="str">
        <f t="shared" si="18"/>
        <v/>
      </c>
      <c r="AD174" s="42" t="str">
        <f t="shared" si="18"/>
        <v/>
      </c>
      <c r="AE174" s="42" t="str">
        <f t="shared" si="18"/>
        <v/>
      </c>
      <c r="AF174" s="42" t="str">
        <f t="shared" si="19"/>
        <v/>
      </c>
      <c r="AG174" s="42" t="str">
        <f t="shared" si="19"/>
        <v/>
      </c>
    </row>
    <row r="175" spans="12:33" x14ac:dyDescent="0.25">
      <c r="L175" s="42" t="str">
        <f>IF(AND('Pivot elenchi'!P174="",'Pivot elenchi'!P175=""),"",IF('Pivot elenchi'!P174="",'Pivot elenchi'!P173="",'Pivot elenchi'!P174))</f>
        <v/>
      </c>
      <c r="M175" s="42" t="str">
        <f>IF(AND('Pivot elenchi'!Q174="",'Pivot elenchi'!Q175=""),"",IF('Pivot elenchi'!Q174="",'Pivot elenchi'!Q173="",'Pivot elenchi'!Q174))</f>
        <v/>
      </c>
      <c r="N175" s="42" t="str">
        <f>IF(AND('Pivot elenchi'!R174="",'Pivot elenchi'!R175=""),"",IF('Pivot elenchi'!R174="",'Pivot elenchi'!R173="",'Pivot elenchi'!R174))</f>
        <v/>
      </c>
      <c r="O175" s="42" t="str">
        <f>IF(AND('Pivot elenchi'!S174="",'Pivot elenchi'!S175=""),"",IF('Pivot elenchi'!S174="",'Pivot elenchi'!S173="",'Pivot elenchi'!S174))</f>
        <v/>
      </c>
      <c r="P175" s="42" t="str">
        <f>IF(AND('Pivot elenchi'!T174="",'Pivot elenchi'!T175=""),"",IF('Pivot elenchi'!T174="",'Pivot elenchi'!T173="",'Pivot elenchi'!T174))</f>
        <v/>
      </c>
      <c r="Q175" s="42" t="str">
        <f>IF(AND('Pivot elenchi'!U174="",'Pivot elenchi'!U175=""),"",IF('Pivot elenchi'!U174="",'Pivot elenchi'!U173="",'Pivot elenchi'!U174))</f>
        <v/>
      </c>
      <c r="AB175" s="42" t="str">
        <f t="shared" si="18"/>
        <v/>
      </c>
      <c r="AC175" s="42" t="str">
        <f t="shared" si="18"/>
        <v/>
      </c>
      <c r="AD175" s="42" t="str">
        <f t="shared" si="18"/>
        <v/>
      </c>
      <c r="AE175" s="42" t="str">
        <f t="shared" si="18"/>
        <v/>
      </c>
      <c r="AF175" s="42" t="str">
        <f t="shared" si="19"/>
        <v/>
      </c>
      <c r="AG175" s="42" t="str">
        <f t="shared" si="19"/>
        <v/>
      </c>
    </row>
    <row r="176" spans="12:33" x14ac:dyDescent="0.25">
      <c r="L176" s="42" t="str">
        <f>IF(AND('Pivot elenchi'!P175="",'Pivot elenchi'!P176=""),"",IF('Pivot elenchi'!P175="",'Pivot elenchi'!P174="",'Pivot elenchi'!P175))</f>
        <v/>
      </c>
      <c r="M176" s="42" t="str">
        <f>IF(AND('Pivot elenchi'!Q175="",'Pivot elenchi'!Q176=""),"",IF('Pivot elenchi'!Q175="",'Pivot elenchi'!Q174="",'Pivot elenchi'!Q175))</f>
        <v/>
      </c>
      <c r="N176" s="42" t="str">
        <f>IF(AND('Pivot elenchi'!R175="",'Pivot elenchi'!R176=""),"",IF('Pivot elenchi'!R175="",'Pivot elenchi'!R174="",'Pivot elenchi'!R175))</f>
        <v/>
      </c>
      <c r="O176" s="42" t="str">
        <f>IF(AND('Pivot elenchi'!S175="",'Pivot elenchi'!S176=""),"",IF('Pivot elenchi'!S175="",'Pivot elenchi'!S174="",'Pivot elenchi'!S175))</f>
        <v/>
      </c>
      <c r="P176" s="42" t="str">
        <f>IF(AND('Pivot elenchi'!T175="",'Pivot elenchi'!T176=""),"",IF('Pivot elenchi'!T175="",'Pivot elenchi'!T174="",'Pivot elenchi'!T175))</f>
        <v/>
      </c>
      <c r="Q176" s="42" t="str">
        <f>IF(AND('Pivot elenchi'!U175="",'Pivot elenchi'!U176=""),"",IF('Pivot elenchi'!U175="",'Pivot elenchi'!U174="",'Pivot elenchi'!U175))</f>
        <v/>
      </c>
      <c r="AB176" s="42" t="str">
        <f t="shared" si="18"/>
        <v/>
      </c>
      <c r="AC176" s="42" t="str">
        <f t="shared" si="18"/>
        <v/>
      </c>
      <c r="AD176" s="42" t="str">
        <f t="shared" si="18"/>
        <v/>
      </c>
      <c r="AE176" s="42" t="str">
        <f t="shared" si="18"/>
        <v/>
      </c>
      <c r="AF176" s="42" t="str">
        <f t="shared" si="19"/>
        <v/>
      </c>
      <c r="AG176" s="42" t="str">
        <f t="shared" si="19"/>
        <v/>
      </c>
    </row>
    <row r="177" spans="1:33" x14ac:dyDescent="0.25">
      <c r="L177" s="42" t="str">
        <f>IF(AND('Pivot elenchi'!P176="",'Pivot elenchi'!P177=""),"",IF('Pivot elenchi'!P176="",'Pivot elenchi'!P175="",'Pivot elenchi'!P176))</f>
        <v/>
      </c>
      <c r="M177" s="42" t="str">
        <f>IF(AND('Pivot elenchi'!Q176="",'Pivot elenchi'!Q177=""),"",IF('Pivot elenchi'!Q176="",'Pivot elenchi'!Q175="",'Pivot elenchi'!Q176))</f>
        <v/>
      </c>
      <c r="N177" s="42" t="str">
        <f>IF(AND('Pivot elenchi'!R176="",'Pivot elenchi'!R177=""),"",IF('Pivot elenchi'!R176="",'Pivot elenchi'!R175="",'Pivot elenchi'!R176))</f>
        <v/>
      </c>
      <c r="O177" s="42" t="str">
        <f>IF(AND('Pivot elenchi'!S176="",'Pivot elenchi'!S177=""),"",IF('Pivot elenchi'!S176="",'Pivot elenchi'!S175="",'Pivot elenchi'!S176))</f>
        <v/>
      </c>
      <c r="P177" s="42" t="str">
        <f>IF(AND('Pivot elenchi'!T176="",'Pivot elenchi'!T177=""),"",IF('Pivot elenchi'!T176="",'Pivot elenchi'!T175="",'Pivot elenchi'!T176))</f>
        <v/>
      </c>
      <c r="Q177" s="42" t="str">
        <f>IF(AND('Pivot elenchi'!U176="",'Pivot elenchi'!U177=""),"",IF('Pivot elenchi'!U176="",'Pivot elenchi'!U175="",'Pivot elenchi'!U176))</f>
        <v/>
      </c>
      <c r="AB177" s="42" t="str">
        <f t="shared" si="18"/>
        <v/>
      </c>
      <c r="AC177" s="42" t="str">
        <f t="shared" si="18"/>
        <v/>
      </c>
      <c r="AD177" s="42" t="str">
        <f t="shared" si="18"/>
        <v/>
      </c>
      <c r="AE177" s="42" t="str">
        <f t="shared" si="18"/>
        <v/>
      </c>
      <c r="AF177" s="42" t="str">
        <f t="shared" si="19"/>
        <v/>
      </c>
      <c r="AG177" s="42" t="str">
        <f t="shared" si="19"/>
        <v/>
      </c>
    </row>
    <row r="178" spans="1:33" x14ac:dyDescent="0.25">
      <c r="L178" s="42" t="str">
        <f>IF(AND('Pivot elenchi'!P177="",'Pivot elenchi'!P178=""),"",IF('Pivot elenchi'!P177="",'Pivot elenchi'!P176="",'Pivot elenchi'!P177))</f>
        <v/>
      </c>
      <c r="M178" s="42" t="str">
        <f>IF(AND('Pivot elenchi'!Q177="",'Pivot elenchi'!Q178=""),"",IF('Pivot elenchi'!Q177="",'Pivot elenchi'!Q176="",'Pivot elenchi'!Q177))</f>
        <v/>
      </c>
      <c r="N178" s="42" t="str">
        <f>IF(AND('Pivot elenchi'!R177="",'Pivot elenchi'!R178=""),"",IF('Pivot elenchi'!R177="",'Pivot elenchi'!R176="",'Pivot elenchi'!R177))</f>
        <v/>
      </c>
      <c r="O178" s="42" t="str">
        <f>IF(AND('Pivot elenchi'!S177="",'Pivot elenchi'!S178=""),"",IF('Pivot elenchi'!S177="",'Pivot elenchi'!S176="",'Pivot elenchi'!S177))</f>
        <v/>
      </c>
      <c r="P178" s="42" t="str">
        <f>IF(AND('Pivot elenchi'!T177="",'Pivot elenchi'!T178=""),"",IF('Pivot elenchi'!T177="",'Pivot elenchi'!T176="",'Pivot elenchi'!T177))</f>
        <v/>
      </c>
      <c r="Q178" s="42" t="str">
        <f>IF(AND('Pivot elenchi'!U177="",'Pivot elenchi'!U178=""),"",IF('Pivot elenchi'!U177="",'Pivot elenchi'!U176="",'Pivot elenchi'!U177))</f>
        <v/>
      </c>
      <c r="AB178" s="42" t="str">
        <f t="shared" si="18"/>
        <v/>
      </c>
      <c r="AC178" s="42" t="str">
        <f t="shared" si="18"/>
        <v/>
      </c>
      <c r="AD178" s="42" t="str">
        <f t="shared" si="18"/>
        <v/>
      </c>
      <c r="AE178" s="42" t="str">
        <f t="shared" si="18"/>
        <v/>
      </c>
      <c r="AF178" s="42" t="str">
        <f t="shared" si="19"/>
        <v/>
      </c>
      <c r="AG178" s="42" t="str">
        <f t="shared" si="19"/>
        <v/>
      </c>
    </row>
    <row r="179" spans="1:33" x14ac:dyDescent="0.25">
      <c r="L179" s="42" t="str">
        <f>IF(AND('Pivot elenchi'!P178="",'Pivot elenchi'!P179=""),"",IF('Pivot elenchi'!P178="",'Pivot elenchi'!P177="",'Pivot elenchi'!P178))</f>
        <v/>
      </c>
      <c r="M179" s="42" t="str">
        <f>IF(AND('Pivot elenchi'!Q178="",'Pivot elenchi'!Q179=""),"",IF('Pivot elenchi'!Q178="",'Pivot elenchi'!Q177="",'Pivot elenchi'!Q178))</f>
        <v/>
      </c>
      <c r="N179" s="42" t="str">
        <f>IF(AND('Pivot elenchi'!R178="",'Pivot elenchi'!R179=""),"",IF('Pivot elenchi'!R178="",'Pivot elenchi'!R177="",'Pivot elenchi'!R178))</f>
        <v/>
      </c>
      <c r="O179" s="42" t="str">
        <f>IF(AND('Pivot elenchi'!S178="",'Pivot elenchi'!S179=""),"",IF('Pivot elenchi'!S178="",'Pivot elenchi'!S177="",'Pivot elenchi'!S178))</f>
        <v/>
      </c>
      <c r="P179" s="42" t="str">
        <f>IF(AND('Pivot elenchi'!T178="",'Pivot elenchi'!T179=""),"",IF('Pivot elenchi'!T178="",'Pivot elenchi'!T177="",'Pivot elenchi'!T178))</f>
        <v/>
      </c>
      <c r="Q179" s="42" t="str">
        <f>IF(AND('Pivot elenchi'!U178="",'Pivot elenchi'!U179=""),"",IF('Pivot elenchi'!U178="",'Pivot elenchi'!U177="",'Pivot elenchi'!U178))</f>
        <v/>
      </c>
      <c r="AB179" s="42" t="str">
        <f t="shared" si="18"/>
        <v/>
      </c>
      <c r="AC179" s="42" t="str">
        <f t="shared" si="18"/>
        <v/>
      </c>
      <c r="AD179" s="42" t="str">
        <f t="shared" si="18"/>
        <v/>
      </c>
      <c r="AE179" s="42" t="str">
        <f t="shared" si="18"/>
        <v/>
      </c>
      <c r="AF179" s="42" t="str">
        <f t="shared" si="19"/>
        <v/>
      </c>
      <c r="AG179" s="42" t="str">
        <f t="shared" si="19"/>
        <v/>
      </c>
    </row>
    <row r="180" spans="1:33" x14ac:dyDescent="0.25">
      <c r="L180" s="42" t="str">
        <f>IF(AND('Pivot elenchi'!P179="",'Pivot elenchi'!P180=""),"",IF('Pivot elenchi'!P179="",'Pivot elenchi'!P178="",'Pivot elenchi'!P179))</f>
        <v/>
      </c>
      <c r="M180" s="42" t="str">
        <f>IF(AND('Pivot elenchi'!Q179="",'Pivot elenchi'!Q180=""),"",IF('Pivot elenchi'!Q179="",'Pivot elenchi'!Q178="",'Pivot elenchi'!Q179))</f>
        <v/>
      </c>
      <c r="N180" s="42" t="str">
        <f>IF(AND('Pivot elenchi'!R179="",'Pivot elenchi'!R180=""),"",IF('Pivot elenchi'!R179="",'Pivot elenchi'!R178="",'Pivot elenchi'!R179))</f>
        <v/>
      </c>
      <c r="O180" s="42" t="str">
        <f>IF(AND('Pivot elenchi'!S179="",'Pivot elenchi'!S180=""),"",IF('Pivot elenchi'!S179="",'Pivot elenchi'!S178="",'Pivot elenchi'!S179))</f>
        <v/>
      </c>
      <c r="P180" s="42" t="str">
        <f>IF(AND('Pivot elenchi'!T179="",'Pivot elenchi'!T180=""),"",IF('Pivot elenchi'!T179="",'Pivot elenchi'!T178="",'Pivot elenchi'!T179))</f>
        <v/>
      </c>
      <c r="Q180" s="42" t="str">
        <f>IF(AND('Pivot elenchi'!U179="",'Pivot elenchi'!U180=""),"",IF('Pivot elenchi'!U179="",'Pivot elenchi'!U178="",'Pivot elenchi'!U179))</f>
        <v/>
      </c>
      <c r="AB180" s="42" t="str">
        <f t="shared" si="18"/>
        <v/>
      </c>
      <c r="AC180" s="42" t="str">
        <f t="shared" si="18"/>
        <v/>
      </c>
      <c r="AD180" s="42" t="str">
        <f t="shared" si="18"/>
        <v/>
      </c>
      <c r="AE180" s="42" t="str">
        <f t="shared" si="18"/>
        <v/>
      </c>
      <c r="AF180" s="42" t="str">
        <f t="shared" si="19"/>
        <v/>
      </c>
      <c r="AG180" s="42" t="str">
        <f t="shared" si="19"/>
        <v/>
      </c>
    </row>
    <row r="181" spans="1:33" x14ac:dyDescent="0.25">
      <c r="A181" s="102" t="s">
        <v>182</v>
      </c>
      <c r="B181" s="63" t="s">
        <v>206</v>
      </c>
      <c r="L181" s="42" t="str">
        <f>IF(AND('Pivot elenchi'!P180="",'Pivot elenchi'!P181=""),"",IF('Pivot elenchi'!P180="",'Pivot elenchi'!P179="",'Pivot elenchi'!P180))</f>
        <v/>
      </c>
      <c r="M181" s="42" t="str">
        <f>IF(AND('Pivot elenchi'!Q180="",'Pivot elenchi'!Q181=""),"",IF('Pivot elenchi'!Q180="",'Pivot elenchi'!Q179="",'Pivot elenchi'!Q180))</f>
        <v/>
      </c>
      <c r="N181" s="42" t="str">
        <f>IF(AND('Pivot elenchi'!R180="",'Pivot elenchi'!R181=""),"",IF('Pivot elenchi'!R180="",'Pivot elenchi'!R179="",'Pivot elenchi'!R180))</f>
        <v/>
      </c>
      <c r="O181" s="42" t="str">
        <f>IF(AND('Pivot elenchi'!S180="",'Pivot elenchi'!S181=""),"",IF('Pivot elenchi'!S180="",'Pivot elenchi'!S179="",'Pivot elenchi'!S180))</f>
        <v/>
      </c>
      <c r="P181" s="42" t="str">
        <f>IF(AND('Pivot elenchi'!T180="",'Pivot elenchi'!T181=""),"",IF('Pivot elenchi'!T180="",'Pivot elenchi'!T179="",'Pivot elenchi'!T180))</f>
        <v/>
      </c>
      <c r="Q181" s="42" t="str">
        <f>IF(AND('Pivot elenchi'!U180="",'Pivot elenchi'!U181=""),"",IF('Pivot elenchi'!U180="",'Pivot elenchi'!U179="",'Pivot elenchi'!U180))</f>
        <v/>
      </c>
      <c r="AB181" s="42" t="str">
        <f t="shared" ref="AB181:AE181" si="20">L181</f>
        <v/>
      </c>
      <c r="AC181" s="42" t="str">
        <f t="shared" si="20"/>
        <v/>
      </c>
      <c r="AD181" s="42" t="str">
        <f t="shared" si="20"/>
        <v/>
      </c>
      <c r="AE181" s="42" t="str">
        <f t="shared" si="20"/>
        <v/>
      </c>
      <c r="AF181" s="42" t="str">
        <f t="shared" si="19"/>
        <v/>
      </c>
      <c r="AG181" s="42" t="str">
        <f t="shared" si="19"/>
        <v/>
      </c>
    </row>
    <row r="182" spans="1:33" x14ac:dyDescent="0.25">
      <c r="L182" s="42" t="str">
        <f>IF(AND('Pivot elenchi'!P181="",'Pivot elenchi'!P182=""),"",IF('Pivot elenchi'!P181="",'Pivot elenchi'!P180="",'Pivot elenchi'!P181))</f>
        <v/>
      </c>
      <c r="M182" s="42" t="str">
        <f>IF(AND('Pivot elenchi'!Q181="",'Pivot elenchi'!Q182=""),"",IF('Pivot elenchi'!Q181="",'Pivot elenchi'!Q180="",'Pivot elenchi'!Q181))</f>
        <v/>
      </c>
      <c r="N182" s="42" t="str">
        <f>IF(AND('Pivot elenchi'!R181="",'Pivot elenchi'!R182=""),"",IF('Pivot elenchi'!R181="",'Pivot elenchi'!R180="",'Pivot elenchi'!R181))</f>
        <v/>
      </c>
      <c r="O182" s="42" t="str">
        <f>IF(AND('Pivot elenchi'!S181="",'Pivot elenchi'!S182=""),"",IF('Pivot elenchi'!S181="",'Pivot elenchi'!S180="",'Pivot elenchi'!S181))</f>
        <v/>
      </c>
      <c r="P182" s="42" t="str">
        <f>IF(AND('Pivot elenchi'!T181="",'Pivot elenchi'!T182=""),"",IF('Pivot elenchi'!T181="",'Pivot elenchi'!T180="",'Pivot elenchi'!T181))</f>
        <v/>
      </c>
      <c r="Q182" s="42" t="str">
        <f>IF(AND('Pivot elenchi'!U181="",'Pivot elenchi'!U182=""),"",IF('Pivot elenchi'!U181="",'Pivot elenchi'!U180="",'Pivot elenchi'!U181))</f>
        <v/>
      </c>
      <c r="AB182" s="42" t="str">
        <f t="shared" si="18"/>
        <v/>
      </c>
      <c r="AC182" s="42" t="str">
        <f t="shared" si="18"/>
        <v/>
      </c>
      <c r="AD182" s="42" t="str">
        <f t="shared" si="18"/>
        <v/>
      </c>
      <c r="AE182" s="42" t="str">
        <f t="shared" si="18"/>
        <v/>
      </c>
      <c r="AF182" s="42" t="str">
        <f t="shared" si="19"/>
        <v/>
      </c>
      <c r="AG182" s="42" t="str">
        <f t="shared" si="19"/>
        <v/>
      </c>
    </row>
    <row r="183" spans="1:33" x14ac:dyDescent="0.25">
      <c r="D183" s="34"/>
      <c r="E183" s="34"/>
      <c r="L183" s="42" t="str">
        <f>IF(AND('Pivot elenchi'!P182="",'Pivot elenchi'!P183=""),"",IF('Pivot elenchi'!P182="",'Pivot elenchi'!P181="",'Pivot elenchi'!P182))</f>
        <v/>
      </c>
      <c r="M183" s="42" t="str">
        <f>IF(AND('Pivot elenchi'!Q182="",'Pivot elenchi'!Q183=""),"",IF('Pivot elenchi'!Q182="",'Pivot elenchi'!Q181="",'Pivot elenchi'!Q182))</f>
        <v/>
      </c>
      <c r="N183" s="42" t="str">
        <f>IF(AND('Pivot elenchi'!R182="",'Pivot elenchi'!R183=""),"",IF('Pivot elenchi'!R182="",'Pivot elenchi'!R181="",'Pivot elenchi'!R182))</f>
        <v/>
      </c>
      <c r="O183" s="42" t="str">
        <f>IF(AND('Pivot elenchi'!S182="",'Pivot elenchi'!S183=""),"",IF('Pivot elenchi'!S182="",'Pivot elenchi'!S181="",'Pivot elenchi'!S182))</f>
        <v/>
      </c>
      <c r="P183" s="42" t="str">
        <f>IF(AND('Pivot elenchi'!T182="",'Pivot elenchi'!T183=""),"",IF('Pivot elenchi'!T182="",'Pivot elenchi'!T181="",'Pivot elenchi'!T182))</f>
        <v/>
      </c>
      <c r="Q183" s="42" t="str">
        <f>IF(AND('Pivot elenchi'!U182="",'Pivot elenchi'!U183=""),"",IF('Pivot elenchi'!U182="",'Pivot elenchi'!U181="",'Pivot elenchi'!U182))</f>
        <v/>
      </c>
      <c r="AB183" s="42" t="str">
        <f t="shared" si="18"/>
        <v/>
      </c>
      <c r="AC183" s="42" t="str">
        <f t="shared" si="18"/>
        <v/>
      </c>
      <c r="AD183" s="42" t="str">
        <f t="shared" si="18"/>
        <v/>
      </c>
      <c r="AE183" s="42" t="str">
        <f t="shared" si="18"/>
        <v/>
      </c>
      <c r="AF183" s="42" t="str">
        <f t="shared" si="19"/>
        <v/>
      </c>
      <c r="AG183" s="42" t="str">
        <f t="shared" si="19"/>
        <v/>
      </c>
    </row>
    <row r="184" spans="1:33" x14ac:dyDescent="0.25">
      <c r="L184" s="42" t="str">
        <f>IF(AND('Pivot elenchi'!P183="",'Pivot elenchi'!P184=""),"",IF('Pivot elenchi'!P183="",'Pivot elenchi'!P182="",'Pivot elenchi'!P183))</f>
        <v/>
      </c>
      <c r="M184" s="42" t="str">
        <f>IF(AND('Pivot elenchi'!Q183="",'Pivot elenchi'!Q184=""),"",IF('Pivot elenchi'!Q183="",'Pivot elenchi'!Q182="",'Pivot elenchi'!Q183))</f>
        <v/>
      </c>
      <c r="N184" s="42" t="str">
        <f>IF(AND('Pivot elenchi'!R183="",'Pivot elenchi'!R184=""),"",IF('Pivot elenchi'!R183="",'Pivot elenchi'!R182="",'Pivot elenchi'!R183))</f>
        <v/>
      </c>
      <c r="O184" s="42" t="str">
        <f>IF(AND('Pivot elenchi'!S183="",'Pivot elenchi'!S184=""),"",IF('Pivot elenchi'!S183="",'Pivot elenchi'!S182="",'Pivot elenchi'!S183))</f>
        <v/>
      </c>
      <c r="P184" s="42" t="str">
        <f>IF(AND('Pivot elenchi'!T183="",'Pivot elenchi'!T184=""),"",IF('Pivot elenchi'!T183="",'Pivot elenchi'!T182="",'Pivot elenchi'!T183))</f>
        <v/>
      </c>
      <c r="Q184" s="42" t="str">
        <f>IF(AND('Pivot elenchi'!U183="",'Pivot elenchi'!U184=""),"",IF('Pivot elenchi'!U183="",'Pivot elenchi'!U182="",'Pivot elenchi'!U183))</f>
        <v/>
      </c>
      <c r="AB184" s="42" t="str">
        <f t="shared" si="18"/>
        <v/>
      </c>
      <c r="AC184" s="42" t="str">
        <f t="shared" si="18"/>
        <v/>
      </c>
      <c r="AD184" s="42" t="str">
        <f t="shared" si="18"/>
        <v/>
      </c>
      <c r="AE184" s="42" t="str">
        <f t="shared" si="18"/>
        <v/>
      </c>
      <c r="AF184" s="42" t="str">
        <f t="shared" si="19"/>
        <v/>
      </c>
      <c r="AG184" s="42" t="str">
        <f t="shared" si="19"/>
        <v/>
      </c>
    </row>
    <row r="185" spans="1:33" x14ac:dyDescent="0.25">
      <c r="L185" s="42" t="str">
        <f>IF(AND('Pivot elenchi'!P184="",'Pivot elenchi'!P185=""),"",IF('Pivot elenchi'!P184="",'Pivot elenchi'!P183="",'Pivot elenchi'!P184))</f>
        <v/>
      </c>
      <c r="M185" s="42" t="str">
        <f>IF(AND('Pivot elenchi'!Q184="",'Pivot elenchi'!Q185=""),"",IF('Pivot elenchi'!Q184="",'Pivot elenchi'!Q183="",'Pivot elenchi'!Q184))</f>
        <v/>
      </c>
      <c r="N185" s="42" t="str">
        <f>IF(AND('Pivot elenchi'!R184="",'Pivot elenchi'!R185=""),"",IF('Pivot elenchi'!R184="",'Pivot elenchi'!R183="",'Pivot elenchi'!R184))</f>
        <v/>
      </c>
      <c r="O185" s="42" t="str">
        <f>IF(AND('Pivot elenchi'!S184="",'Pivot elenchi'!S185=""),"",IF('Pivot elenchi'!S184="",'Pivot elenchi'!S183="",'Pivot elenchi'!S184))</f>
        <v/>
      </c>
      <c r="P185" s="42" t="str">
        <f>IF(AND('Pivot elenchi'!T184="",'Pivot elenchi'!T185=""),"",IF('Pivot elenchi'!T184="",'Pivot elenchi'!T183="",'Pivot elenchi'!T184))</f>
        <v/>
      </c>
      <c r="Q185" s="42" t="str">
        <f>IF(AND('Pivot elenchi'!U184="",'Pivot elenchi'!U185=""),"",IF('Pivot elenchi'!U184="",'Pivot elenchi'!U183="",'Pivot elenchi'!U184))</f>
        <v/>
      </c>
      <c r="AB185" s="42" t="str">
        <f t="shared" si="18"/>
        <v/>
      </c>
      <c r="AC185" s="42" t="str">
        <f t="shared" si="18"/>
        <v/>
      </c>
      <c r="AD185" s="42" t="str">
        <f t="shared" si="18"/>
        <v/>
      </c>
      <c r="AE185" s="42" t="str">
        <f t="shared" si="18"/>
        <v/>
      </c>
      <c r="AF185" s="42" t="str">
        <f t="shared" si="19"/>
        <v/>
      </c>
      <c r="AG185" s="42" t="str">
        <f t="shared" si="19"/>
        <v/>
      </c>
    </row>
    <row r="186" spans="1:33" x14ac:dyDescent="0.25">
      <c r="L186" s="42" t="str">
        <f>IF(AND('Pivot elenchi'!P185="",'Pivot elenchi'!P186=""),"",IF('Pivot elenchi'!P185="",'Pivot elenchi'!P184="",'Pivot elenchi'!P185))</f>
        <v/>
      </c>
      <c r="M186" s="42" t="str">
        <f>IF(AND('Pivot elenchi'!Q185="",'Pivot elenchi'!Q186=""),"",IF('Pivot elenchi'!Q185="",'Pivot elenchi'!Q184="",'Pivot elenchi'!Q185))</f>
        <v/>
      </c>
      <c r="N186" s="42" t="str">
        <f>IF(AND('Pivot elenchi'!R185="",'Pivot elenchi'!R186=""),"",IF('Pivot elenchi'!R185="",'Pivot elenchi'!R184="",'Pivot elenchi'!R185))</f>
        <v/>
      </c>
      <c r="O186" s="42" t="str">
        <f>IF(AND('Pivot elenchi'!S185="",'Pivot elenchi'!S186=""),"",IF('Pivot elenchi'!S185="",'Pivot elenchi'!S184="",'Pivot elenchi'!S185))</f>
        <v/>
      </c>
      <c r="P186" s="42" t="str">
        <f>IF(AND('Pivot elenchi'!T185="",'Pivot elenchi'!T186=""),"",IF('Pivot elenchi'!T185="",'Pivot elenchi'!T184="",'Pivot elenchi'!T185))</f>
        <v/>
      </c>
      <c r="Q186" s="42" t="str">
        <f>IF(AND('Pivot elenchi'!U185="",'Pivot elenchi'!U186=""),"",IF('Pivot elenchi'!U185="",'Pivot elenchi'!U184="",'Pivot elenchi'!U185))</f>
        <v/>
      </c>
      <c r="AB186" s="42" t="str">
        <f t="shared" si="18"/>
        <v/>
      </c>
      <c r="AC186" s="42" t="str">
        <f t="shared" si="18"/>
        <v/>
      </c>
      <c r="AD186" s="42" t="str">
        <f t="shared" si="18"/>
        <v/>
      </c>
      <c r="AE186" s="42" t="str">
        <f t="shared" si="18"/>
        <v/>
      </c>
      <c r="AF186" s="42" t="str">
        <f t="shared" si="19"/>
        <v/>
      </c>
      <c r="AG186" s="42" t="str">
        <f t="shared" si="19"/>
        <v/>
      </c>
    </row>
    <row r="187" spans="1:33" x14ac:dyDescent="0.25">
      <c r="L187" s="42" t="str">
        <f>IF(AND('Pivot elenchi'!P186="",'Pivot elenchi'!P187=""),"",IF('Pivot elenchi'!P186="",'Pivot elenchi'!P185="",'Pivot elenchi'!P186))</f>
        <v/>
      </c>
      <c r="M187" s="42" t="str">
        <f>IF(AND('Pivot elenchi'!Q186="",'Pivot elenchi'!Q187=""),"",IF('Pivot elenchi'!Q186="",'Pivot elenchi'!Q185="",'Pivot elenchi'!Q186))</f>
        <v/>
      </c>
      <c r="N187" s="42" t="str">
        <f>IF(AND('Pivot elenchi'!R186="",'Pivot elenchi'!R187=""),"",IF('Pivot elenchi'!R186="",'Pivot elenchi'!R185="",'Pivot elenchi'!R186))</f>
        <v/>
      </c>
      <c r="O187" s="42" t="str">
        <f>IF(AND('Pivot elenchi'!S186="",'Pivot elenchi'!S187=""),"",IF('Pivot elenchi'!S186="",'Pivot elenchi'!S185="",'Pivot elenchi'!S186))</f>
        <v/>
      </c>
      <c r="P187" s="42" t="str">
        <f>IF(AND('Pivot elenchi'!T186="",'Pivot elenchi'!T187=""),"",IF('Pivot elenchi'!T186="",'Pivot elenchi'!T185="",'Pivot elenchi'!T186))</f>
        <v/>
      </c>
      <c r="Q187" s="42" t="str">
        <f>IF(AND('Pivot elenchi'!U186="",'Pivot elenchi'!U187=""),"",IF('Pivot elenchi'!U186="",'Pivot elenchi'!U185="",'Pivot elenchi'!U186))</f>
        <v/>
      </c>
      <c r="AB187" s="42" t="str">
        <f t="shared" si="18"/>
        <v/>
      </c>
      <c r="AC187" s="42" t="str">
        <f t="shared" si="18"/>
        <v/>
      </c>
      <c r="AD187" s="42" t="str">
        <f t="shared" si="18"/>
        <v/>
      </c>
      <c r="AE187" s="42" t="str">
        <f t="shared" si="18"/>
        <v/>
      </c>
      <c r="AF187" s="42" t="str">
        <f t="shared" si="19"/>
        <v/>
      </c>
      <c r="AG187" s="42" t="str">
        <f t="shared" si="19"/>
        <v/>
      </c>
    </row>
    <row r="188" spans="1:33" x14ac:dyDescent="0.25">
      <c r="L188" s="42" t="str">
        <f>IF(AND('Pivot elenchi'!P187="",'Pivot elenchi'!P188=""),"",IF('Pivot elenchi'!P187="",'Pivot elenchi'!P186="",'Pivot elenchi'!P187))</f>
        <v/>
      </c>
      <c r="M188" s="42" t="str">
        <f>IF(AND('Pivot elenchi'!Q187="",'Pivot elenchi'!Q188=""),"",IF('Pivot elenchi'!Q187="",'Pivot elenchi'!Q186="",'Pivot elenchi'!Q187))</f>
        <v/>
      </c>
      <c r="N188" s="42" t="str">
        <f>IF(AND('Pivot elenchi'!R187="",'Pivot elenchi'!R188=""),"",IF('Pivot elenchi'!R187="",'Pivot elenchi'!R186="",'Pivot elenchi'!R187))</f>
        <v/>
      </c>
      <c r="O188" s="42" t="str">
        <f>IF(AND('Pivot elenchi'!S187="",'Pivot elenchi'!S188=""),"",IF('Pivot elenchi'!S187="",'Pivot elenchi'!S186="",'Pivot elenchi'!S187))</f>
        <v/>
      </c>
      <c r="P188" s="42" t="str">
        <f>IF(AND('Pivot elenchi'!T187="",'Pivot elenchi'!T188=""),"",IF('Pivot elenchi'!T187="",'Pivot elenchi'!T186="",'Pivot elenchi'!T187))</f>
        <v/>
      </c>
      <c r="Q188" s="42" t="str">
        <f>IF(AND('Pivot elenchi'!U187="",'Pivot elenchi'!U188=""),"",IF('Pivot elenchi'!U187="",'Pivot elenchi'!U186="",'Pivot elenchi'!U187))</f>
        <v/>
      </c>
      <c r="AB188" s="42" t="str">
        <f t="shared" si="18"/>
        <v/>
      </c>
      <c r="AC188" s="42" t="str">
        <f t="shared" si="18"/>
        <v/>
      </c>
      <c r="AD188" s="42" t="str">
        <f t="shared" si="18"/>
        <v/>
      </c>
      <c r="AE188" s="42" t="str">
        <f t="shared" si="18"/>
        <v/>
      </c>
      <c r="AF188" s="42" t="str">
        <f t="shared" si="19"/>
        <v/>
      </c>
      <c r="AG188" s="42" t="str">
        <f t="shared" si="19"/>
        <v/>
      </c>
    </row>
    <row r="189" spans="1:33" x14ac:dyDescent="0.25">
      <c r="L189" s="42" t="str">
        <f>IF(AND('Pivot elenchi'!P188="",'Pivot elenchi'!P189=""),"",IF('Pivot elenchi'!P188="",'Pivot elenchi'!P187="",'Pivot elenchi'!P188))</f>
        <v/>
      </c>
      <c r="M189" s="42" t="str">
        <f>IF(AND('Pivot elenchi'!Q188="",'Pivot elenchi'!Q189=""),"",IF('Pivot elenchi'!Q188="",'Pivot elenchi'!Q187="",'Pivot elenchi'!Q188))</f>
        <v/>
      </c>
      <c r="N189" s="42" t="str">
        <f>IF(AND('Pivot elenchi'!R188="",'Pivot elenchi'!R189=""),"",IF('Pivot elenchi'!R188="",'Pivot elenchi'!R187="",'Pivot elenchi'!R188))</f>
        <v/>
      </c>
      <c r="O189" s="42" t="str">
        <f>IF(AND('Pivot elenchi'!S188="",'Pivot elenchi'!S189=""),"",IF('Pivot elenchi'!S188="",'Pivot elenchi'!S187="",'Pivot elenchi'!S188))</f>
        <v/>
      </c>
      <c r="P189" s="42" t="str">
        <f>IF(AND('Pivot elenchi'!T188="",'Pivot elenchi'!T189=""),"",IF('Pivot elenchi'!T188="",'Pivot elenchi'!T187="",'Pivot elenchi'!T188))</f>
        <v/>
      </c>
      <c r="Q189" s="42" t="str">
        <f>IF(AND('Pivot elenchi'!U188="",'Pivot elenchi'!U189=""),"",IF('Pivot elenchi'!U188="",'Pivot elenchi'!U187="",'Pivot elenchi'!U188))</f>
        <v/>
      </c>
      <c r="AB189" s="42" t="str">
        <f t="shared" si="18"/>
        <v/>
      </c>
      <c r="AC189" s="42" t="str">
        <f t="shared" si="18"/>
        <v/>
      </c>
      <c r="AD189" s="42" t="str">
        <f t="shared" si="18"/>
        <v/>
      </c>
      <c r="AE189" s="42" t="str">
        <f t="shared" si="18"/>
        <v/>
      </c>
      <c r="AF189" s="42" t="str">
        <f t="shared" si="19"/>
        <v/>
      </c>
      <c r="AG189" s="42" t="str">
        <f t="shared" si="19"/>
        <v/>
      </c>
    </row>
    <row r="190" spans="1:33" x14ac:dyDescent="0.25">
      <c r="L190" s="42" t="str">
        <f>IF(AND('Pivot elenchi'!P189="",'Pivot elenchi'!P190=""),"",IF('Pivot elenchi'!P189="",'Pivot elenchi'!P188="",'Pivot elenchi'!P189))</f>
        <v/>
      </c>
      <c r="M190" s="42" t="str">
        <f>IF(AND('Pivot elenchi'!Q189="",'Pivot elenchi'!Q190=""),"",IF('Pivot elenchi'!Q189="",'Pivot elenchi'!Q188="",'Pivot elenchi'!Q189))</f>
        <v/>
      </c>
      <c r="N190" s="42" t="str">
        <f>IF(AND('Pivot elenchi'!R189="",'Pivot elenchi'!R190=""),"",IF('Pivot elenchi'!R189="",'Pivot elenchi'!R188="",'Pivot elenchi'!R189))</f>
        <v/>
      </c>
      <c r="O190" s="42" t="str">
        <f>IF(AND('Pivot elenchi'!S189="",'Pivot elenchi'!S190=""),"",IF('Pivot elenchi'!S189="",'Pivot elenchi'!S188="",'Pivot elenchi'!S189))</f>
        <v/>
      </c>
      <c r="P190" s="42" t="str">
        <f>IF(AND('Pivot elenchi'!T189="",'Pivot elenchi'!T190=""),"",IF('Pivot elenchi'!T189="",'Pivot elenchi'!T188="",'Pivot elenchi'!T189))</f>
        <v/>
      </c>
      <c r="Q190" s="42" t="str">
        <f>IF(AND('Pivot elenchi'!U189="",'Pivot elenchi'!U190=""),"",IF('Pivot elenchi'!U189="",'Pivot elenchi'!U188="",'Pivot elenchi'!U189))</f>
        <v/>
      </c>
      <c r="AB190" s="42" t="str">
        <f t="shared" si="18"/>
        <v/>
      </c>
      <c r="AC190" s="42" t="str">
        <f t="shared" si="18"/>
        <v/>
      </c>
      <c r="AD190" s="42" t="str">
        <f t="shared" si="18"/>
        <v/>
      </c>
      <c r="AE190" s="42" t="str">
        <f t="shared" si="18"/>
        <v/>
      </c>
      <c r="AF190" s="42" t="str">
        <f t="shared" si="19"/>
        <v/>
      </c>
      <c r="AG190" s="42" t="str">
        <f t="shared" si="19"/>
        <v/>
      </c>
    </row>
    <row r="191" spans="1:33" x14ac:dyDescent="0.25">
      <c r="L191" s="42" t="str">
        <f>IF(AND('Pivot elenchi'!P190="",'Pivot elenchi'!P191=""),"",IF('Pivot elenchi'!P190="",'Pivot elenchi'!P189="",'Pivot elenchi'!P190))</f>
        <v/>
      </c>
      <c r="M191" s="42" t="str">
        <f>IF(AND('Pivot elenchi'!Q190="",'Pivot elenchi'!Q191=""),"",IF('Pivot elenchi'!Q190="",'Pivot elenchi'!Q189="",'Pivot elenchi'!Q190))</f>
        <v/>
      </c>
      <c r="N191" s="42" t="str">
        <f>IF(AND('Pivot elenchi'!R190="",'Pivot elenchi'!R191=""),"",IF('Pivot elenchi'!R190="",'Pivot elenchi'!R189="",'Pivot elenchi'!R190))</f>
        <v/>
      </c>
      <c r="O191" s="42" t="str">
        <f>IF(AND('Pivot elenchi'!S190="",'Pivot elenchi'!S191=""),"",IF('Pivot elenchi'!S190="",'Pivot elenchi'!S189="",'Pivot elenchi'!S190))</f>
        <v/>
      </c>
      <c r="P191" s="42" t="str">
        <f>IF(AND('Pivot elenchi'!T190="",'Pivot elenchi'!T191=""),"",IF('Pivot elenchi'!T190="",'Pivot elenchi'!T189="",'Pivot elenchi'!T190))</f>
        <v/>
      </c>
      <c r="Q191" s="42" t="str">
        <f>IF(AND('Pivot elenchi'!U190="",'Pivot elenchi'!U191=""),"",IF('Pivot elenchi'!U190="",'Pivot elenchi'!U189="",'Pivot elenchi'!U190))</f>
        <v/>
      </c>
      <c r="AB191" s="42" t="str">
        <f t="shared" si="18"/>
        <v/>
      </c>
      <c r="AC191" s="42" t="str">
        <f t="shared" si="18"/>
        <v/>
      </c>
      <c r="AD191" s="42" t="str">
        <f t="shared" si="18"/>
        <v/>
      </c>
      <c r="AE191" s="42" t="str">
        <f t="shared" si="18"/>
        <v/>
      </c>
      <c r="AF191" s="42" t="str">
        <f t="shared" si="19"/>
        <v/>
      </c>
      <c r="AG191" s="42" t="str">
        <f t="shared" si="19"/>
        <v/>
      </c>
    </row>
    <row r="192" spans="1:33" x14ac:dyDescent="0.25">
      <c r="L192" s="42" t="str">
        <f>IF(AND('Pivot elenchi'!P191="",'Pivot elenchi'!P192=""),"",IF('Pivot elenchi'!P191="",'Pivot elenchi'!P190="",'Pivot elenchi'!P191))</f>
        <v/>
      </c>
      <c r="M192" s="42" t="str">
        <f>IF(AND('Pivot elenchi'!Q191="",'Pivot elenchi'!Q192=""),"",IF('Pivot elenchi'!Q191="",'Pivot elenchi'!Q190="",'Pivot elenchi'!Q191))</f>
        <v/>
      </c>
      <c r="N192" s="42" t="str">
        <f>IF(AND('Pivot elenchi'!R191="",'Pivot elenchi'!R192=""),"",IF('Pivot elenchi'!R191="",'Pivot elenchi'!R190="",'Pivot elenchi'!R191))</f>
        <v/>
      </c>
      <c r="O192" s="42" t="str">
        <f>IF(AND('Pivot elenchi'!S191="",'Pivot elenchi'!S192=""),"",IF('Pivot elenchi'!S191="",'Pivot elenchi'!S190="",'Pivot elenchi'!S191))</f>
        <v/>
      </c>
      <c r="P192" s="42" t="str">
        <f>IF(AND('Pivot elenchi'!T191="",'Pivot elenchi'!T192=""),"",IF('Pivot elenchi'!T191="",'Pivot elenchi'!T190="",'Pivot elenchi'!T191))</f>
        <v/>
      </c>
      <c r="Q192" s="42" t="str">
        <f>IF(AND('Pivot elenchi'!U191="",'Pivot elenchi'!U192=""),"",IF('Pivot elenchi'!U191="",'Pivot elenchi'!U190="",'Pivot elenchi'!U191))</f>
        <v/>
      </c>
      <c r="AB192" s="42" t="str">
        <f t="shared" si="18"/>
        <v/>
      </c>
      <c r="AC192" s="42" t="str">
        <f t="shared" si="18"/>
        <v/>
      </c>
      <c r="AD192" s="42" t="str">
        <f t="shared" si="18"/>
        <v/>
      </c>
      <c r="AE192" s="42" t="str">
        <f t="shared" si="18"/>
        <v/>
      </c>
      <c r="AF192" s="42" t="str">
        <f t="shared" si="19"/>
        <v/>
      </c>
      <c r="AG192" s="42" t="str">
        <f t="shared" si="19"/>
        <v/>
      </c>
    </row>
    <row r="193" spans="12:33" x14ac:dyDescent="0.25">
      <c r="L193" s="42" t="str">
        <f>IF(AND('Pivot elenchi'!P192="",'Pivot elenchi'!P193=""),"",IF('Pivot elenchi'!P192="",'Pivot elenchi'!P191="",'Pivot elenchi'!P192))</f>
        <v/>
      </c>
      <c r="M193" s="42" t="str">
        <f>IF(AND('Pivot elenchi'!Q192="",'Pivot elenchi'!Q193=""),"",IF('Pivot elenchi'!Q192="",'Pivot elenchi'!Q191="",'Pivot elenchi'!Q192))</f>
        <v/>
      </c>
      <c r="N193" s="42" t="str">
        <f>IF(AND('Pivot elenchi'!R192="",'Pivot elenchi'!R193=""),"",IF('Pivot elenchi'!R192="",'Pivot elenchi'!R191="",'Pivot elenchi'!R192))</f>
        <v/>
      </c>
      <c r="O193" s="42" t="str">
        <f>IF(AND('Pivot elenchi'!S192="",'Pivot elenchi'!S193=""),"",IF('Pivot elenchi'!S192="",'Pivot elenchi'!S191="",'Pivot elenchi'!S192))</f>
        <v/>
      </c>
      <c r="P193" s="42" t="str">
        <f>IF(AND('Pivot elenchi'!T192="",'Pivot elenchi'!T193=""),"",IF('Pivot elenchi'!T192="",'Pivot elenchi'!T191="",'Pivot elenchi'!T192))</f>
        <v/>
      </c>
      <c r="Q193" s="42" t="str">
        <f>IF(AND('Pivot elenchi'!U192="",'Pivot elenchi'!U193=""),"",IF('Pivot elenchi'!U192="",'Pivot elenchi'!U191="",'Pivot elenchi'!U192))</f>
        <v/>
      </c>
      <c r="AB193" s="42" t="str">
        <f t="shared" si="18"/>
        <v/>
      </c>
      <c r="AC193" s="42" t="str">
        <f t="shared" si="18"/>
        <v/>
      </c>
      <c r="AD193" s="42" t="str">
        <f t="shared" si="18"/>
        <v/>
      </c>
      <c r="AE193" s="42" t="str">
        <f t="shared" si="18"/>
        <v/>
      </c>
      <c r="AF193" s="42" t="str">
        <f t="shared" si="19"/>
        <v/>
      </c>
      <c r="AG193" s="42" t="str">
        <f t="shared" si="19"/>
        <v/>
      </c>
    </row>
    <row r="194" spans="12:33" x14ac:dyDescent="0.25">
      <c r="L194" s="42" t="str">
        <f>IF(AND('Pivot elenchi'!P193="",'Pivot elenchi'!P194=""),"",IF('Pivot elenchi'!P193="",'Pivot elenchi'!P192="",'Pivot elenchi'!P193))</f>
        <v/>
      </c>
      <c r="M194" s="42" t="str">
        <f>IF(AND('Pivot elenchi'!Q193="",'Pivot elenchi'!Q194=""),"",IF('Pivot elenchi'!Q193="",'Pivot elenchi'!Q192="",'Pivot elenchi'!Q193))</f>
        <v/>
      </c>
      <c r="N194" s="42" t="str">
        <f>IF(AND('Pivot elenchi'!R193="",'Pivot elenchi'!R194=""),"",IF('Pivot elenchi'!R193="",'Pivot elenchi'!R192="",'Pivot elenchi'!R193))</f>
        <v/>
      </c>
      <c r="O194" s="42" t="str">
        <f>IF(AND('Pivot elenchi'!S193="",'Pivot elenchi'!S194=""),"",IF('Pivot elenchi'!S193="",'Pivot elenchi'!S192="",'Pivot elenchi'!S193))</f>
        <v/>
      </c>
      <c r="P194" s="42" t="str">
        <f>IF(AND('Pivot elenchi'!T193="",'Pivot elenchi'!T194=""),"",IF('Pivot elenchi'!T193="",'Pivot elenchi'!T192="",'Pivot elenchi'!T193))</f>
        <v/>
      </c>
      <c r="Q194" s="42" t="str">
        <f>IF(AND('Pivot elenchi'!U193="",'Pivot elenchi'!U194=""),"",IF('Pivot elenchi'!U193="",'Pivot elenchi'!U192="",'Pivot elenchi'!U193))</f>
        <v/>
      </c>
      <c r="AB194" s="42" t="str">
        <f t="shared" si="18"/>
        <v/>
      </c>
      <c r="AC194" s="42" t="str">
        <f t="shared" si="18"/>
        <v/>
      </c>
      <c r="AD194" s="42" t="str">
        <f t="shared" si="18"/>
        <v/>
      </c>
      <c r="AE194" s="42" t="str">
        <f t="shared" si="18"/>
        <v/>
      </c>
      <c r="AF194" s="42" t="str">
        <f t="shared" si="19"/>
        <v/>
      </c>
      <c r="AG194" s="42" t="str">
        <f t="shared" si="19"/>
        <v/>
      </c>
    </row>
    <row r="195" spans="12:33" x14ac:dyDescent="0.25">
      <c r="L195" s="42" t="str">
        <f>IF(AND('Pivot elenchi'!P194="",'Pivot elenchi'!P195=""),"",IF('Pivot elenchi'!P194="",'Pivot elenchi'!P193="",'Pivot elenchi'!P194))</f>
        <v/>
      </c>
      <c r="M195" s="42" t="str">
        <f>IF(AND('Pivot elenchi'!Q194="",'Pivot elenchi'!Q195=""),"",IF('Pivot elenchi'!Q194="",'Pivot elenchi'!Q193="",'Pivot elenchi'!Q194))</f>
        <v/>
      </c>
      <c r="N195" s="42" t="str">
        <f>IF(AND('Pivot elenchi'!R194="",'Pivot elenchi'!R195=""),"",IF('Pivot elenchi'!R194="",'Pivot elenchi'!R193="",'Pivot elenchi'!R194))</f>
        <v/>
      </c>
      <c r="O195" s="42" t="str">
        <f>IF(AND('Pivot elenchi'!S194="",'Pivot elenchi'!S195=""),"",IF('Pivot elenchi'!S194="",'Pivot elenchi'!S193="",'Pivot elenchi'!S194))</f>
        <v/>
      </c>
      <c r="P195" s="42" t="str">
        <f>IF(AND('Pivot elenchi'!T194="",'Pivot elenchi'!T195=""),"",IF('Pivot elenchi'!T194="",'Pivot elenchi'!T193="",'Pivot elenchi'!T194))</f>
        <v/>
      </c>
      <c r="Q195" s="42" t="str">
        <f>IF(AND('Pivot elenchi'!U194="",'Pivot elenchi'!U195=""),"",IF('Pivot elenchi'!U194="",'Pivot elenchi'!U193="",'Pivot elenchi'!U194))</f>
        <v/>
      </c>
      <c r="AB195" s="42" t="str">
        <f t="shared" si="18"/>
        <v/>
      </c>
      <c r="AC195" s="42" t="str">
        <f t="shared" si="18"/>
        <v/>
      </c>
      <c r="AD195" s="42" t="str">
        <f t="shared" si="18"/>
        <v/>
      </c>
      <c r="AE195" s="42" t="str">
        <f t="shared" si="18"/>
        <v/>
      </c>
      <c r="AF195" s="42" t="str">
        <f t="shared" si="19"/>
        <v/>
      </c>
      <c r="AG195" s="42" t="str">
        <f t="shared" si="19"/>
        <v/>
      </c>
    </row>
    <row r="196" spans="12:33" x14ac:dyDescent="0.25">
      <c r="L196" s="42" t="str">
        <f>IF(AND('Pivot elenchi'!P195="",'Pivot elenchi'!P196=""),"",IF('Pivot elenchi'!P195="",'Pivot elenchi'!P194="",'Pivot elenchi'!P195))</f>
        <v/>
      </c>
      <c r="M196" s="42" t="str">
        <f>IF(AND('Pivot elenchi'!Q195="",'Pivot elenchi'!Q196=""),"",IF('Pivot elenchi'!Q195="",'Pivot elenchi'!Q194="",'Pivot elenchi'!Q195))</f>
        <v/>
      </c>
      <c r="N196" s="42" t="str">
        <f>IF(AND('Pivot elenchi'!R195="",'Pivot elenchi'!R196=""),"",IF('Pivot elenchi'!R195="",'Pivot elenchi'!R194="",'Pivot elenchi'!R195))</f>
        <v/>
      </c>
      <c r="O196" s="42" t="str">
        <f>IF(AND('Pivot elenchi'!S195="",'Pivot elenchi'!S196=""),"",IF('Pivot elenchi'!S195="",'Pivot elenchi'!S194="",'Pivot elenchi'!S195))</f>
        <v/>
      </c>
      <c r="P196" s="42" t="str">
        <f>IF(AND('Pivot elenchi'!T195="",'Pivot elenchi'!T196=""),"",IF('Pivot elenchi'!T195="",'Pivot elenchi'!T194="",'Pivot elenchi'!T195))</f>
        <v/>
      </c>
      <c r="Q196" s="42" t="str">
        <f>IF(AND('Pivot elenchi'!U195="",'Pivot elenchi'!U196=""),"",IF('Pivot elenchi'!U195="",'Pivot elenchi'!U194="",'Pivot elenchi'!U195))</f>
        <v/>
      </c>
      <c r="AB196" s="42" t="str">
        <f t="shared" si="18"/>
        <v/>
      </c>
      <c r="AC196" s="42" t="str">
        <f t="shared" si="18"/>
        <v/>
      </c>
      <c r="AD196" s="42" t="str">
        <f t="shared" si="18"/>
        <v/>
      </c>
      <c r="AE196" s="42" t="str">
        <f t="shared" si="18"/>
        <v/>
      </c>
      <c r="AF196" s="42" t="str">
        <f t="shared" si="19"/>
        <v/>
      </c>
      <c r="AG196" s="42" t="str">
        <f t="shared" si="19"/>
        <v/>
      </c>
    </row>
    <row r="197" spans="12:33" x14ac:dyDescent="0.25">
      <c r="L197" s="42" t="str">
        <f>IF(AND('Pivot elenchi'!P196="",'Pivot elenchi'!P197=""),"",IF('Pivot elenchi'!P196="",'Pivot elenchi'!P195="",'Pivot elenchi'!P196))</f>
        <v/>
      </c>
      <c r="M197" s="42" t="str">
        <f>IF(AND('Pivot elenchi'!Q196="",'Pivot elenchi'!Q197=""),"",IF('Pivot elenchi'!Q196="",'Pivot elenchi'!Q195="",'Pivot elenchi'!Q196))</f>
        <v/>
      </c>
      <c r="N197" s="42" t="str">
        <f>IF(AND('Pivot elenchi'!R196="",'Pivot elenchi'!R197=""),"",IF('Pivot elenchi'!R196="",'Pivot elenchi'!R195="",'Pivot elenchi'!R196))</f>
        <v/>
      </c>
      <c r="O197" s="42" t="str">
        <f>IF(AND('Pivot elenchi'!S196="",'Pivot elenchi'!S197=""),"",IF('Pivot elenchi'!S196="",'Pivot elenchi'!S195="",'Pivot elenchi'!S196))</f>
        <v/>
      </c>
      <c r="P197" s="42" t="str">
        <f>IF(AND('Pivot elenchi'!T196="",'Pivot elenchi'!T197=""),"",IF('Pivot elenchi'!T196="",'Pivot elenchi'!T195="",'Pivot elenchi'!T196))</f>
        <v/>
      </c>
      <c r="Q197" s="42" t="str">
        <f>IF(AND('Pivot elenchi'!U196="",'Pivot elenchi'!U197=""),"",IF('Pivot elenchi'!U196="",'Pivot elenchi'!U195="",'Pivot elenchi'!U196))</f>
        <v/>
      </c>
      <c r="AB197" s="42" t="str">
        <f t="shared" si="18"/>
        <v/>
      </c>
      <c r="AC197" s="42" t="str">
        <f t="shared" si="18"/>
        <v/>
      </c>
      <c r="AD197" s="42" t="str">
        <f t="shared" si="18"/>
        <v/>
      </c>
      <c r="AE197" s="42" t="str">
        <f t="shared" si="18"/>
        <v/>
      </c>
      <c r="AF197" s="42" t="str">
        <f t="shared" si="19"/>
        <v/>
      </c>
      <c r="AG197" s="42" t="str">
        <f t="shared" si="19"/>
        <v/>
      </c>
    </row>
    <row r="198" spans="12:33" x14ac:dyDescent="0.25">
      <c r="L198" s="42" t="str">
        <f>IF(AND('Pivot elenchi'!P197="",'Pivot elenchi'!P198=""),"",IF('Pivot elenchi'!P197="",'Pivot elenchi'!P196="",'Pivot elenchi'!P197))</f>
        <v/>
      </c>
      <c r="M198" s="42" t="str">
        <f>IF(AND('Pivot elenchi'!Q197="",'Pivot elenchi'!Q198=""),"",IF('Pivot elenchi'!Q197="",'Pivot elenchi'!Q196="",'Pivot elenchi'!Q197))</f>
        <v/>
      </c>
      <c r="N198" s="42" t="str">
        <f>IF(AND('Pivot elenchi'!R197="",'Pivot elenchi'!R198=""),"",IF('Pivot elenchi'!R197="",'Pivot elenchi'!R196="",'Pivot elenchi'!R197))</f>
        <v/>
      </c>
      <c r="O198" s="42" t="str">
        <f>IF(AND('Pivot elenchi'!S197="",'Pivot elenchi'!S198=""),"",IF('Pivot elenchi'!S197="",'Pivot elenchi'!S196="",'Pivot elenchi'!S197))</f>
        <v/>
      </c>
      <c r="P198" s="42" t="str">
        <f>IF(AND('Pivot elenchi'!T197="",'Pivot elenchi'!T198=""),"",IF('Pivot elenchi'!T197="",'Pivot elenchi'!T196="",'Pivot elenchi'!T197))</f>
        <v/>
      </c>
      <c r="Q198" s="42" t="str">
        <f>IF(AND('Pivot elenchi'!U197="",'Pivot elenchi'!U198=""),"",IF('Pivot elenchi'!U197="",'Pivot elenchi'!U196="",'Pivot elenchi'!U197))</f>
        <v/>
      </c>
      <c r="AB198" s="42" t="str">
        <f t="shared" si="18"/>
        <v/>
      </c>
      <c r="AC198" s="42" t="str">
        <f t="shared" si="18"/>
        <v/>
      </c>
      <c r="AD198" s="42" t="str">
        <f t="shared" si="18"/>
        <v/>
      </c>
      <c r="AE198" s="42" t="str">
        <f t="shared" ref="AE198" si="21">O198</f>
        <v/>
      </c>
      <c r="AF198" s="42" t="str">
        <f t="shared" si="19"/>
        <v/>
      </c>
      <c r="AG198" s="42" t="str">
        <f t="shared" si="19"/>
        <v/>
      </c>
    </row>
    <row r="199" spans="12:33" x14ac:dyDescent="0.25">
      <c r="L199" s="42" t="str">
        <f>IF(AND('Pivot elenchi'!P198="",'Pivot elenchi'!P199=""),"",IF('Pivot elenchi'!P198="",'Pivot elenchi'!P197="",'Pivot elenchi'!P198))</f>
        <v/>
      </c>
      <c r="M199" s="42" t="str">
        <f>IF(AND('Pivot elenchi'!Q198="",'Pivot elenchi'!Q199=""),"",IF('Pivot elenchi'!Q198="",'Pivot elenchi'!Q197="",'Pivot elenchi'!Q198))</f>
        <v/>
      </c>
      <c r="N199" s="42" t="str">
        <f>IF(AND('Pivot elenchi'!R198="",'Pivot elenchi'!R199=""),"",IF('Pivot elenchi'!R198="",'Pivot elenchi'!R197="",'Pivot elenchi'!R198))</f>
        <v/>
      </c>
      <c r="O199" s="42" t="str">
        <f>IF(AND('Pivot elenchi'!S198="",'Pivot elenchi'!S199=""),"",IF('Pivot elenchi'!S198="",'Pivot elenchi'!S197="",'Pivot elenchi'!S198))</f>
        <v/>
      </c>
      <c r="P199" s="42" t="str">
        <f>IF(AND('Pivot elenchi'!T198="",'Pivot elenchi'!T199=""),"",IF('Pivot elenchi'!T198="",'Pivot elenchi'!T197="",'Pivot elenchi'!T198))</f>
        <v/>
      </c>
      <c r="Q199" s="42" t="str">
        <f>IF(AND('Pivot elenchi'!U198="",'Pivot elenchi'!U199=""),"",IF('Pivot elenchi'!U198="",'Pivot elenchi'!U197="",'Pivot elenchi'!U198))</f>
        <v/>
      </c>
      <c r="AB199" s="42" t="str">
        <f t="shared" ref="AB199:AG228" si="22">L199</f>
        <v/>
      </c>
      <c r="AC199" s="42" t="str">
        <f t="shared" si="22"/>
        <v/>
      </c>
      <c r="AD199" s="42" t="str">
        <f t="shared" si="22"/>
        <v/>
      </c>
      <c r="AE199" s="42" t="str">
        <f t="shared" si="22"/>
        <v/>
      </c>
      <c r="AF199" s="42" t="str">
        <f t="shared" si="22"/>
        <v/>
      </c>
      <c r="AG199" s="42" t="str">
        <f t="shared" si="22"/>
        <v/>
      </c>
    </row>
    <row r="200" spans="12:33" x14ac:dyDescent="0.25">
      <c r="L200" s="42" t="str">
        <f>IF(AND('Pivot elenchi'!P199="",'Pivot elenchi'!P200=""),"",IF('Pivot elenchi'!P199="",'Pivot elenchi'!P198="",'Pivot elenchi'!P199))</f>
        <v/>
      </c>
      <c r="M200" s="42" t="str">
        <f>IF(AND('Pivot elenchi'!Q199="",'Pivot elenchi'!Q200=""),"",IF('Pivot elenchi'!Q199="",'Pivot elenchi'!Q198="",'Pivot elenchi'!Q199))</f>
        <v/>
      </c>
      <c r="N200" s="42" t="str">
        <f>IF(AND('Pivot elenchi'!R199="",'Pivot elenchi'!R200=""),"",IF('Pivot elenchi'!R199="",'Pivot elenchi'!R198="",'Pivot elenchi'!R199))</f>
        <v/>
      </c>
      <c r="O200" s="42" t="str">
        <f>IF(AND('Pivot elenchi'!S199="",'Pivot elenchi'!S200=""),"",IF('Pivot elenchi'!S199="",'Pivot elenchi'!S198="",'Pivot elenchi'!S199))</f>
        <v/>
      </c>
      <c r="P200" s="42" t="str">
        <f>IF(AND('Pivot elenchi'!T199="",'Pivot elenchi'!T200=""),"",IF('Pivot elenchi'!T199="",'Pivot elenchi'!T198="",'Pivot elenchi'!T199))</f>
        <v/>
      </c>
      <c r="Q200" s="42" t="str">
        <f>IF(AND('Pivot elenchi'!U199="",'Pivot elenchi'!U200=""),"",IF('Pivot elenchi'!U199="",'Pivot elenchi'!U198="",'Pivot elenchi'!U199))</f>
        <v/>
      </c>
      <c r="AB200" s="42" t="str">
        <f t="shared" si="22"/>
        <v/>
      </c>
      <c r="AC200" s="42" t="str">
        <f t="shared" si="22"/>
        <v/>
      </c>
      <c r="AD200" s="42" t="str">
        <f t="shared" si="22"/>
        <v/>
      </c>
      <c r="AE200" s="42" t="str">
        <f t="shared" si="22"/>
        <v/>
      </c>
      <c r="AF200" s="42" t="str">
        <f t="shared" si="22"/>
        <v/>
      </c>
      <c r="AG200" s="42" t="str">
        <f t="shared" si="22"/>
        <v/>
      </c>
    </row>
    <row r="201" spans="12:33" x14ac:dyDescent="0.25">
      <c r="L201" s="42" t="str">
        <f>IF(AND('Pivot elenchi'!P200="",'Pivot elenchi'!P201=""),"",IF('Pivot elenchi'!P200="",'Pivot elenchi'!P199="",'Pivot elenchi'!P200))</f>
        <v/>
      </c>
      <c r="M201" s="42" t="str">
        <f>IF(AND('Pivot elenchi'!Q200="",'Pivot elenchi'!Q201=""),"",IF('Pivot elenchi'!Q200="",'Pivot elenchi'!Q199="",'Pivot elenchi'!Q200))</f>
        <v/>
      </c>
      <c r="N201" s="42" t="str">
        <f>IF(AND('Pivot elenchi'!R200="",'Pivot elenchi'!R201=""),"",IF('Pivot elenchi'!R200="",'Pivot elenchi'!R199="",'Pivot elenchi'!R200))</f>
        <v/>
      </c>
      <c r="O201" s="42" t="str">
        <f>IF(AND('Pivot elenchi'!S200="",'Pivot elenchi'!S201=""),"",IF('Pivot elenchi'!S200="",'Pivot elenchi'!S199="",'Pivot elenchi'!S200))</f>
        <v/>
      </c>
      <c r="P201" s="42" t="str">
        <f>IF(AND('Pivot elenchi'!T200="",'Pivot elenchi'!T201=""),"",IF('Pivot elenchi'!T200="",'Pivot elenchi'!T199="",'Pivot elenchi'!T200))</f>
        <v/>
      </c>
      <c r="Q201" s="42" t="str">
        <f>IF(AND('Pivot elenchi'!U200="",'Pivot elenchi'!U201=""),"",IF('Pivot elenchi'!U200="",'Pivot elenchi'!U199="",'Pivot elenchi'!U200))</f>
        <v/>
      </c>
      <c r="AB201" s="42" t="str">
        <f t="shared" si="22"/>
        <v/>
      </c>
      <c r="AC201" s="42" t="str">
        <f t="shared" si="22"/>
        <v/>
      </c>
      <c r="AD201" s="42" t="str">
        <f t="shared" si="22"/>
        <v/>
      </c>
      <c r="AE201" s="42" t="str">
        <f t="shared" si="22"/>
        <v/>
      </c>
      <c r="AF201" s="42" t="str">
        <f t="shared" si="22"/>
        <v/>
      </c>
      <c r="AG201" s="42" t="str">
        <f t="shared" si="22"/>
        <v/>
      </c>
    </row>
    <row r="202" spans="12:33" x14ac:dyDescent="0.25">
      <c r="L202" s="42" t="str">
        <f>IF(AND('Pivot elenchi'!P201="",'Pivot elenchi'!P202=""),"",IF('Pivot elenchi'!P201="",'Pivot elenchi'!P200="",'Pivot elenchi'!P201))</f>
        <v/>
      </c>
      <c r="M202" s="42" t="str">
        <f>IF(AND('Pivot elenchi'!Q201="",'Pivot elenchi'!Q202=""),"",IF('Pivot elenchi'!Q201="",'Pivot elenchi'!Q200="",'Pivot elenchi'!Q201))</f>
        <v/>
      </c>
      <c r="N202" s="42" t="str">
        <f>IF(AND('Pivot elenchi'!R201="",'Pivot elenchi'!R202=""),"",IF('Pivot elenchi'!R201="",'Pivot elenchi'!R200="",'Pivot elenchi'!R201))</f>
        <v/>
      </c>
      <c r="O202" s="42" t="str">
        <f>IF(AND('Pivot elenchi'!S201="",'Pivot elenchi'!S202=""),"",IF('Pivot elenchi'!S201="",'Pivot elenchi'!S200="",'Pivot elenchi'!S201))</f>
        <v/>
      </c>
      <c r="P202" s="42" t="str">
        <f>IF(AND('Pivot elenchi'!T201="",'Pivot elenchi'!T202=""),"",IF('Pivot elenchi'!T201="",'Pivot elenchi'!T200="",'Pivot elenchi'!T201))</f>
        <v/>
      </c>
      <c r="Q202" s="42" t="str">
        <f>IF(AND('Pivot elenchi'!U201="",'Pivot elenchi'!U202=""),"",IF('Pivot elenchi'!U201="",'Pivot elenchi'!U200="",'Pivot elenchi'!U201))</f>
        <v/>
      </c>
      <c r="AB202" s="42" t="str">
        <f t="shared" si="22"/>
        <v/>
      </c>
      <c r="AC202" s="42" t="str">
        <f t="shared" si="22"/>
        <v/>
      </c>
      <c r="AD202" s="42" t="str">
        <f t="shared" si="22"/>
        <v/>
      </c>
      <c r="AE202" s="42" t="str">
        <f t="shared" si="22"/>
        <v/>
      </c>
      <c r="AF202" s="42" t="str">
        <f t="shared" si="22"/>
        <v/>
      </c>
      <c r="AG202" s="42" t="str">
        <f t="shared" si="22"/>
        <v/>
      </c>
    </row>
    <row r="203" spans="12:33" x14ac:dyDescent="0.25">
      <c r="L203" s="42" t="str">
        <f>IF(AND('Pivot elenchi'!P202="",'Pivot elenchi'!P203=""),"",IF('Pivot elenchi'!P202="",'Pivot elenchi'!P201="",'Pivot elenchi'!P202))</f>
        <v/>
      </c>
      <c r="M203" s="42" t="str">
        <f>IF(AND('Pivot elenchi'!Q202="",'Pivot elenchi'!Q203=""),"",IF('Pivot elenchi'!Q202="",'Pivot elenchi'!Q201="",'Pivot elenchi'!Q202))</f>
        <v/>
      </c>
      <c r="N203" s="42" t="str">
        <f>IF(AND('Pivot elenchi'!R202="",'Pivot elenchi'!R203=""),"",IF('Pivot elenchi'!R202="",'Pivot elenchi'!R201="",'Pivot elenchi'!R202))</f>
        <v/>
      </c>
      <c r="O203" s="42" t="str">
        <f>IF(AND('Pivot elenchi'!S202="",'Pivot elenchi'!S203=""),"",IF('Pivot elenchi'!S202="",'Pivot elenchi'!S201="",'Pivot elenchi'!S202))</f>
        <v/>
      </c>
      <c r="P203" s="42" t="str">
        <f>IF(AND('Pivot elenchi'!T202="",'Pivot elenchi'!T203=""),"",IF('Pivot elenchi'!T202="",'Pivot elenchi'!T201="",'Pivot elenchi'!T202))</f>
        <v/>
      </c>
      <c r="Q203" s="42" t="str">
        <f>IF(AND('Pivot elenchi'!U202="",'Pivot elenchi'!U203=""),"",IF('Pivot elenchi'!U202="",'Pivot elenchi'!U201="",'Pivot elenchi'!U202))</f>
        <v/>
      </c>
      <c r="AB203" s="42" t="str">
        <f t="shared" si="22"/>
        <v/>
      </c>
      <c r="AC203" s="42" t="str">
        <f t="shared" si="22"/>
        <v/>
      </c>
      <c r="AD203" s="42" t="str">
        <f t="shared" si="22"/>
        <v/>
      </c>
      <c r="AE203" s="42" t="str">
        <f t="shared" si="22"/>
        <v/>
      </c>
      <c r="AF203" s="42" t="str">
        <f t="shared" si="22"/>
        <v/>
      </c>
      <c r="AG203" s="42" t="str">
        <f t="shared" si="22"/>
        <v/>
      </c>
    </row>
    <row r="204" spans="12:33" x14ac:dyDescent="0.25">
      <c r="L204" s="42" t="str">
        <f>IF(AND('Pivot elenchi'!P203="",'Pivot elenchi'!P204=""),"",IF('Pivot elenchi'!P203="",'Pivot elenchi'!P202="",'Pivot elenchi'!P203))</f>
        <v/>
      </c>
      <c r="M204" s="42" t="str">
        <f>IF(AND('Pivot elenchi'!Q203="",'Pivot elenchi'!Q204=""),"",IF('Pivot elenchi'!Q203="",'Pivot elenchi'!Q202="",'Pivot elenchi'!Q203))</f>
        <v/>
      </c>
      <c r="N204" s="42" t="str">
        <f>IF(AND('Pivot elenchi'!R203="",'Pivot elenchi'!R204=""),"",IF('Pivot elenchi'!R203="",'Pivot elenchi'!R202="",'Pivot elenchi'!R203))</f>
        <v/>
      </c>
      <c r="O204" s="42" t="str">
        <f>IF(AND('Pivot elenchi'!S203="",'Pivot elenchi'!S204=""),"",IF('Pivot elenchi'!S203="",'Pivot elenchi'!S202="",'Pivot elenchi'!S203))</f>
        <v/>
      </c>
      <c r="P204" s="42" t="str">
        <f>IF(AND('Pivot elenchi'!T203="",'Pivot elenchi'!T204=""),"",IF('Pivot elenchi'!T203="",'Pivot elenchi'!T202="",'Pivot elenchi'!T203))</f>
        <v/>
      </c>
      <c r="Q204" s="42" t="str">
        <f>IF(AND('Pivot elenchi'!U203="",'Pivot elenchi'!U204=""),"",IF('Pivot elenchi'!U203="",'Pivot elenchi'!U202="",'Pivot elenchi'!U203))</f>
        <v/>
      </c>
      <c r="AB204" s="42" t="str">
        <f t="shared" si="22"/>
        <v/>
      </c>
      <c r="AC204" s="42" t="str">
        <f t="shared" si="22"/>
        <v/>
      </c>
      <c r="AD204" s="42" t="str">
        <f t="shared" si="22"/>
        <v/>
      </c>
      <c r="AE204" s="42" t="str">
        <f t="shared" si="22"/>
        <v/>
      </c>
      <c r="AF204" s="42" t="str">
        <f t="shared" si="22"/>
        <v/>
      </c>
      <c r="AG204" s="42" t="str">
        <f t="shared" si="22"/>
        <v/>
      </c>
    </row>
    <row r="205" spans="12:33" x14ac:dyDescent="0.25">
      <c r="L205" s="42" t="str">
        <f>IF(AND('Pivot elenchi'!P204="",'Pivot elenchi'!P205=""),"",IF('Pivot elenchi'!P204="",'Pivot elenchi'!P203="",'Pivot elenchi'!P204))</f>
        <v/>
      </c>
      <c r="M205" s="42" t="str">
        <f>IF(AND('Pivot elenchi'!Q204="",'Pivot elenchi'!Q205=""),"",IF('Pivot elenchi'!Q204="",'Pivot elenchi'!Q203="",'Pivot elenchi'!Q204))</f>
        <v/>
      </c>
      <c r="N205" s="42" t="str">
        <f>IF(AND('Pivot elenchi'!R204="",'Pivot elenchi'!R205=""),"",IF('Pivot elenchi'!R204="",'Pivot elenchi'!R203="",'Pivot elenchi'!R204))</f>
        <v/>
      </c>
      <c r="O205" s="42" t="str">
        <f>IF(AND('Pivot elenchi'!S204="",'Pivot elenchi'!S205=""),"",IF('Pivot elenchi'!S204="",'Pivot elenchi'!S203="",'Pivot elenchi'!S204))</f>
        <v/>
      </c>
      <c r="P205" s="42" t="str">
        <f>IF(AND('Pivot elenchi'!T204="",'Pivot elenchi'!T205=""),"",IF('Pivot elenchi'!T204="",'Pivot elenchi'!T203="",'Pivot elenchi'!T204))</f>
        <v/>
      </c>
      <c r="Q205" s="42" t="str">
        <f>IF(AND('Pivot elenchi'!U204="",'Pivot elenchi'!U205=""),"",IF('Pivot elenchi'!U204="",'Pivot elenchi'!U203="",'Pivot elenchi'!U204))</f>
        <v/>
      </c>
      <c r="AB205" s="42" t="str">
        <f t="shared" si="22"/>
        <v/>
      </c>
      <c r="AC205" s="42" t="str">
        <f t="shared" si="22"/>
        <v/>
      </c>
      <c r="AD205" s="42" t="str">
        <f t="shared" si="22"/>
        <v/>
      </c>
      <c r="AE205" s="42" t="str">
        <f t="shared" si="22"/>
        <v/>
      </c>
      <c r="AF205" s="42" t="str">
        <f t="shared" si="22"/>
        <v/>
      </c>
      <c r="AG205" s="42" t="str">
        <f t="shared" si="22"/>
        <v/>
      </c>
    </row>
    <row r="206" spans="12:33" x14ac:dyDescent="0.25">
      <c r="L206" s="42" t="str">
        <f>IF(AND('Pivot elenchi'!P205="",'Pivot elenchi'!P206=""),"",IF('Pivot elenchi'!P205="",'Pivot elenchi'!P204="",'Pivot elenchi'!P205))</f>
        <v/>
      </c>
      <c r="M206" s="42" t="str">
        <f>IF(AND('Pivot elenchi'!Q205="",'Pivot elenchi'!Q206=""),"",IF('Pivot elenchi'!Q205="",'Pivot elenchi'!Q204="",'Pivot elenchi'!Q205))</f>
        <v/>
      </c>
      <c r="N206" s="42" t="str">
        <f>IF(AND('Pivot elenchi'!R205="",'Pivot elenchi'!R206=""),"",IF('Pivot elenchi'!R205="",'Pivot elenchi'!R204="",'Pivot elenchi'!R205))</f>
        <v/>
      </c>
      <c r="O206" s="42" t="str">
        <f>IF(AND('Pivot elenchi'!S205="",'Pivot elenchi'!S206=""),"",IF('Pivot elenchi'!S205="",'Pivot elenchi'!S204="",'Pivot elenchi'!S205))</f>
        <v/>
      </c>
      <c r="P206" s="42" t="str">
        <f>IF(AND('Pivot elenchi'!T205="",'Pivot elenchi'!T206=""),"",IF('Pivot elenchi'!T205="",'Pivot elenchi'!T204="",'Pivot elenchi'!T205))</f>
        <v/>
      </c>
      <c r="Q206" s="42" t="str">
        <f>IF(AND('Pivot elenchi'!U205="",'Pivot elenchi'!U206=""),"",IF('Pivot elenchi'!U205="",'Pivot elenchi'!U204="",'Pivot elenchi'!U205))</f>
        <v/>
      </c>
      <c r="AB206" s="42" t="str">
        <f t="shared" si="22"/>
        <v/>
      </c>
      <c r="AC206" s="42" t="str">
        <f t="shared" si="22"/>
        <v/>
      </c>
      <c r="AD206" s="42" t="str">
        <f t="shared" si="22"/>
        <v/>
      </c>
      <c r="AE206" s="42" t="str">
        <f t="shared" si="22"/>
        <v/>
      </c>
      <c r="AF206" s="42" t="str">
        <f t="shared" si="22"/>
        <v/>
      </c>
      <c r="AG206" s="42" t="str">
        <f t="shared" si="22"/>
        <v/>
      </c>
    </row>
    <row r="207" spans="12:33" x14ac:dyDescent="0.25">
      <c r="L207" s="42" t="str">
        <f>IF(AND('Pivot elenchi'!P206="",'Pivot elenchi'!P207=""),"",IF('Pivot elenchi'!P206="",'Pivot elenchi'!P205="",'Pivot elenchi'!P206))</f>
        <v/>
      </c>
      <c r="M207" s="42" t="str">
        <f>IF(AND('Pivot elenchi'!Q206="",'Pivot elenchi'!Q207=""),"",IF('Pivot elenchi'!Q206="",'Pivot elenchi'!Q205="",'Pivot elenchi'!Q206))</f>
        <v/>
      </c>
      <c r="N207" s="42" t="str">
        <f>IF(AND('Pivot elenchi'!R206="",'Pivot elenchi'!R207=""),"",IF('Pivot elenchi'!R206="",'Pivot elenchi'!R205="",'Pivot elenchi'!R206))</f>
        <v/>
      </c>
      <c r="O207" s="42" t="str">
        <f>IF(AND('Pivot elenchi'!S206="",'Pivot elenchi'!S207=""),"",IF('Pivot elenchi'!S206="",'Pivot elenchi'!S205="",'Pivot elenchi'!S206))</f>
        <v/>
      </c>
      <c r="P207" s="42" t="str">
        <f>IF(AND('Pivot elenchi'!T206="",'Pivot elenchi'!T207=""),"",IF('Pivot elenchi'!T206="",'Pivot elenchi'!T205="",'Pivot elenchi'!T206))</f>
        <v/>
      </c>
      <c r="Q207" s="42" t="str">
        <f>IF(AND('Pivot elenchi'!U206="",'Pivot elenchi'!U207=""),"",IF('Pivot elenchi'!U206="",'Pivot elenchi'!U205="",'Pivot elenchi'!U206))</f>
        <v/>
      </c>
      <c r="AB207" s="42" t="str">
        <f t="shared" si="22"/>
        <v/>
      </c>
      <c r="AC207" s="42" t="str">
        <f t="shared" si="22"/>
        <v/>
      </c>
      <c r="AD207" s="42" t="str">
        <f t="shared" si="22"/>
        <v/>
      </c>
      <c r="AE207" s="42" t="str">
        <f t="shared" si="22"/>
        <v/>
      </c>
      <c r="AF207" s="42" t="str">
        <f t="shared" si="22"/>
        <v/>
      </c>
      <c r="AG207" s="42" t="str">
        <f t="shared" si="22"/>
        <v/>
      </c>
    </row>
    <row r="208" spans="12:33" x14ac:dyDescent="0.25">
      <c r="L208" s="42" t="str">
        <f>IF(AND('Pivot elenchi'!P207="",'Pivot elenchi'!P208=""),"",IF('Pivot elenchi'!P207="",'Pivot elenchi'!P206="",'Pivot elenchi'!P207))</f>
        <v/>
      </c>
      <c r="M208" s="42" t="str">
        <f>IF(AND('Pivot elenchi'!Q207="",'Pivot elenchi'!Q208=""),"",IF('Pivot elenchi'!Q207="",'Pivot elenchi'!Q206="",'Pivot elenchi'!Q207))</f>
        <v/>
      </c>
      <c r="N208" s="42" t="str">
        <f>IF(AND('Pivot elenchi'!R207="",'Pivot elenchi'!R208=""),"",IF('Pivot elenchi'!R207="",'Pivot elenchi'!R206="",'Pivot elenchi'!R207))</f>
        <v/>
      </c>
      <c r="O208" s="42" t="str">
        <f>IF(AND('Pivot elenchi'!S207="",'Pivot elenchi'!S208=""),"",IF('Pivot elenchi'!S207="",'Pivot elenchi'!S206="",'Pivot elenchi'!S207))</f>
        <v/>
      </c>
      <c r="P208" s="42" t="str">
        <f>IF(AND('Pivot elenchi'!T207="",'Pivot elenchi'!T208=""),"",IF('Pivot elenchi'!T207="",'Pivot elenchi'!T206="",'Pivot elenchi'!T207))</f>
        <v/>
      </c>
      <c r="Q208" s="42" t="str">
        <f>IF(AND('Pivot elenchi'!U207="",'Pivot elenchi'!U208=""),"",IF('Pivot elenchi'!U207="",'Pivot elenchi'!U206="",'Pivot elenchi'!U207))</f>
        <v/>
      </c>
      <c r="AB208" s="42" t="str">
        <f t="shared" si="22"/>
        <v/>
      </c>
      <c r="AC208" s="42" t="str">
        <f t="shared" si="22"/>
        <v/>
      </c>
      <c r="AD208" s="42" t="str">
        <f t="shared" si="22"/>
        <v/>
      </c>
      <c r="AE208" s="42" t="str">
        <f t="shared" si="22"/>
        <v/>
      </c>
      <c r="AF208" s="42" t="str">
        <f t="shared" si="22"/>
        <v/>
      </c>
      <c r="AG208" s="42" t="str">
        <f t="shared" si="22"/>
        <v/>
      </c>
    </row>
    <row r="209" spans="12:33" x14ac:dyDescent="0.25">
      <c r="L209" s="42" t="str">
        <f>IF(AND('Pivot elenchi'!P208="",'Pivot elenchi'!P209=""),"",IF('Pivot elenchi'!P208="",'Pivot elenchi'!P207="",'Pivot elenchi'!P208))</f>
        <v/>
      </c>
      <c r="M209" s="42" t="str">
        <f>IF(AND('Pivot elenchi'!Q208="",'Pivot elenchi'!Q209=""),"",IF('Pivot elenchi'!Q208="",'Pivot elenchi'!Q207="",'Pivot elenchi'!Q208))</f>
        <v/>
      </c>
      <c r="N209" s="42" t="str">
        <f>IF(AND('Pivot elenchi'!R208="",'Pivot elenchi'!R209=""),"",IF('Pivot elenchi'!R208="",'Pivot elenchi'!R207="",'Pivot elenchi'!R208))</f>
        <v/>
      </c>
      <c r="O209" s="42" t="str">
        <f>IF(AND('Pivot elenchi'!S208="",'Pivot elenchi'!S209=""),"",IF('Pivot elenchi'!S208="",'Pivot elenchi'!S207="",'Pivot elenchi'!S208))</f>
        <v/>
      </c>
      <c r="P209" s="42" t="str">
        <f>IF(AND('Pivot elenchi'!T208="",'Pivot elenchi'!T209=""),"",IF('Pivot elenchi'!T208="",'Pivot elenchi'!T207="",'Pivot elenchi'!T208))</f>
        <v/>
      </c>
      <c r="Q209" s="42" t="str">
        <f>IF(AND('Pivot elenchi'!U208="",'Pivot elenchi'!U209=""),"",IF('Pivot elenchi'!U208="",'Pivot elenchi'!U207="",'Pivot elenchi'!U208))</f>
        <v/>
      </c>
      <c r="AB209" s="42" t="str">
        <f t="shared" si="22"/>
        <v/>
      </c>
      <c r="AC209" s="42" t="str">
        <f t="shared" si="22"/>
        <v/>
      </c>
      <c r="AD209" s="42" t="str">
        <f t="shared" si="22"/>
        <v/>
      </c>
      <c r="AE209" s="42" t="str">
        <f t="shared" si="22"/>
        <v/>
      </c>
      <c r="AF209" s="42" t="str">
        <f t="shared" si="22"/>
        <v/>
      </c>
      <c r="AG209" s="42" t="str">
        <f t="shared" si="22"/>
        <v/>
      </c>
    </row>
    <row r="210" spans="12:33" x14ac:dyDescent="0.25">
      <c r="L210" s="42" t="str">
        <f>IF(AND('Pivot elenchi'!P209="",'Pivot elenchi'!P210=""),"",IF('Pivot elenchi'!P209="",'Pivot elenchi'!P208="",'Pivot elenchi'!P209))</f>
        <v/>
      </c>
      <c r="M210" s="42" t="str">
        <f>IF(AND('Pivot elenchi'!Q209="",'Pivot elenchi'!Q210=""),"",IF('Pivot elenchi'!Q209="",'Pivot elenchi'!Q208="",'Pivot elenchi'!Q209))</f>
        <v/>
      </c>
      <c r="N210" s="42" t="str">
        <f>IF(AND('Pivot elenchi'!R209="",'Pivot elenchi'!R210=""),"",IF('Pivot elenchi'!R209="",'Pivot elenchi'!R208="",'Pivot elenchi'!R209))</f>
        <v/>
      </c>
      <c r="O210" s="42" t="str">
        <f>IF(AND('Pivot elenchi'!S209="",'Pivot elenchi'!S210=""),"",IF('Pivot elenchi'!S209="",'Pivot elenchi'!S208="",'Pivot elenchi'!S209))</f>
        <v/>
      </c>
      <c r="P210" s="42" t="str">
        <f>IF(AND('Pivot elenchi'!T209="",'Pivot elenchi'!T210=""),"",IF('Pivot elenchi'!T209="",'Pivot elenchi'!T208="",'Pivot elenchi'!T209))</f>
        <v/>
      </c>
      <c r="Q210" s="42" t="str">
        <f>IF(AND('Pivot elenchi'!U209="",'Pivot elenchi'!U210=""),"",IF('Pivot elenchi'!U209="",'Pivot elenchi'!U208="",'Pivot elenchi'!U209))</f>
        <v/>
      </c>
      <c r="AB210" s="42" t="str">
        <f t="shared" si="22"/>
        <v/>
      </c>
      <c r="AC210" s="42" t="str">
        <f t="shared" si="22"/>
        <v/>
      </c>
      <c r="AD210" s="42" t="str">
        <f t="shared" si="22"/>
        <v/>
      </c>
      <c r="AE210" s="42" t="str">
        <f t="shared" si="22"/>
        <v/>
      </c>
      <c r="AF210" s="42" t="str">
        <f t="shared" si="22"/>
        <v/>
      </c>
      <c r="AG210" s="42" t="str">
        <f t="shared" si="22"/>
        <v/>
      </c>
    </row>
    <row r="211" spans="12:33" x14ac:dyDescent="0.25">
      <c r="L211" s="42" t="str">
        <f>IF(AND('Pivot elenchi'!P210="",'Pivot elenchi'!P211=""),"",IF('Pivot elenchi'!P210="",'Pivot elenchi'!P209="",'Pivot elenchi'!P210))</f>
        <v/>
      </c>
      <c r="M211" s="42" t="str">
        <f>IF(AND('Pivot elenchi'!Q210="",'Pivot elenchi'!Q211=""),"",IF('Pivot elenchi'!Q210="",'Pivot elenchi'!Q209="",'Pivot elenchi'!Q210))</f>
        <v/>
      </c>
      <c r="N211" s="42" t="str">
        <f>IF(AND('Pivot elenchi'!R210="",'Pivot elenchi'!R211=""),"",IF('Pivot elenchi'!R210="",'Pivot elenchi'!R209="",'Pivot elenchi'!R210))</f>
        <v/>
      </c>
      <c r="O211" s="42" t="str">
        <f>IF(AND('Pivot elenchi'!S210="",'Pivot elenchi'!S211=""),"",IF('Pivot elenchi'!S210="",'Pivot elenchi'!S209="",'Pivot elenchi'!S210))</f>
        <v/>
      </c>
      <c r="P211" s="42" t="str">
        <f>IF(AND('Pivot elenchi'!T210="",'Pivot elenchi'!T211=""),"",IF('Pivot elenchi'!T210="",'Pivot elenchi'!T209="",'Pivot elenchi'!T210))</f>
        <v/>
      </c>
      <c r="Q211" s="42" t="str">
        <f>IF(AND('Pivot elenchi'!U210="",'Pivot elenchi'!U211=""),"",IF('Pivot elenchi'!U210="",'Pivot elenchi'!U209="",'Pivot elenchi'!U210))</f>
        <v/>
      </c>
      <c r="AB211" s="42" t="str">
        <f t="shared" si="22"/>
        <v/>
      </c>
      <c r="AC211" s="42" t="str">
        <f t="shared" si="22"/>
        <v/>
      </c>
      <c r="AD211" s="42" t="str">
        <f t="shared" si="22"/>
        <v/>
      </c>
      <c r="AE211" s="42" t="str">
        <f t="shared" si="22"/>
        <v/>
      </c>
      <c r="AF211" s="42" t="str">
        <f t="shared" si="22"/>
        <v/>
      </c>
      <c r="AG211" s="42" t="str">
        <f t="shared" si="22"/>
        <v/>
      </c>
    </row>
    <row r="212" spans="12:33" x14ac:dyDescent="0.25">
      <c r="L212" s="42" t="str">
        <f>IF(AND('Pivot elenchi'!P211="",'Pivot elenchi'!P212=""),"",IF('Pivot elenchi'!P211="",'Pivot elenchi'!P210="",'Pivot elenchi'!P211))</f>
        <v/>
      </c>
      <c r="M212" s="42" t="str">
        <f>IF(AND('Pivot elenchi'!Q211="",'Pivot elenchi'!Q212=""),"",IF('Pivot elenchi'!Q211="",'Pivot elenchi'!Q210="",'Pivot elenchi'!Q211))</f>
        <v/>
      </c>
      <c r="N212" s="42" t="str">
        <f>IF(AND('Pivot elenchi'!R211="",'Pivot elenchi'!R212=""),"",IF('Pivot elenchi'!R211="",'Pivot elenchi'!R210="",'Pivot elenchi'!R211))</f>
        <v/>
      </c>
      <c r="O212" s="42" t="str">
        <f>IF(AND('Pivot elenchi'!S211="",'Pivot elenchi'!S212=""),"",IF('Pivot elenchi'!S211="",'Pivot elenchi'!S210="",'Pivot elenchi'!S211))</f>
        <v/>
      </c>
      <c r="P212" s="42" t="str">
        <f>IF(AND('Pivot elenchi'!T211="",'Pivot elenchi'!T212=""),"",IF('Pivot elenchi'!T211="",'Pivot elenchi'!T210="",'Pivot elenchi'!T211))</f>
        <v/>
      </c>
      <c r="Q212" s="42" t="str">
        <f>IF(AND('Pivot elenchi'!U211="",'Pivot elenchi'!U212=""),"",IF('Pivot elenchi'!U211="",'Pivot elenchi'!U210="",'Pivot elenchi'!U211))</f>
        <v/>
      </c>
      <c r="AB212" s="42" t="str">
        <f t="shared" si="22"/>
        <v/>
      </c>
      <c r="AC212" s="42" t="str">
        <f t="shared" si="22"/>
        <v/>
      </c>
      <c r="AD212" s="42" t="str">
        <f t="shared" si="22"/>
        <v/>
      </c>
      <c r="AE212" s="42" t="str">
        <f t="shared" si="22"/>
        <v/>
      </c>
      <c r="AF212" s="42" t="str">
        <f t="shared" si="22"/>
        <v/>
      </c>
      <c r="AG212" s="42" t="str">
        <f t="shared" si="22"/>
        <v/>
      </c>
    </row>
    <row r="213" spans="12:33" x14ac:dyDescent="0.25">
      <c r="L213" s="42" t="str">
        <f>IF(AND('Pivot elenchi'!P212="",'Pivot elenchi'!P213=""),"",IF('Pivot elenchi'!P212="",'Pivot elenchi'!P211="",'Pivot elenchi'!P212))</f>
        <v/>
      </c>
      <c r="M213" s="42" t="str">
        <f>IF(AND('Pivot elenchi'!Q212="",'Pivot elenchi'!Q213=""),"",IF('Pivot elenchi'!Q212="",'Pivot elenchi'!Q211="",'Pivot elenchi'!Q212))</f>
        <v/>
      </c>
      <c r="N213" s="42" t="str">
        <f>IF(AND('Pivot elenchi'!R212="",'Pivot elenchi'!R213=""),"",IF('Pivot elenchi'!R212="",'Pivot elenchi'!R211="",'Pivot elenchi'!R212))</f>
        <v/>
      </c>
      <c r="O213" s="42" t="str">
        <f>IF(AND('Pivot elenchi'!S212="",'Pivot elenchi'!S213=""),"",IF('Pivot elenchi'!S212="",'Pivot elenchi'!S211="",'Pivot elenchi'!S212))</f>
        <v/>
      </c>
      <c r="P213" s="42" t="str">
        <f>IF(AND('Pivot elenchi'!T212="",'Pivot elenchi'!T213=""),"",IF('Pivot elenchi'!T212="",'Pivot elenchi'!T211="",'Pivot elenchi'!T212))</f>
        <v/>
      </c>
      <c r="Q213" s="42" t="str">
        <f>IF(AND('Pivot elenchi'!U212="",'Pivot elenchi'!U213=""),"",IF('Pivot elenchi'!U212="",'Pivot elenchi'!U211="",'Pivot elenchi'!U212))</f>
        <v/>
      </c>
      <c r="AB213" s="42" t="str">
        <f t="shared" si="22"/>
        <v/>
      </c>
      <c r="AC213" s="42" t="str">
        <f t="shared" si="22"/>
        <v/>
      </c>
      <c r="AD213" s="42" t="str">
        <f t="shared" si="22"/>
        <v/>
      </c>
      <c r="AE213" s="42" t="str">
        <f t="shared" si="22"/>
        <v/>
      </c>
      <c r="AF213" s="42" t="str">
        <f t="shared" si="22"/>
        <v/>
      </c>
      <c r="AG213" s="42" t="str">
        <f t="shared" si="22"/>
        <v/>
      </c>
    </row>
    <row r="214" spans="12:33" x14ac:dyDescent="0.25">
      <c r="L214" s="42" t="str">
        <f>IF(AND('Pivot elenchi'!P213="",'Pivot elenchi'!P214=""),"",IF('Pivot elenchi'!P213="",'Pivot elenchi'!P212="",'Pivot elenchi'!P213))</f>
        <v/>
      </c>
      <c r="M214" s="42" t="str">
        <f>IF(AND('Pivot elenchi'!Q213="",'Pivot elenchi'!Q214=""),"",IF('Pivot elenchi'!Q213="",'Pivot elenchi'!Q212="",'Pivot elenchi'!Q213))</f>
        <v/>
      </c>
      <c r="N214" s="42" t="str">
        <f>IF(AND('Pivot elenchi'!R213="",'Pivot elenchi'!R214=""),"",IF('Pivot elenchi'!R213="",'Pivot elenchi'!R212="",'Pivot elenchi'!R213))</f>
        <v/>
      </c>
      <c r="O214" s="42" t="str">
        <f>IF(AND('Pivot elenchi'!S213="",'Pivot elenchi'!S214=""),"",IF('Pivot elenchi'!S213="",'Pivot elenchi'!S212="",'Pivot elenchi'!S213))</f>
        <v/>
      </c>
      <c r="P214" s="42" t="str">
        <f>IF(AND('Pivot elenchi'!T213="",'Pivot elenchi'!T214=""),"",IF('Pivot elenchi'!T213="",'Pivot elenchi'!T212="",'Pivot elenchi'!T213))</f>
        <v/>
      </c>
      <c r="Q214" s="42" t="str">
        <f>IF(AND('Pivot elenchi'!U213="",'Pivot elenchi'!U214=""),"",IF('Pivot elenchi'!U213="",'Pivot elenchi'!U212="",'Pivot elenchi'!U213))</f>
        <v/>
      </c>
      <c r="AB214" s="42" t="str">
        <f t="shared" si="22"/>
        <v/>
      </c>
      <c r="AC214" s="42" t="str">
        <f t="shared" si="22"/>
        <v/>
      </c>
      <c r="AD214" s="42" t="str">
        <f t="shared" si="22"/>
        <v/>
      </c>
      <c r="AE214" s="42" t="str">
        <f t="shared" si="22"/>
        <v/>
      </c>
      <c r="AF214" s="42" t="str">
        <f t="shared" si="22"/>
        <v/>
      </c>
      <c r="AG214" s="42" t="str">
        <f t="shared" si="22"/>
        <v/>
      </c>
    </row>
    <row r="215" spans="12:33" x14ac:dyDescent="0.25">
      <c r="L215" s="42" t="str">
        <f>IF(AND('Pivot elenchi'!P214="",'Pivot elenchi'!P215=""),"",IF('Pivot elenchi'!P214="",'Pivot elenchi'!P213="",'Pivot elenchi'!P214))</f>
        <v/>
      </c>
      <c r="M215" s="42" t="str">
        <f>IF(AND('Pivot elenchi'!Q214="",'Pivot elenchi'!Q215=""),"",IF('Pivot elenchi'!Q214="",'Pivot elenchi'!Q213="",'Pivot elenchi'!Q214))</f>
        <v/>
      </c>
      <c r="N215" s="42" t="str">
        <f>IF(AND('Pivot elenchi'!R214="",'Pivot elenchi'!R215=""),"",IF('Pivot elenchi'!R214="",'Pivot elenchi'!R213="",'Pivot elenchi'!R214))</f>
        <v/>
      </c>
      <c r="O215" s="42" t="str">
        <f>IF(AND('Pivot elenchi'!S214="",'Pivot elenchi'!S215=""),"",IF('Pivot elenchi'!S214="",'Pivot elenchi'!S213="",'Pivot elenchi'!S214))</f>
        <v/>
      </c>
      <c r="P215" s="42" t="str">
        <f>IF(AND('Pivot elenchi'!T214="",'Pivot elenchi'!T215=""),"",IF('Pivot elenchi'!T214="",'Pivot elenchi'!T213="",'Pivot elenchi'!T214))</f>
        <v/>
      </c>
      <c r="Q215" s="42" t="str">
        <f>IF(AND('Pivot elenchi'!U214="",'Pivot elenchi'!U215=""),"",IF('Pivot elenchi'!U214="",'Pivot elenchi'!U213="",'Pivot elenchi'!U214))</f>
        <v/>
      </c>
      <c r="AB215" s="42" t="str">
        <f t="shared" si="22"/>
        <v/>
      </c>
      <c r="AC215" s="42" t="str">
        <f t="shared" si="22"/>
        <v/>
      </c>
      <c r="AD215" s="42" t="str">
        <f t="shared" si="22"/>
        <v/>
      </c>
      <c r="AE215" s="42" t="str">
        <f t="shared" si="22"/>
        <v/>
      </c>
      <c r="AF215" s="42" t="str">
        <f t="shared" si="22"/>
        <v/>
      </c>
      <c r="AG215" s="42" t="str">
        <f t="shared" si="22"/>
        <v/>
      </c>
    </row>
    <row r="216" spans="12:33" x14ac:dyDescent="0.25">
      <c r="L216" s="42" t="str">
        <f>IF(AND('Pivot elenchi'!P215="",'Pivot elenchi'!P216=""),"",IF('Pivot elenchi'!P215="",'Pivot elenchi'!P214="",'Pivot elenchi'!P215))</f>
        <v/>
      </c>
      <c r="M216" s="42" t="str">
        <f>IF(AND('Pivot elenchi'!Q215="",'Pivot elenchi'!Q216=""),"",IF('Pivot elenchi'!Q215="",'Pivot elenchi'!Q214="",'Pivot elenchi'!Q215))</f>
        <v/>
      </c>
      <c r="N216" s="42" t="str">
        <f>IF(AND('Pivot elenchi'!R215="",'Pivot elenchi'!R216=""),"",IF('Pivot elenchi'!R215="",'Pivot elenchi'!R214="",'Pivot elenchi'!R215))</f>
        <v/>
      </c>
      <c r="O216" s="42" t="str">
        <f>IF(AND('Pivot elenchi'!S215="",'Pivot elenchi'!S216=""),"",IF('Pivot elenchi'!S215="",'Pivot elenchi'!S214="",'Pivot elenchi'!S215))</f>
        <v/>
      </c>
      <c r="P216" s="42" t="str">
        <f>IF(AND('Pivot elenchi'!T215="",'Pivot elenchi'!T216=""),"",IF('Pivot elenchi'!T215="",'Pivot elenchi'!T214="",'Pivot elenchi'!T215))</f>
        <v/>
      </c>
      <c r="Q216" s="42" t="str">
        <f>IF(AND('Pivot elenchi'!U215="",'Pivot elenchi'!U216=""),"",IF('Pivot elenchi'!U215="",'Pivot elenchi'!U214="",'Pivot elenchi'!U215))</f>
        <v/>
      </c>
      <c r="AB216" s="42" t="str">
        <f t="shared" si="22"/>
        <v/>
      </c>
      <c r="AC216" s="42" t="str">
        <f t="shared" si="22"/>
        <v/>
      </c>
      <c r="AD216" s="42" t="str">
        <f t="shared" si="22"/>
        <v/>
      </c>
      <c r="AE216" s="42" t="str">
        <f t="shared" si="22"/>
        <v/>
      </c>
      <c r="AF216" s="42" t="str">
        <f t="shared" si="22"/>
        <v/>
      </c>
      <c r="AG216" s="42" t="str">
        <f t="shared" si="22"/>
        <v/>
      </c>
    </row>
    <row r="217" spans="12:33" x14ac:dyDescent="0.25">
      <c r="L217" s="42" t="str">
        <f>IF(AND('Pivot elenchi'!P216="",'Pivot elenchi'!P217=""),"",IF('Pivot elenchi'!P216="",'Pivot elenchi'!P215="",'Pivot elenchi'!P216))</f>
        <v/>
      </c>
      <c r="M217" s="42" t="str">
        <f>IF(AND('Pivot elenchi'!Q216="",'Pivot elenchi'!Q217=""),"",IF('Pivot elenchi'!Q216="",'Pivot elenchi'!Q215="",'Pivot elenchi'!Q216))</f>
        <v/>
      </c>
      <c r="N217" s="42" t="str">
        <f>IF(AND('Pivot elenchi'!R216="",'Pivot elenchi'!R217=""),"",IF('Pivot elenchi'!R216="",'Pivot elenchi'!R215="",'Pivot elenchi'!R216))</f>
        <v/>
      </c>
      <c r="O217" s="42" t="str">
        <f>IF(AND('Pivot elenchi'!S216="",'Pivot elenchi'!S217=""),"",IF('Pivot elenchi'!S216="",'Pivot elenchi'!S215="",'Pivot elenchi'!S216))</f>
        <v/>
      </c>
      <c r="P217" s="42" t="str">
        <f>IF(AND('Pivot elenchi'!T216="",'Pivot elenchi'!T217=""),"",IF('Pivot elenchi'!T216="",'Pivot elenchi'!T215="",'Pivot elenchi'!T216))</f>
        <v/>
      </c>
      <c r="Q217" s="42" t="str">
        <f>IF(AND('Pivot elenchi'!U216="",'Pivot elenchi'!U217=""),"",IF('Pivot elenchi'!U216="",'Pivot elenchi'!U215="",'Pivot elenchi'!U216))</f>
        <v/>
      </c>
      <c r="AB217" s="42" t="str">
        <f t="shared" si="22"/>
        <v/>
      </c>
      <c r="AC217" s="42" t="str">
        <f t="shared" si="22"/>
        <v/>
      </c>
      <c r="AD217" s="42" t="str">
        <f t="shared" si="22"/>
        <v/>
      </c>
      <c r="AE217" s="42" t="str">
        <f t="shared" si="22"/>
        <v/>
      </c>
      <c r="AF217" s="42" t="str">
        <f t="shared" si="22"/>
        <v/>
      </c>
      <c r="AG217" s="42" t="str">
        <f t="shared" si="22"/>
        <v/>
      </c>
    </row>
    <row r="218" spans="12:33" x14ac:dyDescent="0.25">
      <c r="L218" s="42" t="str">
        <f>IF(AND('Pivot elenchi'!P217="",'Pivot elenchi'!P218=""),"",IF('Pivot elenchi'!P217="",'Pivot elenchi'!P216="",'Pivot elenchi'!P217))</f>
        <v/>
      </c>
      <c r="M218" s="42" t="str">
        <f>IF(AND('Pivot elenchi'!Q217="",'Pivot elenchi'!Q218=""),"",IF('Pivot elenchi'!Q217="",'Pivot elenchi'!Q216="",'Pivot elenchi'!Q217))</f>
        <v/>
      </c>
      <c r="N218" s="42" t="str">
        <f>IF(AND('Pivot elenchi'!R217="",'Pivot elenchi'!R218=""),"",IF('Pivot elenchi'!R217="",'Pivot elenchi'!R216="",'Pivot elenchi'!R217))</f>
        <v/>
      </c>
      <c r="O218" s="42" t="str">
        <f>IF(AND('Pivot elenchi'!S217="",'Pivot elenchi'!S218=""),"",IF('Pivot elenchi'!S217="",'Pivot elenchi'!S216="",'Pivot elenchi'!S217))</f>
        <v/>
      </c>
      <c r="P218" s="42" t="str">
        <f>IF(AND('Pivot elenchi'!T217="",'Pivot elenchi'!T218=""),"",IF('Pivot elenchi'!T217="",'Pivot elenchi'!T216="",'Pivot elenchi'!T217))</f>
        <v/>
      </c>
      <c r="Q218" s="42" t="str">
        <f>IF(AND('Pivot elenchi'!U217="",'Pivot elenchi'!U218=""),"",IF('Pivot elenchi'!U217="",'Pivot elenchi'!U216="",'Pivot elenchi'!U217))</f>
        <v/>
      </c>
      <c r="AB218" s="42" t="str">
        <f t="shared" si="22"/>
        <v/>
      </c>
      <c r="AC218" s="42" t="str">
        <f t="shared" si="22"/>
        <v/>
      </c>
      <c r="AD218" s="42" t="str">
        <f t="shared" si="22"/>
        <v/>
      </c>
      <c r="AE218" s="42" t="str">
        <f t="shared" si="22"/>
        <v/>
      </c>
      <c r="AF218" s="42" t="str">
        <f t="shared" si="22"/>
        <v/>
      </c>
      <c r="AG218" s="42" t="str">
        <f t="shared" si="22"/>
        <v/>
      </c>
    </row>
    <row r="219" spans="12:33" x14ac:dyDescent="0.25">
      <c r="L219" s="42" t="str">
        <f>IF(AND('Pivot elenchi'!P218="",'Pivot elenchi'!P219=""),"",IF('Pivot elenchi'!P218="",'Pivot elenchi'!P217="",'Pivot elenchi'!P218))</f>
        <v/>
      </c>
      <c r="M219" s="42" t="str">
        <f>IF(AND('Pivot elenchi'!Q218="",'Pivot elenchi'!Q219=""),"",IF('Pivot elenchi'!Q218="",'Pivot elenchi'!Q217="",'Pivot elenchi'!Q218))</f>
        <v/>
      </c>
      <c r="N219" s="42" t="str">
        <f>IF(AND('Pivot elenchi'!R218="",'Pivot elenchi'!R219=""),"",IF('Pivot elenchi'!R218="",'Pivot elenchi'!R217="",'Pivot elenchi'!R218))</f>
        <v/>
      </c>
      <c r="O219" s="42" t="str">
        <f>IF(AND('Pivot elenchi'!S218="",'Pivot elenchi'!S219=""),"",IF('Pivot elenchi'!S218="",'Pivot elenchi'!S217="",'Pivot elenchi'!S218))</f>
        <v/>
      </c>
      <c r="P219" s="42" t="str">
        <f>IF(AND('Pivot elenchi'!T218="",'Pivot elenchi'!T219=""),"",IF('Pivot elenchi'!T218="",'Pivot elenchi'!T217="",'Pivot elenchi'!T218))</f>
        <v/>
      </c>
      <c r="Q219" s="42" t="str">
        <f>IF(AND('Pivot elenchi'!U218="",'Pivot elenchi'!U219=""),"",IF('Pivot elenchi'!U218="",'Pivot elenchi'!U217="",'Pivot elenchi'!U218))</f>
        <v/>
      </c>
      <c r="AB219" s="42" t="str">
        <f t="shared" si="22"/>
        <v/>
      </c>
      <c r="AC219" s="42" t="str">
        <f t="shared" si="22"/>
        <v/>
      </c>
      <c r="AD219" s="42" t="str">
        <f t="shared" si="22"/>
        <v/>
      </c>
      <c r="AE219" s="42" t="str">
        <f t="shared" si="22"/>
        <v/>
      </c>
      <c r="AF219" s="42" t="str">
        <f t="shared" si="22"/>
        <v/>
      </c>
      <c r="AG219" s="42" t="str">
        <f t="shared" si="22"/>
        <v/>
      </c>
    </row>
    <row r="220" spans="12:33" x14ac:dyDescent="0.25">
      <c r="L220" s="42" t="str">
        <f>IF(AND('Pivot elenchi'!P219="",'Pivot elenchi'!P220=""),"",IF('Pivot elenchi'!P219="",'Pivot elenchi'!P218="",'Pivot elenchi'!P219))</f>
        <v/>
      </c>
      <c r="M220" s="42" t="str">
        <f>IF(AND('Pivot elenchi'!Q219="",'Pivot elenchi'!Q220=""),"",IF('Pivot elenchi'!Q219="",'Pivot elenchi'!Q218="",'Pivot elenchi'!Q219))</f>
        <v/>
      </c>
      <c r="N220" s="42" t="str">
        <f>IF(AND('Pivot elenchi'!R219="",'Pivot elenchi'!R220=""),"",IF('Pivot elenchi'!R219="",'Pivot elenchi'!R218="",'Pivot elenchi'!R219))</f>
        <v/>
      </c>
      <c r="O220" s="42" t="str">
        <f>IF(AND('Pivot elenchi'!S219="",'Pivot elenchi'!S220=""),"",IF('Pivot elenchi'!S219="",'Pivot elenchi'!S218="",'Pivot elenchi'!S219))</f>
        <v/>
      </c>
      <c r="P220" s="42" t="str">
        <f>IF(AND('Pivot elenchi'!T219="",'Pivot elenchi'!T220=""),"",IF('Pivot elenchi'!T219="",'Pivot elenchi'!T218="",'Pivot elenchi'!T219))</f>
        <v/>
      </c>
      <c r="Q220" s="42" t="str">
        <f>IF(AND('Pivot elenchi'!U219="",'Pivot elenchi'!U220=""),"",IF('Pivot elenchi'!U219="",'Pivot elenchi'!U218="",'Pivot elenchi'!U219))</f>
        <v/>
      </c>
      <c r="AB220" s="42" t="str">
        <f t="shared" si="22"/>
        <v/>
      </c>
      <c r="AC220" s="42" t="str">
        <f t="shared" si="22"/>
        <v/>
      </c>
      <c r="AD220" s="42" t="str">
        <f t="shared" si="22"/>
        <v/>
      </c>
      <c r="AE220" s="42" t="str">
        <f t="shared" si="22"/>
        <v/>
      </c>
      <c r="AF220" s="42" t="str">
        <f t="shared" si="22"/>
        <v/>
      </c>
      <c r="AG220" s="42" t="str">
        <f t="shared" si="22"/>
        <v/>
      </c>
    </row>
    <row r="221" spans="12:33" x14ac:dyDescent="0.25">
      <c r="L221" s="42" t="str">
        <f>IF(AND('Pivot elenchi'!P220="",'Pivot elenchi'!P221=""),"",IF('Pivot elenchi'!P220="",'Pivot elenchi'!P219="",'Pivot elenchi'!P220))</f>
        <v/>
      </c>
      <c r="M221" s="42" t="str">
        <f>IF(AND('Pivot elenchi'!Q220="",'Pivot elenchi'!Q221=""),"",IF('Pivot elenchi'!Q220="",'Pivot elenchi'!Q219="",'Pivot elenchi'!Q220))</f>
        <v/>
      </c>
      <c r="N221" s="42" t="str">
        <f>IF(AND('Pivot elenchi'!R220="",'Pivot elenchi'!R221=""),"",IF('Pivot elenchi'!R220="",'Pivot elenchi'!R219="",'Pivot elenchi'!R220))</f>
        <v/>
      </c>
      <c r="O221" s="42" t="str">
        <f>IF(AND('Pivot elenchi'!S220="",'Pivot elenchi'!S221=""),"",IF('Pivot elenchi'!S220="",'Pivot elenchi'!S219="",'Pivot elenchi'!S220))</f>
        <v/>
      </c>
      <c r="P221" s="42" t="str">
        <f>IF(AND('Pivot elenchi'!T220="",'Pivot elenchi'!T221=""),"",IF('Pivot elenchi'!T220="",'Pivot elenchi'!T219="",'Pivot elenchi'!T220))</f>
        <v/>
      </c>
      <c r="Q221" s="42" t="str">
        <f>IF(AND('Pivot elenchi'!U220="",'Pivot elenchi'!U221=""),"",IF('Pivot elenchi'!U220="",'Pivot elenchi'!U219="",'Pivot elenchi'!U220))</f>
        <v/>
      </c>
      <c r="AB221" s="42" t="str">
        <f t="shared" si="22"/>
        <v/>
      </c>
      <c r="AC221" s="42" t="str">
        <f t="shared" si="22"/>
        <v/>
      </c>
      <c r="AD221" s="42" t="str">
        <f t="shared" si="22"/>
        <v/>
      </c>
      <c r="AE221" s="42" t="str">
        <f t="shared" si="22"/>
        <v/>
      </c>
      <c r="AF221" s="42" t="str">
        <f t="shared" si="22"/>
        <v/>
      </c>
      <c r="AG221" s="42" t="str">
        <f t="shared" si="22"/>
        <v/>
      </c>
    </row>
    <row r="222" spans="12:33" x14ac:dyDescent="0.25">
      <c r="L222" s="42" t="str">
        <f>IF(AND('Pivot elenchi'!P221="",'Pivot elenchi'!P222=""),"",IF('Pivot elenchi'!P221="",'Pivot elenchi'!P220="",'Pivot elenchi'!P221))</f>
        <v/>
      </c>
      <c r="M222" s="42" t="str">
        <f>IF(AND('Pivot elenchi'!Q221="",'Pivot elenchi'!Q222=""),"",IF('Pivot elenchi'!Q221="",'Pivot elenchi'!Q220="",'Pivot elenchi'!Q221))</f>
        <v/>
      </c>
      <c r="N222" s="42" t="str">
        <f>IF(AND('Pivot elenchi'!R221="",'Pivot elenchi'!R222=""),"",IF('Pivot elenchi'!R221="",'Pivot elenchi'!R220="",'Pivot elenchi'!R221))</f>
        <v/>
      </c>
      <c r="O222" s="42" t="str">
        <f>IF(AND('Pivot elenchi'!S221="",'Pivot elenchi'!S222=""),"",IF('Pivot elenchi'!S221="",'Pivot elenchi'!S220="",'Pivot elenchi'!S221))</f>
        <v/>
      </c>
      <c r="P222" s="42" t="str">
        <f>IF(AND('Pivot elenchi'!T221="",'Pivot elenchi'!T222=""),"",IF('Pivot elenchi'!T221="",'Pivot elenchi'!T220="",'Pivot elenchi'!T221))</f>
        <v/>
      </c>
      <c r="Q222" s="42" t="str">
        <f>IF(AND('Pivot elenchi'!U221="",'Pivot elenchi'!U222=""),"",IF('Pivot elenchi'!U221="",'Pivot elenchi'!U220="",'Pivot elenchi'!U221))</f>
        <v/>
      </c>
      <c r="AB222" s="42" t="str">
        <f t="shared" si="22"/>
        <v/>
      </c>
      <c r="AC222" s="42" t="str">
        <f t="shared" si="22"/>
        <v/>
      </c>
      <c r="AD222" s="42" t="str">
        <f t="shared" si="22"/>
        <v/>
      </c>
      <c r="AE222" s="42" t="str">
        <f t="shared" si="22"/>
        <v/>
      </c>
      <c r="AF222" s="42" t="str">
        <f t="shared" si="22"/>
        <v/>
      </c>
      <c r="AG222" s="42" t="str">
        <f t="shared" si="22"/>
        <v/>
      </c>
    </row>
    <row r="223" spans="12:33" x14ac:dyDescent="0.25">
      <c r="L223" s="42" t="str">
        <f>IF(AND('Pivot elenchi'!P222="",'Pivot elenchi'!P223=""),"",IF('Pivot elenchi'!P222="",'Pivot elenchi'!P221="",'Pivot elenchi'!P222))</f>
        <v/>
      </c>
      <c r="M223" s="42" t="str">
        <f>IF(AND('Pivot elenchi'!Q222="",'Pivot elenchi'!Q223=""),"",IF('Pivot elenchi'!Q222="",'Pivot elenchi'!Q221="",'Pivot elenchi'!Q222))</f>
        <v/>
      </c>
      <c r="N223" s="42" t="str">
        <f>IF(AND('Pivot elenchi'!R222="",'Pivot elenchi'!R223=""),"",IF('Pivot elenchi'!R222="",'Pivot elenchi'!R221="",'Pivot elenchi'!R222))</f>
        <v/>
      </c>
      <c r="O223" s="42" t="str">
        <f>IF(AND('Pivot elenchi'!S222="",'Pivot elenchi'!S223=""),"",IF('Pivot elenchi'!S222="",'Pivot elenchi'!S221="",'Pivot elenchi'!S222))</f>
        <v/>
      </c>
      <c r="P223" s="42" t="str">
        <f>IF(AND('Pivot elenchi'!T222="",'Pivot elenchi'!T223=""),"",IF('Pivot elenchi'!T222="",'Pivot elenchi'!T221="",'Pivot elenchi'!T222))</f>
        <v/>
      </c>
      <c r="Q223" s="42" t="str">
        <f>IF(AND('Pivot elenchi'!U222="",'Pivot elenchi'!U223=""),"",IF('Pivot elenchi'!U222="",'Pivot elenchi'!U221="",'Pivot elenchi'!U222))</f>
        <v/>
      </c>
      <c r="AB223" s="42" t="str">
        <f t="shared" si="22"/>
        <v/>
      </c>
      <c r="AC223" s="42" t="str">
        <f t="shared" si="22"/>
        <v/>
      </c>
      <c r="AD223" s="42" t="str">
        <f t="shared" si="22"/>
        <v/>
      </c>
      <c r="AE223" s="42" t="str">
        <f t="shared" si="22"/>
        <v/>
      </c>
      <c r="AF223" s="42" t="str">
        <f t="shared" si="22"/>
        <v/>
      </c>
      <c r="AG223" s="42" t="str">
        <f t="shared" si="22"/>
        <v/>
      </c>
    </row>
    <row r="224" spans="12:33" x14ac:dyDescent="0.25">
      <c r="L224" s="42" t="str">
        <f>IF(AND('Pivot elenchi'!P223="",'Pivot elenchi'!P224=""),"",IF('Pivot elenchi'!P223="",'Pivot elenchi'!P222="",'Pivot elenchi'!P223))</f>
        <v/>
      </c>
      <c r="M224" s="42" t="str">
        <f>IF(AND('Pivot elenchi'!Q223="",'Pivot elenchi'!Q224=""),"",IF('Pivot elenchi'!Q223="",'Pivot elenchi'!Q222="",'Pivot elenchi'!Q223))</f>
        <v/>
      </c>
      <c r="N224" s="42" t="str">
        <f>IF(AND('Pivot elenchi'!R223="",'Pivot elenchi'!R224=""),"",IF('Pivot elenchi'!R223="",'Pivot elenchi'!R222="",'Pivot elenchi'!R223))</f>
        <v/>
      </c>
      <c r="O224" s="42" t="str">
        <f>IF(AND('Pivot elenchi'!S223="",'Pivot elenchi'!S224=""),"",IF('Pivot elenchi'!S223="",'Pivot elenchi'!S222="",'Pivot elenchi'!S223))</f>
        <v/>
      </c>
      <c r="P224" s="42" t="str">
        <f>IF(AND('Pivot elenchi'!T223="",'Pivot elenchi'!T224=""),"",IF('Pivot elenchi'!T223="",'Pivot elenchi'!T222="",'Pivot elenchi'!T223))</f>
        <v/>
      </c>
      <c r="Q224" s="42" t="str">
        <f>IF(AND('Pivot elenchi'!U223="",'Pivot elenchi'!U224=""),"",IF('Pivot elenchi'!U223="",'Pivot elenchi'!U222="",'Pivot elenchi'!U223))</f>
        <v/>
      </c>
      <c r="AB224" s="42" t="str">
        <f t="shared" si="22"/>
        <v/>
      </c>
      <c r="AC224" s="42" t="str">
        <f t="shared" si="22"/>
        <v/>
      </c>
      <c r="AD224" s="42" t="str">
        <f t="shared" si="22"/>
        <v/>
      </c>
      <c r="AE224" s="42" t="str">
        <f t="shared" si="22"/>
        <v/>
      </c>
      <c r="AF224" s="42" t="str">
        <f t="shared" si="22"/>
        <v/>
      </c>
      <c r="AG224" s="42" t="str">
        <f t="shared" si="22"/>
        <v/>
      </c>
    </row>
    <row r="225" spans="12:33" x14ac:dyDescent="0.25">
      <c r="L225" s="42" t="str">
        <f>IF(AND('Pivot elenchi'!P224="",'Pivot elenchi'!P225=""),"",IF('Pivot elenchi'!P224="",'Pivot elenchi'!P223="",'Pivot elenchi'!P224))</f>
        <v/>
      </c>
      <c r="M225" s="42" t="str">
        <f>IF(AND('Pivot elenchi'!Q224="",'Pivot elenchi'!Q225=""),"",IF('Pivot elenchi'!Q224="",'Pivot elenchi'!Q223="",'Pivot elenchi'!Q224))</f>
        <v/>
      </c>
      <c r="N225" s="42" t="str">
        <f>IF(AND('Pivot elenchi'!R224="",'Pivot elenchi'!R225=""),"",IF('Pivot elenchi'!R224="",'Pivot elenchi'!R223="",'Pivot elenchi'!R224))</f>
        <v/>
      </c>
      <c r="O225" s="42" t="str">
        <f>IF(AND('Pivot elenchi'!S224="",'Pivot elenchi'!S225=""),"",IF('Pivot elenchi'!S224="",'Pivot elenchi'!S223="",'Pivot elenchi'!S224))</f>
        <v/>
      </c>
      <c r="P225" s="42" t="str">
        <f>IF(AND('Pivot elenchi'!T224="",'Pivot elenchi'!T225=""),"",IF('Pivot elenchi'!T224="",'Pivot elenchi'!T223="",'Pivot elenchi'!T224))</f>
        <v/>
      </c>
      <c r="Q225" s="42" t="str">
        <f>IF(AND('Pivot elenchi'!U224="",'Pivot elenchi'!U225=""),"",IF('Pivot elenchi'!U224="",'Pivot elenchi'!U223="",'Pivot elenchi'!U224))</f>
        <v/>
      </c>
      <c r="AB225" s="42" t="str">
        <f t="shared" si="22"/>
        <v/>
      </c>
      <c r="AC225" s="42" t="str">
        <f t="shared" si="22"/>
        <v/>
      </c>
      <c r="AD225" s="42" t="str">
        <f t="shared" si="22"/>
        <v/>
      </c>
      <c r="AE225" s="42" t="str">
        <f t="shared" si="22"/>
        <v/>
      </c>
      <c r="AF225" s="42" t="str">
        <f t="shared" si="22"/>
        <v/>
      </c>
      <c r="AG225" s="42" t="str">
        <f t="shared" si="22"/>
        <v/>
      </c>
    </row>
    <row r="226" spans="12:33" x14ac:dyDescent="0.25">
      <c r="L226" s="42" t="str">
        <f>IF(AND('Pivot elenchi'!P225="",'Pivot elenchi'!P226=""),"",IF('Pivot elenchi'!P225="",'Pivot elenchi'!P224="",'Pivot elenchi'!P225))</f>
        <v/>
      </c>
      <c r="M226" s="42" t="str">
        <f>IF(AND('Pivot elenchi'!Q225="",'Pivot elenchi'!Q226=""),"",IF('Pivot elenchi'!Q225="",'Pivot elenchi'!Q224="",'Pivot elenchi'!Q225))</f>
        <v/>
      </c>
      <c r="N226" s="42" t="str">
        <f>IF(AND('Pivot elenchi'!R225="",'Pivot elenchi'!R226=""),"",IF('Pivot elenchi'!R225="",'Pivot elenchi'!R224="",'Pivot elenchi'!R225))</f>
        <v/>
      </c>
      <c r="O226" s="42" t="str">
        <f>IF(AND('Pivot elenchi'!S225="",'Pivot elenchi'!S226=""),"",IF('Pivot elenchi'!S225="",'Pivot elenchi'!S224="",'Pivot elenchi'!S225))</f>
        <v/>
      </c>
      <c r="P226" s="42" t="str">
        <f>IF(AND('Pivot elenchi'!T225="",'Pivot elenchi'!T226=""),"",IF('Pivot elenchi'!T225="",'Pivot elenchi'!T224="",'Pivot elenchi'!T225))</f>
        <v/>
      </c>
      <c r="Q226" s="42" t="str">
        <f>IF(AND('Pivot elenchi'!U225="",'Pivot elenchi'!U226=""),"",IF('Pivot elenchi'!U225="",'Pivot elenchi'!U224="",'Pivot elenchi'!U225))</f>
        <v/>
      </c>
      <c r="AB226" s="42" t="str">
        <f t="shared" si="22"/>
        <v/>
      </c>
      <c r="AC226" s="42" t="str">
        <f t="shared" si="22"/>
        <v/>
      </c>
      <c r="AD226" s="42" t="str">
        <f t="shared" si="22"/>
        <v/>
      </c>
      <c r="AE226" s="42" t="str">
        <f t="shared" si="22"/>
        <v/>
      </c>
      <c r="AF226" s="42" t="str">
        <f t="shared" si="22"/>
        <v/>
      </c>
      <c r="AG226" s="42" t="str">
        <f t="shared" si="22"/>
        <v/>
      </c>
    </row>
    <row r="227" spans="12:33" x14ac:dyDescent="0.25">
      <c r="L227" s="42" t="str">
        <f>IF(AND('Pivot elenchi'!P226="",'Pivot elenchi'!P227=""),"",IF('Pivot elenchi'!P226="",'Pivot elenchi'!P225="",'Pivot elenchi'!P226))</f>
        <v/>
      </c>
      <c r="M227" s="42" t="str">
        <f>IF(AND('Pivot elenchi'!Q226="",'Pivot elenchi'!Q227=""),"",IF('Pivot elenchi'!Q226="",'Pivot elenchi'!Q225="",'Pivot elenchi'!Q226))</f>
        <v/>
      </c>
      <c r="N227" s="42" t="str">
        <f>IF(AND('Pivot elenchi'!R226="",'Pivot elenchi'!R227=""),"",IF('Pivot elenchi'!R226="",'Pivot elenchi'!R225="",'Pivot elenchi'!R226))</f>
        <v/>
      </c>
      <c r="O227" s="42" t="str">
        <f>IF(AND('Pivot elenchi'!S226="",'Pivot elenchi'!S227=""),"",IF('Pivot elenchi'!S226="",'Pivot elenchi'!S225="",'Pivot elenchi'!S226))</f>
        <v/>
      </c>
      <c r="P227" s="42" t="str">
        <f>IF(AND('Pivot elenchi'!T226="",'Pivot elenchi'!T227=""),"",IF('Pivot elenchi'!T226="",'Pivot elenchi'!T225="",'Pivot elenchi'!T226))</f>
        <v/>
      </c>
      <c r="Q227" s="42" t="str">
        <f>IF(AND('Pivot elenchi'!U226="",'Pivot elenchi'!U227=""),"",IF('Pivot elenchi'!U226="",'Pivot elenchi'!U225="",'Pivot elenchi'!U226))</f>
        <v/>
      </c>
      <c r="AB227" s="42" t="str">
        <f t="shared" si="22"/>
        <v/>
      </c>
      <c r="AC227" s="42" t="str">
        <f t="shared" si="22"/>
        <v/>
      </c>
      <c r="AD227" s="42" t="str">
        <f t="shared" si="22"/>
        <v/>
      </c>
      <c r="AE227" s="42" t="str">
        <f t="shared" si="22"/>
        <v/>
      </c>
      <c r="AF227" s="42" t="str">
        <f t="shared" si="22"/>
        <v/>
      </c>
      <c r="AG227" s="42" t="str">
        <f t="shared" si="22"/>
        <v/>
      </c>
    </row>
    <row r="228" spans="12:33" x14ac:dyDescent="0.25">
      <c r="L228" s="42" t="str">
        <f>IF(AND('Pivot elenchi'!P227="",'Pivot elenchi'!P228=""),"",IF('Pivot elenchi'!P227="",'Pivot elenchi'!P226="",'Pivot elenchi'!P227))</f>
        <v/>
      </c>
      <c r="M228" s="42" t="str">
        <f>IF(AND('Pivot elenchi'!Q227="",'Pivot elenchi'!Q228=""),"",IF('Pivot elenchi'!Q227="",'Pivot elenchi'!Q226="",'Pivot elenchi'!Q227))</f>
        <v/>
      </c>
      <c r="N228" s="42" t="str">
        <f>IF(AND('Pivot elenchi'!R227="",'Pivot elenchi'!R228=""),"",IF('Pivot elenchi'!R227="",'Pivot elenchi'!R226="",'Pivot elenchi'!R227))</f>
        <v/>
      </c>
      <c r="O228" s="42" t="str">
        <f>IF(AND('Pivot elenchi'!S227="",'Pivot elenchi'!S228=""),"",IF('Pivot elenchi'!S227="",'Pivot elenchi'!S226="",'Pivot elenchi'!S227))</f>
        <v/>
      </c>
      <c r="P228" s="42" t="str">
        <f>IF(AND('Pivot elenchi'!T227="",'Pivot elenchi'!T228=""),"",IF('Pivot elenchi'!T227="",'Pivot elenchi'!T226="",'Pivot elenchi'!T227))</f>
        <v/>
      </c>
      <c r="Q228" s="42" t="str">
        <f>IF(AND('Pivot elenchi'!U227="",'Pivot elenchi'!U228=""),"",IF('Pivot elenchi'!U227="",'Pivot elenchi'!U226="",'Pivot elenchi'!U227))</f>
        <v/>
      </c>
      <c r="AB228" s="42" t="str">
        <f t="shared" si="22"/>
        <v/>
      </c>
      <c r="AC228" s="42" t="str">
        <f t="shared" si="22"/>
        <v/>
      </c>
      <c r="AD228" s="42" t="str">
        <f t="shared" si="22"/>
        <v/>
      </c>
      <c r="AE228" s="42" t="str">
        <f t="shared" si="22"/>
        <v/>
      </c>
      <c r="AF228" s="42" t="str">
        <f t="shared" si="22"/>
        <v/>
      </c>
      <c r="AG228" s="42" t="str">
        <f t="shared" si="22"/>
        <v/>
      </c>
    </row>
    <row r="229" spans="12:33" x14ac:dyDescent="0.25">
      <c r="L229" s="42" t="str">
        <f>IF(AND('Pivot elenchi'!P228="",'Pivot elenchi'!P229=""),"",IF('Pivot elenchi'!P228="",'Pivot elenchi'!P227="",'Pivot elenchi'!P228))</f>
        <v/>
      </c>
      <c r="M229" s="42" t="str">
        <f>IF(AND('Pivot elenchi'!Q228="",'Pivot elenchi'!Q229=""),"",IF('Pivot elenchi'!Q228="",'Pivot elenchi'!Q227="",'Pivot elenchi'!Q228))</f>
        <v/>
      </c>
      <c r="N229" s="42" t="str">
        <f>IF(AND('Pivot elenchi'!R228="",'Pivot elenchi'!R229=""),"",IF('Pivot elenchi'!R228="",'Pivot elenchi'!R227="",'Pivot elenchi'!R228))</f>
        <v/>
      </c>
      <c r="O229" s="42" t="str">
        <f>IF(AND('Pivot elenchi'!S228="",'Pivot elenchi'!S229=""),"",IF('Pivot elenchi'!S228="",'Pivot elenchi'!S227="",'Pivot elenchi'!S228))</f>
        <v/>
      </c>
      <c r="P229" s="42" t="str">
        <f>IF(AND('Pivot elenchi'!T228="",'Pivot elenchi'!T229=""),"",IF('Pivot elenchi'!T228="",'Pivot elenchi'!T227="",'Pivot elenchi'!T228))</f>
        <v/>
      </c>
      <c r="Q229" s="42" t="str">
        <f>IF(AND('Pivot elenchi'!U228="",'Pivot elenchi'!U229=""),"",IF('Pivot elenchi'!U228="",'Pivot elenchi'!U227="",'Pivot elenchi'!U228))</f>
        <v/>
      </c>
      <c r="AB229" s="42" t="str">
        <f t="shared" ref="AB229:AB243" si="23">L229</f>
        <v/>
      </c>
      <c r="AC229" s="42" t="str">
        <f t="shared" ref="AC229:AC243" si="24">M229</f>
        <v/>
      </c>
      <c r="AD229" s="42" t="str">
        <f t="shared" ref="AD229:AD243" si="25">N229</f>
        <v/>
      </c>
      <c r="AE229" s="42" t="str">
        <f t="shared" ref="AE229:AE243" si="26">O229</f>
        <v/>
      </c>
      <c r="AF229" s="42" t="str">
        <f t="shared" ref="AF229:AF243" si="27">P229</f>
        <v/>
      </c>
      <c r="AG229" s="42" t="str">
        <f t="shared" ref="AG229:AG243" si="28">Q229</f>
        <v/>
      </c>
    </row>
    <row r="230" spans="12:33" x14ac:dyDescent="0.25">
      <c r="L230" s="42" t="str">
        <f>IF(AND('Pivot elenchi'!P229="",'Pivot elenchi'!P230=""),"",IF('Pivot elenchi'!P229="",'Pivot elenchi'!P228="",'Pivot elenchi'!P229))</f>
        <v/>
      </c>
      <c r="M230" s="42" t="str">
        <f>IF(AND('Pivot elenchi'!Q229="",'Pivot elenchi'!Q230=""),"",IF('Pivot elenchi'!Q229="",'Pivot elenchi'!Q228="",'Pivot elenchi'!Q229))</f>
        <v/>
      </c>
      <c r="N230" s="42" t="str">
        <f>IF(AND('Pivot elenchi'!R229="",'Pivot elenchi'!R230=""),"",IF('Pivot elenchi'!R229="",'Pivot elenchi'!R228="",'Pivot elenchi'!R229))</f>
        <v/>
      </c>
      <c r="O230" s="42" t="str">
        <f>IF(AND('Pivot elenchi'!S229="",'Pivot elenchi'!S230=""),"",IF('Pivot elenchi'!S229="",'Pivot elenchi'!S228="",'Pivot elenchi'!S229))</f>
        <v/>
      </c>
      <c r="P230" s="42" t="str">
        <f>IF(AND('Pivot elenchi'!T229="",'Pivot elenchi'!T230=""),"",IF('Pivot elenchi'!T229="",'Pivot elenchi'!T228="",'Pivot elenchi'!T229))</f>
        <v/>
      </c>
      <c r="Q230" s="42" t="str">
        <f>IF(AND('Pivot elenchi'!U229="",'Pivot elenchi'!U230=""),"",IF('Pivot elenchi'!U229="",'Pivot elenchi'!U228="",'Pivot elenchi'!U229))</f>
        <v/>
      </c>
      <c r="AB230" s="42" t="str">
        <f t="shared" si="23"/>
        <v/>
      </c>
      <c r="AC230" s="42" t="str">
        <f t="shared" si="24"/>
        <v/>
      </c>
      <c r="AD230" s="42" t="str">
        <f t="shared" si="25"/>
        <v/>
      </c>
      <c r="AE230" s="42" t="str">
        <f t="shared" si="26"/>
        <v/>
      </c>
      <c r="AF230" s="42" t="str">
        <f t="shared" si="27"/>
        <v/>
      </c>
      <c r="AG230" s="42" t="str">
        <f t="shared" si="28"/>
        <v/>
      </c>
    </row>
    <row r="231" spans="12:33" x14ac:dyDescent="0.25">
      <c r="L231" s="42" t="str">
        <f>IF(AND('Pivot elenchi'!P230="",'Pivot elenchi'!P231=""),"",IF('Pivot elenchi'!P230="",'Pivot elenchi'!P229="",'Pivot elenchi'!P230))</f>
        <v/>
      </c>
      <c r="M231" s="42" t="str">
        <f>IF(AND('Pivot elenchi'!Q230="",'Pivot elenchi'!Q231=""),"",IF('Pivot elenchi'!Q230="",'Pivot elenchi'!Q229="",'Pivot elenchi'!Q230))</f>
        <v/>
      </c>
      <c r="N231" s="42" t="str">
        <f>IF(AND('Pivot elenchi'!R230="",'Pivot elenchi'!R231=""),"",IF('Pivot elenchi'!R230="",'Pivot elenchi'!R229="",'Pivot elenchi'!R230))</f>
        <v/>
      </c>
      <c r="O231" s="42" t="str">
        <f>IF(AND('Pivot elenchi'!S230="",'Pivot elenchi'!S231=""),"",IF('Pivot elenchi'!S230="",'Pivot elenchi'!S229="",'Pivot elenchi'!S230))</f>
        <v/>
      </c>
      <c r="P231" s="42" t="str">
        <f>IF(AND('Pivot elenchi'!T230="",'Pivot elenchi'!T231=""),"",IF('Pivot elenchi'!T230="",'Pivot elenchi'!T229="",'Pivot elenchi'!T230))</f>
        <v/>
      </c>
      <c r="Q231" s="42" t="str">
        <f>IF(AND('Pivot elenchi'!U230="",'Pivot elenchi'!U231=""),"",IF('Pivot elenchi'!U230="",'Pivot elenchi'!U229="",'Pivot elenchi'!U230))</f>
        <v/>
      </c>
      <c r="AB231" s="42" t="str">
        <f t="shared" si="23"/>
        <v/>
      </c>
      <c r="AC231" s="42" t="str">
        <f t="shared" si="24"/>
        <v/>
      </c>
      <c r="AD231" s="42" t="str">
        <f t="shared" si="25"/>
        <v/>
      </c>
      <c r="AE231" s="42" t="str">
        <f t="shared" si="26"/>
        <v/>
      </c>
      <c r="AF231" s="42" t="str">
        <f t="shared" si="27"/>
        <v/>
      </c>
      <c r="AG231" s="42" t="str">
        <f t="shared" si="28"/>
        <v/>
      </c>
    </row>
    <row r="232" spans="12:33" x14ac:dyDescent="0.25">
      <c r="L232" s="42" t="str">
        <f>IF(AND('Pivot elenchi'!P231="",'Pivot elenchi'!P232=""),"",IF('Pivot elenchi'!P231="",'Pivot elenchi'!P230="",'Pivot elenchi'!P231))</f>
        <v/>
      </c>
      <c r="M232" s="42" t="str">
        <f>IF(AND('Pivot elenchi'!Q231="",'Pivot elenchi'!Q232=""),"",IF('Pivot elenchi'!Q231="",'Pivot elenchi'!Q230="",'Pivot elenchi'!Q231))</f>
        <v/>
      </c>
      <c r="N232" s="42" t="str">
        <f>IF(AND('Pivot elenchi'!R231="",'Pivot elenchi'!R232=""),"",IF('Pivot elenchi'!R231="",'Pivot elenchi'!R230="",'Pivot elenchi'!R231))</f>
        <v/>
      </c>
      <c r="O232" s="42" t="str">
        <f>IF(AND('Pivot elenchi'!S231="",'Pivot elenchi'!S232=""),"",IF('Pivot elenchi'!S231="",'Pivot elenchi'!S230="",'Pivot elenchi'!S231))</f>
        <v/>
      </c>
      <c r="P232" s="42" t="str">
        <f>IF(AND('Pivot elenchi'!T231="",'Pivot elenchi'!T232=""),"",IF('Pivot elenchi'!T231="",'Pivot elenchi'!T230="",'Pivot elenchi'!T231))</f>
        <v/>
      </c>
      <c r="Q232" s="42" t="str">
        <f>IF(AND('Pivot elenchi'!U231="",'Pivot elenchi'!U232=""),"",IF('Pivot elenchi'!U231="",'Pivot elenchi'!U230="",'Pivot elenchi'!U231))</f>
        <v/>
      </c>
      <c r="AB232" s="42" t="str">
        <f t="shared" si="23"/>
        <v/>
      </c>
      <c r="AC232" s="42" t="str">
        <f t="shared" si="24"/>
        <v/>
      </c>
      <c r="AD232" s="42" t="str">
        <f t="shared" si="25"/>
        <v/>
      </c>
      <c r="AE232" s="42" t="str">
        <f t="shared" si="26"/>
        <v/>
      </c>
      <c r="AF232" s="42" t="str">
        <f t="shared" si="27"/>
        <v/>
      </c>
      <c r="AG232" s="42" t="str">
        <f t="shared" si="28"/>
        <v/>
      </c>
    </row>
    <row r="233" spans="12:33" x14ac:dyDescent="0.25">
      <c r="L233" s="42" t="str">
        <f>IF(AND('Pivot elenchi'!P232="",'Pivot elenchi'!P233=""),"",IF('Pivot elenchi'!P232="",'Pivot elenchi'!P231="",'Pivot elenchi'!P232))</f>
        <v/>
      </c>
      <c r="M233" s="42" t="str">
        <f>IF(AND('Pivot elenchi'!Q232="",'Pivot elenchi'!Q233=""),"",IF('Pivot elenchi'!Q232="",'Pivot elenchi'!Q231="",'Pivot elenchi'!Q232))</f>
        <v/>
      </c>
      <c r="N233" s="42" t="str">
        <f>IF(AND('Pivot elenchi'!R232="",'Pivot elenchi'!R233=""),"",IF('Pivot elenchi'!R232="",'Pivot elenchi'!R231="",'Pivot elenchi'!R232))</f>
        <v/>
      </c>
      <c r="O233" s="42" t="str">
        <f>IF(AND('Pivot elenchi'!S232="",'Pivot elenchi'!S233=""),"",IF('Pivot elenchi'!S232="",'Pivot elenchi'!S231="",'Pivot elenchi'!S232))</f>
        <v/>
      </c>
      <c r="P233" s="42" t="str">
        <f>IF(AND('Pivot elenchi'!T232="",'Pivot elenchi'!T233=""),"",IF('Pivot elenchi'!T232="",'Pivot elenchi'!T231="",'Pivot elenchi'!T232))</f>
        <v/>
      </c>
      <c r="Q233" s="42" t="str">
        <f>IF(AND('Pivot elenchi'!U232="",'Pivot elenchi'!U233=""),"",IF('Pivot elenchi'!U232="",'Pivot elenchi'!U231="",'Pivot elenchi'!U232))</f>
        <v/>
      </c>
      <c r="AB233" s="42" t="str">
        <f t="shared" si="23"/>
        <v/>
      </c>
      <c r="AC233" s="42" t="str">
        <f t="shared" si="24"/>
        <v/>
      </c>
      <c r="AD233" s="42" t="str">
        <f t="shared" si="25"/>
        <v/>
      </c>
      <c r="AE233" s="42" t="str">
        <f t="shared" si="26"/>
        <v/>
      </c>
      <c r="AF233" s="42" t="str">
        <f t="shared" si="27"/>
        <v/>
      </c>
      <c r="AG233" s="42" t="str">
        <f t="shared" si="28"/>
        <v/>
      </c>
    </row>
    <row r="234" spans="12:33" x14ac:dyDescent="0.25">
      <c r="L234" s="42" t="str">
        <f>IF(AND('Pivot elenchi'!P233="",'Pivot elenchi'!P234=""),"",IF('Pivot elenchi'!P233="",'Pivot elenchi'!P232="",'Pivot elenchi'!P233))</f>
        <v/>
      </c>
      <c r="M234" s="42" t="str">
        <f>IF(AND('Pivot elenchi'!Q233="",'Pivot elenchi'!Q234=""),"",IF('Pivot elenchi'!Q233="",'Pivot elenchi'!Q232="",'Pivot elenchi'!Q233))</f>
        <v/>
      </c>
      <c r="N234" s="42" t="str">
        <f>IF(AND('Pivot elenchi'!R233="",'Pivot elenchi'!R234=""),"",IF('Pivot elenchi'!R233="",'Pivot elenchi'!R232="",'Pivot elenchi'!R233))</f>
        <v/>
      </c>
      <c r="O234" s="42" t="str">
        <f>IF(AND('Pivot elenchi'!S233="",'Pivot elenchi'!S234=""),"",IF('Pivot elenchi'!S233="",'Pivot elenchi'!S232="",'Pivot elenchi'!S233))</f>
        <v/>
      </c>
      <c r="P234" s="42" t="str">
        <f>IF(AND('Pivot elenchi'!T233="",'Pivot elenchi'!T234=""),"",IF('Pivot elenchi'!T233="",'Pivot elenchi'!T232="",'Pivot elenchi'!T233))</f>
        <v/>
      </c>
      <c r="Q234" s="42" t="str">
        <f>IF(AND('Pivot elenchi'!U233="",'Pivot elenchi'!U234=""),"",IF('Pivot elenchi'!U233="",'Pivot elenchi'!U232="",'Pivot elenchi'!U233))</f>
        <v/>
      </c>
      <c r="AB234" s="42" t="str">
        <f t="shared" si="23"/>
        <v/>
      </c>
      <c r="AC234" s="42" t="str">
        <f t="shared" si="24"/>
        <v/>
      </c>
      <c r="AD234" s="42" t="str">
        <f t="shared" si="25"/>
        <v/>
      </c>
      <c r="AE234" s="42" t="str">
        <f t="shared" si="26"/>
        <v/>
      </c>
      <c r="AF234" s="42" t="str">
        <f t="shared" si="27"/>
        <v/>
      </c>
      <c r="AG234" s="42" t="str">
        <f t="shared" si="28"/>
        <v/>
      </c>
    </row>
    <row r="235" spans="12:33" x14ac:dyDescent="0.25">
      <c r="L235" s="42" t="str">
        <f>IF(AND('Pivot elenchi'!P234="",'Pivot elenchi'!P235=""),"",IF('Pivot elenchi'!P234="",'Pivot elenchi'!P233="",'Pivot elenchi'!P234))</f>
        <v/>
      </c>
      <c r="M235" s="42" t="str">
        <f>IF(AND('Pivot elenchi'!Q234="",'Pivot elenchi'!Q235=""),"",IF('Pivot elenchi'!Q234="",'Pivot elenchi'!Q233="",'Pivot elenchi'!Q234))</f>
        <v/>
      </c>
      <c r="N235" s="42" t="str">
        <f>IF(AND('Pivot elenchi'!R234="",'Pivot elenchi'!R235=""),"",IF('Pivot elenchi'!R234="",'Pivot elenchi'!R233="",'Pivot elenchi'!R234))</f>
        <v/>
      </c>
      <c r="O235" s="42" t="str">
        <f>IF(AND('Pivot elenchi'!S234="",'Pivot elenchi'!S235=""),"",IF('Pivot elenchi'!S234="",'Pivot elenchi'!S233="",'Pivot elenchi'!S234))</f>
        <v/>
      </c>
      <c r="P235" s="42" t="str">
        <f>IF(AND('Pivot elenchi'!T234="",'Pivot elenchi'!T235=""),"",IF('Pivot elenchi'!T234="",'Pivot elenchi'!T233="",'Pivot elenchi'!T234))</f>
        <v/>
      </c>
      <c r="Q235" s="42" t="str">
        <f>IF(AND('Pivot elenchi'!U234="",'Pivot elenchi'!U235=""),"",IF('Pivot elenchi'!U234="",'Pivot elenchi'!U233="",'Pivot elenchi'!U234))</f>
        <v/>
      </c>
      <c r="AB235" s="42" t="str">
        <f t="shared" si="23"/>
        <v/>
      </c>
      <c r="AC235" s="42" t="str">
        <f t="shared" si="24"/>
        <v/>
      </c>
      <c r="AD235" s="42" t="str">
        <f t="shared" si="25"/>
        <v/>
      </c>
      <c r="AE235" s="42" t="str">
        <f t="shared" si="26"/>
        <v/>
      </c>
      <c r="AF235" s="42" t="str">
        <f t="shared" si="27"/>
        <v/>
      </c>
      <c r="AG235" s="42" t="str">
        <f t="shared" si="28"/>
        <v/>
      </c>
    </row>
    <row r="236" spans="12:33" x14ac:dyDescent="0.25">
      <c r="L236" s="42" t="str">
        <f>IF(AND('Pivot elenchi'!P235="",'Pivot elenchi'!P236=""),"",IF('Pivot elenchi'!P235="",'Pivot elenchi'!P234="",'Pivot elenchi'!P235))</f>
        <v/>
      </c>
      <c r="M236" s="42" t="str">
        <f>IF(AND('Pivot elenchi'!Q235="",'Pivot elenchi'!Q236=""),"",IF('Pivot elenchi'!Q235="",'Pivot elenchi'!Q234="",'Pivot elenchi'!Q235))</f>
        <v/>
      </c>
      <c r="N236" s="42" t="str">
        <f>IF(AND('Pivot elenchi'!R235="",'Pivot elenchi'!R236=""),"",IF('Pivot elenchi'!R235="",'Pivot elenchi'!R234="",'Pivot elenchi'!R235))</f>
        <v/>
      </c>
      <c r="O236" s="42" t="str">
        <f>IF(AND('Pivot elenchi'!S235="",'Pivot elenchi'!S236=""),"",IF('Pivot elenchi'!S235="",'Pivot elenchi'!S234="",'Pivot elenchi'!S235))</f>
        <v/>
      </c>
      <c r="P236" s="42" t="str">
        <f>IF(AND('Pivot elenchi'!T235="",'Pivot elenchi'!T236=""),"",IF('Pivot elenchi'!T235="",'Pivot elenchi'!T234="",'Pivot elenchi'!T235))</f>
        <v/>
      </c>
      <c r="Q236" s="42" t="str">
        <f>IF(AND('Pivot elenchi'!U235="",'Pivot elenchi'!U236=""),"",IF('Pivot elenchi'!U235="",'Pivot elenchi'!U234="",'Pivot elenchi'!U235))</f>
        <v/>
      </c>
      <c r="AB236" s="42" t="str">
        <f t="shared" si="23"/>
        <v/>
      </c>
      <c r="AC236" s="42" t="str">
        <f t="shared" si="24"/>
        <v/>
      </c>
      <c r="AD236" s="42" t="str">
        <f t="shared" si="25"/>
        <v/>
      </c>
      <c r="AE236" s="42" t="str">
        <f t="shared" si="26"/>
        <v/>
      </c>
      <c r="AF236" s="42" t="str">
        <f t="shared" si="27"/>
        <v/>
      </c>
      <c r="AG236" s="42" t="str">
        <f t="shared" si="28"/>
        <v/>
      </c>
    </row>
    <row r="237" spans="12:33" x14ac:dyDescent="0.25">
      <c r="L237" s="42" t="str">
        <f>IF(AND('Pivot elenchi'!P236="",'Pivot elenchi'!P237=""),"",IF('Pivot elenchi'!P236="",'Pivot elenchi'!P235="",'Pivot elenchi'!P236))</f>
        <v/>
      </c>
      <c r="M237" s="42" t="str">
        <f>IF(AND('Pivot elenchi'!Q236="",'Pivot elenchi'!Q237=""),"",IF('Pivot elenchi'!Q236="",'Pivot elenchi'!Q235="",'Pivot elenchi'!Q236))</f>
        <v/>
      </c>
      <c r="N237" s="42" t="str">
        <f>IF(AND('Pivot elenchi'!R236="",'Pivot elenchi'!R237=""),"",IF('Pivot elenchi'!R236="",'Pivot elenchi'!R235="",'Pivot elenchi'!R236))</f>
        <v/>
      </c>
      <c r="O237" s="42" t="str">
        <f>IF(AND('Pivot elenchi'!S236="",'Pivot elenchi'!S237=""),"",IF('Pivot elenchi'!S236="",'Pivot elenchi'!S235="",'Pivot elenchi'!S236))</f>
        <v/>
      </c>
      <c r="P237" s="42" t="str">
        <f>IF(AND('Pivot elenchi'!T236="",'Pivot elenchi'!T237=""),"",IF('Pivot elenchi'!T236="",'Pivot elenchi'!T235="",'Pivot elenchi'!T236))</f>
        <v/>
      </c>
      <c r="Q237" s="42" t="str">
        <f>IF(AND('Pivot elenchi'!U236="",'Pivot elenchi'!U237=""),"",IF('Pivot elenchi'!U236="",'Pivot elenchi'!U235="",'Pivot elenchi'!U236))</f>
        <v/>
      </c>
      <c r="AB237" s="42" t="str">
        <f t="shared" si="23"/>
        <v/>
      </c>
      <c r="AC237" s="42" t="str">
        <f t="shared" si="24"/>
        <v/>
      </c>
      <c r="AD237" s="42" t="str">
        <f t="shared" si="25"/>
        <v/>
      </c>
      <c r="AE237" s="42" t="str">
        <f t="shared" si="26"/>
        <v/>
      </c>
      <c r="AF237" s="42" t="str">
        <f t="shared" si="27"/>
        <v/>
      </c>
      <c r="AG237" s="42" t="str">
        <f t="shared" si="28"/>
        <v/>
      </c>
    </row>
    <row r="238" spans="12:33" x14ac:dyDescent="0.25">
      <c r="L238" s="42" t="str">
        <f>IF(AND('Pivot elenchi'!P237="",'Pivot elenchi'!P238=""),"",IF('Pivot elenchi'!P237="",'Pivot elenchi'!P236="",'Pivot elenchi'!P237))</f>
        <v/>
      </c>
      <c r="M238" s="42" t="str">
        <f>IF(AND('Pivot elenchi'!Q237="",'Pivot elenchi'!Q238=""),"",IF('Pivot elenchi'!Q237="",'Pivot elenchi'!Q236="",'Pivot elenchi'!Q237))</f>
        <v/>
      </c>
      <c r="N238" s="42" t="str">
        <f>IF(AND('Pivot elenchi'!R237="",'Pivot elenchi'!R238=""),"",IF('Pivot elenchi'!R237="",'Pivot elenchi'!R236="",'Pivot elenchi'!R237))</f>
        <v/>
      </c>
      <c r="O238" s="42" t="str">
        <f>IF(AND('Pivot elenchi'!S237="",'Pivot elenchi'!S238=""),"",IF('Pivot elenchi'!S237="",'Pivot elenchi'!S236="",'Pivot elenchi'!S237))</f>
        <v/>
      </c>
      <c r="P238" s="42" t="str">
        <f>IF(AND('Pivot elenchi'!T237="",'Pivot elenchi'!T238=""),"",IF('Pivot elenchi'!T237="",'Pivot elenchi'!T236="",'Pivot elenchi'!T237))</f>
        <v/>
      </c>
      <c r="Q238" s="42" t="str">
        <f>IF(AND('Pivot elenchi'!U237="",'Pivot elenchi'!U238=""),"",IF('Pivot elenchi'!U237="",'Pivot elenchi'!U236="",'Pivot elenchi'!U237))</f>
        <v/>
      </c>
      <c r="AB238" s="42" t="str">
        <f t="shared" si="23"/>
        <v/>
      </c>
      <c r="AC238" s="42" t="str">
        <f t="shared" si="24"/>
        <v/>
      </c>
      <c r="AD238" s="42" t="str">
        <f t="shared" si="25"/>
        <v/>
      </c>
      <c r="AE238" s="42" t="str">
        <f t="shared" si="26"/>
        <v/>
      </c>
      <c r="AF238" s="42" t="str">
        <f t="shared" si="27"/>
        <v/>
      </c>
      <c r="AG238" s="42" t="str">
        <f t="shared" si="28"/>
        <v/>
      </c>
    </row>
    <row r="239" spans="12:33" x14ac:dyDescent="0.25">
      <c r="L239" s="42" t="str">
        <f>IF(AND('Pivot elenchi'!P238="",'Pivot elenchi'!P239=""),"",IF('Pivot elenchi'!P238="",'Pivot elenchi'!P237="",'Pivot elenchi'!P238))</f>
        <v/>
      </c>
      <c r="M239" s="42" t="str">
        <f>IF(AND('Pivot elenchi'!Q238="",'Pivot elenchi'!Q239=""),"",IF('Pivot elenchi'!Q238="",'Pivot elenchi'!Q237="",'Pivot elenchi'!Q238))</f>
        <v/>
      </c>
      <c r="N239" s="42" t="str">
        <f>IF(AND('Pivot elenchi'!R238="",'Pivot elenchi'!R239=""),"",IF('Pivot elenchi'!R238="",'Pivot elenchi'!R237="",'Pivot elenchi'!R238))</f>
        <v/>
      </c>
      <c r="O239" s="42" t="str">
        <f>IF(AND('Pivot elenchi'!S238="",'Pivot elenchi'!S239=""),"",IF('Pivot elenchi'!S238="",'Pivot elenchi'!S237="",'Pivot elenchi'!S238))</f>
        <v/>
      </c>
      <c r="P239" s="42" t="str">
        <f>IF(AND('Pivot elenchi'!T238="",'Pivot elenchi'!T239=""),"",IF('Pivot elenchi'!T238="",'Pivot elenchi'!T237="",'Pivot elenchi'!T238))</f>
        <v/>
      </c>
      <c r="Q239" s="42" t="str">
        <f>IF(AND('Pivot elenchi'!U238="",'Pivot elenchi'!U239=""),"",IF('Pivot elenchi'!U238="",'Pivot elenchi'!U237="",'Pivot elenchi'!U238))</f>
        <v/>
      </c>
      <c r="AB239" s="42" t="str">
        <f t="shared" si="23"/>
        <v/>
      </c>
      <c r="AC239" s="42" t="str">
        <f t="shared" si="24"/>
        <v/>
      </c>
      <c r="AD239" s="42" t="str">
        <f t="shared" si="25"/>
        <v/>
      </c>
      <c r="AE239" s="42" t="str">
        <f t="shared" si="26"/>
        <v/>
      </c>
      <c r="AF239" s="42" t="str">
        <f t="shared" si="27"/>
        <v/>
      </c>
      <c r="AG239" s="42" t="str">
        <f t="shared" si="28"/>
        <v/>
      </c>
    </row>
    <row r="240" spans="12:33" x14ac:dyDescent="0.25">
      <c r="L240" s="42" t="str">
        <f>IF(AND('Pivot elenchi'!P239="",'Pivot elenchi'!P240=""),"",IF('Pivot elenchi'!P239="",'Pivot elenchi'!P238="",'Pivot elenchi'!P239))</f>
        <v/>
      </c>
      <c r="M240" s="42" t="str">
        <f>IF(AND('Pivot elenchi'!Q239="",'Pivot elenchi'!Q240=""),"",IF('Pivot elenchi'!Q239="",'Pivot elenchi'!Q238="",'Pivot elenchi'!Q239))</f>
        <v/>
      </c>
      <c r="N240" s="42" t="str">
        <f>IF(AND('Pivot elenchi'!R239="",'Pivot elenchi'!R240=""),"",IF('Pivot elenchi'!R239="",'Pivot elenchi'!R238="",'Pivot elenchi'!R239))</f>
        <v/>
      </c>
      <c r="O240" s="42" t="str">
        <f>IF(AND('Pivot elenchi'!S239="",'Pivot elenchi'!S240=""),"",IF('Pivot elenchi'!S239="",'Pivot elenchi'!S238="",'Pivot elenchi'!S239))</f>
        <v/>
      </c>
      <c r="P240" s="42" t="str">
        <f>IF(AND('Pivot elenchi'!T239="",'Pivot elenchi'!T240=""),"",IF('Pivot elenchi'!T239="",'Pivot elenchi'!T238="",'Pivot elenchi'!T239))</f>
        <v/>
      </c>
      <c r="Q240" s="42" t="str">
        <f>IF(AND('Pivot elenchi'!U239="",'Pivot elenchi'!U240=""),"",IF('Pivot elenchi'!U239="",'Pivot elenchi'!U238="",'Pivot elenchi'!U239))</f>
        <v/>
      </c>
      <c r="AB240" s="42" t="str">
        <f t="shared" si="23"/>
        <v/>
      </c>
      <c r="AC240" s="42" t="str">
        <f t="shared" si="24"/>
        <v/>
      </c>
      <c r="AD240" s="42" t="str">
        <f t="shared" si="25"/>
        <v/>
      </c>
      <c r="AE240" s="42" t="str">
        <f t="shared" si="26"/>
        <v/>
      </c>
      <c r="AF240" s="42" t="str">
        <f t="shared" si="27"/>
        <v/>
      </c>
      <c r="AG240" s="42" t="str">
        <f t="shared" si="28"/>
        <v/>
      </c>
    </row>
    <row r="241" spans="12:33" x14ac:dyDescent="0.25">
      <c r="L241" s="42" t="str">
        <f>IF(AND('Pivot elenchi'!P240="",'Pivot elenchi'!P241=""),"",IF('Pivot elenchi'!P240="",'Pivot elenchi'!P239="",'Pivot elenchi'!P240))</f>
        <v/>
      </c>
      <c r="M241" s="42" t="str">
        <f>IF(AND('Pivot elenchi'!Q240="",'Pivot elenchi'!Q241=""),"",IF('Pivot elenchi'!Q240="",'Pivot elenchi'!Q239="",'Pivot elenchi'!Q240))</f>
        <v/>
      </c>
      <c r="N241" s="42" t="str">
        <f>IF(AND('Pivot elenchi'!R240="",'Pivot elenchi'!R241=""),"",IF('Pivot elenchi'!R240="",'Pivot elenchi'!R239="",'Pivot elenchi'!R240))</f>
        <v/>
      </c>
      <c r="O241" s="42" t="str">
        <f>IF(AND('Pivot elenchi'!S240="",'Pivot elenchi'!S241=""),"",IF('Pivot elenchi'!S240="",'Pivot elenchi'!S239="",'Pivot elenchi'!S240))</f>
        <v/>
      </c>
      <c r="P241" s="42" t="str">
        <f>IF(AND('Pivot elenchi'!T240="",'Pivot elenchi'!T241=""),"",IF('Pivot elenchi'!T240="",'Pivot elenchi'!T239="",'Pivot elenchi'!T240))</f>
        <v/>
      </c>
      <c r="Q241" s="42" t="str">
        <f>IF(AND('Pivot elenchi'!U240="",'Pivot elenchi'!U241=""),"",IF('Pivot elenchi'!U240="",'Pivot elenchi'!U239="",'Pivot elenchi'!U240))</f>
        <v/>
      </c>
      <c r="AB241" s="42" t="str">
        <f t="shared" si="23"/>
        <v/>
      </c>
      <c r="AC241" s="42" t="str">
        <f t="shared" si="24"/>
        <v/>
      </c>
      <c r="AD241" s="42" t="str">
        <f t="shared" si="25"/>
        <v/>
      </c>
      <c r="AE241" s="42" t="str">
        <f t="shared" si="26"/>
        <v/>
      </c>
      <c r="AF241" s="42" t="str">
        <f t="shared" si="27"/>
        <v/>
      </c>
      <c r="AG241" s="42" t="str">
        <f t="shared" si="28"/>
        <v/>
      </c>
    </row>
    <row r="242" spans="12:33" x14ac:dyDescent="0.25">
      <c r="L242" s="42" t="str">
        <f>IF(AND('Pivot elenchi'!P241="",'Pivot elenchi'!P242=""),"",IF('Pivot elenchi'!P241="",'Pivot elenchi'!P240="",'Pivot elenchi'!P241))</f>
        <v/>
      </c>
      <c r="M242" s="42" t="str">
        <f>IF(AND('Pivot elenchi'!Q241="",'Pivot elenchi'!Q242=""),"",IF('Pivot elenchi'!Q241="",'Pivot elenchi'!Q240="",'Pivot elenchi'!Q241))</f>
        <v/>
      </c>
      <c r="N242" s="42" t="str">
        <f>IF(AND('Pivot elenchi'!R241="",'Pivot elenchi'!R242=""),"",IF('Pivot elenchi'!R241="",'Pivot elenchi'!R240="",'Pivot elenchi'!R241))</f>
        <v/>
      </c>
      <c r="O242" s="42" t="str">
        <f>IF(AND('Pivot elenchi'!S241="",'Pivot elenchi'!S242=""),"",IF('Pivot elenchi'!S241="",'Pivot elenchi'!S240="",'Pivot elenchi'!S241))</f>
        <v/>
      </c>
      <c r="P242" s="42" t="str">
        <f>IF(AND('Pivot elenchi'!T241="",'Pivot elenchi'!T242=""),"",IF('Pivot elenchi'!T241="",'Pivot elenchi'!T240="",'Pivot elenchi'!T241))</f>
        <v/>
      </c>
      <c r="Q242" s="42" t="str">
        <f>IF(AND('Pivot elenchi'!U241="",'Pivot elenchi'!U242=""),"",IF('Pivot elenchi'!U241="",'Pivot elenchi'!U240="",'Pivot elenchi'!U241))</f>
        <v/>
      </c>
      <c r="AB242" s="42" t="str">
        <f t="shared" si="23"/>
        <v/>
      </c>
      <c r="AC242" s="42" t="str">
        <f t="shared" si="24"/>
        <v/>
      </c>
      <c r="AD242" s="42" t="str">
        <f t="shared" si="25"/>
        <v/>
      </c>
      <c r="AE242" s="42" t="str">
        <f t="shared" si="26"/>
        <v/>
      </c>
      <c r="AF242" s="42" t="str">
        <f t="shared" si="27"/>
        <v/>
      </c>
      <c r="AG242" s="42" t="str">
        <f t="shared" si="28"/>
        <v/>
      </c>
    </row>
    <row r="243" spans="12:33" x14ac:dyDescent="0.25">
      <c r="L243" s="42" t="str">
        <f>IF(AND('Pivot elenchi'!P242="",'Pivot elenchi'!P243=""),"",IF('Pivot elenchi'!P242="",'Pivot elenchi'!P241="",'Pivot elenchi'!P242))</f>
        <v/>
      </c>
      <c r="M243" s="42" t="str">
        <f>IF(AND('Pivot elenchi'!Q242="",'Pivot elenchi'!Q243=""),"",IF('Pivot elenchi'!Q242="",'Pivot elenchi'!Q241="",'Pivot elenchi'!Q242))</f>
        <v/>
      </c>
      <c r="N243" s="42" t="str">
        <f>IF(AND('Pivot elenchi'!R242="",'Pivot elenchi'!R243=""),"",IF('Pivot elenchi'!R242="",'Pivot elenchi'!R241="",'Pivot elenchi'!R242))</f>
        <v/>
      </c>
      <c r="O243" s="42" t="str">
        <f>IF(AND('Pivot elenchi'!S242="",'Pivot elenchi'!S243=""),"",IF('Pivot elenchi'!S242="",'Pivot elenchi'!S241="",'Pivot elenchi'!S242))</f>
        <v/>
      </c>
      <c r="P243" s="42" t="str">
        <f>IF(AND('Pivot elenchi'!T242="",'Pivot elenchi'!T243=""),"",IF('Pivot elenchi'!T242="",'Pivot elenchi'!T241="",'Pivot elenchi'!T242))</f>
        <v/>
      </c>
      <c r="Q243" s="42" t="str">
        <f>IF(AND('Pivot elenchi'!U242="",'Pivot elenchi'!U243=""),"",IF('Pivot elenchi'!U242="",'Pivot elenchi'!U241="",'Pivot elenchi'!U242))</f>
        <v/>
      </c>
      <c r="AB243" s="42" t="str">
        <f t="shared" si="23"/>
        <v/>
      </c>
      <c r="AC243" s="42" t="str">
        <f t="shared" si="24"/>
        <v/>
      </c>
      <c r="AD243" s="42" t="str">
        <f t="shared" si="25"/>
        <v/>
      </c>
      <c r="AE243" s="42" t="str">
        <f t="shared" si="26"/>
        <v/>
      </c>
      <c r="AF243" s="42" t="str">
        <f t="shared" si="27"/>
        <v/>
      </c>
      <c r="AG243" s="42" t="str">
        <f t="shared" si="28"/>
        <v/>
      </c>
    </row>
  </sheetData>
  <sortState xmlns:xlrd2="http://schemas.microsoft.com/office/spreadsheetml/2017/richdata2" ref="A2:A7">
    <sortCondition ref="A1"/>
  </sortState>
  <dataConsolidate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4"/>
  <dimension ref="B1:V229"/>
  <sheetViews>
    <sheetView zoomScale="70" zoomScaleNormal="70" workbookViewId="0">
      <selection activeCell="D10" sqref="D10"/>
    </sheetView>
  </sheetViews>
  <sheetFormatPr defaultRowHeight="15" x14ac:dyDescent="0.25"/>
  <cols>
    <col min="1" max="1" width="3.5703125" customWidth="1"/>
    <col min="2" max="2" width="8.5703125" customWidth="1"/>
    <col min="3" max="3" width="15.7109375" customWidth="1"/>
    <col min="4" max="4" width="46" customWidth="1"/>
    <col min="9" max="9" width="23.85546875" customWidth="1"/>
    <col min="10" max="10" width="17.140625" customWidth="1"/>
    <col min="11" max="11" width="19.7109375" customWidth="1"/>
    <col min="15" max="15" width="12.140625" style="11" customWidth="1"/>
    <col min="16" max="16" width="12" style="113" customWidth="1"/>
    <col min="17" max="17" width="21.140625" customWidth="1"/>
    <col min="18" max="18" width="11.28515625" style="32" customWidth="1"/>
    <col min="19" max="19" width="26.7109375" customWidth="1"/>
    <col min="20" max="20" width="18.5703125" style="32" customWidth="1"/>
    <col min="21" max="21" width="13.5703125" customWidth="1"/>
  </cols>
  <sheetData>
    <row r="1" spans="2:22" x14ac:dyDescent="0.25">
      <c r="C1" s="31" t="s">
        <v>68</v>
      </c>
      <c r="G1" s="11"/>
      <c r="Q1" t="s">
        <v>220</v>
      </c>
    </row>
    <row r="2" spans="2:22" x14ac:dyDescent="0.25">
      <c r="B2" s="122" t="s">
        <v>312</v>
      </c>
      <c r="C2" s="31" t="s">
        <v>38</v>
      </c>
      <c r="D2" s="31" t="s">
        <v>39</v>
      </c>
      <c r="E2" t="s">
        <v>69</v>
      </c>
      <c r="G2" s="122" t="s">
        <v>312</v>
      </c>
      <c r="H2" s="31" t="s">
        <v>46</v>
      </c>
      <c r="I2" s="31" t="s">
        <v>16</v>
      </c>
      <c r="J2" s="31" t="s">
        <v>47</v>
      </c>
      <c r="O2" s="11" t="s">
        <v>319</v>
      </c>
    </row>
    <row r="3" spans="2:22" x14ac:dyDescent="0.25">
      <c r="B3" s="123">
        <v>1</v>
      </c>
      <c r="C3" s="124">
        <v>15</v>
      </c>
      <c r="D3" s="124" t="s">
        <v>456</v>
      </c>
      <c r="G3" s="123">
        <v>1</v>
      </c>
      <c r="H3" s="121" t="s">
        <v>461</v>
      </c>
      <c r="I3" s="121" t="s">
        <v>462</v>
      </c>
      <c r="J3" s="121" t="s">
        <v>463</v>
      </c>
      <c r="K3" s="121"/>
      <c r="L3" s="121"/>
      <c r="M3" s="121"/>
    </row>
    <row r="4" spans="2:22" x14ac:dyDescent="0.25">
      <c r="B4" s="123">
        <v>2</v>
      </c>
      <c r="C4" s="124">
        <v>28</v>
      </c>
      <c r="D4" s="124" t="s">
        <v>457</v>
      </c>
      <c r="G4" s="123">
        <v>2</v>
      </c>
      <c r="H4" s="121" t="s">
        <v>52</v>
      </c>
      <c r="I4" s="121" t="s">
        <v>464</v>
      </c>
      <c r="J4" s="121" t="s">
        <v>465</v>
      </c>
      <c r="K4" s="121"/>
      <c r="L4" s="121"/>
      <c r="M4" s="121"/>
      <c r="O4" s="122" t="s">
        <v>312</v>
      </c>
      <c r="P4" s="114" t="s">
        <v>44</v>
      </c>
      <c r="Q4" s="112" t="s">
        <v>45</v>
      </c>
      <c r="R4" s="127" t="s">
        <v>42</v>
      </c>
      <c r="S4" s="112" t="s">
        <v>43</v>
      </c>
      <c r="T4" s="127" t="s">
        <v>40</v>
      </c>
      <c r="U4" s="112" t="s">
        <v>41</v>
      </c>
      <c r="V4" s="112" t="s">
        <v>69</v>
      </c>
    </row>
    <row r="5" spans="2:22" x14ac:dyDescent="0.25">
      <c r="B5" s="123">
        <v>3</v>
      </c>
      <c r="C5" s="124">
        <v>35</v>
      </c>
      <c r="D5" s="124" t="s">
        <v>458</v>
      </c>
      <c r="G5" s="123">
        <v>3</v>
      </c>
      <c r="H5" s="121" t="s">
        <v>466</v>
      </c>
      <c r="I5" s="121" t="s">
        <v>467</v>
      </c>
      <c r="J5" s="121" t="s">
        <v>465</v>
      </c>
      <c r="K5" s="121"/>
      <c r="L5" s="121"/>
      <c r="M5" s="121"/>
      <c r="O5" s="123">
        <v>1</v>
      </c>
      <c r="P5" t="s">
        <v>322</v>
      </c>
      <c r="Q5" t="s">
        <v>486</v>
      </c>
      <c r="S5" t="s">
        <v>486</v>
      </c>
      <c r="U5" t="s">
        <v>486</v>
      </c>
      <c r="V5" s="113"/>
    </row>
    <row r="6" spans="2:22" x14ac:dyDescent="0.25">
      <c r="B6" s="123">
        <v>4</v>
      </c>
      <c r="C6" s="124">
        <v>2015</v>
      </c>
      <c r="D6" s="124" t="s">
        <v>459</v>
      </c>
      <c r="G6" s="123">
        <v>4</v>
      </c>
      <c r="H6" s="121" t="s">
        <v>468</v>
      </c>
      <c r="I6" s="121" t="s">
        <v>469</v>
      </c>
      <c r="J6" s="121" t="s">
        <v>463</v>
      </c>
      <c r="K6" s="121"/>
      <c r="L6" s="121"/>
      <c r="M6" s="121"/>
      <c r="O6" s="123">
        <v>2</v>
      </c>
      <c r="P6" t="s">
        <v>567</v>
      </c>
      <c r="Q6" t="s">
        <v>568</v>
      </c>
      <c r="S6" t="s">
        <v>568</v>
      </c>
      <c r="U6" t="s">
        <v>568</v>
      </c>
      <c r="V6" s="113"/>
    </row>
    <row r="7" spans="2:22" x14ac:dyDescent="0.25">
      <c r="B7" s="123">
        <v>5</v>
      </c>
      <c r="C7" s="124">
        <v>2028</v>
      </c>
      <c r="D7" s="124" t="s">
        <v>460</v>
      </c>
      <c r="G7" s="123">
        <v>5</v>
      </c>
      <c r="H7" s="121" t="s">
        <v>320</v>
      </c>
      <c r="I7" s="121" t="s">
        <v>470</v>
      </c>
      <c r="J7" s="121" t="s">
        <v>471</v>
      </c>
      <c r="K7" s="121"/>
      <c r="L7" s="121"/>
      <c r="M7" s="121"/>
      <c r="O7" s="123">
        <v>3</v>
      </c>
      <c r="P7" t="s">
        <v>323</v>
      </c>
      <c r="Q7" t="s">
        <v>487</v>
      </c>
      <c r="S7" t="s">
        <v>487</v>
      </c>
      <c r="U7" t="s">
        <v>487</v>
      </c>
      <c r="V7" s="113"/>
    </row>
    <row r="8" spans="2:22" x14ac:dyDescent="0.25">
      <c r="B8" s="123">
        <v>6</v>
      </c>
      <c r="C8" s="124">
        <v>4015</v>
      </c>
      <c r="D8" s="124" t="s">
        <v>459</v>
      </c>
      <c r="G8" s="123">
        <v>6</v>
      </c>
      <c r="H8" s="121" t="s">
        <v>472</v>
      </c>
      <c r="I8" s="121" t="s">
        <v>473</v>
      </c>
      <c r="J8" s="121" t="s">
        <v>474</v>
      </c>
      <c r="K8" s="121"/>
      <c r="L8" s="121"/>
      <c r="M8" s="121"/>
      <c r="O8" s="123">
        <v>4</v>
      </c>
      <c r="P8" t="s">
        <v>324</v>
      </c>
      <c r="Q8" t="s">
        <v>489</v>
      </c>
      <c r="S8" t="s">
        <v>489</v>
      </c>
      <c r="U8" t="s">
        <v>488</v>
      </c>
      <c r="V8" s="113"/>
    </row>
    <row r="9" spans="2:22" x14ac:dyDescent="0.25">
      <c r="B9" s="123">
        <v>7</v>
      </c>
      <c r="C9" s="124">
        <v>1010</v>
      </c>
      <c r="D9" s="124" t="s">
        <v>713</v>
      </c>
      <c r="G9" s="123">
        <v>7</v>
      </c>
      <c r="H9" s="121" t="s">
        <v>66</v>
      </c>
      <c r="I9" s="121" t="s">
        <v>475</v>
      </c>
      <c r="J9" s="121" t="s">
        <v>476</v>
      </c>
      <c r="K9" s="121"/>
      <c r="L9" s="121"/>
      <c r="M9" s="121"/>
      <c r="O9" s="123">
        <v>5</v>
      </c>
      <c r="P9" t="s">
        <v>490</v>
      </c>
      <c r="Q9" t="s">
        <v>491</v>
      </c>
      <c r="S9" t="s">
        <v>569</v>
      </c>
      <c r="U9" t="s">
        <v>569</v>
      </c>
      <c r="V9" s="113"/>
    </row>
    <row r="10" spans="2:22" x14ac:dyDescent="0.25">
      <c r="B10" s="123">
        <v>8</v>
      </c>
      <c r="C10" s="124"/>
      <c r="D10" s="124"/>
      <c r="G10" s="123">
        <v>8</v>
      </c>
      <c r="H10" s="121" t="s">
        <v>58</v>
      </c>
      <c r="I10" s="121" t="s">
        <v>477</v>
      </c>
      <c r="J10" s="121" t="s">
        <v>478</v>
      </c>
      <c r="K10" s="121"/>
      <c r="L10" s="121"/>
      <c r="M10" s="121"/>
      <c r="O10" s="123">
        <v>6</v>
      </c>
      <c r="P10" t="s">
        <v>325</v>
      </c>
      <c r="Q10" t="s">
        <v>492</v>
      </c>
      <c r="S10" t="s">
        <v>492</v>
      </c>
      <c r="U10" t="s">
        <v>486</v>
      </c>
      <c r="V10" s="113"/>
    </row>
    <row r="11" spans="2:22" x14ac:dyDescent="0.25">
      <c r="B11" s="123">
        <v>9</v>
      </c>
      <c r="C11" s="124"/>
      <c r="D11" s="124"/>
      <c r="G11" s="123">
        <v>9</v>
      </c>
      <c r="H11" s="121" t="s">
        <v>56</v>
      </c>
      <c r="I11" s="121" t="s">
        <v>479</v>
      </c>
      <c r="J11" s="121" t="s">
        <v>480</v>
      </c>
      <c r="K11" s="121"/>
      <c r="L11" s="121"/>
      <c r="M11" s="121"/>
      <c r="O11" s="123">
        <v>7</v>
      </c>
      <c r="P11" t="s">
        <v>326</v>
      </c>
      <c r="Q11" t="s">
        <v>693</v>
      </c>
      <c r="S11" t="s">
        <v>487</v>
      </c>
      <c r="U11" t="s">
        <v>487</v>
      </c>
      <c r="V11" s="113"/>
    </row>
    <row r="12" spans="2:22" x14ac:dyDescent="0.25">
      <c r="B12" s="123">
        <v>10</v>
      </c>
      <c r="C12" s="124"/>
      <c r="D12" s="124"/>
      <c r="G12" s="123">
        <v>10</v>
      </c>
      <c r="H12" s="121" t="s">
        <v>481</v>
      </c>
      <c r="I12" s="121" t="s">
        <v>482</v>
      </c>
      <c r="J12" s="121" t="s">
        <v>483</v>
      </c>
      <c r="K12" s="121"/>
      <c r="L12" s="121"/>
      <c r="M12" s="121"/>
      <c r="O12" s="123">
        <v>8</v>
      </c>
      <c r="P12">
        <v>210000</v>
      </c>
      <c r="Q12" t="s">
        <v>488</v>
      </c>
      <c r="S12" t="s">
        <v>488</v>
      </c>
      <c r="U12" t="s">
        <v>488</v>
      </c>
      <c r="V12" s="113"/>
    </row>
    <row r="13" spans="2:22" x14ac:dyDescent="0.25">
      <c r="B13" s="123">
        <v>11</v>
      </c>
      <c r="C13" s="124"/>
      <c r="D13" s="124"/>
      <c r="G13" s="123">
        <v>11</v>
      </c>
      <c r="H13" s="121" t="s">
        <v>57</v>
      </c>
      <c r="I13" s="121" t="s">
        <v>484</v>
      </c>
      <c r="J13" s="121" t="s">
        <v>485</v>
      </c>
      <c r="K13" s="121"/>
      <c r="L13" s="121"/>
      <c r="M13" s="121"/>
      <c r="O13" s="123">
        <v>9</v>
      </c>
      <c r="P13" t="s">
        <v>327</v>
      </c>
      <c r="Q13" t="s">
        <v>493</v>
      </c>
      <c r="S13" t="s">
        <v>493</v>
      </c>
      <c r="U13" t="s">
        <v>488</v>
      </c>
      <c r="V13" s="113"/>
    </row>
    <row r="14" spans="2:22" x14ac:dyDescent="0.25">
      <c r="B14" s="123">
        <v>12</v>
      </c>
      <c r="C14" s="124"/>
      <c r="D14" s="124"/>
      <c r="G14" s="123">
        <v>12</v>
      </c>
      <c r="H14" s="121" t="s">
        <v>59</v>
      </c>
      <c r="I14" s="121" t="s">
        <v>60</v>
      </c>
      <c r="J14" s="121" t="s">
        <v>61</v>
      </c>
      <c r="K14" s="121"/>
      <c r="L14" s="121"/>
      <c r="M14" s="121"/>
      <c r="O14" s="123">
        <v>10</v>
      </c>
      <c r="P14" t="s">
        <v>328</v>
      </c>
      <c r="Q14" t="s">
        <v>584</v>
      </c>
      <c r="S14" t="s">
        <v>494</v>
      </c>
      <c r="U14" t="s">
        <v>488</v>
      </c>
      <c r="V14" s="113"/>
    </row>
    <row r="15" spans="2:22" x14ac:dyDescent="0.25">
      <c r="B15" s="123">
        <v>13</v>
      </c>
      <c r="C15" s="124"/>
      <c r="D15" s="124"/>
      <c r="G15" s="123">
        <v>13</v>
      </c>
      <c r="H15" s="121"/>
      <c r="I15" s="121"/>
      <c r="J15" s="121"/>
      <c r="K15" s="121"/>
      <c r="L15" s="121"/>
      <c r="M15" s="121"/>
      <c r="O15" s="123">
        <v>11</v>
      </c>
      <c r="P15" t="s">
        <v>329</v>
      </c>
      <c r="Q15" t="s">
        <v>585</v>
      </c>
      <c r="S15" t="s">
        <v>495</v>
      </c>
      <c r="U15" t="s">
        <v>488</v>
      </c>
      <c r="V15" s="113"/>
    </row>
    <row r="16" spans="2:22" x14ac:dyDescent="0.25">
      <c r="B16" s="123">
        <v>14</v>
      </c>
      <c r="C16" s="124"/>
      <c r="D16" s="124"/>
      <c r="G16" s="123">
        <v>14</v>
      </c>
      <c r="H16" s="121"/>
      <c r="I16" s="121"/>
      <c r="J16" s="121"/>
      <c r="K16" s="121"/>
      <c r="L16" s="121"/>
      <c r="M16" s="121"/>
      <c r="O16" s="123">
        <v>12</v>
      </c>
      <c r="P16" t="s">
        <v>330</v>
      </c>
      <c r="Q16" t="s">
        <v>586</v>
      </c>
      <c r="S16" t="s">
        <v>496</v>
      </c>
      <c r="U16" t="s">
        <v>488</v>
      </c>
      <c r="V16" s="113"/>
    </row>
    <row r="17" spans="2:22" x14ac:dyDescent="0.25">
      <c r="B17" s="123">
        <v>15</v>
      </c>
      <c r="C17" s="124"/>
      <c r="D17" s="124"/>
      <c r="G17" s="123">
        <v>15</v>
      </c>
      <c r="H17" s="121"/>
      <c r="I17" s="121"/>
      <c r="J17" s="121"/>
      <c r="K17" s="121"/>
      <c r="L17" s="121"/>
      <c r="M17" s="121"/>
      <c r="O17" s="123">
        <v>13</v>
      </c>
      <c r="P17" t="s">
        <v>497</v>
      </c>
      <c r="Q17" t="s">
        <v>587</v>
      </c>
      <c r="S17" t="s">
        <v>495</v>
      </c>
      <c r="U17" t="s">
        <v>488</v>
      </c>
      <c r="V17" s="113"/>
    </row>
    <row r="18" spans="2:22" x14ac:dyDescent="0.25">
      <c r="B18" s="123">
        <v>16</v>
      </c>
      <c r="C18" s="124"/>
      <c r="D18" s="124"/>
      <c r="G18" s="123">
        <v>16</v>
      </c>
      <c r="H18" s="121"/>
      <c r="I18" s="121"/>
      <c r="J18" s="121"/>
      <c r="K18" s="121"/>
      <c r="L18" s="121"/>
      <c r="M18" s="121"/>
      <c r="O18" s="123">
        <v>14</v>
      </c>
      <c r="P18" t="s">
        <v>498</v>
      </c>
      <c r="Q18" t="s">
        <v>588</v>
      </c>
      <c r="S18" t="s">
        <v>495</v>
      </c>
      <c r="U18" t="s">
        <v>488</v>
      </c>
      <c r="V18" s="113"/>
    </row>
    <row r="19" spans="2:22" x14ac:dyDescent="0.25">
      <c r="G19" s="123">
        <v>17</v>
      </c>
      <c r="H19" s="121"/>
      <c r="I19" s="121"/>
      <c r="J19" s="121"/>
      <c r="K19" s="121"/>
      <c r="L19" s="121"/>
      <c r="M19" s="121"/>
      <c r="O19" s="123">
        <v>15</v>
      </c>
      <c r="P19" t="s">
        <v>499</v>
      </c>
      <c r="Q19" t="s">
        <v>589</v>
      </c>
      <c r="S19" t="s">
        <v>495</v>
      </c>
      <c r="U19" t="s">
        <v>488</v>
      </c>
      <c r="V19" s="113"/>
    </row>
    <row r="20" spans="2:22" x14ac:dyDescent="0.25">
      <c r="G20" s="123">
        <v>18</v>
      </c>
      <c r="H20" s="121"/>
      <c r="I20" s="121"/>
      <c r="J20" s="121"/>
      <c r="K20" s="121"/>
      <c r="L20" s="121"/>
      <c r="M20" s="121"/>
      <c r="O20" s="123">
        <v>16</v>
      </c>
      <c r="P20" t="s">
        <v>331</v>
      </c>
      <c r="Q20" t="s">
        <v>590</v>
      </c>
      <c r="S20" t="s">
        <v>496</v>
      </c>
      <c r="U20" t="s">
        <v>488</v>
      </c>
      <c r="V20" s="113"/>
    </row>
    <row r="21" spans="2:22" x14ac:dyDescent="0.25">
      <c r="G21" s="123">
        <v>19</v>
      </c>
      <c r="H21" s="125"/>
      <c r="I21" s="121"/>
      <c r="J21" s="121"/>
      <c r="O21" s="123">
        <v>17</v>
      </c>
      <c r="P21" t="s">
        <v>332</v>
      </c>
      <c r="Q21" t="s">
        <v>591</v>
      </c>
      <c r="S21" t="s">
        <v>496</v>
      </c>
      <c r="U21" t="s">
        <v>488</v>
      </c>
      <c r="V21" s="113"/>
    </row>
    <row r="22" spans="2:22" x14ac:dyDescent="0.25">
      <c r="O22" s="123">
        <v>18</v>
      </c>
      <c r="P22" t="s">
        <v>333</v>
      </c>
      <c r="Q22" t="s">
        <v>592</v>
      </c>
      <c r="S22" t="s">
        <v>501</v>
      </c>
      <c r="U22" t="s">
        <v>500</v>
      </c>
      <c r="V22" s="113"/>
    </row>
    <row r="23" spans="2:22" x14ac:dyDescent="0.25">
      <c r="O23" s="123">
        <v>19</v>
      </c>
      <c r="P23" t="s">
        <v>502</v>
      </c>
      <c r="Q23" t="s">
        <v>593</v>
      </c>
      <c r="S23" t="s">
        <v>501</v>
      </c>
      <c r="U23" t="s">
        <v>500</v>
      </c>
      <c r="V23" s="113"/>
    </row>
    <row r="24" spans="2:22" x14ac:dyDescent="0.25">
      <c r="O24" s="123">
        <v>20</v>
      </c>
      <c r="P24" t="s">
        <v>503</v>
      </c>
      <c r="Q24" t="s">
        <v>594</v>
      </c>
      <c r="S24" t="s">
        <v>501</v>
      </c>
      <c r="U24" t="s">
        <v>500</v>
      </c>
      <c r="V24" s="113"/>
    </row>
    <row r="25" spans="2:22" x14ac:dyDescent="0.25">
      <c r="O25" s="123">
        <v>21</v>
      </c>
      <c r="P25" t="s">
        <v>334</v>
      </c>
      <c r="Q25" t="s">
        <v>595</v>
      </c>
      <c r="S25" t="s">
        <v>501</v>
      </c>
      <c r="U25" t="s">
        <v>500</v>
      </c>
      <c r="V25" s="113"/>
    </row>
    <row r="26" spans="2:22" x14ac:dyDescent="0.25">
      <c r="O26" s="123">
        <v>22</v>
      </c>
      <c r="P26" t="s">
        <v>335</v>
      </c>
      <c r="Q26" t="s">
        <v>596</v>
      </c>
      <c r="S26" t="s">
        <v>501</v>
      </c>
      <c r="U26" t="s">
        <v>500</v>
      </c>
      <c r="V26" s="113"/>
    </row>
    <row r="27" spans="2:22" x14ac:dyDescent="0.25">
      <c r="O27" s="123">
        <v>23</v>
      </c>
      <c r="P27" t="s">
        <v>336</v>
      </c>
      <c r="Q27" t="s">
        <v>597</v>
      </c>
      <c r="S27" t="s">
        <v>505</v>
      </c>
      <c r="U27" t="s">
        <v>570</v>
      </c>
      <c r="V27" s="113"/>
    </row>
    <row r="28" spans="2:22" x14ac:dyDescent="0.25">
      <c r="O28" s="123">
        <v>24</v>
      </c>
      <c r="P28" t="s">
        <v>337</v>
      </c>
      <c r="Q28" t="s">
        <v>598</v>
      </c>
      <c r="S28" t="s">
        <v>506</v>
      </c>
      <c r="U28" t="s">
        <v>569</v>
      </c>
      <c r="V28" s="113"/>
    </row>
    <row r="29" spans="2:22" x14ac:dyDescent="0.25">
      <c r="O29" s="123">
        <v>25</v>
      </c>
      <c r="P29" t="s">
        <v>338</v>
      </c>
      <c r="Q29" t="s">
        <v>507</v>
      </c>
      <c r="S29" t="s">
        <v>507</v>
      </c>
      <c r="U29" t="s">
        <v>500</v>
      </c>
      <c r="V29" s="113"/>
    </row>
    <row r="30" spans="2:22" x14ac:dyDescent="0.25">
      <c r="O30" s="123">
        <v>26</v>
      </c>
      <c r="P30" t="s">
        <v>339</v>
      </c>
      <c r="Q30" t="s">
        <v>599</v>
      </c>
      <c r="S30" t="s">
        <v>508</v>
      </c>
      <c r="U30" t="s">
        <v>500</v>
      </c>
      <c r="V30" s="113"/>
    </row>
    <row r="31" spans="2:22" x14ac:dyDescent="0.25">
      <c r="O31" s="123">
        <v>27</v>
      </c>
      <c r="P31" t="s">
        <v>340</v>
      </c>
      <c r="Q31" t="s">
        <v>707</v>
      </c>
      <c r="S31" t="s">
        <v>508</v>
      </c>
      <c r="U31" t="s">
        <v>500</v>
      </c>
      <c r="V31" s="113"/>
    </row>
    <row r="32" spans="2:22" x14ac:dyDescent="0.25">
      <c r="O32" s="123">
        <v>28</v>
      </c>
      <c r="P32" t="s">
        <v>509</v>
      </c>
      <c r="Q32" t="s">
        <v>600</v>
      </c>
      <c r="S32" t="s">
        <v>508</v>
      </c>
      <c r="U32" t="s">
        <v>500</v>
      </c>
      <c r="V32" s="113"/>
    </row>
    <row r="33" spans="15:22" x14ac:dyDescent="0.25">
      <c r="O33" s="123">
        <v>29</v>
      </c>
      <c r="P33" t="s">
        <v>341</v>
      </c>
      <c r="Q33" t="s">
        <v>510</v>
      </c>
      <c r="S33" t="s">
        <v>510</v>
      </c>
      <c r="U33" t="s">
        <v>571</v>
      </c>
      <c r="V33" s="113"/>
    </row>
    <row r="34" spans="15:22" x14ac:dyDescent="0.25">
      <c r="O34" s="123">
        <v>30</v>
      </c>
      <c r="P34" t="s">
        <v>342</v>
      </c>
      <c r="Q34" t="s">
        <v>694</v>
      </c>
      <c r="S34" t="s">
        <v>511</v>
      </c>
      <c r="U34" t="s">
        <v>571</v>
      </c>
      <c r="V34" s="113"/>
    </row>
    <row r="35" spans="15:22" x14ac:dyDescent="0.25">
      <c r="O35" s="123">
        <v>31</v>
      </c>
      <c r="P35" t="s">
        <v>343</v>
      </c>
      <c r="Q35" t="s">
        <v>512</v>
      </c>
      <c r="S35" t="s">
        <v>520</v>
      </c>
      <c r="U35" t="s">
        <v>571</v>
      </c>
      <c r="V35" s="113"/>
    </row>
    <row r="36" spans="15:22" x14ac:dyDescent="0.25">
      <c r="O36" s="123">
        <v>32</v>
      </c>
      <c r="P36" t="s">
        <v>513</v>
      </c>
      <c r="Q36" t="s">
        <v>601</v>
      </c>
      <c r="S36" t="s">
        <v>514</v>
      </c>
      <c r="U36" t="s">
        <v>571</v>
      </c>
      <c r="V36" s="113"/>
    </row>
    <row r="37" spans="15:22" x14ac:dyDescent="0.25">
      <c r="O37" s="123">
        <v>33</v>
      </c>
      <c r="P37" t="s">
        <v>515</v>
      </c>
      <c r="Q37" t="s">
        <v>602</v>
      </c>
      <c r="S37" t="s">
        <v>514</v>
      </c>
      <c r="U37" t="s">
        <v>571</v>
      </c>
      <c r="V37" s="113"/>
    </row>
    <row r="38" spans="15:22" x14ac:dyDescent="0.25">
      <c r="O38" s="123">
        <v>34</v>
      </c>
      <c r="P38" t="s">
        <v>516</v>
      </c>
      <c r="Q38" t="s">
        <v>572</v>
      </c>
      <c r="S38" t="s">
        <v>572</v>
      </c>
      <c r="U38" t="s">
        <v>571</v>
      </c>
      <c r="V38" s="113"/>
    </row>
    <row r="39" spans="15:22" x14ac:dyDescent="0.25">
      <c r="O39" s="123">
        <v>35</v>
      </c>
      <c r="P39" t="s">
        <v>517</v>
      </c>
      <c r="Q39" t="s">
        <v>603</v>
      </c>
      <c r="S39" t="s">
        <v>514</v>
      </c>
      <c r="U39" t="s">
        <v>571</v>
      </c>
      <c r="V39" s="113"/>
    </row>
    <row r="40" spans="15:22" x14ac:dyDescent="0.25">
      <c r="O40" s="123">
        <v>36</v>
      </c>
      <c r="P40" t="s">
        <v>518</v>
      </c>
      <c r="Q40" t="s">
        <v>604</v>
      </c>
      <c r="S40" t="s">
        <v>572</v>
      </c>
      <c r="U40" t="s">
        <v>571</v>
      </c>
      <c r="V40" s="113"/>
    </row>
    <row r="41" spans="15:22" x14ac:dyDescent="0.25">
      <c r="O41" s="123">
        <v>37</v>
      </c>
      <c r="P41" t="s">
        <v>519</v>
      </c>
      <c r="Q41" t="s">
        <v>605</v>
      </c>
      <c r="S41" t="s">
        <v>514</v>
      </c>
      <c r="U41" t="s">
        <v>571</v>
      </c>
      <c r="V41" s="113"/>
    </row>
    <row r="42" spans="15:22" x14ac:dyDescent="0.25">
      <c r="O42" s="123">
        <v>38</v>
      </c>
      <c r="P42" t="s">
        <v>344</v>
      </c>
      <c r="Q42" t="s">
        <v>520</v>
      </c>
      <c r="S42" t="s">
        <v>520</v>
      </c>
      <c r="U42" t="s">
        <v>571</v>
      </c>
      <c r="V42" s="113"/>
    </row>
    <row r="43" spans="15:22" x14ac:dyDescent="0.25">
      <c r="O43" s="123">
        <v>39</v>
      </c>
      <c r="P43" t="s">
        <v>345</v>
      </c>
      <c r="Q43" t="s">
        <v>557</v>
      </c>
      <c r="S43" t="s">
        <v>505</v>
      </c>
      <c r="U43" t="s">
        <v>570</v>
      </c>
      <c r="V43" s="113"/>
    </row>
    <row r="44" spans="15:22" x14ac:dyDescent="0.25">
      <c r="O44" s="123">
        <v>40</v>
      </c>
      <c r="P44" t="s">
        <v>346</v>
      </c>
      <c r="Q44" t="s">
        <v>606</v>
      </c>
      <c r="S44" t="s">
        <v>505</v>
      </c>
      <c r="U44" t="s">
        <v>570</v>
      </c>
      <c r="V44" s="113"/>
    </row>
    <row r="45" spans="15:22" x14ac:dyDescent="0.25">
      <c r="O45" s="123">
        <v>41</v>
      </c>
      <c r="P45" t="s">
        <v>347</v>
      </c>
      <c r="Q45" t="s">
        <v>607</v>
      </c>
      <c r="S45" t="s">
        <v>505</v>
      </c>
      <c r="U45" t="s">
        <v>570</v>
      </c>
      <c r="V45" s="113"/>
    </row>
    <row r="46" spans="15:22" x14ac:dyDescent="0.25">
      <c r="O46" s="123">
        <v>42</v>
      </c>
      <c r="P46" t="s">
        <v>348</v>
      </c>
      <c r="Q46" t="s">
        <v>608</v>
      </c>
      <c r="S46" t="s">
        <v>505</v>
      </c>
      <c r="U46" t="s">
        <v>570</v>
      </c>
      <c r="V46" s="113"/>
    </row>
    <row r="47" spans="15:22" x14ac:dyDescent="0.25">
      <c r="O47" s="123">
        <v>43</v>
      </c>
      <c r="P47" t="s">
        <v>521</v>
      </c>
      <c r="Q47" t="s">
        <v>609</v>
      </c>
      <c r="S47" t="s">
        <v>505</v>
      </c>
      <c r="U47" t="s">
        <v>570</v>
      </c>
      <c r="V47" s="113"/>
    </row>
    <row r="48" spans="15:22" x14ac:dyDescent="0.25">
      <c r="O48" s="123">
        <v>44</v>
      </c>
      <c r="P48" t="s">
        <v>349</v>
      </c>
      <c r="Q48" t="s">
        <v>610</v>
      </c>
      <c r="S48" t="s">
        <v>505</v>
      </c>
      <c r="U48" t="s">
        <v>570</v>
      </c>
      <c r="V48" s="113"/>
    </row>
    <row r="49" spans="15:22" x14ac:dyDescent="0.25">
      <c r="O49" s="123">
        <v>45</v>
      </c>
      <c r="P49" t="s">
        <v>350</v>
      </c>
      <c r="Q49" t="s">
        <v>611</v>
      </c>
      <c r="S49" t="s">
        <v>508</v>
      </c>
      <c r="U49" t="s">
        <v>500</v>
      </c>
      <c r="V49" s="113"/>
    </row>
    <row r="50" spans="15:22" x14ac:dyDescent="0.25">
      <c r="O50" s="123">
        <v>46</v>
      </c>
      <c r="P50" t="s">
        <v>351</v>
      </c>
      <c r="Q50" t="s">
        <v>612</v>
      </c>
      <c r="S50" t="s">
        <v>508</v>
      </c>
      <c r="U50" t="s">
        <v>500</v>
      </c>
      <c r="V50" s="113"/>
    </row>
    <row r="51" spans="15:22" x14ac:dyDescent="0.25">
      <c r="O51" s="123">
        <v>47</v>
      </c>
      <c r="P51" t="s">
        <v>352</v>
      </c>
      <c r="Q51" t="s">
        <v>613</v>
      </c>
      <c r="S51" t="s">
        <v>508</v>
      </c>
      <c r="U51" t="s">
        <v>500</v>
      </c>
      <c r="V51" s="113"/>
    </row>
    <row r="52" spans="15:22" x14ac:dyDescent="0.25">
      <c r="O52" s="123">
        <v>48</v>
      </c>
      <c r="P52" t="s">
        <v>353</v>
      </c>
      <c r="Q52" t="s">
        <v>614</v>
      </c>
      <c r="S52" t="s">
        <v>505</v>
      </c>
      <c r="U52" t="s">
        <v>570</v>
      </c>
      <c r="V52" s="113"/>
    </row>
    <row r="53" spans="15:22" x14ac:dyDescent="0.25">
      <c r="O53" s="123">
        <v>49</v>
      </c>
      <c r="P53" t="s">
        <v>354</v>
      </c>
      <c r="Q53" t="s">
        <v>615</v>
      </c>
      <c r="S53" t="s">
        <v>504</v>
      </c>
      <c r="U53" t="s">
        <v>570</v>
      </c>
      <c r="V53" s="113"/>
    </row>
    <row r="54" spans="15:22" x14ac:dyDescent="0.25">
      <c r="O54" s="123">
        <v>50</v>
      </c>
      <c r="P54" t="s">
        <v>355</v>
      </c>
      <c r="Q54" t="s">
        <v>616</v>
      </c>
      <c r="S54" t="s">
        <v>504</v>
      </c>
      <c r="U54" t="s">
        <v>570</v>
      </c>
      <c r="V54" s="113"/>
    </row>
    <row r="55" spans="15:22" x14ac:dyDescent="0.25">
      <c r="O55" s="123">
        <v>51</v>
      </c>
      <c r="P55" t="s">
        <v>522</v>
      </c>
      <c r="Q55" t="s">
        <v>617</v>
      </c>
      <c r="S55" t="s">
        <v>504</v>
      </c>
      <c r="U55" t="s">
        <v>570</v>
      </c>
      <c r="V55" s="113"/>
    </row>
    <row r="56" spans="15:22" x14ac:dyDescent="0.25">
      <c r="O56" s="123">
        <v>52</v>
      </c>
      <c r="P56" t="s">
        <v>356</v>
      </c>
      <c r="Q56" t="s">
        <v>695</v>
      </c>
      <c r="S56" t="s">
        <v>504</v>
      </c>
      <c r="U56" t="s">
        <v>570</v>
      </c>
      <c r="V56" s="113"/>
    </row>
    <row r="57" spans="15:22" x14ac:dyDescent="0.25">
      <c r="O57" s="123">
        <v>53</v>
      </c>
      <c r="P57" t="s">
        <v>357</v>
      </c>
      <c r="Q57" t="s">
        <v>618</v>
      </c>
      <c r="S57" t="s">
        <v>504</v>
      </c>
      <c r="U57" t="s">
        <v>570</v>
      </c>
      <c r="V57" s="113"/>
    </row>
    <row r="58" spans="15:22" x14ac:dyDescent="0.25">
      <c r="O58" s="123">
        <v>54</v>
      </c>
      <c r="P58" t="s">
        <v>358</v>
      </c>
      <c r="Q58" t="s">
        <v>619</v>
      </c>
      <c r="S58" t="s">
        <v>504</v>
      </c>
      <c r="U58" t="s">
        <v>570</v>
      </c>
      <c r="V58" s="113"/>
    </row>
    <row r="59" spans="15:22" x14ac:dyDescent="0.25">
      <c r="O59" s="123">
        <v>55</v>
      </c>
      <c r="P59" t="s">
        <v>359</v>
      </c>
      <c r="Q59" t="s">
        <v>620</v>
      </c>
      <c r="S59" t="s">
        <v>504</v>
      </c>
      <c r="U59" t="s">
        <v>570</v>
      </c>
      <c r="V59" s="113"/>
    </row>
    <row r="60" spans="15:22" x14ac:dyDescent="0.25">
      <c r="O60" s="123">
        <v>56</v>
      </c>
      <c r="P60" t="s">
        <v>360</v>
      </c>
      <c r="Q60" t="s">
        <v>621</v>
      </c>
      <c r="S60" t="s">
        <v>504</v>
      </c>
      <c r="U60" t="s">
        <v>570</v>
      </c>
      <c r="V60" s="113"/>
    </row>
    <row r="61" spans="15:22" x14ac:dyDescent="0.25">
      <c r="O61" s="123">
        <v>57</v>
      </c>
      <c r="P61" t="s">
        <v>361</v>
      </c>
      <c r="Q61" t="s">
        <v>622</v>
      </c>
      <c r="S61" t="s">
        <v>524</v>
      </c>
      <c r="U61" t="s">
        <v>523</v>
      </c>
      <c r="V61" s="113"/>
    </row>
    <row r="62" spans="15:22" x14ac:dyDescent="0.25">
      <c r="O62" s="123">
        <v>58</v>
      </c>
      <c r="P62" t="s">
        <v>362</v>
      </c>
      <c r="Q62" t="s">
        <v>622</v>
      </c>
      <c r="S62" t="s">
        <v>508</v>
      </c>
      <c r="U62" t="s">
        <v>500</v>
      </c>
      <c r="V62" s="113"/>
    </row>
    <row r="63" spans="15:22" x14ac:dyDescent="0.25">
      <c r="O63" s="123">
        <v>59</v>
      </c>
      <c r="P63" t="s">
        <v>363</v>
      </c>
      <c r="Q63" t="s">
        <v>623</v>
      </c>
      <c r="S63" t="s">
        <v>524</v>
      </c>
      <c r="U63" t="s">
        <v>523</v>
      </c>
      <c r="V63" s="113"/>
    </row>
    <row r="64" spans="15:22" x14ac:dyDescent="0.25">
      <c r="O64" s="123">
        <v>60</v>
      </c>
      <c r="P64" t="s">
        <v>364</v>
      </c>
      <c r="Q64" t="s">
        <v>624</v>
      </c>
      <c r="S64" t="s">
        <v>524</v>
      </c>
      <c r="U64" t="s">
        <v>523</v>
      </c>
      <c r="V64" s="113"/>
    </row>
    <row r="65" spans="15:22" x14ac:dyDescent="0.25">
      <c r="O65" s="123">
        <v>61</v>
      </c>
      <c r="P65" t="s">
        <v>365</v>
      </c>
      <c r="Q65" t="s">
        <v>625</v>
      </c>
      <c r="S65" t="s">
        <v>524</v>
      </c>
      <c r="U65" t="s">
        <v>523</v>
      </c>
      <c r="V65" s="113"/>
    </row>
    <row r="66" spans="15:22" x14ac:dyDescent="0.25">
      <c r="O66" s="123">
        <v>62</v>
      </c>
      <c r="P66" t="s">
        <v>366</v>
      </c>
      <c r="Q66" t="s">
        <v>626</v>
      </c>
      <c r="S66" t="s">
        <v>524</v>
      </c>
      <c r="U66" t="s">
        <v>523</v>
      </c>
      <c r="V66" s="113"/>
    </row>
    <row r="67" spans="15:22" x14ac:dyDescent="0.25">
      <c r="O67" s="123">
        <v>63</v>
      </c>
      <c r="P67" t="s">
        <v>367</v>
      </c>
      <c r="Q67" t="s">
        <v>627</v>
      </c>
      <c r="S67" t="s">
        <v>524</v>
      </c>
      <c r="U67" t="s">
        <v>523</v>
      </c>
      <c r="V67" s="113"/>
    </row>
    <row r="68" spans="15:22" x14ac:dyDescent="0.25">
      <c r="O68" s="123">
        <v>64</v>
      </c>
      <c r="P68" t="s">
        <v>368</v>
      </c>
      <c r="Q68" t="s">
        <v>696</v>
      </c>
      <c r="S68" t="s">
        <v>524</v>
      </c>
      <c r="U68" t="s">
        <v>523</v>
      </c>
      <c r="V68" s="113"/>
    </row>
    <row r="69" spans="15:22" x14ac:dyDescent="0.25">
      <c r="O69" s="123">
        <v>65</v>
      </c>
      <c r="P69" t="s">
        <v>369</v>
      </c>
      <c r="Q69" t="s">
        <v>628</v>
      </c>
      <c r="S69" t="s">
        <v>508</v>
      </c>
      <c r="U69" t="s">
        <v>500</v>
      </c>
      <c r="V69" s="113"/>
    </row>
    <row r="70" spans="15:22" x14ac:dyDescent="0.25">
      <c r="O70" s="123">
        <v>66</v>
      </c>
      <c r="P70" t="s">
        <v>370</v>
      </c>
      <c r="Q70" t="s">
        <v>629</v>
      </c>
      <c r="S70" t="s">
        <v>524</v>
      </c>
      <c r="U70" t="s">
        <v>523</v>
      </c>
      <c r="V70" s="113"/>
    </row>
    <row r="71" spans="15:22" x14ac:dyDescent="0.25">
      <c r="O71" s="123">
        <v>67</v>
      </c>
      <c r="P71" t="s">
        <v>371</v>
      </c>
      <c r="Q71" t="s">
        <v>630</v>
      </c>
      <c r="S71" t="s">
        <v>525</v>
      </c>
      <c r="U71" t="s">
        <v>500</v>
      </c>
      <c r="V71" s="113"/>
    </row>
    <row r="72" spans="15:22" x14ac:dyDescent="0.25">
      <c r="O72" s="123">
        <v>68</v>
      </c>
      <c r="P72" t="s">
        <v>372</v>
      </c>
      <c r="Q72" t="s">
        <v>631</v>
      </c>
      <c r="S72" t="s">
        <v>318</v>
      </c>
      <c r="U72" t="s">
        <v>523</v>
      </c>
      <c r="V72" s="113"/>
    </row>
    <row r="73" spans="15:22" x14ac:dyDescent="0.25">
      <c r="O73" s="123">
        <v>69</v>
      </c>
      <c r="P73" t="s">
        <v>373</v>
      </c>
      <c r="Q73" t="s">
        <v>632</v>
      </c>
      <c r="S73" t="s">
        <v>318</v>
      </c>
      <c r="U73" t="s">
        <v>523</v>
      </c>
      <c r="V73" s="113"/>
    </row>
    <row r="74" spans="15:22" x14ac:dyDescent="0.25">
      <c r="O74" s="123">
        <v>70</v>
      </c>
      <c r="P74" t="s">
        <v>374</v>
      </c>
      <c r="Q74" t="s">
        <v>697</v>
      </c>
      <c r="S74" t="s">
        <v>318</v>
      </c>
      <c r="U74" t="s">
        <v>523</v>
      </c>
      <c r="V74" s="113"/>
    </row>
    <row r="75" spans="15:22" x14ac:dyDescent="0.25">
      <c r="O75" s="123">
        <v>71</v>
      </c>
      <c r="P75" t="s">
        <v>375</v>
      </c>
      <c r="Q75" t="s">
        <v>633</v>
      </c>
      <c r="S75" t="s">
        <v>508</v>
      </c>
      <c r="U75" t="s">
        <v>500</v>
      </c>
      <c r="V75" s="113"/>
    </row>
    <row r="76" spans="15:22" x14ac:dyDescent="0.25">
      <c r="O76" s="123">
        <v>72</v>
      </c>
      <c r="P76" t="s">
        <v>376</v>
      </c>
      <c r="Q76" t="s">
        <v>634</v>
      </c>
      <c r="S76" t="s">
        <v>524</v>
      </c>
      <c r="U76" t="s">
        <v>523</v>
      </c>
      <c r="V76" s="113"/>
    </row>
    <row r="77" spans="15:22" x14ac:dyDescent="0.25">
      <c r="O77" s="123">
        <v>73</v>
      </c>
      <c r="P77" t="s">
        <v>377</v>
      </c>
      <c r="Q77" t="s">
        <v>526</v>
      </c>
      <c r="S77" t="s">
        <v>573</v>
      </c>
      <c r="U77" t="s">
        <v>523</v>
      </c>
      <c r="V77" s="113"/>
    </row>
    <row r="78" spans="15:22" x14ac:dyDescent="0.25">
      <c r="O78" s="123">
        <v>74</v>
      </c>
      <c r="P78" t="s">
        <v>378</v>
      </c>
      <c r="Q78" t="s">
        <v>526</v>
      </c>
      <c r="S78" t="s">
        <v>508</v>
      </c>
      <c r="U78" t="s">
        <v>500</v>
      </c>
      <c r="V78" s="113"/>
    </row>
    <row r="79" spans="15:22" x14ac:dyDescent="0.25">
      <c r="O79" s="123">
        <v>75</v>
      </c>
      <c r="P79" t="s">
        <v>527</v>
      </c>
      <c r="Q79" t="s">
        <v>528</v>
      </c>
      <c r="S79" t="s">
        <v>528</v>
      </c>
      <c r="U79" t="s">
        <v>574</v>
      </c>
      <c r="V79" s="113"/>
    </row>
    <row r="80" spans="15:22" x14ac:dyDescent="0.25">
      <c r="O80" s="123">
        <v>76</v>
      </c>
      <c r="P80" t="s">
        <v>379</v>
      </c>
      <c r="Q80" t="s">
        <v>635</v>
      </c>
      <c r="S80" t="s">
        <v>529</v>
      </c>
      <c r="U80" t="s">
        <v>574</v>
      </c>
      <c r="V80" s="113"/>
    </row>
    <row r="81" spans="15:22" x14ac:dyDescent="0.25">
      <c r="O81" s="123">
        <v>77</v>
      </c>
      <c r="P81" t="s">
        <v>380</v>
      </c>
      <c r="Q81" t="s">
        <v>636</v>
      </c>
      <c r="S81" t="s">
        <v>529</v>
      </c>
      <c r="U81" t="s">
        <v>574</v>
      </c>
      <c r="V81" s="113"/>
    </row>
    <row r="82" spans="15:22" x14ac:dyDescent="0.25">
      <c r="O82" s="123">
        <v>78</v>
      </c>
      <c r="P82" t="s">
        <v>381</v>
      </c>
      <c r="Q82" t="s">
        <v>637</v>
      </c>
      <c r="S82" t="s">
        <v>529</v>
      </c>
      <c r="U82" t="s">
        <v>574</v>
      </c>
      <c r="V82" s="113"/>
    </row>
    <row r="83" spans="15:22" x14ac:dyDescent="0.25">
      <c r="O83" s="123">
        <v>79</v>
      </c>
      <c r="P83" t="s">
        <v>382</v>
      </c>
      <c r="Q83" t="s">
        <v>638</v>
      </c>
      <c r="S83" t="s">
        <v>529</v>
      </c>
      <c r="U83" t="s">
        <v>574</v>
      </c>
      <c r="V83" s="113"/>
    </row>
    <row r="84" spans="15:22" x14ac:dyDescent="0.25">
      <c r="O84" s="123">
        <v>80</v>
      </c>
      <c r="P84" t="s">
        <v>383</v>
      </c>
      <c r="Q84" t="s">
        <v>639</v>
      </c>
      <c r="S84" t="s">
        <v>530</v>
      </c>
      <c r="U84" t="s">
        <v>574</v>
      </c>
      <c r="V84" s="113"/>
    </row>
    <row r="85" spans="15:22" x14ac:dyDescent="0.25">
      <c r="O85" s="123">
        <v>81</v>
      </c>
      <c r="P85" t="s">
        <v>384</v>
      </c>
      <c r="Q85" t="s">
        <v>640</v>
      </c>
      <c r="S85" t="s">
        <v>531</v>
      </c>
      <c r="U85" t="s">
        <v>574</v>
      </c>
      <c r="V85" s="113"/>
    </row>
    <row r="86" spans="15:22" x14ac:dyDescent="0.25">
      <c r="O86" s="123">
        <v>82</v>
      </c>
      <c r="P86" t="s">
        <v>532</v>
      </c>
      <c r="Q86" t="s">
        <v>641</v>
      </c>
      <c r="S86" t="s">
        <v>531</v>
      </c>
      <c r="U86" t="s">
        <v>574</v>
      </c>
      <c r="V86" s="113"/>
    </row>
    <row r="87" spans="15:22" x14ac:dyDescent="0.25">
      <c r="O87" s="123">
        <v>83</v>
      </c>
      <c r="P87" t="s">
        <v>385</v>
      </c>
      <c r="Q87" t="s">
        <v>642</v>
      </c>
      <c r="S87" t="s">
        <v>533</v>
      </c>
      <c r="U87" t="s">
        <v>574</v>
      </c>
      <c r="V87" s="113"/>
    </row>
    <row r="88" spans="15:22" x14ac:dyDescent="0.25">
      <c r="O88" s="123">
        <v>84</v>
      </c>
      <c r="P88" t="s">
        <v>386</v>
      </c>
      <c r="Q88" t="s">
        <v>698</v>
      </c>
      <c r="S88" t="s">
        <v>530</v>
      </c>
      <c r="U88" t="s">
        <v>574</v>
      </c>
      <c r="V88" s="113"/>
    </row>
    <row r="89" spans="15:22" x14ac:dyDescent="0.25">
      <c r="O89" s="123">
        <v>85</v>
      </c>
      <c r="P89" t="s">
        <v>534</v>
      </c>
      <c r="Q89" t="s">
        <v>699</v>
      </c>
      <c r="S89" t="s">
        <v>535</v>
      </c>
      <c r="U89" t="s">
        <v>574</v>
      </c>
      <c r="V89" s="113"/>
    </row>
    <row r="90" spans="15:22" x14ac:dyDescent="0.25">
      <c r="O90" s="123">
        <v>86</v>
      </c>
      <c r="P90" t="s">
        <v>387</v>
      </c>
      <c r="Q90" t="s">
        <v>643</v>
      </c>
      <c r="S90" t="s">
        <v>529</v>
      </c>
      <c r="U90" t="s">
        <v>574</v>
      </c>
      <c r="V90" s="113"/>
    </row>
    <row r="91" spans="15:22" x14ac:dyDescent="0.25">
      <c r="O91" s="123">
        <v>87</v>
      </c>
      <c r="P91" t="s">
        <v>388</v>
      </c>
      <c r="Q91" t="s">
        <v>644</v>
      </c>
      <c r="S91" t="s">
        <v>529</v>
      </c>
      <c r="U91" t="s">
        <v>574</v>
      </c>
      <c r="V91" s="113"/>
    </row>
    <row r="92" spans="15:22" x14ac:dyDescent="0.25">
      <c r="O92" s="123">
        <v>88</v>
      </c>
      <c r="P92" t="s">
        <v>389</v>
      </c>
      <c r="Q92" t="s">
        <v>645</v>
      </c>
      <c r="S92" t="s">
        <v>529</v>
      </c>
      <c r="U92" t="s">
        <v>574</v>
      </c>
      <c r="V92" s="113"/>
    </row>
    <row r="93" spans="15:22" x14ac:dyDescent="0.25">
      <c r="O93" s="123">
        <v>89</v>
      </c>
      <c r="P93" t="s">
        <v>390</v>
      </c>
      <c r="Q93" t="s">
        <v>646</v>
      </c>
      <c r="S93" t="s">
        <v>529</v>
      </c>
      <c r="U93" t="s">
        <v>574</v>
      </c>
      <c r="V93" s="113"/>
    </row>
    <row r="94" spans="15:22" x14ac:dyDescent="0.25">
      <c r="O94" s="123">
        <v>90</v>
      </c>
      <c r="P94" t="s">
        <v>391</v>
      </c>
      <c r="Q94" t="s">
        <v>647</v>
      </c>
      <c r="S94" t="s">
        <v>529</v>
      </c>
      <c r="U94" t="s">
        <v>574</v>
      </c>
      <c r="V94" s="113"/>
    </row>
    <row r="95" spans="15:22" x14ac:dyDescent="0.25">
      <c r="O95" s="123">
        <v>91</v>
      </c>
      <c r="P95" t="s">
        <v>536</v>
      </c>
      <c r="Q95" t="s">
        <v>648</v>
      </c>
      <c r="S95" t="s">
        <v>529</v>
      </c>
      <c r="U95" t="s">
        <v>574</v>
      </c>
      <c r="V95" s="113"/>
    </row>
    <row r="96" spans="15:22" x14ac:dyDescent="0.25">
      <c r="O96" s="123">
        <v>92</v>
      </c>
      <c r="P96" t="s">
        <v>392</v>
      </c>
      <c r="Q96" t="s">
        <v>533</v>
      </c>
      <c r="S96" t="s">
        <v>533</v>
      </c>
      <c r="U96" t="s">
        <v>574</v>
      </c>
      <c r="V96" s="113"/>
    </row>
    <row r="97" spans="15:22" x14ac:dyDescent="0.25">
      <c r="O97" s="123">
        <v>93</v>
      </c>
      <c r="P97" t="s">
        <v>393</v>
      </c>
      <c r="Q97" t="s">
        <v>649</v>
      </c>
      <c r="S97" t="s">
        <v>533</v>
      </c>
      <c r="U97" t="s">
        <v>574</v>
      </c>
      <c r="V97" s="113"/>
    </row>
    <row r="98" spans="15:22" x14ac:dyDescent="0.25">
      <c r="O98" s="123">
        <v>94</v>
      </c>
      <c r="P98" t="s">
        <v>394</v>
      </c>
      <c r="Q98" t="s">
        <v>700</v>
      </c>
      <c r="S98" t="s">
        <v>537</v>
      </c>
      <c r="U98" t="s">
        <v>569</v>
      </c>
      <c r="V98" s="113"/>
    </row>
    <row r="99" spans="15:22" x14ac:dyDescent="0.25">
      <c r="O99" s="123">
        <v>95</v>
      </c>
      <c r="P99" t="s">
        <v>395</v>
      </c>
      <c r="Q99" t="s">
        <v>650</v>
      </c>
      <c r="S99" t="s">
        <v>538</v>
      </c>
      <c r="U99" t="s">
        <v>569</v>
      </c>
      <c r="V99" s="113"/>
    </row>
    <row r="100" spans="15:22" x14ac:dyDescent="0.25">
      <c r="O100" s="123">
        <v>96</v>
      </c>
      <c r="P100" t="s">
        <v>539</v>
      </c>
      <c r="Q100" t="s">
        <v>651</v>
      </c>
      <c r="S100" t="s">
        <v>538</v>
      </c>
      <c r="U100" t="s">
        <v>569</v>
      </c>
      <c r="V100" s="113"/>
    </row>
    <row r="101" spans="15:22" x14ac:dyDescent="0.25">
      <c r="O101" s="123">
        <v>97</v>
      </c>
      <c r="P101" t="s">
        <v>396</v>
      </c>
      <c r="Q101" t="s">
        <v>652</v>
      </c>
      <c r="S101" t="s">
        <v>538</v>
      </c>
      <c r="U101" t="s">
        <v>569</v>
      </c>
      <c r="V101" s="113"/>
    </row>
    <row r="102" spans="15:22" x14ac:dyDescent="0.25">
      <c r="O102" s="123">
        <v>98</v>
      </c>
      <c r="P102" t="s">
        <v>397</v>
      </c>
      <c r="Q102" t="s">
        <v>653</v>
      </c>
      <c r="S102" t="s">
        <v>538</v>
      </c>
      <c r="U102" t="s">
        <v>569</v>
      </c>
      <c r="V102" s="113"/>
    </row>
    <row r="103" spans="15:22" x14ac:dyDescent="0.25">
      <c r="O103" s="123">
        <v>99</v>
      </c>
      <c r="P103" t="s">
        <v>398</v>
      </c>
      <c r="Q103" t="s">
        <v>654</v>
      </c>
      <c r="S103" t="s">
        <v>537</v>
      </c>
      <c r="U103" t="s">
        <v>569</v>
      </c>
      <c r="V103" s="113"/>
    </row>
    <row r="104" spans="15:22" x14ac:dyDescent="0.25">
      <c r="O104" s="123">
        <v>100</v>
      </c>
      <c r="P104" t="s">
        <v>399</v>
      </c>
      <c r="Q104" t="s">
        <v>655</v>
      </c>
      <c r="S104" t="s">
        <v>318</v>
      </c>
      <c r="U104" t="s">
        <v>523</v>
      </c>
      <c r="V104" s="113"/>
    </row>
    <row r="105" spans="15:22" x14ac:dyDescent="0.25">
      <c r="O105" s="123">
        <v>101</v>
      </c>
      <c r="P105" t="s">
        <v>400</v>
      </c>
      <c r="Q105" t="s">
        <v>656</v>
      </c>
      <c r="S105" t="s">
        <v>540</v>
      </c>
      <c r="U105" t="s">
        <v>569</v>
      </c>
      <c r="V105" s="113"/>
    </row>
    <row r="106" spans="15:22" x14ac:dyDescent="0.25">
      <c r="O106" s="123">
        <v>102</v>
      </c>
      <c r="P106" t="s">
        <v>541</v>
      </c>
      <c r="Q106" t="s">
        <v>657</v>
      </c>
      <c r="S106" t="s">
        <v>491</v>
      </c>
      <c r="U106" t="s">
        <v>491</v>
      </c>
      <c r="V106" s="113"/>
    </row>
    <row r="107" spans="15:22" x14ac:dyDescent="0.25">
      <c r="O107" s="123">
        <v>103</v>
      </c>
      <c r="P107" t="s">
        <v>542</v>
      </c>
      <c r="Q107" t="s">
        <v>658</v>
      </c>
      <c r="S107" t="s">
        <v>538</v>
      </c>
      <c r="U107" t="s">
        <v>569</v>
      </c>
      <c r="V107" s="113"/>
    </row>
    <row r="108" spans="15:22" x14ac:dyDescent="0.25">
      <c r="O108" s="123">
        <v>104</v>
      </c>
      <c r="P108" t="s">
        <v>401</v>
      </c>
      <c r="Q108" t="s">
        <v>659</v>
      </c>
      <c r="S108" t="s">
        <v>318</v>
      </c>
      <c r="U108" t="s">
        <v>523</v>
      </c>
      <c r="V108" s="113"/>
    </row>
    <row r="109" spans="15:22" x14ac:dyDescent="0.25">
      <c r="O109" s="123">
        <v>105</v>
      </c>
      <c r="P109" t="s">
        <v>543</v>
      </c>
      <c r="Q109" t="s">
        <v>660</v>
      </c>
      <c r="S109" t="s">
        <v>544</v>
      </c>
      <c r="U109" t="s">
        <v>569</v>
      </c>
      <c r="V109" s="113"/>
    </row>
    <row r="110" spans="15:22" x14ac:dyDescent="0.25">
      <c r="O110" s="123">
        <v>106</v>
      </c>
      <c r="P110" t="s">
        <v>402</v>
      </c>
      <c r="Q110" t="s">
        <v>661</v>
      </c>
      <c r="S110" t="s">
        <v>544</v>
      </c>
      <c r="U110" t="s">
        <v>569</v>
      </c>
      <c r="V110" s="113"/>
    </row>
    <row r="111" spans="15:22" x14ac:dyDescent="0.25">
      <c r="O111" s="123">
        <v>107</v>
      </c>
      <c r="P111" t="s">
        <v>403</v>
      </c>
      <c r="Q111" t="s">
        <v>662</v>
      </c>
      <c r="S111" t="s">
        <v>506</v>
      </c>
      <c r="U111" t="s">
        <v>569</v>
      </c>
      <c r="V111" s="113"/>
    </row>
    <row r="112" spans="15:22" x14ac:dyDescent="0.25">
      <c r="O112" s="123">
        <v>108</v>
      </c>
      <c r="P112" t="s">
        <v>575</v>
      </c>
      <c r="Q112" t="s">
        <v>506</v>
      </c>
      <c r="S112" t="s">
        <v>506</v>
      </c>
      <c r="U112" t="s">
        <v>569</v>
      </c>
      <c r="V112" s="113"/>
    </row>
    <row r="113" spans="15:22" x14ac:dyDescent="0.25">
      <c r="O113" s="123">
        <v>109</v>
      </c>
      <c r="P113" t="s">
        <v>404</v>
      </c>
      <c r="Q113" t="s">
        <v>663</v>
      </c>
      <c r="S113" t="s">
        <v>504</v>
      </c>
      <c r="U113" t="s">
        <v>570</v>
      </c>
      <c r="V113" s="113"/>
    </row>
    <row r="114" spans="15:22" x14ac:dyDescent="0.25">
      <c r="O114" s="123">
        <v>110</v>
      </c>
      <c r="P114" t="s">
        <v>405</v>
      </c>
      <c r="Q114" t="s">
        <v>664</v>
      </c>
      <c r="S114" t="s">
        <v>545</v>
      </c>
      <c r="U114" t="s">
        <v>545</v>
      </c>
      <c r="V114" s="113"/>
    </row>
    <row r="115" spans="15:22" x14ac:dyDescent="0.25">
      <c r="O115" s="123">
        <v>111</v>
      </c>
      <c r="P115" t="s">
        <v>406</v>
      </c>
      <c r="Q115" t="s">
        <v>665</v>
      </c>
      <c r="S115" t="s">
        <v>495</v>
      </c>
      <c r="U115" t="s">
        <v>488</v>
      </c>
      <c r="V115" s="113"/>
    </row>
    <row r="116" spans="15:22" x14ac:dyDescent="0.25">
      <c r="O116" s="123">
        <v>112</v>
      </c>
      <c r="P116" t="s">
        <v>407</v>
      </c>
      <c r="Q116" t="s">
        <v>666</v>
      </c>
      <c r="S116" t="s">
        <v>529</v>
      </c>
      <c r="U116" t="s">
        <v>574</v>
      </c>
      <c r="V116" s="113"/>
    </row>
    <row r="117" spans="15:22" x14ac:dyDescent="0.25">
      <c r="O117" s="123">
        <v>113</v>
      </c>
      <c r="P117" t="s">
        <v>408</v>
      </c>
      <c r="Q117" t="s">
        <v>701</v>
      </c>
      <c r="S117" t="s">
        <v>540</v>
      </c>
      <c r="U117" t="s">
        <v>569</v>
      </c>
      <c r="V117" s="113"/>
    </row>
    <row r="118" spans="15:22" x14ac:dyDescent="0.25">
      <c r="O118" s="123">
        <v>114</v>
      </c>
      <c r="P118" t="s">
        <v>409</v>
      </c>
      <c r="Q118" t="s">
        <v>667</v>
      </c>
      <c r="S118" t="s">
        <v>506</v>
      </c>
      <c r="U118" t="s">
        <v>569</v>
      </c>
      <c r="V118" s="113"/>
    </row>
    <row r="119" spans="15:22" x14ac:dyDescent="0.25">
      <c r="O119" s="123">
        <v>115</v>
      </c>
      <c r="P119" t="s">
        <v>576</v>
      </c>
      <c r="Q119" t="s">
        <v>702</v>
      </c>
      <c r="S119" t="s">
        <v>577</v>
      </c>
      <c r="U119" t="s">
        <v>569</v>
      </c>
      <c r="V119" s="113"/>
    </row>
    <row r="120" spans="15:22" x14ac:dyDescent="0.25">
      <c r="O120" s="123">
        <v>116</v>
      </c>
      <c r="P120" t="s">
        <v>410</v>
      </c>
      <c r="Q120" t="s">
        <v>668</v>
      </c>
      <c r="S120" t="s">
        <v>538</v>
      </c>
      <c r="U120" t="s">
        <v>569</v>
      </c>
      <c r="V120" s="113"/>
    </row>
    <row r="121" spans="15:22" x14ac:dyDescent="0.25">
      <c r="O121" s="123">
        <v>117</v>
      </c>
      <c r="P121" t="s">
        <v>411</v>
      </c>
      <c r="Q121" t="s">
        <v>703</v>
      </c>
      <c r="S121" t="s">
        <v>577</v>
      </c>
      <c r="U121" t="s">
        <v>569</v>
      </c>
      <c r="V121" s="113"/>
    </row>
    <row r="122" spans="15:22" x14ac:dyDescent="0.25">
      <c r="O122" s="123">
        <v>118</v>
      </c>
      <c r="P122" t="s">
        <v>578</v>
      </c>
      <c r="Q122" t="s">
        <v>708</v>
      </c>
      <c r="S122" t="s">
        <v>577</v>
      </c>
      <c r="U122" t="s">
        <v>569</v>
      </c>
      <c r="V122" s="113"/>
    </row>
    <row r="123" spans="15:22" x14ac:dyDescent="0.25">
      <c r="O123" s="123">
        <v>119</v>
      </c>
      <c r="P123" t="s">
        <v>412</v>
      </c>
      <c r="Q123" t="s">
        <v>669</v>
      </c>
      <c r="S123" t="s">
        <v>504</v>
      </c>
      <c r="U123" t="s">
        <v>570</v>
      </c>
      <c r="V123" s="113"/>
    </row>
    <row r="124" spans="15:22" x14ac:dyDescent="0.25">
      <c r="O124" s="123">
        <v>120</v>
      </c>
      <c r="P124" t="s">
        <v>413</v>
      </c>
      <c r="Q124" t="s">
        <v>670</v>
      </c>
      <c r="S124" t="s">
        <v>504</v>
      </c>
      <c r="U124" t="s">
        <v>570</v>
      </c>
      <c r="V124" s="113"/>
    </row>
    <row r="125" spans="15:22" x14ac:dyDescent="0.25">
      <c r="O125" s="123">
        <v>121</v>
      </c>
      <c r="P125" t="s">
        <v>546</v>
      </c>
      <c r="Q125" t="s">
        <v>671</v>
      </c>
      <c r="S125" t="s">
        <v>537</v>
      </c>
      <c r="U125" t="s">
        <v>569</v>
      </c>
      <c r="V125" s="113"/>
    </row>
    <row r="126" spans="15:22" x14ac:dyDescent="0.25">
      <c r="O126" s="123">
        <v>122</v>
      </c>
      <c r="P126" t="s">
        <v>547</v>
      </c>
      <c r="Q126" t="s">
        <v>672</v>
      </c>
      <c r="S126" t="s">
        <v>579</v>
      </c>
      <c r="U126" t="s">
        <v>580</v>
      </c>
      <c r="V126" s="113"/>
    </row>
    <row r="127" spans="15:22" x14ac:dyDescent="0.25">
      <c r="O127" s="123">
        <v>123</v>
      </c>
      <c r="P127" t="s">
        <v>548</v>
      </c>
      <c r="Q127" t="s">
        <v>673</v>
      </c>
      <c r="S127" t="s">
        <v>579</v>
      </c>
      <c r="U127" t="s">
        <v>580</v>
      </c>
      <c r="V127" s="113"/>
    </row>
    <row r="128" spans="15:22" x14ac:dyDescent="0.25">
      <c r="O128" s="123">
        <v>124</v>
      </c>
      <c r="P128" t="s">
        <v>549</v>
      </c>
      <c r="Q128" t="s">
        <v>674</v>
      </c>
      <c r="S128" t="s">
        <v>579</v>
      </c>
      <c r="U128" t="s">
        <v>580</v>
      </c>
      <c r="V128" s="113"/>
    </row>
    <row r="129" spans="15:22" x14ac:dyDescent="0.25">
      <c r="O129" s="123">
        <v>125</v>
      </c>
      <c r="P129" t="s">
        <v>414</v>
      </c>
      <c r="Q129" t="s">
        <v>540</v>
      </c>
      <c r="S129" t="s">
        <v>540</v>
      </c>
      <c r="U129" t="s">
        <v>569</v>
      </c>
      <c r="V129" s="113"/>
    </row>
    <row r="130" spans="15:22" x14ac:dyDescent="0.25">
      <c r="O130" s="123">
        <v>126</v>
      </c>
      <c r="P130" t="s">
        <v>415</v>
      </c>
      <c r="Q130" t="s">
        <v>675</v>
      </c>
      <c r="S130" t="s">
        <v>540</v>
      </c>
      <c r="U130" t="s">
        <v>569</v>
      </c>
      <c r="V130" s="113"/>
    </row>
    <row r="131" spans="15:22" x14ac:dyDescent="0.25">
      <c r="O131" s="123">
        <v>127</v>
      </c>
      <c r="P131" t="s">
        <v>581</v>
      </c>
      <c r="Q131" t="s">
        <v>582</v>
      </c>
      <c r="S131" t="s">
        <v>579</v>
      </c>
      <c r="U131" t="s">
        <v>580</v>
      </c>
      <c r="V131" s="113"/>
    </row>
    <row r="132" spans="15:22" x14ac:dyDescent="0.25">
      <c r="O132" s="123">
        <v>128</v>
      </c>
      <c r="P132" t="s">
        <v>550</v>
      </c>
      <c r="Q132" t="s">
        <v>704</v>
      </c>
      <c r="S132" t="s">
        <v>552</v>
      </c>
      <c r="U132" t="s">
        <v>551</v>
      </c>
      <c r="V132" s="113"/>
    </row>
    <row r="133" spans="15:22" x14ac:dyDescent="0.25">
      <c r="O133" s="123">
        <v>129</v>
      </c>
      <c r="P133" t="s">
        <v>553</v>
      </c>
      <c r="Q133" t="s">
        <v>705</v>
      </c>
      <c r="S133" t="s">
        <v>552</v>
      </c>
      <c r="U133" t="s">
        <v>551</v>
      </c>
      <c r="V133" s="113"/>
    </row>
    <row r="134" spans="15:22" x14ac:dyDescent="0.25">
      <c r="O134" s="123">
        <v>130</v>
      </c>
      <c r="P134" t="s">
        <v>416</v>
      </c>
      <c r="Q134" t="s">
        <v>676</v>
      </c>
      <c r="S134" t="s">
        <v>554</v>
      </c>
      <c r="U134" t="s">
        <v>583</v>
      </c>
      <c r="V134" s="113"/>
    </row>
    <row r="135" spans="15:22" x14ac:dyDescent="0.25">
      <c r="O135" s="123">
        <v>131</v>
      </c>
      <c r="P135" t="s">
        <v>417</v>
      </c>
      <c r="Q135" t="s">
        <v>677</v>
      </c>
      <c r="S135" t="s">
        <v>555</v>
      </c>
      <c r="U135" t="s">
        <v>583</v>
      </c>
      <c r="V135" s="113"/>
    </row>
    <row r="136" spans="15:22" x14ac:dyDescent="0.25">
      <c r="O136" s="123">
        <v>132</v>
      </c>
      <c r="P136" t="s">
        <v>418</v>
      </c>
      <c r="Q136" t="s">
        <v>678</v>
      </c>
      <c r="S136" t="s">
        <v>555</v>
      </c>
      <c r="U136" t="s">
        <v>583</v>
      </c>
      <c r="V136" s="113"/>
    </row>
    <row r="137" spans="15:22" x14ac:dyDescent="0.25">
      <c r="O137" s="123">
        <v>133</v>
      </c>
      <c r="P137" t="s">
        <v>556</v>
      </c>
      <c r="Q137" t="s">
        <v>679</v>
      </c>
      <c r="S137" t="s">
        <v>557</v>
      </c>
      <c r="U137" t="s">
        <v>583</v>
      </c>
      <c r="V137" s="113"/>
    </row>
    <row r="138" spans="15:22" x14ac:dyDescent="0.25">
      <c r="O138" s="123">
        <v>134</v>
      </c>
      <c r="P138" t="s">
        <v>419</v>
      </c>
      <c r="Q138" t="s">
        <v>679</v>
      </c>
      <c r="S138" t="s">
        <v>557</v>
      </c>
      <c r="U138" t="s">
        <v>583</v>
      </c>
      <c r="V138" s="113"/>
    </row>
    <row r="139" spans="15:22" x14ac:dyDescent="0.25">
      <c r="O139" s="123">
        <v>135</v>
      </c>
      <c r="P139" t="s">
        <v>420</v>
      </c>
      <c r="Q139" t="s">
        <v>680</v>
      </c>
      <c r="S139" t="s">
        <v>558</v>
      </c>
      <c r="U139" t="s">
        <v>523</v>
      </c>
      <c r="V139" s="113"/>
    </row>
    <row r="140" spans="15:22" x14ac:dyDescent="0.25">
      <c r="O140" s="123">
        <v>136</v>
      </c>
      <c r="P140" t="s">
        <v>421</v>
      </c>
      <c r="Q140" t="s">
        <v>681</v>
      </c>
      <c r="S140" t="s">
        <v>557</v>
      </c>
      <c r="U140" t="s">
        <v>583</v>
      </c>
      <c r="V140" s="113"/>
    </row>
    <row r="141" spans="15:22" x14ac:dyDescent="0.25">
      <c r="O141" s="123">
        <v>137</v>
      </c>
      <c r="P141" t="s">
        <v>422</v>
      </c>
      <c r="Q141" t="s">
        <v>682</v>
      </c>
      <c r="S141" t="s">
        <v>558</v>
      </c>
      <c r="U141" t="s">
        <v>523</v>
      </c>
      <c r="V141" s="113"/>
    </row>
    <row r="142" spans="15:22" x14ac:dyDescent="0.25">
      <c r="O142" s="123">
        <v>138</v>
      </c>
      <c r="P142" t="s">
        <v>423</v>
      </c>
      <c r="Q142" t="s">
        <v>683</v>
      </c>
      <c r="S142" t="s">
        <v>555</v>
      </c>
      <c r="U142" t="s">
        <v>583</v>
      </c>
      <c r="V142" s="113"/>
    </row>
    <row r="143" spans="15:22" x14ac:dyDescent="0.25">
      <c r="O143" s="123">
        <v>139</v>
      </c>
      <c r="P143" t="s">
        <v>559</v>
      </c>
      <c r="Q143" t="s">
        <v>706</v>
      </c>
      <c r="S143" t="s">
        <v>555</v>
      </c>
      <c r="U143" t="s">
        <v>583</v>
      </c>
      <c r="V143" s="113"/>
    </row>
    <row r="144" spans="15:22" x14ac:dyDescent="0.25">
      <c r="O144" s="123">
        <v>140</v>
      </c>
      <c r="P144" t="s">
        <v>424</v>
      </c>
      <c r="Q144" t="s">
        <v>684</v>
      </c>
      <c r="S144" t="s">
        <v>579</v>
      </c>
      <c r="U144" t="s">
        <v>580</v>
      </c>
      <c r="V144" s="113"/>
    </row>
    <row r="145" spans="15:22" x14ac:dyDescent="0.25">
      <c r="O145" s="123">
        <v>141</v>
      </c>
      <c r="P145" t="s">
        <v>425</v>
      </c>
      <c r="Q145" t="s">
        <v>685</v>
      </c>
      <c r="S145" t="s">
        <v>560</v>
      </c>
      <c r="U145" t="s">
        <v>560</v>
      </c>
      <c r="V145" s="113"/>
    </row>
    <row r="146" spans="15:22" x14ac:dyDescent="0.25">
      <c r="O146" s="123">
        <v>142</v>
      </c>
      <c r="P146" t="s">
        <v>561</v>
      </c>
      <c r="Q146" t="s">
        <v>686</v>
      </c>
      <c r="S146" t="s">
        <v>560</v>
      </c>
      <c r="U146" t="s">
        <v>560</v>
      </c>
      <c r="V146" s="113"/>
    </row>
    <row r="147" spans="15:22" x14ac:dyDescent="0.25">
      <c r="O147" s="123">
        <v>143</v>
      </c>
      <c r="P147" t="s">
        <v>562</v>
      </c>
      <c r="Q147" t="s">
        <v>687</v>
      </c>
      <c r="S147" t="s">
        <v>560</v>
      </c>
      <c r="U147" t="s">
        <v>560</v>
      </c>
      <c r="V147" s="113"/>
    </row>
    <row r="148" spans="15:22" x14ac:dyDescent="0.25">
      <c r="O148" s="123">
        <v>144</v>
      </c>
      <c r="P148" t="s">
        <v>563</v>
      </c>
      <c r="Q148" t="s">
        <v>688</v>
      </c>
      <c r="S148" t="s">
        <v>560</v>
      </c>
      <c r="U148" t="s">
        <v>560</v>
      </c>
      <c r="V148" s="113"/>
    </row>
    <row r="149" spans="15:22" x14ac:dyDescent="0.25">
      <c r="O149" s="123">
        <v>145</v>
      </c>
      <c r="P149" t="s">
        <v>426</v>
      </c>
      <c r="Q149" t="s">
        <v>689</v>
      </c>
      <c r="S149" t="s">
        <v>560</v>
      </c>
      <c r="U149" t="s">
        <v>560</v>
      </c>
      <c r="V149" s="113"/>
    </row>
    <row r="150" spans="15:22" x14ac:dyDescent="0.25">
      <c r="O150" s="123">
        <v>146</v>
      </c>
      <c r="P150" t="s">
        <v>427</v>
      </c>
      <c r="Q150" t="s">
        <v>690</v>
      </c>
      <c r="S150" t="s">
        <v>560</v>
      </c>
      <c r="U150" t="s">
        <v>560</v>
      </c>
      <c r="V150" s="113"/>
    </row>
    <row r="151" spans="15:22" x14ac:dyDescent="0.25">
      <c r="O151" s="123">
        <v>147</v>
      </c>
      <c r="P151" t="s">
        <v>564</v>
      </c>
      <c r="Q151" t="s">
        <v>691</v>
      </c>
      <c r="S151" t="s">
        <v>560</v>
      </c>
      <c r="U151" t="s">
        <v>560</v>
      </c>
      <c r="V151" s="113"/>
    </row>
    <row r="152" spans="15:22" x14ac:dyDescent="0.25">
      <c r="O152" s="123">
        <v>148</v>
      </c>
      <c r="P152" t="s">
        <v>565</v>
      </c>
      <c r="Q152" t="s">
        <v>692</v>
      </c>
      <c r="S152" t="s">
        <v>560</v>
      </c>
      <c r="U152" t="s">
        <v>560</v>
      </c>
      <c r="V152" s="113"/>
    </row>
    <row r="153" spans="15:22" x14ac:dyDescent="0.25">
      <c r="O153" s="123">
        <v>149</v>
      </c>
      <c r="P153"/>
      <c r="V153" s="113"/>
    </row>
    <row r="154" spans="15:22" x14ac:dyDescent="0.25">
      <c r="O154" s="123">
        <v>150</v>
      </c>
      <c r="P154"/>
      <c r="V154" s="113"/>
    </row>
    <row r="155" spans="15:22" x14ac:dyDescent="0.25">
      <c r="O155" s="123">
        <v>151</v>
      </c>
      <c r="P155"/>
      <c r="V155" s="113"/>
    </row>
    <row r="156" spans="15:22" x14ac:dyDescent="0.25">
      <c r="O156" s="123">
        <v>152</v>
      </c>
      <c r="P156"/>
      <c r="V156" s="113"/>
    </row>
    <row r="157" spans="15:22" x14ac:dyDescent="0.25">
      <c r="O157" s="123">
        <v>153</v>
      </c>
      <c r="P157"/>
      <c r="V157" s="113"/>
    </row>
    <row r="158" spans="15:22" x14ac:dyDescent="0.25">
      <c r="O158" s="123">
        <v>154</v>
      </c>
      <c r="P158"/>
      <c r="V158" s="113"/>
    </row>
    <row r="159" spans="15:22" x14ac:dyDescent="0.25">
      <c r="O159" s="123">
        <v>155</v>
      </c>
      <c r="P159"/>
      <c r="V159" s="113"/>
    </row>
    <row r="160" spans="15:22" x14ac:dyDescent="0.25">
      <c r="O160" s="123">
        <v>156</v>
      </c>
      <c r="P160"/>
      <c r="V160" s="113"/>
    </row>
    <row r="161" spans="15:22" x14ac:dyDescent="0.25">
      <c r="O161" s="123">
        <v>157</v>
      </c>
      <c r="P161"/>
      <c r="V161" s="113"/>
    </row>
    <row r="162" spans="15:22" x14ac:dyDescent="0.25">
      <c r="O162" s="123">
        <v>158</v>
      </c>
      <c r="P162"/>
      <c r="V162" s="113"/>
    </row>
    <row r="163" spans="15:22" x14ac:dyDescent="0.25">
      <c r="O163" s="123">
        <v>159</v>
      </c>
      <c r="P163"/>
      <c r="V163" s="113"/>
    </row>
    <row r="164" spans="15:22" x14ac:dyDescent="0.25">
      <c r="O164" s="123">
        <v>160</v>
      </c>
      <c r="P164" s="126"/>
      <c r="Q164" s="126"/>
      <c r="V164" s="113"/>
    </row>
    <row r="165" spans="15:22" x14ac:dyDescent="0.25">
      <c r="O165" s="123">
        <v>161</v>
      </c>
      <c r="P165"/>
      <c r="V165" s="113"/>
    </row>
    <row r="166" spans="15:22" x14ac:dyDescent="0.25">
      <c r="O166" s="123">
        <v>162</v>
      </c>
      <c r="P166"/>
      <c r="V166" s="113"/>
    </row>
    <row r="167" spans="15:22" x14ac:dyDescent="0.25">
      <c r="O167" s="123">
        <v>163</v>
      </c>
      <c r="P167"/>
      <c r="V167" s="113"/>
    </row>
    <row r="168" spans="15:22" x14ac:dyDescent="0.25">
      <c r="O168" s="123">
        <v>164</v>
      </c>
      <c r="P168"/>
      <c r="V168" s="113"/>
    </row>
    <row r="169" spans="15:22" x14ac:dyDescent="0.25">
      <c r="O169" s="123">
        <v>165</v>
      </c>
      <c r="P169"/>
      <c r="V169" s="113"/>
    </row>
    <row r="170" spans="15:22" x14ac:dyDescent="0.25">
      <c r="O170" s="123">
        <v>166</v>
      </c>
      <c r="P170"/>
      <c r="V170" s="113"/>
    </row>
    <row r="171" spans="15:22" x14ac:dyDescent="0.25">
      <c r="O171" s="123">
        <v>167</v>
      </c>
      <c r="P171"/>
      <c r="V171" s="113"/>
    </row>
    <row r="172" spans="15:22" x14ac:dyDescent="0.25">
      <c r="O172" s="123">
        <v>168</v>
      </c>
      <c r="P172"/>
      <c r="V172" s="113"/>
    </row>
    <row r="173" spans="15:22" x14ac:dyDescent="0.25">
      <c r="O173" s="123">
        <v>169</v>
      </c>
      <c r="P173"/>
      <c r="V173" s="113"/>
    </row>
    <row r="174" spans="15:22" x14ac:dyDescent="0.25">
      <c r="O174" s="123">
        <v>170</v>
      </c>
      <c r="P174"/>
      <c r="V174" s="113"/>
    </row>
    <row r="175" spans="15:22" x14ac:dyDescent="0.25">
      <c r="O175" s="123">
        <v>171</v>
      </c>
      <c r="P175"/>
      <c r="V175" s="113"/>
    </row>
    <row r="176" spans="15:22" x14ac:dyDescent="0.25">
      <c r="O176" s="123">
        <v>172</v>
      </c>
      <c r="P176"/>
      <c r="V176" s="113"/>
    </row>
    <row r="177" spans="15:22" x14ac:dyDescent="0.25">
      <c r="O177" s="123">
        <v>173</v>
      </c>
      <c r="P177"/>
      <c r="V177" s="113"/>
    </row>
    <row r="178" spans="15:22" x14ac:dyDescent="0.25">
      <c r="O178" s="123">
        <v>174</v>
      </c>
      <c r="P178"/>
      <c r="V178" s="113"/>
    </row>
    <row r="179" spans="15:22" x14ac:dyDescent="0.25">
      <c r="O179" s="123">
        <v>175</v>
      </c>
      <c r="P179"/>
      <c r="V179" s="113"/>
    </row>
    <row r="180" spans="15:22" x14ac:dyDescent="0.25">
      <c r="O180" s="123">
        <v>176</v>
      </c>
      <c r="P180"/>
      <c r="V180" s="113"/>
    </row>
    <row r="181" spans="15:22" x14ac:dyDescent="0.25">
      <c r="O181" s="123">
        <v>177</v>
      </c>
      <c r="P181"/>
      <c r="V181" s="113"/>
    </row>
    <row r="182" spans="15:22" x14ac:dyDescent="0.25">
      <c r="O182" s="123">
        <v>178</v>
      </c>
      <c r="P182"/>
      <c r="V182" s="113"/>
    </row>
    <row r="183" spans="15:22" x14ac:dyDescent="0.25">
      <c r="O183" s="123">
        <v>179</v>
      </c>
      <c r="P183"/>
      <c r="V183" s="113"/>
    </row>
    <row r="184" spans="15:22" x14ac:dyDescent="0.25">
      <c r="O184" s="123">
        <v>180</v>
      </c>
      <c r="P184"/>
      <c r="V184" s="113"/>
    </row>
    <row r="185" spans="15:22" x14ac:dyDescent="0.25">
      <c r="O185" s="123">
        <v>181</v>
      </c>
      <c r="P185"/>
      <c r="V185" s="113"/>
    </row>
    <row r="186" spans="15:22" x14ac:dyDescent="0.25">
      <c r="O186" s="123">
        <v>182</v>
      </c>
      <c r="P186"/>
      <c r="V186" s="113"/>
    </row>
    <row r="187" spans="15:22" x14ac:dyDescent="0.25">
      <c r="O187" s="123">
        <v>183</v>
      </c>
      <c r="P187"/>
      <c r="V187" s="113"/>
    </row>
    <row r="188" spans="15:22" x14ac:dyDescent="0.25">
      <c r="O188" s="123">
        <v>184</v>
      </c>
      <c r="P188"/>
      <c r="V188" s="113"/>
    </row>
    <row r="189" spans="15:22" x14ac:dyDescent="0.25">
      <c r="O189" s="123">
        <v>185</v>
      </c>
      <c r="Q189" s="113"/>
      <c r="S189" s="113"/>
      <c r="U189" s="113"/>
      <c r="V189" s="113"/>
    </row>
    <row r="190" spans="15:22" x14ac:dyDescent="0.25">
      <c r="O190" s="123">
        <v>186</v>
      </c>
      <c r="Q190" s="113"/>
      <c r="S190" s="113"/>
      <c r="U190" s="113"/>
      <c r="V190" s="113"/>
    </row>
    <row r="191" spans="15:22" x14ac:dyDescent="0.25">
      <c r="O191" s="123">
        <v>187</v>
      </c>
      <c r="Q191" s="113"/>
      <c r="S191" s="113"/>
      <c r="U191" s="113"/>
      <c r="V191" s="113"/>
    </row>
    <row r="192" spans="15:22" x14ac:dyDescent="0.25">
      <c r="O192" s="123">
        <v>188</v>
      </c>
      <c r="Q192" s="113"/>
      <c r="S192" s="113"/>
      <c r="U192" s="113"/>
      <c r="V192" s="113"/>
    </row>
    <row r="193" spans="15:22" x14ac:dyDescent="0.25">
      <c r="O193" s="123">
        <v>189</v>
      </c>
      <c r="Q193" s="113"/>
      <c r="S193" s="113"/>
      <c r="U193" s="113"/>
      <c r="V193" s="113"/>
    </row>
    <row r="194" spans="15:22" x14ac:dyDescent="0.25">
      <c r="O194" s="123">
        <v>190</v>
      </c>
      <c r="Q194" s="113"/>
      <c r="S194" s="113"/>
      <c r="U194" s="113"/>
      <c r="V194" s="113"/>
    </row>
    <row r="195" spans="15:22" x14ac:dyDescent="0.25">
      <c r="O195" s="123">
        <v>191</v>
      </c>
      <c r="Q195" s="113"/>
      <c r="S195" s="113"/>
      <c r="U195" s="113"/>
      <c r="V195" s="113"/>
    </row>
    <row r="196" spans="15:22" x14ac:dyDescent="0.25">
      <c r="O196" s="123">
        <v>192</v>
      </c>
      <c r="Q196" s="113"/>
      <c r="S196" s="113"/>
      <c r="U196" s="113"/>
      <c r="V196" s="113"/>
    </row>
    <row r="197" spans="15:22" x14ac:dyDescent="0.25">
      <c r="O197" s="123">
        <v>193</v>
      </c>
      <c r="Q197" s="113"/>
      <c r="S197" s="113"/>
      <c r="U197" s="113"/>
      <c r="V197" s="113"/>
    </row>
    <row r="198" spans="15:22" x14ac:dyDescent="0.25">
      <c r="O198" s="123">
        <v>194</v>
      </c>
      <c r="Q198" s="113"/>
      <c r="S198" s="113"/>
      <c r="U198" s="113"/>
      <c r="V198" s="113"/>
    </row>
    <row r="199" spans="15:22" x14ac:dyDescent="0.25">
      <c r="O199" s="123">
        <v>195</v>
      </c>
      <c r="Q199" s="113"/>
      <c r="S199" s="113"/>
      <c r="U199" s="113"/>
      <c r="V199" s="113"/>
    </row>
    <row r="200" spans="15:22" x14ac:dyDescent="0.25">
      <c r="O200" s="123">
        <v>196</v>
      </c>
      <c r="Q200" s="113"/>
      <c r="S200" s="113"/>
      <c r="U200" s="113"/>
      <c r="V200" s="113"/>
    </row>
    <row r="201" spans="15:22" x14ac:dyDescent="0.25">
      <c r="O201" s="123">
        <v>197</v>
      </c>
      <c r="Q201" s="113"/>
      <c r="S201" s="113"/>
      <c r="U201" s="113"/>
      <c r="V201" s="113"/>
    </row>
    <row r="202" spans="15:22" x14ac:dyDescent="0.25">
      <c r="O202" s="123">
        <v>198</v>
      </c>
      <c r="Q202" s="113"/>
      <c r="S202" s="113"/>
      <c r="U202" s="113"/>
      <c r="V202" s="113"/>
    </row>
    <row r="203" spans="15:22" x14ac:dyDescent="0.25">
      <c r="O203" s="123">
        <v>199</v>
      </c>
      <c r="Q203" s="113"/>
      <c r="S203" s="113"/>
      <c r="U203" s="113"/>
      <c r="V203" s="113"/>
    </row>
    <row r="204" spans="15:22" x14ac:dyDescent="0.25">
      <c r="O204" s="123">
        <v>200</v>
      </c>
      <c r="Q204" s="113"/>
      <c r="S204" s="113"/>
      <c r="U204" s="113"/>
      <c r="V204" s="113"/>
    </row>
    <row r="205" spans="15:22" x14ac:dyDescent="0.25">
      <c r="O205" s="123">
        <v>201</v>
      </c>
      <c r="Q205" s="113"/>
      <c r="S205" s="113"/>
      <c r="U205" s="113"/>
      <c r="V205" s="113"/>
    </row>
    <row r="206" spans="15:22" x14ac:dyDescent="0.25">
      <c r="O206" s="123">
        <v>202</v>
      </c>
      <c r="Q206" s="113"/>
      <c r="S206" s="113"/>
      <c r="U206" s="113"/>
      <c r="V206" s="113"/>
    </row>
    <row r="207" spans="15:22" x14ac:dyDescent="0.25">
      <c r="O207" s="123">
        <v>203</v>
      </c>
      <c r="Q207" s="113"/>
      <c r="S207" s="113"/>
      <c r="U207" s="113"/>
      <c r="V207" s="113"/>
    </row>
    <row r="208" spans="15:22" x14ac:dyDescent="0.25">
      <c r="O208" s="123">
        <v>204</v>
      </c>
      <c r="Q208" s="113"/>
      <c r="S208" s="113"/>
      <c r="U208" s="113"/>
      <c r="V208" s="113"/>
    </row>
    <row r="209" spans="15:22" x14ac:dyDescent="0.25">
      <c r="O209" s="123">
        <v>205</v>
      </c>
      <c r="Q209" s="113"/>
      <c r="S209" s="113"/>
      <c r="U209" s="113"/>
      <c r="V209" s="113"/>
    </row>
    <row r="210" spans="15:22" x14ac:dyDescent="0.25">
      <c r="O210" s="123">
        <v>206</v>
      </c>
      <c r="Q210" s="113"/>
      <c r="S210" s="113"/>
      <c r="U210" s="113"/>
      <c r="V210" s="113"/>
    </row>
    <row r="211" spans="15:22" x14ac:dyDescent="0.25">
      <c r="O211" s="123">
        <v>207</v>
      </c>
      <c r="Q211" s="113"/>
      <c r="S211" s="113"/>
      <c r="U211" s="113"/>
      <c r="V211" s="113"/>
    </row>
    <row r="212" spans="15:22" x14ac:dyDescent="0.25">
      <c r="O212" s="123">
        <v>208</v>
      </c>
      <c r="Q212" s="113"/>
      <c r="S212" s="113"/>
      <c r="U212" s="113"/>
      <c r="V212" s="113"/>
    </row>
    <row r="213" spans="15:22" x14ac:dyDescent="0.25">
      <c r="O213" s="123">
        <v>209</v>
      </c>
      <c r="Q213" s="113"/>
      <c r="S213" s="113"/>
      <c r="U213" s="113"/>
      <c r="V213" s="113"/>
    </row>
    <row r="214" spans="15:22" x14ac:dyDescent="0.25">
      <c r="O214" s="123">
        <v>210</v>
      </c>
      <c r="Q214" s="113"/>
      <c r="S214" s="113"/>
      <c r="U214" s="113"/>
      <c r="V214" s="113"/>
    </row>
    <row r="215" spans="15:22" x14ac:dyDescent="0.25">
      <c r="O215" s="123">
        <v>211</v>
      </c>
      <c r="Q215" s="113"/>
      <c r="S215" s="113"/>
      <c r="U215" s="113"/>
      <c r="V215" s="113"/>
    </row>
    <row r="216" spans="15:22" x14ac:dyDescent="0.25">
      <c r="O216" s="123">
        <v>212</v>
      </c>
      <c r="Q216" s="113"/>
      <c r="S216" s="113"/>
      <c r="U216" s="113"/>
      <c r="V216" s="113"/>
    </row>
    <row r="217" spans="15:22" x14ac:dyDescent="0.25">
      <c r="O217" s="123">
        <v>213</v>
      </c>
      <c r="Q217" s="113"/>
      <c r="S217" s="113"/>
      <c r="U217" s="113"/>
      <c r="V217" s="113"/>
    </row>
    <row r="218" spans="15:22" x14ac:dyDescent="0.25">
      <c r="O218" s="123">
        <v>214</v>
      </c>
      <c r="Q218" s="113"/>
      <c r="S218" s="113"/>
      <c r="U218" s="113"/>
      <c r="V218" s="113"/>
    </row>
    <row r="219" spans="15:22" x14ac:dyDescent="0.25">
      <c r="O219" s="123">
        <v>215</v>
      </c>
      <c r="Q219" s="113"/>
      <c r="S219" s="113"/>
      <c r="U219" s="113"/>
      <c r="V219" s="113"/>
    </row>
    <row r="220" spans="15:22" x14ac:dyDescent="0.25">
      <c r="O220" s="123">
        <v>216</v>
      </c>
      <c r="Q220" s="113"/>
      <c r="S220" s="113"/>
      <c r="U220" s="113"/>
      <c r="V220" s="113"/>
    </row>
    <row r="221" spans="15:22" x14ac:dyDescent="0.25">
      <c r="O221" s="123">
        <v>217</v>
      </c>
      <c r="Q221" s="113"/>
      <c r="S221" s="113"/>
      <c r="U221" s="113"/>
      <c r="V221" s="113"/>
    </row>
    <row r="222" spans="15:22" x14ac:dyDescent="0.25">
      <c r="O222" s="123">
        <v>218</v>
      </c>
      <c r="Q222" s="113"/>
      <c r="S222" s="113"/>
      <c r="U222" s="113"/>
      <c r="V222" s="113"/>
    </row>
    <row r="223" spans="15:22" x14ac:dyDescent="0.25">
      <c r="O223" s="123">
        <v>219</v>
      </c>
      <c r="Q223" s="113"/>
      <c r="S223" s="113"/>
      <c r="U223" s="113"/>
      <c r="V223" s="113"/>
    </row>
    <row r="224" spans="15:22" x14ac:dyDescent="0.25">
      <c r="O224" s="123">
        <v>220</v>
      </c>
      <c r="Q224" s="113"/>
      <c r="S224" s="113"/>
      <c r="U224" s="113"/>
      <c r="V224" s="113"/>
    </row>
    <row r="225" spans="15:22" x14ac:dyDescent="0.25">
      <c r="O225" s="123">
        <v>221</v>
      </c>
      <c r="Q225" s="113"/>
      <c r="S225" s="113"/>
      <c r="U225" s="113"/>
      <c r="V225" s="113"/>
    </row>
    <row r="226" spans="15:22" x14ac:dyDescent="0.25">
      <c r="O226" s="123">
        <v>222</v>
      </c>
      <c r="Q226" s="113"/>
      <c r="S226" s="113"/>
      <c r="U226" s="113"/>
      <c r="V226" s="113"/>
    </row>
    <row r="227" spans="15:22" x14ac:dyDescent="0.25">
      <c r="O227" s="123">
        <v>223</v>
      </c>
      <c r="Q227" s="113"/>
      <c r="S227" s="113"/>
      <c r="U227" s="113"/>
      <c r="V227" s="113"/>
    </row>
    <row r="228" spans="15:22" x14ac:dyDescent="0.25">
      <c r="O228" s="123">
        <v>224</v>
      </c>
      <c r="Q228" s="113"/>
      <c r="S228" s="113"/>
      <c r="U228" s="113"/>
      <c r="V228" s="113"/>
    </row>
    <row r="229" spans="15:22" x14ac:dyDescent="0.25">
      <c r="Q229" s="113"/>
      <c r="S229" s="113"/>
      <c r="U229" s="113"/>
      <c r="V229" s="113"/>
    </row>
  </sheetData>
  <autoFilter ref="O4:V228" xr:uid="{FFC88B39-5804-49A4-9F0A-3A698FE6A881}"/>
  <sortState xmlns:xlrd2="http://schemas.microsoft.com/office/spreadsheetml/2017/richdata2" ref="P5:V187">
    <sortCondition ref="P5:P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15</vt:i4>
      </vt:variant>
    </vt:vector>
  </HeadingPairs>
  <TitlesOfParts>
    <vt:vector size="21" baseType="lpstr">
      <vt:lpstr>Scheda Movimento</vt:lpstr>
      <vt:lpstr>Sicurezza</vt:lpstr>
      <vt:lpstr>Organizz</vt:lpstr>
      <vt:lpstr>Indicazioni per compilazione</vt:lpstr>
      <vt:lpstr>Elenchi</vt:lpstr>
      <vt:lpstr>Pivot elenchi</vt:lpstr>
      <vt:lpstr>CONTRATTO</vt:lpstr>
      <vt:lpstr>DESTINAZIONE_CDC</vt:lpstr>
      <vt:lpstr>DESTINAZIONE_SOCIETA</vt:lpstr>
      <vt:lpstr>DESTINAZIONE_VIA</vt:lpstr>
      <vt:lpstr>EMAIL</vt:lpstr>
      <vt:lpstr>MANSIONE</vt:lpstr>
      <vt:lpstr>MOVIMENTO</vt:lpstr>
      <vt:lpstr>ONBOARDING</vt:lpstr>
      <vt:lpstr>PROVENIENZA_CDC</vt:lpstr>
      <vt:lpstr>PROVENIENZA_SOCIETA</vt:lpstr>
      <vt:lpstr>PROVENIENZA_VIA</vt:lpstr>
      <vt:lpstr>QUALIFICA</vt:lpstr>
      <vt:lpstr>SESSO</vt:lpstr>
      <vt:lpstr>STATO</vt:lpstr>
      <vt:lpstr>TELELAVORO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1933928314</vt:i4>
  </property>
  <property fmtid="{D5CDD505-2E9C-101B-9397-08002B2CF9AE}" pid="3" name="_NewReviewCycle">
    <vt:lpwstr/>
  </property>
</Properties>
</file>